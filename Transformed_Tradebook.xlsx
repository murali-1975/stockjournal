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name="Dashboard" sheetId="1" state="visible" r:id="rId1"/>
    <sheet name="Action Tracker" sheetId="2" state="visible" r:id="rId2"/>
    <sheet name="Raw_Tradebook" sheetId="3" state="visible" r:id="rId3"/>
    <sheet name="Transaction" sheetId="4" state="visible" r:id="rId4"/>
    <sheet name="Current_Portfolio" sheetId="5" state="visible" r:id="rId5"/>
    <sheet name="Core_Watchlist" sheetId="6" state="visible" r:id="rId6"/>
    <sheet name="Satellite_Watchlist" sheetId="7" state="visible" r:id="rId7"/>
    <sheet name="Overall_Portfolio" sheetId="8" state="visible" r:id="rId8"/>
    <sheet name="Price_Update" sheetId="9" state="visible" r:id="rId9"/>
    <sheet name="Todo " sheetId="10" state="visible" r:id="rId10"/>
  </sheets>
  <definedNames>
    <definedName name="SAT_WATCH">Satellite_Watchlist!$B$1:$D$998</definedName>
    <definedName name="_xlnm._FilterDatabase" localSheetId="5" hidden="1">'Core_Watchlist'!$A$1:$G$158</definedName>
    <definedName name="_xlnm._FilterDatabase" localSheetId="6" hidden="1">'Satellite_Watchlist'!$A$1:$J$272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_ [$₹-44D]\ * #,##0.00_ ;_ [$₹-44D]\ * \-#,##0.00_ ;_ [$₹-44D]\ * &quot;-&quot;??_ ;_ @_ "/>
    <numFmt numFmtId="165" formatCode="[$₹-4009]\ #,##0.00"/>
    <numFmt numFmtId="166" formatCode="_ [$₹-4009]\ * #,##0.00_ ;_ [$₹-4009]\ * \-#,##0.00_ ;_ [$₹-4009]\ * &quot;-&quot;??_ ;_ @_ "/>
    <numFmt numFmtId="167" formatCode="_ &quot;₹&quot;\ * #,##0_ ;_ &quot;₹&quot;\ * \-#,##0_ ;_ &quot;₹&quot;\ * &quot;-&quot;??_ ;_ @_ "/>
    <numFmt numFmtId="168" formatCode="[$₹-en-IN] #,##0.00"/>
  </numFmts>
  <fonts count="41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Google Sans Text"/>
      <charset val="1"/>
      <family val="2"/>
      <color rgb="FF1F1F1F"/>
      <sz val="11"/>
    </font>
    <font>
      <name val="Calibri"/>
      <b val="1"/>
      <color rgb="FFA93226"/>
      <sz val="11"/>
    </font>
    <font>
      <name val="Calibri"/>
      <b val="1"/>
      <color rgb="FF1F4E78"/>
      <sz val="11"/>
    </font>
    <font>
      <name val="Calibri"/>
      <b val="1"/>
      <color rgb="FF375623"/>
      <sz val="11"/>
    </font>
    <font>
      <name val="Calibri"/>
      <b val="1"/>
      <color rgb="FFC65911"/>
      <sz val="11"/>
    </font>
    <font>
      <name val="Calibri"/>
      <b val="1"/>
      <color rgb="FFFFFFFF"/>
      <sz val="11"/>
    </font>
    <font>
      <name val="Google Sans Text"/>
      <charset val="1"/>
      <color rgb="FF1F1F1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375623"/>
      <sz val="11"/>
      <scheme val="minor"/>
    </font>
    <font>
      <name val="Calibri"/>
      <family val="2"/>
      <b val="1"/>
      <color rgb="FF1F4E78"/>
      <sz val="11"/>
      <scheme val="minor"/>
    </font>
    <font>
      <name val="Calibri"/>
      <family val="2"/>
      <b val="1"/>
      <color rgb="FFA93226"/>
      <sz val="11"/>
      <scheme val="minor"/>
    </font>
    <font>
      <name val="Calibri"/>
      <family val="2"/>
      <b val="1"/>
      <color rgb="FF8B0000"/>
      <sz val="11"/>
      <scheme val="minor"/>
    </font>
    <font>
      <name val="Calibri"/>
      <family val="2"/>
      <b val="1"/>
      <color rgb="FFC65911"/>
      <sz val="11"/>
      <scheme val="minor"/>
    </font>
    <font>
      <name val="Arial"/>
      <family val="2"/>
      <color theme="1"/>
      <sz val="10"/>
    </font>
    <font>
      <name val="Calibri"/>
      <color rgb="FF000000"/>
      <sz val="11"/>
    </font>
    <font>
      <name val="Calibri"/>
      <b val="1"/>
      <color rgb="FF000000"/>
      <sz val="11"/>
    </font>
    <font>
      <name val="Calibri"/>
      <b val="1"/>
      <color rgb="FF2F5496"/>
      <sz val="18"/>
    </font>
    <font>
      <name val="Calibri"/>
      <b val="1"/>
      <i val="1"/>
      <color rgb="FF595959"/>
      <sz val="12"/>
    </font>
    <font>
      <name val="Calibri"/>
      <b val="1"/>
      <color rgb="FF2F5496"/>
      <sz val="12"/>
    </font>
    <font>
      <name val="Calibri"/>
      <b val="1"/>
      <color rgb="FF147A1E"/>
      <sz val="11"/>
    </font>
    <font>
      <name val="Calibri"/>
      <b val="1"/>
      <color rgb="FFC00000"/>
      <sz val="11"/>
    </font>
    <font>
      <name val="Calibri"/>
      <b val="1"/>
      <color rgb="FF8B0000"/>
      <sz val="11"/>
    </font>
    <font>
      <name val="Calibri"/>
      <family val="2"/>
      <color theme="1"/>
      <sz val="11"/>
      <scheme val="minor"/>
    </font>
    <font>
      <color rgb="00000000"/>
    </font>
    <font>
      <b val="1"/>
      <color rgb="00C65911"/>
    </font>
    <font>
      <b val="1"/>
      <color rgb="001F4E78"/>
    </font>
    <font>
      <b val="1"/>
      <color rgb="00375623"/>
    </font>
    <font>
      <b val="1"/>
      <color rgb="00A93226"/>
    </font>
    <font>
      <b val="1"/>
      <color rgb="00000000"/>
    </font>
    <font>
      <b val="1"/>
      <color rgb="00FFFFFF"/>
    </font>
    <font>
      <name val="Calibri"/>
      <b val="1"/>
      <color rgb="002F5496"/>
      <sz val="18"/>
    </font>
    <font>
      <name val="Calibri"/>
      <b val="1"/>
      <i val="1"/>
      <color rgb="00595959"/>
      <sz val="12"/>
    </font>
    <font>
      <name val="Calibri"/>
      <b val="1"/>
      <color rgb="002F5496"/>
      <sz val="12"/>
    </font>
    <font>
      <name val="Calibri"/>
      <b val="1"/>
      <color rgb="00FFFFFF"/>
      <sz val="11"/>
    </font>
    <font>
      <name val="Calibri"/>
      <b val="1"/>
      <color rgb="00147A1E"/>
    </font>
    <font>
      <name val="Calibri"/>
      <b val="1"/>
      <color rgb="00C00000"/>
    </font>
    <font>
      <b val="1"/>
      <color rgb="008B0000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ADBD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C393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FADBD8"/>
        <bgColor rgb="FFFADBD8"/>
      </patternFill>
    </fill>
    <fill>
      <patternFill patternType="solid">
        <fgColor rgb="FF00B050"/>
        <bgColor rgb="FF00B050"/>
      </patternFill>
    </fill>
    <fill>
      <patternFill patternType="solid">
        <fgColor rgb="FFFFC000"/>
        <bgColor rgb="FFFFC000"/>
      </patternFill>
    </fill>
    <fill>
      <patternFill patternType="solid">
        <fgColor rgb="FFB1A0C7"/>
        <bgColor rgb="FFB1A0C7"/>
      </patternFill>
    </fill>
    <fill>
      <patternFill patternType="solid">
        <fgColor rgb="FF2F5496"/>
        <bgColor rgb="FF2F5496"/>
      </patternFill>
    </fill>
    <fill>
      <patternFill patternType="solid">
        <fgColor rgb="00FCE4D6"/>
        <bgColor rgb="00FCE4D6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  <fill>
      <patternFill patternType="solid">
        <fgColor rgb="00FADBD8"/>
        <bgColor rgb="00FADBD8"/>
      </patternFill>
    </fill>
    <fill>
      <patternFill patternType="solid">
        <fgColor rgb="0000B050"/>
        <bgColor rgb="0000B050"/>
      </patternFill>
    </fill>
    <fill>
      <patternFill patternType="solid">
        <fgColor rgb="00FFC000"/>
        <bgColor rgb="00FFC000"/>
      </patternFill>
    </fill>
    <fill>
      <patternFill patternType="solid">
        <fgColor rgb="00B1A0C7"/>
        <bgColor rgb="00B1A0C7"/>
      </patternFill>
    </fill>
    <fill>
      <patternFill patternType="solid">
        <fgColor rgb="002F5496"/>
        <bgColor rgb="002F5496"/>
      </patternFill>
    </fill>
  </fills>
  <borders count="13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/>
      <right style="thin"/>
      <top style="thin"/>
      <bottom style="thin"/>
    </border>
  </borders>
  <cellStyleXfs count="3">
    <xf numFmtId="0" fontId="26" fillId="0" borderId="0"/>
    <xf numFmtId="44" fontId="26" fillId="0" borderId="0"/>
    <xf numFmtId="9" fontId="26" fillId="0" borderId="0"/>
  </cellStyleXfs>
  <cellXfs count="139">
    <xf numFmtId="0" fontId="0" fillId="0" borderId="0" pivotButton="0" quotePrefix="0" xfId="0"/>
    <xf numFmtId="164" fontId="0" fillId="0" borderId="0" pivotButton="0" quotePrefix="0" xfId="0"/>
    <xf numFmtId="0" fontId="0" fillId="0" borderId="2" pivotButton="0" quotePrefix="0" xfId="0"/>
    <xf numFmtId="0" fontId="0" fillId="0" borderId="7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0" fillId="2" borderId="3" applyAlignment="1" pivotButton="0" quotePrefix="0" xfId="0">
      <alignment horizontal="center"/>
    </xf>
    <xf numFmtId="0" fontId="10" fillId="2" borderId="4" applyAlignment="1" pivotButton="0" quotePrefix="0" xfId="0">
      <alignment horizontal="center"/>
    </xf>
    <xf numFmtId="0" fontId="1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22" fillId="0" borderId="0" pivotButton="0" quotePrefix="0" xfId="0"/>
    <xf numFmtId="0" fontId="1" fillId="0" borderId="10" pivotButton="0" quotePrefix="0" xfId="0"/>
    <xf numFmtId="165" fontId="0" fillId="0" borderId="10" pivotButton="0" quotePrefix="0" xfId="0"/>
    <xf numFmtId="1" fontId="0" fillId="0" borderId="10" pivotButton="0" quotePrefix="0" xfId="0"/>
    <xf numFmtId="10" fontId="0" fillId="0" borderId="10" pivotButton="0" quotePrefix="0" xfId="0"/>
    <xf numFmtId="2" fontId="0" fillId="0" borderId="10" pivotButton="0" quotePrefix="0" xfId="0"/>
    <xf numFmtId="165" fontId="1" fillId="0" borderId="10" pivotButton="0" quotePrefix="0" xfId="0"/>
    <xf numFmtId="10" fontId="1" fillId="0" borderId="10" pivotButton="0" quotePrefix="0" xfId="0"/>
    <xf numFmtId="0" fontId="0" fillId="0" borderId="10" pivotButton="0" quotePrefix="0" xfId="0"/>
    <xf numFmtId="0" fontId="19" fillId="19" borderId="10" pivotButton="0" quotePrefix="0" xfId="0"/>
    <xf numFmtId="0" fontId="19" fillId="20" borderId="10" pivotButton="0" quotePrefix="0" xfId="0"/>
    <xf numFmtId="0" fontId="19" fillId="21" borderId="10" pivotButton="0" quotePrefix="0" xfId="0"/>
    <xf numFmtId="0" fontId="2" fillId="0" borderId="10" pivotButton="0" quotePrefix="0" xfId="0"/>
    <xf numFmtId="1" fontId="2" fillId="0" borderId="10" pivotButton="0" quotePrefix="0" xfId="0"/>
    <xf numFmtId="165" fontId="2" fillId="0" borderId="10" pivotButton="0" quotePrefix="0" xfId="0"/>
    <xf numFmtId="10" fontId="23" fillId="0" borderId="10" pivotButton="0" quotePrefix="0" xfId="0"/>
    <xf numFmtId="10" fontId="24" fillId="0" borderId="10" pivotButton="0" quotePrefix="0" xfId="0"/>
    <xf numFmtId="0" fontId="25" fillId="0" borderId="10" pivotButton="0" quotePrefix="0" xfId="0"/>
    <xf numFmtId="0" fontId="0" fillId="0" borderId="9" pivotButton="0" quotePrefix="0" xfId="0"/>
    <xf numFmtId="1" fontId="0" fillId="0" borderId="9" pivotButton="0" quotePrefix="0" xfId="0"/>
    <xf numFmtId="165" fontId="0" fillId="0" borderId="9" pivotButton="0" quotePrefix="0" xfId="0"/>
    <xf numFmtId="0" fontId="19" fillId="19" borderId="9" pivotButton="0" quotePrefix="0" xfId="0"/>
    <xf numFmtId="0" fontId="0" fillId="0" borderId="9" applyAlignment="1" pivotButton="0" quotePrefix="0" xfId="0">
      <alignment horizontal="center"/>
    </xf>
    <xf numFmtId="10" fontId="0" fillId="0" borderId="9" pivotButton="0" quotePrefix="0" xfId="0"/>
    <xf numFmtId="0" fontId="19" fillId="20" borderId="9" pivotButton="0" quotePrefix="0" xfId="0"/>
    <xf numFmtId="0" fontId="19" fillId="21" borderId="9" pivotButton="0" quotePrefix="0" xfId="0"/>
    <xf numFmtId="0" fontId="18" fillId="0" borderId="9" pivotButton="0" quotePrefix="0" xfId="0"/>
    <xf numFmtId="14" fontId="0" fillId="0" borderId="9" pivotButton="0" quotePrefix="0" xfId="0"/>
    <xf numFmtId="0" fontId="3" fillId="0" borderId="9" applyAlignment="1" pivotButton="0" quotePrefix="0" xfId="0">
      <alignment readingOrder="1"/>
    </xf>
    <xf numFmtId="164" fontId="0" fillId="0" borderId="9" applyAlignment="1" pivotButton="0" quotePrefix="0" xfId="0">
      <alignment horizontal="right"/>
    </xf>
    <xf numFmtId="164" fontId="0" fillId="0" borderId="9" pivotButton="0" quotePrefix="0" xfId="0"/>
    <xf numFmtId="0" fontId="10" fillId="3" borderId="9" applyAlignment="1" pivotButton="0" quotePrefix="0" xfId="0">
      <alignment horizontal="center"/>
    </xf>
    <xf numFmtId="0" fontId="0" fillId="4" borderId="9" applyAlignment="1" pivotButton="0" quotePrefix="0" xfId="0">
      <alignment horizontal="center"/>
    </xf>
    <xf numFmtId="0" fontId="0" fillId="0" borderId="9" applyAlignment="1" pivotButton="0" quotePrefix="0" xfId="0">
      <alignment horizontal="right"/>
    </xf>
    <xf numFmtId="10" fontId="0" fillId="0" borderId="9" applyAlignment="1" pivotButton="0" quotePrefix="0" xfId="0">
      <alignment horizontal="right"/>
    </xf>
    <xf numFmtId="0" fontId="0" fillId="5" borderId="9" applyAlignment="1" pivotButton="0" quotePrefix="0" xfId="0">
      <alignment horizontal="center"/>
    </xf>
    <xf numFmtId="0" fontId="9" fillId="0" borderId="9" applyAlignment="1" pivotButton="0" quotePrefix="0" xfId="0">
      <alignment readingOrder="1"/>
    </xf>
    <xf numFmtId="0" fontId="17" fillId="0" borderId="9" applyAlignment="1" pivotButton="0" quotePrefix="0" xfId="0">
      <alignment wrapText="1"/>
    </xf>
    <xf numFmtId="0" fontId="8" fillId="22" borderId="9" applyAlignment="1" pivotButton="0" quotePrefix="0" xfId="0">
      <alignment horizontal="center" vertical="center" wrapText="1"/>
    </xf>
    <xf numFmtId="0" fontId="7" fillId="15" borderId="9" pivotButton="0" quotePrefix="0" xfId="0"/>
    <xf numFmtId="0" fontId="5" fillId="16" borderId="9" pivotButton="0" quotePrefix="0" xfId="0"/>
    <xf numFmtId="0" fontId="6" fillId="17" borderId="9" pivotButton="0" quotePrefix="0" xfId="0"/>
    <xf numFmtId="0" fontId="4" fillId="18" borderId="9" pivotButton="0" quotePrefix="0" xfId="0"/>
    <xf numFmtId="0" fontId="8" fillId="22" borderId="10" applyAlignment="1" pivotButton="0" quotePrefix="0" xfId="0">
      <alignment horizontal="center"/>
    </xf>
    <xf numFmtId="0" fontId="7" fillId="15" borderId="10" pivotButton="0" quotePrefix="0" xfId="0"/>
    <xf numFmtId="0" fontId="6" fillId="17" borderId="10" pivotButton="0" quotePrefix="0" xfId="0"/>
    <xf numFmtId="0" fontId="4" fillId="18" borderId="10" pivotButton="0" quotePrefix="0" xfId="0"/>
    <xf numFmtId="0" fontId="5" fillId="16" borderId="10" pivotButton="0" quotePrefix="0" xfId="0"/>
    <xf numFmtId="0" fontId="11" fillId="6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/>
    </xf>
    <xf numFmtId="1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left"/>
    </xf>
    <xf numFmtId="0" fontId="0" fillId="0" borderId="10" applyAlignment="1" pivotButton="0" quotePrefix="0" xfId="0">
      <alignment horizontal="left" wrapText="1"/>
    </xf>
    <xf numFmtId="0" fontId="14" fillId="9" borderId="10" applyAlignment="1" pivotButton="0" quotePrefix="0" xfId="0">
      <alignment horizontal="center"/>
    </xf>
    <xf numFmtId="0" fontId="15" fillId="0" borderId="10" applyAlignment="1" pivotButton="0" quotePrefix="0" xfId="0">
      <alignment horizontal="center"/>
    </xf>
    <xf numFmtId="0" fontId="13" fillId="8" borderId="10" applyAlignment="1" pivotButton="0" quotePrefix="0" xfId="0">
      <alignment horizontal="center"/>
    </xf>
    <xf numFmtId="0" fontId="16" fillId="10" borderId="10" applyAlignment="1" pivotButton="0" quotePrefix="0" xfId="0">
      <alignment horizontal="center"/>
    </xf>
    <xf numFmtId="0" fontId="12" fillId="7" borderId="10" applyAlignment="1" pivotButton="0" quotePrefix="0" xfId="0">
      <alignment horizontal="center"/>
    </xf>
    <xf numFmtId="0" fontId="8" fillId="22" borderId="10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center" vertical="center" wrapText="1"/>
    </xf>
    <xf numFmtId="17" fontId="0" fillId="0" borderId="10" pivotButton="0" quotePrefix="0" xfId="0"/>
    <xf numFmtId="0" fontId="0" fillId="11" borderId="10" pivotButton="0" quotePrefix="0" xfId="0"/>
    <xf numFmtId="0" fontId="0" fillId="12" borderId="10" pivotButton="0" quotePrefix="0" xfId="0"/>
    <xf numFmtId="0" fontId="0" fillId="13" borderId="10" pivotButton="0" quotePrefix="0" xfId="0"/>
    <xf numFmtId="0" fontId="0" fillId="14" borderId="10" pivotButton="0" quotePrefix="0" xfId="0"/>
    <xf numFmtId="0" fontId="0" fillId="0" borderId="9" applyAlignment="1" pivotButton="0" quotePrefix="0" xfId="0">
      <alignment wrapText="1"/>
    </xf>
    <xf numFmtId="9" fontId="0" fillId="0" borderId="0" pivotButton="0" quotePrefix="0" xfId="2"/>
    <xf numFmtId="166" fontId="0" fillId="0" borderId="0" pivotButton="0" quotePrefix="0" xfId="0"/>
    <xf numFmtId="0" fontId="8" fillId="22" borderId="0" applyAlignment="1" pivotButton="0" quotePrefix="0" xfId="0">
      <alignment horizontal="center" vertical="center" wrapText="1"/>
    </xf>
    <xf numFmtId="2" fontId="0" fillId="0" borderId="0" pivotButton="0" quotePrefix="0" xfId="0"/>
    <xf numFmtId="1" fontId="0" fillId="0" borderId="0" pivotButton="0" quotePrefix="0" xfId="0"/>
    <xf numFmtId="167" fontId="0" fillId="0" borderId="0" pivotButton="0" quotePrefix="0" xfId="1"/>
    <xf numFmtId="1" fontId="0" fillId="2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pivotButton="0" quotePrefix="0" xfId="0"/>
    <xf numFmtId="0" fontId="21" fillId="0" borderId="0" applyAlignment="1" pivotButton="0" quotePrefix="0" xfId="0">
      <alignment horizontal="right"/>
    </xf>
    <xf numFmtId="0" fontId="34" fillId="0" borderId="0" applyAlignment="1" pivotButton="0" quotePrefix="0" xfId="0">
      <alignment horizontal="center"/>
    </xf>
    <xf numFmtId="0" fontId="35" fillId="0" borderId="0" applyAlignment="1" pivotButton="0" quotePrefix="0" xfId="0">
      <alignment horizontal="right"/>
    </xf>
    <xf numFmtId="0" fontId="36" fillId="0" borderId="0" pivotButton="0" quotePrefix="0" xfId="0"/>
    <xf numFmtId="0" fontId="37" fillId="30" borderId="12" applyAlignment="1" pivotButton="0" quotePrefix="0" xfId="0">
      <alignment horizontal="center"/>
    </xf>
    <xf numFmtId="0" fontId="1" fillId="0" borderId="12" pivotButton="0" quotePrefix="0" xfId="0"/>
    <xf numFmtId="168" fontId="0" fillId="0" borderId="12" pivotButton="0" quotePrefix="0" xfId="0"/>
    <xf numFmtId="1" fontId="0" fillId="0" borderId="12" pivotButton="0" quotePrefix="0" xfId="0"/>
    <xf numFmtId="10" fontId="0" fillId="0" borderId="12" pivotButton="0" quotePrefix="0" xfId="0"/>
    <xf numFmtId="2" fontId="0" fillId="0" borderId="12" pivotButton="0" quotePrefix="0" xfId="0"/>
    <xf numFmtId="168" fontId="1" fillId="0" borderId="12" pivotButton="0" quotePrefix="0" xfId="0"/>
    <xf numFmtId="10" fontId="1" fillId="0" borderId="12" pivotButton="0" quotePrefix="0" xfId="0"/>
    <xf numFmtId="0" fontId="0" fillId="0" borderId="12" pivotButton="0" quotePrefix="0" xfId="0"/>
    <xf numFmtId="0" fontId="28" fillId="23" borderId="12" pivotButton="0" quotePrefix="0" xfId="0"/>
    <xf numFmtId="0" fontId="29" fillId="24" borderId="12" pivotButton="0" quotePrefix="0" xfId="0"/>
    <xf numFmtId="0" fontId="30" fillId="25" borderId="12" pivotButton="0" quotePrefix="0" xfId="0"/>
    <xf numFmtId="0" fontId="32" fillId="27" borderId="12" pivotButton="0" quotePrefix="0" xfId="0"/>
    <xf numFmtId="0" fontId="32" fillId="28" borderId="12" pivotButton="0" quotePrefix="0" xfId="0"/>
    <xf numFmtId="0" fontId="32" fillId="29" borderId="12" pivotButton="0" quotePrefix="0" xfId="0"/>
    <xf numFmtId="0" fontId="31" fillId="26" borderId="12" pivotButton="0" quotePrefix="0" xfId="0"/>
    <xf numFmtId="0" fontId="2" fillId="0" borderId="12" pivotButton="0" quotePrefix="0" xfId="0"/>
    <xf numFmtId="1" fontId="2" fillId="0" borderId="12" pivotButton="0" quotePrefix="0" xfId="0"/>
    <xf numFmtId="168" fontId="2" fillId="0" borderId="12" pivotButton="0" quotePrefix="0" xfId="0"/>
    <xf numFmtId="10" fontId="38" fillId="0" borderId="12" pivotButton="0" quotePrefix="0" xfId="0"/>
    <xf numFmtId="10" fontId="39" fillId="0" borderId="12" pivotButton="0" quotePrefix="0" xfId="0"/>
    <xf numFmtId="0" fontId="40" fillId="0" borderId="12" pivotButton="0" quotePrefix="0" xfId="0"/>
    <xf numFmtId="0" fontId="33" fillId="30" borderId="11" applyAlignment="1" pivotButton="0" quotePrefix="0" xfId="0">
      <alignment horizontal="center" vertical="center" wrapText="1"/>
    </xf>
    <xf numFmtId="0" fontId="0" fillId="0" borderId="11" pivotButton="0" quotePrefix="0" xfId="0"/>
    <xf numFmtId="1" fontId="0" fillId="0" borderId="11" pivotButton="0" quotePrefix="0" xfId="0"/>
    <xf numFmtId="168" fontId="0" fillId="0" borderId="11" pivotButton="0" quotePrefix="0" xfId="0"/>
    <xf numFmtId="0" fontId="32" fillId="27" borderId="11" pivotButton="0" quotePrefix="0" xfId="0"/>
    <xf numFmtId="0" fontId="0" fillId="0" borderId="11" applyAlignment="1" pivotButton="0" quotePrefix="0" xfId="0">
      <alignment horizontal="center"/>
    </xf>
    <xf numFmtId="10" fontId="0" fillId="0" borderId="11" pivotButton="0" quotePrefix="0" xfId="0"/>
    <xf numFmtId="0" fontId="32" fillId="28" borderId="11" pivotButton="0" quotePrefix="0" xfId="0"/>
    <xf numFmtId="0" fontId="32" fillId="29" borderId="11" pivotButton="0" quotePrefix="0" xfId="0"/>
    <xf numFmtId="0" fontId="27" fillId="0" borderId="11" pivotButton="0" quotePrefix="0" xfId="0"/>
    <xf numFmtId="0" fontId="28" fillId="23" borderId="11" pivotButton="0" quotePrefix="0" xfId="0"/>
    <xf numFmtId="0" fontId="29" fillId="24" borderId="11" pivotButton="0" quotePrefix="0" xfId="0"/>
    <xf numFmtId="0" fontId="30" fillId="25" borderId="11" pivotButton="0" quotePrefix="0" xfId="0"/>
    <xf numFmtId="0" fontId="31" fillId="26" borderId="11" pivotButton="0" quotePrefix="0" xfId="0"/>
    <xf numFmtId="14" fontId="0" fillId="0" borderId="11" pivotButton="0" quotePrefix="0" xfId="0"/>
    <xf numFmtId="0" fontId="3" fillId="0" borderId="11" applyAlignment="1" pivotButton="0" quotePrefix="0" xfId="0">
      <alignment readingOrder="1"/>
    </xf>
    <xf numFmtId="164" fontId="0" fillId="0" borderId="11" applyAlignment="1" pivotButton="0" quotePrefix="0" xfId="0">
      <alignment horizontal="right"/>
    </xf>
    <xf numFmtId="164" fontId="0" fillId="0" borderId="11" pivotButton="0" quotePrefix="0" xfId="0"/>
    <xf numFmtId="0" fontId="10" fillId="3" borderId="11" applyAlignment="1" pivotButton="0" quotePrefix="0" xfId="0">
      <alignment horizontal="center"/>
    </xf>
    <xf numFmtId="0" fontId="0" fillId="4" borderId="11" applyAlignment="1" pivotButton="0" quotePrefix="0" xfId="0">
      <alignment horizontal="center"/>
    </xf>
    <xf numFmtId="0" fontId="0" fillId="0" borderId="11" applyAlignment="1" pivotButton="0" quotePrefix="0" xfId="0">
      <alignment horizontal="right"/>
    </xf>
    <xf numFmtId="10" fontId="0" fillId="0" borderId="11" applyAlignment="1" pivotButton="0" quotePrefix="0" xfId="0">
      <alignment horizontal="right"/>
    </xf>
    <xf numFmtId="0" fontId="0" fillId="5" borderId="11" applyAlignment="1" pivotButton="0" quotePrefix="0" xfId="0">
      <alignment horizontal="center"/>
    </xf>
    <xf numFmtId="0" fontId="9" fillId="0" borderId="11" applyAlignment="1" pivotButton="0" quotePrefix="0" xfId="0">
      <alignment readingOrder="1"/>
    </xf>
    <xf numFmtId="0" fontId="17" fillId="0" borderId="11" applyAlignment="1" pivotButton="0" quotePrefix="0" xfId="0">
      <alignment wrapText="1"/>
    </xf>
  </cellXfs>
  <cellStyles count="3">
    <cellStyle name="Normal" xfId="0" builtinId="0"/>
    <cellStyle name="Currency" xfId="1" builtinId="4"/>
    <cellStyle name="Percent" xfId="2" builtinId="5"/>
  </cellStyles>
  <dxfs count="39">
    <dxf>
      <font>
        <b val="1"/>
        <color rgb="FF375623"/>
      </font>
      <fill>
        <patternFill patternType="solid">
          <fgColor rgb="FFE2EFDA"/>
          <bgColor rgb="FFE2EFDA"/>
        </patternFill>
      </fill>
    </dxf>
    <dxf>
      <font>
        <b val="1"/>
        <color rgb="FF375623"/>
      </font>
      <fill>
        <patternFill patternType="solid">
          <fgColor rgb="FFE2EFDA"/>
          <bgColor rgb="FFE2EFDA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2EFDA"/>
          <bgColor rgb="FFE2EFDA"/>
        </patternFill>
      </fill>
    </dxf>
    <dxf>
      <font>
        <name val="Calibri"/>
        <b val="1"/>
        <color rgb="FFC00000"/>
      </font>
    </dxf>
    <dxf>
      <font>
        <name val="Calibri"/>
        <b val="1"/>
        <color rgb="FF147A1E"/>
      </font>
    </dxf>
    <dxf>
      <font>
        <name val="Calibri"/>
        <b val="1"/>
        <color rgb="FFC00000"/>
      </font>
    </dxf>
    <dxf>
      <font>
        <name val="Calibri"/>
        <b val="1"/>
        <color rgb="FF147A1E"/>
      </font>
    </dxf>
    <dxf>
      <font>
        <name val="Calibri"/>
        <b val="1"/>
        <color rgb="FFC00000"/>
      </font>
    </dxf>
    <dxf>
      <font>
        <name val="Calibri"/>
        <b val="1"/>
        <color rgb="FF147A1E"/>
      </font>
    </dxf>
    <dxf>
      <font>
        <name val="Calibri"/>
        <b val="1"/>
        <color rgb="FFC00000"/>
      </font>
    </dxf>
    <dxf>
      <font>
        <name val="Calibri"/>
        <b val="1"/>
        <color rgb="FF147A1E"/>
      </font>
    </dxf>
    <dxf>
      <font>
        <name val="Calibri"/>
        <b val="1"/>
        <color rgb="FFC00000"/>
      </font>
    </dxf>
    <dxf>
      <font>
        <name val="Calibri"/>
        <b val="1"/>
        <color rgb="FF147A1E"/>
      </font>
    </dxf>
    <dxf>
      <font>
        <name val="Calibri"/>
        <b val="1"/>
        <color rgb="FFC00000"/>
      </font>
    </dxf>
    <dxf>
      <font>
        <name val="Calibri"/>
        <b val="1"/>
        <color rgb="FF147A1E"/>
      </font>
    </dxf>
    <dxf>
      <font>
        <name val="Calibri"/>
        <b val="1"/>
        <color rgb="FF147A1E"/>
      </font>
    </dxf>
    <dxf>
      <font>
        <name val="Calibri"/>
        <b val="1"/>
        <color rgb="FFC00000"/>
      </font>
    </dxf>
    <dxf>
      <font>
        <name val="Calibri"/>
        <b val="1"/>
        <color rgb="FFC00000"/>
      </font>
    </dxf>
    <dxf>
      <font>
        <name val="Calibri"/>
        <b val="1"/>
        <color rgb="FF147A1E"/>
      </font>
    </dxf>
    <dxf>
      <font>
        <name val="Calibri"/>
        <b val="1"/>
        <color rgb="FFC00000"/>
      </font>
    </dxf>
    <dxf>
      <font>
        <name val="Calibri"/>
        <b val="1"/>
        <color rgb="FF147A1E"/>
      </font>
    </dxf>
    <dxf>
      <font>
        <name val="Calibri"/>
        <b val="1"/>
        <color rgb="FFC00000"/>
      </font>
    </dxf>
    <dxf>
      <font>
        <name val="Calibri"/>
        <b val="1"/>
        <color rgb="FF147A1E"/>
      </font>
    </dxf>
    <dxf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/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1"/>
      </font>
      <fill>
        <patternFill patternType="solid">
          <fgColor indexed="64"/>
          <bgColor rgb="FFFFFF00"/>
        </patternFill>
      </fill>
      <border>
        <left style="thin">
          <color rgb="FF000000"/>
        </left>
        <right style="thin">
          <color rgb="FF000000"/>
        </right>
        <top/>
        <bottom/>
      </border>
    </dxf>
    <dxf>
      <font>
        <name val="Calibri"/>
        <b val="1"/>
        <color rgb="00147A1E"/>
      </font>
    </dxf>
    <dxf>
      <font>
        <name val="Calibri"/>
        <b val="1"/>
        <color rgb="00C00000"/>
      </font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CE4D6"/>
          <bgColor rgb="00FCE4D6"/>
        </patternFill>
      </fill>
    </dxf>
    <dxf>
      <font>
        <b val="1"/>
        <color rgb="00375623"/>
      </font>
      <fill>
        <patternFill patternType="solid">
          <fgColor rgb="00E2EFDA"/>
          <b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e1" displayName="Table1" ref="A1:D13" headerRowCount="1" totalsRowShown="0" headerRowDxfId="33" headerRowBorderDxfId="32" tableBorderDxfId="31" totalsRowBorderDxfId="30">
  <autoFilter ref="A1:D13"/>
  <tableColumns count="4">
    <tableColumn id="1" name="S.No" dataDxfId="29"/>
    <tableColumn id="2" name="Details" dataDxfId="28"/>
    <tableColumn id="3" name="Bug/Change" dataDxfId="27"/>
    <tableColumn id="4" name="Status" dataDxfId="2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cols>
    <col width="24" customWidth="1" style="87" min="1" max="1"/>
    <col width="18" customWidth="1" style="87" min="2" max="2"/>
    <col width="18" customWidth="1" style="87" min="3" max="3"/>
    <col width="24" customWidth="1" style="87" min="4" max="4"/>
    <col width="18" customWidth="1" style="87" min="5" max="5"/>
    <col width="18" customWidth="1" style="87" min="6" max="6"/>
    <col width="18" customWidth="1" style="87" min="7" max="7"/>
    <col width="4" customWidth="1" style="87" min="8" max="8"/>
    <col width="24" customWidth="1" style="87" min="9" max="9"/>
    <col width="18" customWidth="1" style="87" min="10" max="10"/>
    <col width="18" customWidth="1" style="87" min="11" max="11"/>
    <col width="18" customWidth="1" style="87" min="12" max="12"/>
  </cols>
  <sheetData>
    <row r="1">
      <c r="A1" s="89" t="inlineStr">
        <is>
          <t>📊 Portfolio Dashboard</t>
        </is>
      </c>
      <c r="I1" s="90" t="inlineStr">
        <is>
          <t>🕒 Last Transacted Date: 02 Jun 2026</t>
        </is>
      </c>
    </row>
    <row r="3">
      <c r="A3" s="91" t="inlineStr">
        <is>
          <t>Portfolio Summary</t>
        </is>
      </c>
      <c r="D3" s="91" t="inlineStr">
        <is>
          <t>Trading Performance</t>
        </is>
      </c>
      <c r="I3" s="91" t="inlineStr">
        <is>
          <t>📈 Benchmark Returns (Since Invest Start)</t>
        </is>
      </c>
    </row>
    <row r="4">
      <c r="A4" s="92" t="inlineStr">
        <is>
          <t>Metric</t>
        </is>
      </c>
      <c r="B4" s="92" t="inlineStr">
        <is>
          <t>Value</t>
        </is>
      </c>
      <c r="D4" s="92" t="inlineStr">
        <is>
          <t>Metric</t>
        </is>
      </c>
      <c r="E4" s="92" t="inlineStr">
        <is>
          <t>Realized (Closed)</t>
        </is>
      </c>
      <c r="F4" s="92" t="inlineStr">
        <is>
          <t>Unrealized (Open)</t>
        </is>
      </c>
      <c r="I4" s="92" t="inlineStr">
        <is>
          <t>Index Tracker (ETF)</t>
        </is>
      </c>
      <c r="J4" s="92" t="inlineStr">
        <is>
          <t>Start Price (₹)</t>
        </is>
      </c>
      <c r="K4" s="92" t="inlineStr">
        <is>
          <t>LTP (₹)</t>
        </is>
      </c>
      <c r="L4" s="92" t="inlineStr">
        <is>
          <t>Return %</t>
        </is>
      </c>
    </row>
    <row r="5">
      <c r="A5" s="93" t="inlineStr">
        <is>
          <t>Total Invested Value</t>
        </is>
      </c>
      <c r="B5" s="94">
        <f>SUM(Current_Portfolio!$L$2:$L$1000)</f>
        <v/>
      </c>
      <c r="D5" s="93" t="inlineStr">
        <is>
          <t>Winning Trades</t>
        </is>
      </c>
      <c r="E5" s="95">
        <f>COUNTIF(Overall_Portfolio!$P$2:$P$1000, "&gt;0")</f>
        <v/>
      </c>
      <c r="F5" s="95">
        <f>COUNTIF(Current_Portfolio!$U$2:$U$1000, "&gt;0")</f>
        <v/>
      </c>
      <c r="I5" s="93" t="inlineStr">
        <is>
          <t>NIFTY_50</t>
        </is>
      </c>
      <c r="J5" s="94" t="n">
        <v>24625.05</v>
      </c>
      <c r="K5" s="94">
        <f>IFERROR(INDEX(Price_Update!$F:$F, MATCH(I5, Price_Update!$A:$A, 0)), 23483.55)</f>
        <v/>
      </c>
      <c r="L5" s="96">
        <f>(K5-J5)/J5</f>
        <v/>
      </c>
    </row>
    <row r="6">
      <c r="A6" s="93" t="inlineStr">
        <is>
          <t>Total Current Value</t>
        </is>
      </c>
      <c r="B6" s="94">
        <f>SUM(Current_Portfolio!$T$2:$T$1000)</f>
        <v/>
      </c>
      <c r="D6" s="93" t="inlineStr">
        <is>
          <t>Losing Trades</t>
        </is>
      </c>
      <c r="E6" s="95">
        <f>COUNTIF(Overall_Portfolio!$P$2:$P$1000, "&lt;0")</f>
        <v/>
      </c>
      <c r="F6" s="95">
        <f>COUNTIF(Current_Portfolio!$U$2:$U$1000, "&lt;0")</f>
        <v/>
      </c>
      <c r="I6" s="93" t="inlineStr">
        <is>
          <t>CNXMIDCAP</t>
        </is>
      </c>
      <c r="J6" s="94" t="n">
        <v>16033.55</v>
      </c>
      <c r="K6" s="94">
        <f>IFERROR(INDEX(Price_Update!$F:$F, MATCH(I6, Price_Update!$A:$A, 0)), 17287.3)</f>
        <v/>
      </c>
      <c r="L6" s="96">
        <f>(K6-J6)/J6</f>
        <v/>
      </c>
    </row>
    <row r="7">
      <c r="A7" s="93" t="inlineStr">
        <is>
          <t>Unrealized PnL</t>
        </is>
      </c>
      <c r="B7" s="94">
        <f>B6-B5</f>
        <v/>
      </c>
      <c r="D7" s="93" t="inlineStr">
        <is>
          <t>Win / Loss Ratio</t>
        </is>
      </c>
      <c r="E7" s="97">
        <f>IF(E6&gt;0, E5/E6, IF(E5&gt;0, "No Loss", 0))</f>
        <v/>
      </c>
      <c r="F7" s="97">
        <f>IF(F6&gt;0, F5/F6, IF(F5&gt;0, "No Loss", 0))</f>
        <v/>
      </c>
    </row>
    <row r="8">
      <c r="A8" s="93" t="inlineStr">
        <is>
          <t>Realized PnL</t>
        </is>
      </c>
      <c r="B8" s="94">
        <f>SUM(Overall_Portfolio!$P$2:$P$1000)</f>
        <v/>
      </c>
      <c r="D8" s="93" t="inlineStr">
        <is>
          <t>Avg Win (₹)</t>
        </is>
      </c>
      <c r="E8" s="94">
        <f>IF(E5&gt;0, SUMIF(Overall_Portfolio!$P$2:$P$1000, "&gt;0")/E5, 0)</f>
        <v/>
      </c>
      <c r="F8" s="94">
        <f>IF(F5&gt;0, SUMIF(Current_Portfolio!$U$2:$U$1000, "&gt;0")/F5, 0)</f>
        <v/>
      </c>
    </row>
    <row r="9">
      <c r="A9" s="93" t="inlineStr">
        <is>
          <t>Combined PnL</t>
        </is>
      </c>
      <c r="B9" s="94">
        <f>B7+B8</f>
        <v/>
      </c>
      <c r="D9" s="93" t="inlineStr">
        <is>
          <t>Avg Loss (₹)</t>
        </is>
      </c>
      <c r="E9" s="94">
        <f>IF(E6&gt;0, SUMIF(Overall_Portfolio!$P$2:$P$1000, "&lt;0")/E6, 0)</f>
        <v/>
      </c>
      <c r="F9" s="94">
        <f>IF(F6&gt;0, SUMIF(Current_Portfolio!$U$2:$U$1000, "&lt;0")/F6, 0)</f>
        <v/>
      </c>
      <c r="I9" s="91" t="inlineStr">
        <is>
          <t>Allocation by Market Cap</t>
        </is>
      </c>
    </row>
    <row r="10">
      <c r="A10" s="93" t="inlineStr">
        <is>
          <t>Combined PnL %</t>
        </is>
      </c>
      <c r="B10" s="96">
        <f>IF(B5&gt;0, B9/B5, 0)</f>
        <v/>
      </c>
      <c r="D10" s="93" t="inlineStr">
        <is>
          <t>Risk / Reward Ratio</t>
        </is>
      </c>
      <c r="E10" s="97">
        <f>IF(E9&lt;0, ABS(E8/E9), 0)</f>
        <v/>
      </c>
      <c r="F10" s="97">
        <f>IF(F9&lt;0, ABS(F8/F9), 0)</f>
        <v/>
      </c>
      <c r="I10" s="92" t="inlineStr">
        <is>
          <t>Market Cap</t>
        </is>
      </c>
      <c r="J10" s="92" t="inlineStr">
        <is>
          <t>Invested (₹)</t>
        </is>
      </c>
      <c r="K10" s="92" t="inlineStr">
        <is>
          <t>% of Total</t>
        </is>
      </c>
      <c r="L10" s="92" t="inlineStr">
        <is>
          <t>Returns</t>
        </is>
      </c>
    </row>
    <row r="11">
      <c r="A11" s="93" t="inlineStr">
        <is>
          <t>Core Allocation (%)</t>
        </is>
      </c>
      <c r="B11" s="96">
        <f>IF(B5&gt;0, SUMIF(Current_Portfolio!$D$2:$D$1000, "Core", Current_Portfolio!$L$2:$L$1000) / B5, 0)</f>
        <v/>
      </c>
      <c r="I11" s="93" t="inlineStr">
        <is>
          <t>Small Cap</t>
        </is>
      </c>
      <c r="J11" s="94">
        <f>SUMIF(Current_Portfolio!$B$2:$B$1000, "Small Cap", Current_Portfolio!$L$2:$L$1000)</f>
        <v/>
      </c>
      <c r="K11" s="96">
        <f>J11/$J$14</f>
        <v/>
      </c>
      <c r="L11" s="96">
        <f>(SUMIF(Current_Portfolio!$B$2:$B$1000, "Small Cap", Current_Portfolio!$T$2:$T$1000) - J11) / J11</f>
        <v/>
      </c>
    </row>
    <row r="12">
      <c r="A12" s="93" t="inlineStr">
        <is>
          <t>Satellite Allocation (%)</t>
        </is>
      </c>
      <c r="B12" s="96">
        <f>IF(B5&gt;0, SUMIF(Current_Portfolio!$D$2:$D$1000, "Satellite", Current_Portfolio!$L$2:$L$1000) / B5, 0)</f>
        <v/>
      </c>
      <c r="I12" s="93" t="inlineStr">
        <is>
          <t>Large Cap</t>
        </is>
      </c>
      <c r="J12" s="94">
        <f>SUMIF(Current_Portfolio!$B$2:$B$1000, "Large Cap", Current_Portfolio!$L$2:$L$1000)</f>
        <v/>
      </c>
      <c r="K12" s="96">
        <f>J12/$J$14</f>
        <v/>
      </c>
      <c r="L12" s="96">
        <f>(SUMIF(Current_Portfolio!$B$2:$B$1000, "Large Cap", Current_Portfolio!$T$2:$T$1000) - J12) / J12</f>
        <v/>
      </c>
    </row>
    <row r="13">
      <c r="A13" s="93" t="inlineStr">
        <is>
          <t>Active Holdings</t>
        </is>
      </c>
      <c r="B13" s="95">
        <f>COUNTA(Current_Portfolio!$A$2:$A$1000)</f>
        <v/>
      </c>
      <c r="I13" s="93" t="inlineStr">
        <is>
          <t>Mid Cap</t>
        </is>
      </c>
      <c r="J13" s="94">
        <f>SUMIF(Current_Portfolio!$B$2:$B$1000, "Mid Cap", Current_Portfolio!$L$2:$L$1000)</f>
        <v/>
      </c>
      <c r="K13" s="96">
        <f>J13/$J$14</f>
        <v/>
      </c>
      <c r="L13" s="96">
        <f>(SUMIF(Current_Portfolio!$B$2:$B$1000, "Mid Cap", Current_Portfolio!$T$2:$T$1000) - J13) / J13</f>
        <v/>
      </c>
    </row>
    <row r="14">
      <c r="A14" s="93" t="inlineStr">
        <is>
          <t>Total Stocks Traded</t>
        </is>
      </c>
      <c r="B14" s="95">
        <f>COUNTA(Overall_Portfolio!$A$2:$A$1000)</f>
        <v/>
      </c>
      <c r="I14" s="93" t="inlineStr">
        <is>
          <t>TOTAL</t>
        </is>
      </c>
      <c r="J14" s="98">
        <f>SUM(J11:J13)</f>
        <v/>
      </c>
      <c r="K14" s="99" t="n">
        <v>1</v>
      </c>
      <c r="L14" s="96">
        <f>(SUM(Current_Portfolio!$T$2:$T$1000) - J14) / J14</f>
        <v/>
      </c>
    </row>
    <row r="17">
      <c r="A17" s="91" t="inlineStr">
        <is>
          <t>Top 5 Gainers / Bottom 5 Losers (Satellite)</t>
        </is>
      </c>
      <c r="I17" s="91" t="inlineStr">
        <is>
          <t>Core &amp; Satellite Distribution</t>
        </is>
      </c>
    </row>
    <row r="18">
      <c r="A18" s="92" t="inlineStr">
        <is>
          <t>Symbol</t>
        </is>
      </c>
      <c r="B18" s="92" t="inlineStr">
        <is>
          <t>Classification</t>
        </is>
      </c>
      <c r="C18" s="92" t="inlineStr">
        <is>
          <t>Invested (₹)</t>
        </is>
      </c>
      <c r="D18" s="92" t="inlineStr">
        <is>
          <t>Current (₹)</t>
        </is>
      </c>
      <c r="E18" s="92" t="inlineStr">
        <is>
          <t>PnL (₹)</t>
        </is>
      </c>
      <c r="F18" s="92" t="inlineStr">
        <is>
          <t>PnL %</t>
        </is>
      </c>
      <c r="I18" s="92" t="inlineStr">
        <is>
          <t>Classification</t>
        </is>
      </c>
      <c r="J18" s="92" t="inlineStr">
        <is>
          <t>Invested (₹)</t>
        </is>
      </c>
      <c r="K18" s="92" t="inlineStr">
        <is>
          <t>% of Total</t>
        </is>
      </c>
    </row>
    <row r="19">
      <c r="A19" s="93" t="inlineStr">
        <is>
          <t>HINDALCO</t>
        </is>
      </c>
      <c r="B19" s="100" t="inlineStr">
        <is>
          <t>Satellite</t>
        </is>
      </c>
      <c r="C19" s="94">
        <f>VLOOKUP(A19, Current_Portfolio!$A$2:$Z$1000, 12, FALSE)</f>
        <v/>
      </c>
      <c r="D19" s="94">
        <f>VLOOKUP(A19, Current_Portfolio!$A$2:$Z$1000, 20, FALSE)</f>
        <v/>
      </c>
      <c r="E19" s="94">
        <f>D19-C19</f>
        <v/>
      </c>
      <c r="F19" s="96">
        <f>IF(C19&gt;0, E19/C19, 0)</f>
        <v/>
      </c>
      <c r="I19" s="93" t="inlineStr">
        <is>
          <t>Core</t>
        </is>
      </c>
      <c r="J19" s="94">
        <f>SUMIF(Current_Portfolio!$D$2:$D$1000, "Core", Current_Portfolio!$L$2:$L$1000)</f>
        <v/>
      </c>
      <c r="K19" s="96">
        <f>J19/$J$21</f>
        <v/>
      </c>
    </row>
    <row r="20">
      <c r="A20" s="101" t="inlineStr">
        <is>
          <t>CUPID</t>
        </is>
      </c>
      <c r="B20" s="100" t="inlineStr">
        <is>
          <t>Satellite</t>
        </is>
      </c>
      <c r="C20" s="94">
        <f>VLOOKUP(A20, Current_Portfolio!$A$2:$Z$1000, 12, FALSE)</f>
        <v/>
      </c>
      <c r="D20" s="94">
        <f>VLOOKUP(A20, Current_Portfolio!$A$2:$Z$1000, 20, FALSE)</f>
        <v/>
      </c>
      <c r="E20" s="94">
        <f>D20-C20</f>
        <v/>
      </c>
      <c r="F20" s="96">
        <f>IF(C20&gt;0, E20/C20, 0)</f>
        <v/>
      </c>
      <c r="I20" s="93" t="inlineStr">
        <is>
          <t>Satellite</t>
        </is>
      </c>
      <c r="J20" s="94">
        <f>SUMIF(Current_Portfolio!$D$2:$D$1000, "Satellite", Current_Portfolio!$L$2:$L$1000)</f>
        <v/>
      </c>
      <c r="K20" s="96">
        <f>J20/$J$21</f>
        <v/>
      </c>
    </row>
    <row r="21">
      <c r="A21" s="101" t="inlineStr">
        <is>
          <t>APOLLO</t>
        </is>
      </c>
      <c r="B21" s="100" t="inlineStr">
        <is>
          <t>Satellite</t>
        </is>
      </c>
      <c r="C21" s="94">
        <f>VLOOKUP(A21, Current_Portfolio!$A$2:$Z$1000, 12, FALSE)</f>
        <v/>
      </c>
      <c r="D21" s="94">
        <f>VLOOKUP(A21, Current_Portfolio!$A$2:$Z$1000, 20, FALSE)</f>
        <v/>
      </c>
      <c r="E21" s="94">
        <f>D21-C21</f>
        <v/>
      </c>
      <c r="F21" s="96">
        <f>IF(C21&gt;0, E21/C21, 0)</f>
        <v/>
      </c>
      <c r="I21" s="93" t="inlineStr">
        <is>
          <t>TOTAL</t>
        </is>
      </c>
      <c r="J21" s="98">
        <f>SUM(J19:J20)</f>
        <v/>
      </c>
      <c r="K21" s="99" t="n">
        <v>1</v>
      </c>
    </row>
    <row r="22">
      <c r="A22" s="102" t="inlineStr">
        <is>
          <t>BALAMINES</t>
        </is>
      </c>
      <c r="B22" s="100" t="inlineStr">
        <is>
          <t>Satellite</t>
        </is>
      </c>
      <c r="C22" s="94">
        <f>VLOOKUP(A22, Current_Portfolio!$A$2:$Z$1000, 12, FALSE)</f>
        <v/>
      </c>
      <c r="D22" s="94">
        <f>VLOOKUP(A22, Current_Portfolio!$A$2:$Z$1000, 20, FALSE)</f>
        <v/>
      </c>
      <c r="E22" s="94">
        <f>D22-C22</f>
        <v/>
      </c>
      <c r="F22" s="96">
        <f>IF(C22&gt;0, E22/C22, 0)</f>
        <v/>
      </c>
    </row>
    <row r="23">
      <c r="A23" s="93" t="inlineStr">
        <is>
          <t>SEAMECLTD</t>
        </is>
      </c>
      <c r="B23" s="100" t="inlineStr">
        <is>
          <t>Satellite</t>
        </is>
      </c>
      <c r="C23" s="94">
        <f>VLOOKUP(A23, Current_Portfolio!$A$2:$Z$1000, 12, FALSE)</f>
        <v/>
      </c>
      <c r="D23" s="94">
        <f>VLOOKUP(A23, Current_Portfolio!$A$2:$Z$1000, 20, FALSE)</f>
        <v/>
      </c>
      <c r="E23" s="94">
        <f>D23-C23</f>
        <v/>
      </c>
      <c r="F23" s="96">
        <f>IF(C23&gt;0, E23/C23, 0)</f>
        <v/>
      </c>
    </row>
    <row r="24">
      <c r="A24" s="102" t="inlineStr">
        <is>
          <t>THERMAX</t>
        </is>
      </c>
      <c r="B24" s="100" t="inlineStr">
        <is>
          <t>Satellite</t>
        </is>
      </c>
      <c r="C24" s="94">
        <f>VLOOKUP(A24, Current_Portfolio!$A$2:$Z$1000, 12, FALSE)</f>
        <v/>
      </c>
      <c r="D24" s="94">
        <f>VLOOKUP(A24, Current_Portfolio!$A$2:$Z$1000, 20, FALSE)</f>
        <v/>
      </c>
      <c r="E24" s="94">
        <f>D24-C24</f>
        <v/>
      </c>
      <c r="F24" s="96">
        <f>IF(C24&gt;0, E24/C24, 0)</f>
        <v/>
      </c>
      <c r="I24" s="91" t="inlineStr">
        <is>
          <t>Allocation by Sector</t>
        </is>
      </c>
    </row>
    <row r="25">
      <c r="A25" s="93" t="inlineStr">
        <is>
          <t>AUROPHARMA</t>
        </is>
      </c>
      <c r="B25" s="100" t="inlineStr">
        <is>
          <t>Satellite</t>
        </is>
      </c>
      <c r="C25" s="94">
        <f>VLOOKUP(A25, Current_Portfolio!$A$2:$Z$1000, 12, FALSE)</f>
        <v/>
      </c>
      <c r="D25" s="94">
        <f>VLOOKUP(A25, Current_Portfolio!$A$2:$Z$1000, 20, FALSE)</f>
        <v/>
      </c>
      <c r="E25" s="94">
        <f>D25-C25</f>
        <v/>
      </c>
      <c r="F25" s="96">
        <f>IF(C25&gt;0, E25/C25, 0)</f>
        <v/>
      </c>
      <c r="I25" s="92" t="inlineStr">
        <is>
          <t>Sector</t>
        </is>
      </c>
      <c r="J25" s="92" t="inlineStr">
        <is>
          <t>Invested (₹)</t>
        </is>
      </c>
      <c r="K25" s="92" t="inlineStr">
        <is>
          <t>% of Total</t>
        </is>
      </c>
    </row>
    <row r="26">
      <c r="A26" s="103" t="inlineStr">
        <is>
          <t>NRBBEARING</t>
        </is>
      </c>
      <c r="B26" s="100" t="inlineStr">
        <is>
          <t>Satellite</t>
        </is>
      </c>
      <c r="C26" s="94">
        <f>VLOOKUP(A26, Current_Portfolio!$A$2:$Z$1000, 12, FALSE)</f>
        <v/>
      </c>
      <c r="D26" s="94">
        <f>VLOOKUP(A26, Current_Portfolio!$A$2:$Z$1000, 20, FALSE)</f>
        <v/>
      </c>
      <c r="E26" s="94">
        <f>D26-C26</f>
        <v/>
      </c>
      <c r="F26" s="96">
        <f>IF(C26&gt;0, E26/C26, 0)</f>
        <v/>
      </c>
      <c r="I26" s="93" t="inlineStr">
        <is>
          <t>Industrial</t>
        </is>
      </c>
      <c r="J26" s="94">
        <f>SUMIF(Current_Portfolio!$C$2:$C$1000, "Industrial", Current_Portfolio!$L$2:$L$1000)</f>
        <v/>
      </c>
      <c r="K26" s="96">
        <f>J26/$J$33</f>
        <v/>
      </c>
    </row>
    <row r="27">
      <c r="A27" s="93" t="inlineStr">
        <is>
          <t>AJANTPHARM</t>
        </is>
      </c>
      <c r="B27" s="100" t="inlineStr">
        <is>
          <t>Satellite</t>
        </is>
      </c>
      <c r="C27" s="94">
        <f>VLOOKUP(A27, Current_Portfolio!$A$2:$Z$1000, 12, FALSE)</f>
        <v/>
      </c>
      <c r="D27" s="94">
        <f>VLOOKUP(A27, Current_Portfolio!$A$2:$Z$1000, 20, FALSE)</f>
        <v/>
      </c>
      <c r="E27" s="94">
        <f>D27-C27</f>
        <v/>
      </c>
      <c r="F27" s="96">
        <f>IF(C27&gt;0, E27/C27, 0)</f>
        <v/>
      </c>
      <c r="I27" s="93" t="inlineStr">
        <is>
          <t>Health / Pharma / Chem</t>
        </is>
      </c>
      <c r="J27" s="94">
        <f>SUMIF(Current_Portfolio!$C$2:$C$1000, "Health / Pharma / Chem", Current_Portfolio!$L$2:$L$1000)</f>
        <v/>
      </c>
      <c r="K27" s="96">
        <f>J27/$J$33</f>
        <v/>
      </c>
    </row>
    <row r="28">
      <c r="A28" s="93" t="inlineStr">
        <is>
          <t>SUNPHARMA</t>
        </is>
      </c>
      <c r="B28" s="100" t="inlineStr">
        <is>
          <t>Satellite</t>
        </is>
      </c>
      <c r="C28" s="94">
        <f>VLOOKUP(A28, Current_Portfolio!$A$2:$Z$1000, 12, FALSE)</f>
        <v/>
      </c>
      <c r="D28" s="94">
        <f>VLOOKUP(A28, Current_Portfolio!$A$2:$Z$1000, 20, FALSE)</f>
        <v/>
      </c>
      <c r="E28" s="94">
        <f>D28-C28</f>
        <v/>
      </c>
      <c r="F28" s="96">
        <f>IF(C28&gt;0, E28/C28, 0)</f>
        <v/>
      </c>
      <c r="I28" s="93" t="inlineStr">
        <is>
          <t xml:space="preserve">Consumption </t>
        </is>
      </c>
      <c r="J28" s="94">
        <f>SUMIF(Current_Portfolio!$C$2:$C$1000, "Consumption ", Current_Portfolio!$L$2:$L$1000)</f>
        <v/>
      </c>
      <c r="K28" s="96">
        <f>J28/$J$33</f>
        <v/>
      </c>
    </row>
    <row r="29">
      <c r="I29" s="93" t="inlineStr">
        <is>
          <t>Consumption</t>
        </is>
      </c>
      <c r="J29" s="94">
        <f>SUMIF(Current_Portfolio!$C$2:$C$1000, "Consumption", Current_Portfolio!$L$2:$L$1000)</f>
        <v/>
      </c>
      <c r="K29" s="96">
        <f>J29/$J$33</f>
        <v/>
      </c>
    </row>
    <row r="30">
      <c r="I30" s="93" t="inlineStr">
        <is>
          <t>Finance</t>
        </is>
      </c>
      <c r="J30" s="94">
        <f>SUMIF(Current_Portfolio!$C$2:$C$1000, "Finance", Current_Portfolio!$L$2:$L$1000)</f>
        <v/>
      </c>
      <c r="K30" s="96">
        <f>J30/$J$33</f>
        <v/>
      </c>
    </row>
    <row r="31">
      <c r="A31" s="91" t="inlineStr">
        <is>
          <t>Top 5 Gainers / Bottom 5 Losers (Core)</t>
        </is>
      </c>
      <c r="I31" s="93" t="inlineStr">
        <is>
          <t>Tech / Platform / IT</t>
        </is>
      </c>
      <c r="J31" s="94">
        <f>SUMIF(Current_Portfolio!$C$2:$C$1000, "Tech / Platform / IT", Current_Portfolio!$L$2:$L$1000)</f>
        <v/>
      </c>
      <c r="K31" s="96">
        <f>J31/$J$33</f>
        <v/>
      </c>
    </row>
    <row r="32">
      <c r="A32" s="92" t="inlineStr">
        <is>
          <t>Symbol</t>
        </is>
      </c>
      <c r="B32" s="92" t="inlineStr">
        <is>
          <t>Classification</t>
        </is>
      </c>
      <c r="C32" s="92" t="inlineStr">
        <is>
          <t>Invested (₹)</t>
        </is>
      </c>
      <c r="D32" s="92" t="inlineStr">
        <is>
          <t>Current (₹)</t>
        </is>
      </c>
      <c r="E32" s="92" t="inlineStr">
        <is>
          <t>PnL (₹)</t>
        </is>
      </c>
      <c r="F32" s="92" t="inlineStr">
        <is>
          <t>PnL %</t>
        </is>
      </c>
      <c r="I32" s="93" t="inlineStr">
        <is>
          <t>Technology</t>
        </is>
      </c>
      <c r="J32" s="94">
        <f>SUMIF(Current_Portfolio!$C$2:$C$1000, "Technology", Current_Portfolio!$L$2:$L$1000)</f>
        <v/>
      </c>
      <c r="K32" s="96">
        <f>J32/$J$33</f>
        <v/>
      </c>
    </row>
    <row r="33">
      <c r="A33" s="104" t="inlineStr">
        <is>
          <t>TDPOWERSYS</t>
        </is>
      </c>
      <c r="B33" s="100" t="inlineStr">
        <is>
          <t>Core</t>
        </is>
      </c>
      <c r="C33" s="94">
        <f>VLOOKUP(A33, Current_Portfolio!$A$2:$Z$1000, 12, FALSE)</f>
        <v/>
      </c>
      <c r="D33" s="94">
        <f>VLOOKUP(A33, Current_Portfolio!$A$2:$Z$1000, 20, FALSE)</f>
        <v/>
      </c>
      <c r="E33" s="94">
        <f>D33-C33</f>
        <v/>
      </c>
      <c r="F33" s="96">
        <f>IF(C33&gt;0, E33/C33, 0)</f>
        <v/>
      </c>
      <c r="I33" s="93" t="inlineStr">
        <is>
          <t>TOTAL</t>
        </is>
      </c>
      <c r="J33" s="98">
        <f>SUM(J26:J32)</f>
        <v/>
      </c>
      <c r="K33" s="99" t="n">
        <v>1</v>
      </c>
    </row>
    <row r="34">
      <c r="A34" s="104" t="inlineStr">
        <is>
          <t>POLYCAB</t>
        </is>
      </c>
      <c r="B34" s="100" t="inlineStr">
        <is>
          <t>Core</t>
        </is>
      </c>
      <c r="C34" s="94">
        <f>VLOOKUP(A34, Current_Portfolio!$A$2:$Z$1000, 12, FALSE)</f>
        <v/>
      </c>
      <c r="D34" s="94">
        <f>VLOOKUP(A34, Current_Portfolio!$A$2:$Z$1000, 20, FALSE)</f>
        <v/>
      </c>
      <c r="E34" s="94">
        <f>D34-C34</f>
        <v/>
      </c>
      <c r="F34" s="96">
        <f>IF(C34&gt;0, E34/C34, 0)</f>
        <v/>
      </c>
    </row>
    <row r="35">
      <c r="A35" s="105" t="inlineStr">
        <is>
          <t>FEDERALBNK</t>
        </is>
      </c>
      <c r="B35" s="100" t="inlineStr">
        <is>
          <t>Core</t>
        </is>
      </c>
      <c r="C35" s="94">
        <f>VLOOKUP(A35, Current_Portfolio!$A$2:$Z$1000, 12, FALSE)</f>
        <v/>
      </c>
      <c r="D35" s="94">
        <f>VLOOKUP(A35, Current_Portfolio!$A$2:$Z$1000, 20, FALSE)</f>
        <v/>
      </c>
      <c r="E35" s="94">
        <f>D35-C35</f>
        <v/>
      </c>
      <c r="F35" s="96">
        <f>IF(C35&gt;0, E35/C35, 0)</f>
        <v/>
      </c>
    </row>
    <row r="36">
      <c r="A36" s="104" t="inlineStr">
        <is>
          <t>GVT&amp;D</t>
        </is>
      </c>
      <c r="B36" s="100" t="inlineStr">
        <is>
          <t>Core</t>
        </is>
      </c>
      <c r="C36" s="94">
        <f>VLOOKUP(A36, Current_Portfolio!$A$2:$Z$1000, 12, FALSE)</f>
        <v/>
      </c>
      <c r="D36" s="94">
        <f>VLOOKUP(A36, Current_Portfolio!$A$2:$Z$1000, 20, FALSE)</f>
        <v/>
      </c>
      <c r="E36" s="94">
        <f>D36-C36</f>
        <v/>
      </c>
      <c r="F36" s="96">
        <f>IF(C36&gt;0, E36/C36, 0)</f>
        <v/>
      </c>
      <c r="I36" s="91" t="inlineStr">
        <is>
          <t>Sector Allocation (Core vs Satellite)</t>
        </is>
      </c>
    </row>
    <row r="37">
      <c r="A37" s="106" t="inlineStr">
        <is>
          <t>BSE</t>
        </is>
      </c>
      <c r="B37" s="100" t="inlineStr">
        <is>
          <t>Core</t>
        </is>
      </c>
      <c r="C37" s="94">
        <f>VLOOKUP(A37, Current_Portfolio!$A$2:$Z$1000, 12, FALSE)</f>
        <v/>
      </c>
      <c r="D37" s="94">
        <f>VLOOKUP(A37, Current_Portfolio!$A$2:$Z$1000, 20, FALSE)</f>
        <v/>
      </c>
      <c r="E37" s="94">
        <f>D37-C37</f>
        <v/>
      </c>
      <c r="F37" s="96">
        <f>IF(C37&gt;0, E37/C37, 0)</f>
        <v/>
      </c>
      <c r="I37" s="92" t="inlineStr">
        <is>
          <t>Sector</t>
        </is>
      </c>
      <c r="J37" s="92" t="inlineStr">
        <is>
          <t>Core (₹)</t>
        </is>
      </c>
      <c r="K37" s="92" t="inlineStr">
        <is>
          <t>Satellite (₹)</t>
        </is>
      </c>
      <c r="L37" s="92" t="inlineStr">
        <is>
          <t>Total (₹)</t>
        </is>
      </c>
    </row>
    <row r="38">
      <c r="A38" s="105" t="inlineStr">
        <is>
          <t>M&amp;M</t>
        </is>
      </c>
      <c r="B38" s="100" t="inlineStr">
        <is>
          <t>Core</t>
        </is>
      </c>
      <c r="C38" s="94">
        <f>VLOOKUP(A38, Current_Portfolio!$A$2:$Z$1000, 12, FALSE)</f>
        <v/>
      </c>
      <c r="D38" s="94">
        <f>VLOOKUP(A38, Current_Portfolio!$A$2:$Z$1000, 20, FALSE)</f>
        <v/>
      </c>
      <c r="E38" s="94">
        <f>D38-C38</f>
        <v/>
      </c>
      <c r="F38" s="96">
        <f>IF(C38&gt;0, E38/C38, 0)</f>
        <v/>
      </c>
      <c r="I38" s="93" t="inlineStr">
        <is>
          <t>Industrial</t>
        </is>
      </c>
      <c r="J38" s="94">
        <f>SUMIFS(Current_Portfolio!$L$2:$L$1000, Current_Portfolio!$C$2:$C$1000, "Industrial", Current_Portfolio!$D$2:$D$1000, "*Core*")</f>
        <v/>
      </c>
      <c r="K38" s="94">
        <f>SUMIFS(Current_Portfolio!$L$2:$L$1000, Current_Portfolio!$C$2:$C$1000, "Industrial", Current_Portfolio!$D$2:$D$1000, "*Satellite*")</f>
        <v/>
      </c>
      <c r="L38" s="94">
        <f>J38+K38</f>
        <v/>
      </c>
    </row>
    <row r="39">
      <c r="A39" s="104" t="inlineStr">
        <is>
          <t>HBLENGINE</t>
        </is>
      </c>
      <c r="B39" s="100" t="inlineStr">
        <is>
          <t>Core</t>
        </is>
      </c>
      <c r="C39" s="94">
        <f>VLOOKUP(A39, Current_Portfolio!$A$2:$Z$1000, 12, FALSE)</f>
        <v/>
      </c>
      <c r="D39" s="94">
        <f>VLOOKUP(A39, Current_Portfolio!$A$2:$Z$1000, 20, FALSE)</f>
        <v/>
      </c>
      <c r="E39" s="94">
        <f>D39-C39</f>
        <v/>
      </c>
      <c r="F39" s="96">
        <f>IF(C39&gt;0, E39/C39, 0)</f>
        <v/>
      </c>
      <c r="I39" s="93" t="inlineStr">
        <is>
          <t>Health / Pharma / Chem</t>
        </is>
      </c>
      <c r="J39" s="94">
        <f>SUMIFS(Current_Portfolio!$L$2:$L$1000, Current_Portfolio!$C$2:$C$1000, "Health / Pharma / Chem", Current_Portfolio!$D$2:$D$1000, "*Core*")</f>
        <v/>
      </c>
      <c r="K39" s="94">
        <f>SUMIFS(Current_Portfolio!$L$2:$L$1000, Current_Portfolio!$C$2:$C$1000, "Health / Pharma / Chem", Current_Portfolio!$D$2:$D$1000, "*Satellite*")</f>
        <v/>
      </c>
      <c r="L39" s="94">
        <f>J39+K39</f>
        <v/>
      </c>
    </row>
    <row r="40">
      <c r="A40" s="104" t="inlineStr">
        <is>
          <t>TRITURBINE</t>
        </is>
      </c>
      <c r="B40" s="100" t="inlineStr">
        <is>
          <t>Core</t>
        </is>
      </c>
      <c r="C40" s="94">
        <f>VLOOKUP(A40, Current_Portfolio!$A$2:$Z$1000, 12, FALSE)</f>
        <v/>
      </c>
      <c r="D40" s="94">
        <f>VLOOKUP(A40, Current_Portfolio!$A$2:$Z$1000, 20, FALSE)</f>
        <v/>
      </c>
      <c r="E40" s="94">
        <f>D40-C40</f>
        <v/>
      </c>
      <c r="F40" s="96">
        <f>IF(C40&gt;0, E40/C40, 0)</f>
        <v/>
      </c>
      <c r="I40" s="93" t="inlineStr">
        <is>
          <t xml:space="preserve">Consumption </t>
        </is>
      </c>
      <c r="J40" s="94">
        <f>SUMIFS(Current_Portfolio!$L$2:$L$1000, Current_Portfolio!$C$2:$C$1000, "Consumption ", Current_Portfolio!$D$2:$D$1000, "*Core*")</f>
        <v/>
      </c>
      <c r="K40" s="94">
        <f>SUMIFS(Current_Portfolio!$L$2:$L$1000, Current_Portfolio!$C$2:$C$1000, "Consumption ", Current_Portfolio!$D$2:$D$1000, "*Satellite*")</f>
        <v/>
      </c>
      <c r="L40" s="94">
        <f>J40+K40</f>
        <v/>
      </c>
    </row>
    <row r="41">
      <c r="A41" s="105" t="inlineStr">
        <is>
          <t>APLAPOLLO</t>
        </is>
      </c>
      <c r="B41" s="100" t="inlineStr">
        <is>
          <t>Core</t>
        </is>
      </c>
      <c r="C41" s="94">
        <f>VLOOKUP(A41, Current_Portfolio!$A$2:$Z$1000, 12, FALSE)</f>
        <v/>
      </c>
      <c r="D41" s="94">
        <f>VLOOKUP(A41, Current_Portfolio!$A$2:$Z$1000, 20, FALSE)</f>
        <v/>
      </c>
      <c r="E41" s="94">
        <f>D41-C41</f>
        <v/>
      </c>
      <c r="F41" s="96">
        <f>IF(C41&gt;0, E41/C41, 0)</f>
        <v/>
      </c>
      <c r="I41" s="93" t="inlineStr">
        <is>
          <t>Consumption</t>
        </is>
      </c>
      <c r="J41" s="94">
        <f>SUMIFS(Current_Portfolio!$L$2:$L$1000, Current_Portfolio!$C$2:$C$1000, "Consumption", Current_Portfolio!$D$2:$D$1000, "*Core*")</f>
        <v/>
      </c>
      <c r="K41" s="94">
        <f>SUMIFS(Current_Portfolio!$L$2:$L$1000, Current_Portfolio!$C$2:$C$1000, "Consumption", Current_Portfolio!$D$2:$D$1000, "*Satellite*")</f>
        <v/>
      </c>
      <c r="L41" s="94">
        <f>J41+K41</f>
        <v/>
      </c>
    </row>
    <row r="42">
      <c r="I42" s="93" t="inlineStr">
        <is>
          <t>Finance</t>
        </is>
      </c>
      <c r="J42" s="94">
        <f>SUMIFS(Current_Portfolio!$L$2:$L$1000, Current_Portfolio!$C$2:$C$1000, "Finance", Current_Portfolio!$D$2:$D$1000, "*Core*")</f>
        <v/>
      </c>
      <c r="K42" s="94">
        <f>SUMIFS(Current_Portfolio!$L$2:$L$1000, Current_Portfolio!$C$2:$C$1000, "Finance", Current_Portfolio!$D$2:$D$1000, "*Satellite*")</f>
        <v/>
      </c>
      <c r="L42" s="94">
        <f>J42+K42</f>
        <v/>
      </c>
    </row>
    <row r="43">
      <c r="I43" s="93" t="inlineStr">
        <is>
          <t>Tech / Platform / IT</t>
        </is>
      </c>
      <c r="J43" s="94">
        <f>SUMIFS(Current_Portfolio!$L$2:$L$1000, Current_Portfolio!$C$2:$C$1000, "Tech / Platform / IT", Current_Portfolio!$D$2:$D$1000, "*Core*")</f>
        <v/>
      </c>
      <c r="K43" s="94">
        <f>SUMIFS(Current_Portfolio!$L$2:$L$1000, Current_Portfolio!$C$2:$C$1000, "Tech / Platform / IT", Current_Portfolio!$D$2:$D$1000, "*Satellite*")</f>
        <v/>
      </c>
      <c r="L43" s="94">
        <f>J43+K43</f>
        <v/>
      </c>
    </row>
    <row r="44">
      <c r="A44" s="91" t="inlineStr">
        <is>
          <t>⚠️ Stocks Nearest to Stop Loss</t>
        </is>
      </c>
      <c r="I44" s="93" t="inlineStr">
        <is>
          <t>Technology</t>
        </is>
      </c>
      <c r="J44" s="94">
        <f>SUMIFS(Current_Portfolio!$L$2:$L$1000, Current_Portfolio!$C$2:$C$1000, "Technology", Current_Portfolio!$D$2:$D$1000, "*Core*")</f>
        <v/>
      </c>
      <c r="K44" s="94">
        <f>SUMIFS(Current_Portfolio!$L$2:$L$1000, Current_Portfolio!$C$2:$C$1000, "Technology", Current_Portfolio!$D$2:$D$1000, "*Satellite*")</f>
        <v/>
      </c>
      <c r="L44" s="94">
        <f>J44+K44</f>
        <v/>
      </c>
    </row>
    <row r="45">
      <c r="A45" s="92" t="inlineStr">
        <is>
          <t>Symbol</t>
        </is>
      </c>
      <c r="B45" s="92" t="inlineStr">
        <is>
          <t>Classification</t>
        </is>
      </c>
      <c r="C45" s="92" t="inlineStr">
        <is>
          <t>LTP</t>
        </is>
      </c>
      <c r="D45" s="92" t="inlineStr">
        <is>
          <t>SL</t>
        </is>
      </c>
      <c r="E45" s="92" t="inlineStr">
        <is>
          <t>Diff (₹)</t>
        </is>
      </c>
      <c r="F45" s="92" t="inlineStr">
        <is>
          <t>Diff (%)</t>
        </is>
      </c>
      <c r="G45" s="92" t="inlineStr">
        <is>
          <t>Tranche</t>
        </is>
      </c>
      <c r="I45" s="93" t="inlineStr">
        <is>
          <t>TOTAL</t>
        </is>
      </c>
      <c r="J45" s="98">
        <f>SUM(J38:J44)</f>
        <v/>
      </c>
      <c r="K45" s="98">
        <f>SUM(K38:K44)</f>
        <v/>
      </c>
      <c r="L45" s="98">
        <f>SUM(L38:L44)</f>
        <v/>
      </c>
    </row>
    <row r="46">
      <c r="A46" s="101" t="inlineStr">
        <is>
          <t>CGPOWER</t>
        </is>
      </c>
      <c r="B46" s="100" t="inlineStr">
        <is>
          <t>Satellite</t>
        </is>
      </c>
      <c r="C46" s="94">
        <f>VLOOKUP(A46, Current_Portfolio!$A$2:$Z$1000, 13, FALSE)</f>
        <v/>
      </c>
      <c r="D46" s="94">
        <f>VLOOKUP(A46, Current_Portfolio!$A$2:$Z$1000, 9, FALSE)</f>
        <v/>
      </c>
      <c r="E46" s="94">
        <f>C46-D46</f>
        <v/>
      </c>
      <c r="F46" s="96">
        <f>IF(C46&gt;0, E46/C46, 0)</f>
        <v/>
      </c>
      <c r="G46" s="100">
        <f>VLOOKUP(A46, Current_Portfolio!$A$2:$Z$1000, 5, FALSE)</f>
        <v/>
      </c>
    </row>
    <row r="47">
      <c r="A47" s="93" t="inlineStr">
        <is>
          <t>AJANTPHARM</t>
        </is>
      </c>
      <c r="B47" s="100" t="inlineStr">
        <is>
          <t>Satellite</t>
        </is>
      </c>
      <c r="C47" s="94">
        <f>VLOOKUP(A47, Current_Portfolio!$A$2:$Z$1000, 13, FALSE)</f>
        <v/>
      </c>
      <c r="D47" s="94">
        <f>VLOOKUP(A47, Current_Portfolio!$A$2:$Z$1000, 9, FALSE)</f>
        <v/>
      </c>
      <c r="E47" s="94">
        <f>C47-D47</f>
        <v/>
      </c>
      <c r="F47" s="96">
        <f>IF(C47&gt;0, E47/C47, 0)</f>
        <v/>
      </c>
      <c r="G47" s="100">
        <f>VLOOKUP(A47, Current_Portfolio!$A$2:$Z$1000, 5, FALSE)</f>
        <v/>
      </c>
    </row>
    <row r="48">
      <c r="A48" s="107" t="inlineStr">
        <is>
          <t>SFL</t>
        </is>
      </c>
      <c r="B48" s="100" t="inlineStr">
        <is>
          <t>Satellite</t>
        </is>
      </c>
      <c r="C48" s="94">
        <f>VLOOKUP(A48, Current_Portfolio!$A$2:$Z$1000, 13, FALSE)</f>
        <v/>
      </c>
      <c r="D48" s="94">
        <f>VLOOKUP(A48, Current_Portfolio!$A$2:$Z$1000, 9, FALSE)</f>
        <v/>
      </c>
      <c r="E48" s="94">
        <f>C48-D48</f>
        <v/>
      </c>
      <c r="F48" s="96">
        <f>IF(C48&gt;0, E48/C48, 0)</f>
        <v/>
      </c>
      <c r="G48" s="100">
        <f>VLOOKUP(A48, Current_Portfolio!$A$2:$Z$1000, 5, FALSE)</f>
        <v/>
      </c>
      <c r="I48" s="91" t="inlineStr">
        <is>
          <t>PnL Breakdown by Cap</t>
        </is>
      </c>
    </row>
    <row r="49">
      <c r="A49" s="93" t="inlineStr">
        <is>
          <t>SUNPHARMA</t>
        </is>
      </c>
      <c r="B49" s="100" t="inlineStr">
        <is>
          <t>Satellite</t>
        </is>
      </c>
      <c r="C49" s="94">
        <f>VLOOKUP(A49, Current_Portfolio!$A$2:$Z$1000, 13, FALSE)</f>
        <v/>
      </c>
      <c r="D49" s="94">
        <f>VLOOKUP(A49, Current_Portfolio!$A$2:$Z$1000, 9, FALSE)</f>
        <v/>
      </c>
      <c r="E49" s="94">
        <f>C49-D49</f>
        <v/>
      </c>
      <c r="F49" s="96">
        <f>IF(C49&gt;0, E49/C49, 0)</f>
        <v/>
      </c>
      <c r="G49" s="100">
        <f>VLOOKUP(A49, Current_Portfolio!$A$2:$Z$1000, 5, FALSE)</f>
        <v/>
      </c>
      <c r="I49" s="92" t="inlineStr">
        <is>
          <t>Cap</t>
        </is>
      </c>
      <c r="J49" s="92" t="inlineStr">
        <is>
          <t>Realized PnL</t>
        </is>
      </c>
      <c r="K49" s="92" t="inlineStr">
        <is>
          <t>Unrealized PnL</t>
        </is>
      </c>
      <c r="L49" s="92" t="inlineStr">
        <is>
          <t>Total PnL</t>
        </is>
      </c>
    </row>
    <row r="50">
      <c r="A50" s="103" t="inlineStr">
        <is>
          <t>NRBBEARING</t>
        </is>
      </c>
      <c r="B50" s="100" t="inlineStr">
        <is>
          <t>Satellite</t>
        </is>
      </c>
      <c r="C50" s="94">
        <f>VLOOKUP(A50, Current_Portfolio!$A$2:$Z$1000, 13, FALSE)</f>
        <v/>
      </c>
      <c r="D50" s="94">
        <f>VLOOKUP(A50, Current_Portfolio!$A$2:$Z$1000, 9, FALSE)</f>
        <v/>
      </c>
      <c r="E50" s="94">
        <f>C50-D50</f>
        <v/>
      </c>
      <c r="F50" s="96">
        <f>IF(C50&gt;0, E50/C50, 0)</f>
        <v/>
      </c>
      <c r="G50" s="100">
        <f>VLOOKUP(A50, Current_Portfolio!$A$2:$Z$1000, 5, FALSE)</f>
        <v/>
      </c>
      <c r="I50" s="93" t="inlineStr"/>
      <c r="J50" s="94">
        <f>SUMIF(Overall_Portfolio!$B$2:$B$1000, "", Overall_Portfolio!$P$2:$P$1000)</f>
        <v/>
      </c>
      <c r="K50" s="94">
        <f>SUMIF(Current_Portfolio!$B$2:$B$1000, "", Current_Portfolio!$U$2:$U$1000)</f>
        <v/>
      </c>
      <c r="L50" s="94">
        <f>J50+K50</f>
        <v/>
      </c>
    </row>
    <row r="51">
      <c r="A51" s="93" t="inlineStr">
        <is>
          <t>AUROPHARMA</t>
        </is>
      </c>
      <c r="B51" s="100" t="inlineStr">
        <is>
          <t>Satellite</t>
        </is>
      </c>
      <c r="C51" s="94">
        <f>VLOOKUP(A51, Current_Portfolio!$A$2:$Z$1000, 13, FALSE)</f>
        <v/>
      </c>
      <c r="D51" s="94">
        <f>VLOOKUP(A51, Current_Portfolio!$A$2:$Z$1000, 9, FALSE)</f>
        <v/>
      </c>
      <c r="E51" s="94">
        <f>C51-D51</f>
        <v/>
      </c>
      <c r="F51" s="96">
        <f>IF(C51&gt;0, E51/C51, 0)</f>
        <v/>
      </c>
      <c r="G51" s="100">
        <f>VLOOKUP(A51, Current_Portfolio!$A$2:$Z$1000, 5, FALSE)</f>
        <v/>
      </c>
      <c r="I51" s="93" t="inlineStr">
        <is>
          <t>Large Cap</t>
        </is>
      </c>
      <c r="J51" s="94">
        <f>SUMIF(Overall_Portfolio!$B$2:$B$1000, "Large Cap", Overall_Portfolio!$P$2:$P$1000)</f>
        <v/>
      </c>
      <c r="K51" s="94">
        <f>SUMIF(Current_Portfolio!$B$2:$B$1000, "Large Cap", Current_Portfolio!$U$2:$U$1000)</f>
        <v/>
      </c>
      <c r="L51" s="94">
        <f>J51+K51</f>
        <v/>
      </c>
    </row>
    <row r="52">
      <c r="A52" s="102" t="inlineStr">
        <is>
          <t>THERMAX</t>
        </is>
      </c>
      <c r="B52" s="100" t="inlineStr">
        <is>
          <t>Satellite</t>
        </is>
      </c>
      <c r="C52" s="94">
        <f>VLOOKUP(A52, Current_Portfolio!$A$2:$Z$1000, 13, FALSE)</f>
        <v/>
      </c>
      <c r="D52" s="94">
        <f>VLOOKUP(A52, Current_Portfolio!$A$2:$Z$1000, 9, FALSE)</f>
        <v/>
      </c>
      <c r="E52" s="94">
        <f>C52-D52</f>
        <v/>
      </c>
      <c r="F52" s="96">
        <f>IF(C52&gt;0, E52/C52, 0)</f>
        <v/>
      </c>
      <c r="G52" s="100">
        <f>VLOOKUP(A52, Current_Portfolio!$A$2:$Z$1000, 5, FALSE)</f>
        <v/>
      </c>
      <c r="I52" s="93" t="inlineStr">
        <is>
          <t>Mid Cap</t>
        </is>
      </c>
      <c r="J52" s="94">
        <f>SUMIF(Overall_Portfolio!$B$2:$B$1000, "Mid Cap", Overall_Portfolio!$P$2:$P$1000)</f>
        <v/>
      </c>
      <c r="K52" s="94">
        <f>SUMIF(Current_Portfolio!$B$2:$B$1000, "Mid Cap", Current_Portfolio!$U$2:$U$1000)</f>
        <v/>
      </c>
      <c r="L52" s="94">
        <f>J52+K52</f>
        <v/>
      </c>
    </row>
    <row r="53">
      <c r="A53" s="101" t="inlineStr">
        <is>
          <t>APOLLO</t>
        </is>
      </c>
      <c r="B53" s="100" t="inlineStr">
        <is>
          <t>Satellite</t>
        </is>
      </c>
      <c r="C53" s="94">
        <f>VLOOKUP(A53, Current_Portfolio!$A$2:$Z$1000, 13, FALSE)</f>
        <v/>
      </c>
      <c r="D53" s="94">
        <f>VLOOKUP(A53, Current_Portfolio!$A$2:$Z$1000, 9, FALSE)</f>
        <v/>
      </c>
      <c r="E53" s="94">
        <f>C53-D53</f>
        <v/>
      </c>
      <c r="F53" s="96">
        <f>IF(C53&gt;0, E53/C53, 0)</f>
        <v/>
      </c>
      <c r="G53" s="100">
        <f>VLOOKUP(A53, Current_Portfolio!$A$2:$Z$1000, 5, FALSE)</f>
        <v/>
      </c>
      <c r="I53" s="93" t="inlineStr">
        <is>
          <t>Small Cap</t>
        </is>
      </c>
      <c r="J53" s="94">
        <f>SUMIF(Overall_Portfolio!$B$2:$B$1000, "Small Cap", Overall_Portfolio!$P$2:$P$1000)</f>
        <v/>
      </c>
      <c r="K53" s="94">
        <f>SUMIF(Current_Portfolio!$B$2:$B$1000, "Small Cap", Current_Portfolio!$U$2:$U$1000)</f>
        <v/>
      </c>
      <c r="L53" s="94">
        <f>J53+K53</f>
        <v/>
      </c>
    </row>
    <row r="54">
      <c r="A54" s="102" t="inlineStr">
        <is>
          <t>ZYDUSLIFE</t>
        </is>
      </c>
      <c r="B54" s="100" t="inlineStr">
        <is>
          <t>Satellite</t>
        </is>
      </c>
      <c r="C54" s="94">
        <f>VLOOKUP(A54, Current_Portfolio!$A$2:$Z$1000, 13, FALSE)</f>
        <v/>
      </c>
      <c r="D54" s="94">
        <f>VLOOKUP(A54, Current_Portfolio!$A$2:$Z$1000, 9, FALSE)</f>
        <v/>
      </c>
      <c r="E54" s="94">
        <f>C54-D54</f>
        <v/>
      </c>
      <c r="F54" s="96">
        <f>IF(C54&gt;0, E54/C54, 0)</f>
        <v/>
      </c>
      <c r="G54" s="100">
        <f>VLOOKUP(A54, Current_Portfolio!$A$2:$Z$1000, 5, FALSE)</f>
        <v/>
      </c>
      <c r="I54" s="93" t="inlineStr">
        <is>
          <t>TOTAL</t>
        </is>
      </c>
      <c r="J54" s="98">
        <f>SUM(J50:J53)</f>
        <v/>
      </c>
      <c r="K54" s="98">
        <f>SUM(K50:K53)</f>
        <v/>
      </c>
      <c r="L54" s="98">
        <f>SUM(L50:L53)</f>
        <v/>
      </c>
    </row>
    <row r="55">
      <c r="A55" s="103" t="inlineStr">
        <is>
          <t>NETWEB</t>
        </is>
      </c>
      <c r="B55" s="100" t="inlineStr">
        <is>
          <t>Satellite</t>
        </is>
      </c>
      <c r="C55" s="94">
        <f>VLOOKUP(A55, Current_Portfolio!$A$2:$Z$1000, 13, FALSE)</f>
        <v/>
      </c>
      <c r="D55" s="94">
        <f>VLOOKUP(A55, Current_Portfolio!$A$2:$Z$1000, 9, FALSE)</f>
        <v/>
      </c>
      <c r="E55" s="94">
        <f>C55-D55</f>
        <v/>
      </c>
      <c r="F55" s="96">
        <f>IF(C55&gt;0, E55/C55, 0)</f>
        <v/>
      </c>
      <c r="G55" s="100">
        <f>VLOOKUP(A55, Current_Portfolio!$A$2:$Z$1000, 5, FALSE)</f>
        <v/>
      </c>
    </row>
    <row r="57">
      <c r="I57" s="91" t="inlineStr">
        <is>
          <t>Tranche Distribution</t>
        </is>
      </c>
    </row>
    <row r="58">
      <c r="A58" s="91" t="inlineStr">
        <is>
          <t>🔔 Corporate Actions (Splits / Bonus)</t>
        </is>
      </c>
      <c r="I58" s="92" t="inlineStr">
        <is>
          <t>Tranche</t>
        </is>
      </c>
      <c r="J58" s="92" t="inlineStr">
        <is>
          <t>Count</t>
        </is>
      </c>
      <c r="K58" s="92" t="inlineStr">
        <is>
          <t>% of Holdings</t>
        </is>
      </c>
    </row>
    <row r="59">
      <c r="A59" s="92" t="inlineStr">
        <is>
          <t>Symbol</t>
        </is>
      </c>
      <c r="B59" s="92" t="inlineStr">
        <is>
          <t>Split / Bonus Details</t>
        </is>
      </c>
      <c r="C59" s="92" t="inlineStr">
        <is>
          <t>Adj Required</t>
        </is>
      </c>
      <c r="I59" s="93" t="inlineStr">
        <is>
          <t>Cheat 1</t>
        </is>
      </c>
      <c r="J59" s="100" t="n">
        <v>35</v>
      </c>
      <c r="K59" s="96" t="n">
        <v>0.5833333333333334</v>
      </c>
    </row>
    <row r="60">
      <c r="A60" s="101" t="inlineStr">
        <is>
          <t>CUPID</t>
        </is>
      </c>
      <c r="B60" s="100" t="inlineStr">
        <is>
          <t>5:1 Split on 2026-03-09</t>
        </is>
      </c>
      <c r="C60" s="100" t="inlineStr">
        <is>
          <t>No</t>
        </is>
      </c>
      <c r="I60" s="93" t="inlineStr">
        <is>
          <t>Cheat 2</t>
        </is>
      </c>
      <c r="J60" s="100" t="n">
        <v>9</v>
      </c>
      <c r="K60" s="96" t="n">
        <v>0.15</v>
      </c>
    </row>
    <row r="61">
      <c r="A61" s="104" t="inlineStr">
        <is>
          <t>METROPOLIS</t>
        </is>
      </c>
      <c r="B61" s="100" t="inlineStr">
        <is>
          <t>4:1 Split on 2026-03-20</t>
        </is>
      </c>
      <c r="C61" s="100" t="inlineStr">
        <is>
          <t>No</t>
        </is>
      </c>
      <c r="I61" s="93" t="inlineStr">
        <is>
          <t>Cheat 4</t>
        </is>
      </c>
      <c r="J61" s="100" t="n">
        <v>1</v>
      </c>
      <c r="K61" s="96" t="n">
        <v>0.01666666666666667</v>
      </c>
    </row>
    <row r="62">
      <c r="A62" s="104" t="inlineStr">
        <is>
          <t>METROPOLIS</t>
        </is>
      </c>
      <c r="B62" s="100" t="inlineStr">
        <is>
          <t>4:1 Split on 2026-03-20</t>
        </is>
      </c>
      <c r="C62" s="100" t="inlineStr">
        <is>
          <t>No</t>
        </is>
      </c>
      <c r="I62" s="93" t="inlineStr">
        <is>
          <t>Tranch 1</t>
        </is>
      </c>
      <c r="J62" s="100" t="n">
        <v>6</v>
      </c>
      <c r="K62" s="96" t="n">
        <v>0.1</v>
      </c>
    </row>
    <row r="63">
      <c r="I63" s="93" t="inlineStr">
        <is>
          <t>Tranch 2</t>
        </is>
      </c>
      <c r="J63" s="100" t="n">
        <v>5</v>
      </c>
      <c r="K63" s="96" t="n">
        <v>0.08333333333333333</v>
      </c>
    </row>
    <row r="64">
      <c r="I64" s="93" t="inlineStr">
        <is>
          <t>Tranch 3</t>
        </is>
      </c>
      <c r="J64" s="100" t="n">
        <v>2</v>
      </c>
      <c r="K64" s="96" t="n">
        <v>0.03333333333333333</v>
      </c>
    </row>
    <row r="65">
      <c r="A65" s="91" t="inlineStr">
        <is>
          <t>Top 5 Cheat Stocks by Holding Period</t>
        </is>
      </c>
      <c r="I65" s="93" t="inlineStr">
        <is>
          <t>Tranch 4</t>
        </is>
      </c>
      <c r="J65" s="100" t="n">
        <v>2</v>
      </c>
      <c r="K65" s="96" t="n">
        <v>0.03333333333333333</v>
      </c>
    </row>
    <row r="66">
      <c r="A66" s="92" t="inlineStr">
        <is>
          <t>Stock Name</t>
        </is>
      </c>
      <c r="B66" s="92" t="inlineStr">
        <is>
          <t>Cheat</t>
        </is>
      </c>
      <c r="C66" s="92" t="inlineStr">
        <is>
          <t>Holding Period (Days)</t>
        </is>
      </c>
      <c r="D66" s="92" t="inlineStr">
        <is>
          <t>Invested Value</t>
        </is>
      </c>
      <c r="E66" s="92" t="inlineStr">
        <is>
          <t>Current Value</t>
        </is>
      </c>
      <c r="F66" s="92" t="inlineStr">
        <is>
          <t>Return %</t>
        </is>
      </c>
      <c r="G66" s="92" t="inlineStr">
        <is>
          <t>XIRR</t>
        </is>
      </c>
    </row>
    <row r="67">
      <c r="A67" s="93" t="inlineStr">
        <is>
          <t>GPIL</t>
        </is>
      </c>
      <c r="B67" s="108" t="inlineStr">
        <is>
          <t>Cheat 2</t>
        </is>
      </c>
      <c r="C67" s="109" t="n">
        <v>220</v>
      </c>
      <c r="D67" s="110" t="n">
        <v>76932.24000000001</v>
      </c>
      <c r="E67" s="110" t="n">
        <v>79005</v>
      </c>
      <c r="F67" s="111" t="n">
        <v>0.02694267058907943</v>
      </c>
      <c r="G67" s="111" t="n">
        <v>0.04564034131557616</v>
      </c>
    </row>
    <row r="68">
      <c r="A68" s="93" t="inlineStr">
        <is>
          <t>GAEL</t>
        </is>
      </c>
      <c r="B68" s="108" t="inlineStr">
        <is>
          <t>Cheat 2</t>
        </is>
      </c>
      <c r="C68" s="109" t="n">
        <v>153</v>
      </c>
      <c r="D68" s="110" t="n">
        <v>50227.5</v>
      </c>
      <c r="E68" s="110" t="n">
        <v>55386</v>
      </c>
      <c r="F68" s="111" t="n">
        <v>0.1027027027027027</v>
      </c>
      <c r="G68" s="111" t="n">
        <v>0.27679996646268</v>
      </c>
      <c r="I68" s="91" t="inlineStr">
        <is>
          <t>Holding Period Distribution</t>
        </is>
      </c>
    </row>
    <row r="69">
      <c r="A69" s="93" t="inlineStr">
        <is>
          <t>AJANTPHARM</t>
        </is>
      </c>
      <c r="B69" s="108" t="inlineStr">
        <is>
          <t>Cheat 2</t>
        </is>
      </c>
      <c r="C69" s="109" t="n">
        <v>150</v>
      </c>
      <c r="D69" s="110" t="n">
        <v>43885.24</v>
      </c>
      <c r="E69" s="110" t="n">
        <v>41020</v>
      </c>
      <c r="F69" s="112" t="n">
        <v>-0.06528937747634513</v>
      </c>
      <c r="G69" s="112" t="n">
        <v>-0.3871247411153049</v>
      </c>
      <c r="I69" s="92" t="inlineStr">
        <is>
          <t>Period</t>
        </is>
      </c>
      <c r="J69" s="92" t="inlineStr">
        <is>
          <t>Count</t>
        </is>
      </c>
      <c r="K69" s="92" t="inlineStr">
        <is>
          <t>% of Holdings</t>
        </is>
      </c>
    </row>
    <row r="70">
      <c r="A70" s="93" t="inlineStr">
        <is>
          <t>SEAMECLTD</t>
        </is>
      </c>
      <c r="B70" s="108" t="inlineStr">
        <is>
          <t>Cheat 4</t>
        </is>
      </c>
      <c r="C70" s="109" t="n">
        <v>125</v>
      </c>
      <c r="D70" s="110" t="n">
        <v>56862.54</v>
      </c>
      <c r="E70" s="110" t="n">
        <v>67926.60000000001</v>
      </c>
      <c r="F70" s="111" t="n">
        <v>0.1945755500897427</v>
      </c>
      <c r="G70" s="111" t="n">
        <v>0.8254356002044063</v>
      </c>
      <c r="I70" s="93" t="inlineStr">
        <is>
          <t>0 - 30 days</t>
        </is>
      </c>
      <c r="J70" s="100" t="n">
        <v>42</v>
      </c>
      <c r="K70" s="96" t="n">
        <v>0.7</v>
      </c>
    </row>
    <row r="71">
      <c r="A71" s="105" t="inlineStr">
        <is>
          <t>CCL</t>
        </is>
      </c>
      <c r="B71" s="108" t="inlineStr">
        <is>
          <t>Cheat 1</t>
        </is>
      </c>
      <c r="C71" s="109" t="n">
        <v>87</v>
      </c>
      <c r="D71" s="110" t="n">
        <v>50624.84</v>
      </c>
      <c r="E71" s="110" t="n">
        <v>52831.8</v>
      </c>
      <c r="F71" s="111" t="n">
        <v>0.04359440938480003</v>
      </c>
      <c r="G71" s="111" t="n">
        <v>0.1960704441869839</v>
      </c>
      <c r="I71" s="93" t="inlineStr">
        <is>
          <t>31 - 90 days</t>
        </is>
      </c>
      <c r="J71" s="100" t="n">
        <v>6</v>
      </c>
      <c r="K71" s="96" t="n">
        <v>0.1</v>
      </c>
    </row>
    <row r="72">
      <c r="I72" s="93" t="inlineStr">
        <is>
          <t>91 - 180 days</t>
        </is>
      </c>
      <c r="J72" s="100" t="n">
        <v>8</v>
      </c>
      <c r="K72" s="96" t="n">
        <v>0.1333333333333333</v>
      </c>
    </row>
    <row r="73">
      <c r="I73" s="93" t="inlineStr">
        <is>
          <t>180+ days</t>
        </is>
      </c>
      <c r="J73" s="100" t="n">
        <v>4</v>
      </c>
      <c r="K73" s="96" t="n">
        <v>0.06666666666666667</v>
      </c>
    </row>
    <row r="76">
      <c r="I76" s="91" t="inlineStr">
        <is>
          <t>Top 10 Movers (Current Portfolio)</t>
        </is>
      </c>
    </row>
    <row r="77">
      <c r="I77" s="92" t="inlineStr">
        <is>
          <t>Symbol</t>
        </is>
      </c>
      <c r="J77" s="92" t="inlineStr">
        <is>
          <t>Prev Week Close</t>
        </is>
      </c>
      <c r="K77" s="92" t="inlineStr">
        <is>
          <t>LTP</t>
        </is>
      </c>
      <c r="L77" s="92" t="inlineStr">
        <is>
          <t>% Change</t>
        </is>
      </c>
    </row>
    <row r="78">
      <c r="I78" s="102" t="inlineStr">
        <is>
          <t>BALAMINES</t>
        </is>
      </c>
      <c r="J78" s="94">
        <f>VLOOKUP(I78, Current_Portfolio!$A$2:$Z$1000, 15, FALSE)</f>
        <v/>
      </c>
      <c r="K78" s="94">
        <f>VLOOKUP(I78, Current_Portfolio!$A$2:$Z$1000, 13, FALSE)</f>
        <v/>
      </c>
      <c r="L78" s="96">
        <f>IF(J78&gt;0, (K78-J78)/J78, 0)</f>
        <v/>
      </c>
    </row>
    <row r="79">
      <c r="I79" s="102" t="inlineStr">
        <is>
          <t>SKIPPER</t>
        </is>
      </c>
      <c r="J79" s="94">
        <f>VLOOKUP(I79, Current_Portfolio!$A$2:$Z$1000, 15, FALSE)</f>
        <v/>
      </c>
      <c r="K79" s="94">
        <f>VLOOKUP(I79, Current_Portfolio!$A$2:$Z$1000, 13, FALSE)</f>
        <v/>
      </c>
      <c r="L79" s="96">
        <f>IF(J79&gt;0, (K79-J79)/J79, 0)</f>
        <v/>
      </c>
    </row>
    <row r="80">
      <c r="I80" s="113" t="inlineStr">
        <is>
          <t>TATATECH</t>
        </is>
      </c>
      <c r="J80" s="94">
        <f>VLOOKUP(I80, Current_Portfolio!$A$2:$Z$1000, 15, FALSE)</f>
        <v/>
      </c>
      <c r="K80" s="94">
        <f>VLOOKUP(I80, Current_Portfolio!$A$2:$Z$1000, 13, FALSE)</f>
        <v/>
      </c>
      <c r="L80" s="96">
        <f>IF(J80&gt;0, (K80-J80)/J80, 0)</f>
        <v/>
      </c>
    </row>
    <row r="81">
      <c r="I81" s="102" t="inlineStr">
        <is>
          <t>EXIDEIND</t>
        </is>
      </c>
      <c r="J81" s="94">
        <f>VLOOKUP(I81, Current_Portfolio!$A$2:$Z$1000, 15, FALSE)</f>
        <v/>
      </c>
      <c r="K81" s="94">
        <f>VLOOKUP(I81, Current_Portfolio!$A$2:$Z$1000, 13, FALSE)</f>
        <v/>
      </c>
      <c r="L81" s="96">
        <f>IF(J81&gt;0, (K81-J81)/J81, 0)</f>
        <v/>
      </c>
    </row>
    <row r="82">
      <c r="I82" s="101" t="inlineStr">
        <is>
          <t>LAURUSLABS</t>
        </is>
      </c>
      <c r="J82" s="94">
        <f>VLOOKUP(I82, Current_Portfolio!$A$2:$Z$1000, 15, FALSE)</f>
        <v/>
      </c>
      <c r="K82" s="94">
        <f>VLOOKUP(I82, Current_Portfolio!$A$2:$Z$1000, 13, FALSE)</f>
        <v/>
      </c>
      <c r="L82" s="96">
        <f>IF(J82&gt;0, (K82-J82)/J82, 0)</f>
        <v/>
      </c>
    </row>
    <row r="83">
      <c r="I83" s="113" t="inlineStr">
        <is>
          <t>HINDALCO</t>
        </is>
      </c>
      <c r="J83" s="94">
        <f>VLOOKUP(I83, Current_Portfolio!$A$2:$Z$1000, 15, FALSE)</f>
        <v/>
      </c>
      <c r="K83" s="94">
        <f>VLOOKUP(I83, Current_Portfolio!$A$2:$Z$1000, 13, FALSE)</f>
        <v/>
      </c>
      <c r="L83" s="96">
        <f>IF(J83&gt;0, (K83-J83)/J83, 0)</f>
        <v/>
      </c>
    </row>
    <row r="84">
      <c r="I84" s="113" t="inlineStr">
        <is>
          <t>AUROPHARMA</t>
        </is>
      </c>
      <c r="J84" s="94">
        <f>VLOOKUP(I84, Current_Portfolio!$A$2:$Z$1000, 15, FALSE)</f>
        <v/>
      </c>
      <c r="K84" s="94">
        <f>VLOOKUP(I84, Current_Portfolio!$A$2:$Z$1000, 13, FALSE)</f>
        <v/>
      </c>
      <c r="L84" s="96">
        <f>IF(J84&gt;0, (K84-J84)/J84, 0)</f>
        <v/>
      </c>
    </row>
    <row r="85">
      <c r="I85" s="103" t="inlineStr">
        <is>
          <t>NETWEB</t>
        </is>
      </c>
      <c r="J85" s="94">
        <f>VLOOKUP(I85, Current_Portfolio!$A$2:$Z$1000, 15, FALSE)</f>
        <v/>
      </c>
      <c r="K85" s="94">
        <f>VLOOKUP(I85, Current_Portfolio!$A$2:$Z$1000, 13, FALSE)</f>
        <v/>
      </c>
      <c r="L85" s="96">
        <f>IF(J85&gt;0, (K85-J85)/J85, 0)</f>
        <v/>
      </c>
    </row>
    <row r="86">
      <c r="I86" s="101" t="inlineStr">
        <is>
          <t>CUPID</t>
        </is>
      </c>
      <c r="J86" s="94">
        <f>VLOOKUP(I86, Current_Portfolio!$A$2:$Z$1000, 15, FALSE)</f>
        <v/>
      </c>
      <c r="K86" s="94">
        <f>VLOOKUP(I86, Current_Portfolio!$A$2:$Z$1000, 13, FALSE)</f>
        <v/>
      </c>
      <c r="L86" s="96">
        <f>IF(J86&gt;0, (K86-J86)/J86, 0)</f>
        <v/>
      </c>
    </row>
    <row r="87">
      <c r="I87" s="113" t="inlineStr">
        <is>
          <t>SEAMECLTD</t>
        </is>
      </c>
      <c r="J87" s="94">
        <f>VLOOKUP(I87, Current_Portfolio!$A$2:$Z$1000, 15, FALSE)</f>
        <v/>
      </c>
      <c r="K87" s="94">
        <f>VLOOKUP(I87, Current_Portfolio!$A$2:$Z$1000, 13, FALSE)</f>
        <v/>
      </c>
      <c r="L87" s="96">
        <f>IF(J87&gt;0, (K87-J87)/J87, 0)</f>
        <v/>
      </c>
    </row>
    <row r="90">
      <c r="I90" s="91" t="inlineStr">
        <is>
          <t>Top 10 Movers (Watchlist Only)</t>
        </is>
      </c>
    </row>
    <row r="91">
      <c r="I91" s="92" t="inlineStr">
        <is>
          <t>Symbol</t>
        </is>
      </c>
      <c r="J91" s="92" t="inlineStr">
        <is>
          <t>Prev Week Close</t>
        </is>
      </c>
      <c r="K91" s="92" t="inlineStr">
        <is>
          <t>Price</t>
        </is>
      </c>
      <c r="L91" s="92" t="inlineStr">
        <is>
          <t>% Change</t>
        </is>
      </c>
    </row>
    <row r="92">
      <c r="I92" s="107" t="inlineStr">
        <is>
          <t>CPPLUS</t>
        </is>
      </c>
      <c r="J92" s="94" t="n">
        <v>2903.5</v>
      </c>
      <c r="K92" s="94" t="n">
        <v>3369.2</v>
      </c>
      <c r="L92" s="96" t="n">
        <v>0.1603926295849836</v>
      </c>
    </row>
    <row r="93">
      <c r="I93" s="101" t="inlineStr">
        <is>
          <t>BIRLACABLE</t>
        </is>
      </c>
      <c r="J93" s="94" t="n">
        <v>193.91</v>
      </c>
      <c r="K93" s="94" t="n">
        <v>224.46</v>
      </c>
      <c r="L93" s="96" t="n">
        <v>0.1575473157650457</v>
      </c>
    </row>
    <row r="94">
      <c r="I94" s="101" t="inlineStr">
        <is>
          <t>STLTECH</t>
        </is>
      </c>
      <c r="J94" s="94" t="n">
        <v>536.15</v>
      </c>
      <c r="K94" s="94" t="n">
        <v>620.6</v>
      </c>
      <c r="L94" s="96" t="n">
        <v>0.157511890329199</v>
      </c>
    </row>
    <row r="95">
      <c r="I95" s="101" t="inlineStr">
        <is>
          <t>MODISONLTD</t>
        </is>
      </c>
      <c r="J95" s="94" t="n">
        <v>284.6</v>
      </c>
      <c r="K95" s="94" t="n">
        <v>329</v>
      </c>
      <c r="L95" s="96" t="n">
        <v>0.1560084328882641</v>
      </c>
    </row>
    <row r="96">
      <c r="I96" s="102" t="inlineStr">
        <is>
          <t>CONFIPET</t>
        </is>
      </c>
      <c r="J96" s="94" t="n">
        <v>67.77</v>
      </c>
      <c r="K96" s="94" t="n">
        <v>76.79000000000001</v>
      </c>
      <c r="L96" s="96" t="n">
        <v>0.1330972406669619</v>
      </c>
    </row>
    <row r="97">
      <c r="I97" s="102" t="inlineStr">
        <is>
          <t>ANTELOPUS</t>
        </is>
      </c>
      <c r="J97" s="94" t="n">
        <v>774.85</v>
      </c>
      <c r="K97" s="94" t="n">
        <v>871.8</v>
      </c>
      <c r="L97" s="96" t="n">
        <v>0.1251209911595792</v>
      </c>
    </row>
    <row r="98">
      <c r="I98" s="102" t="inlineStr">
        <is>
          <t>ALKYLAMINE</t>
        </is>
      </c>
      <c r="J98" s="94" t="n">
        <v>1651.3</v>
      </c>
      <c r="K98" s="94" t="n">
        <v>1836.8</v>
      </c>
      <c r="L98" s="96" t="n">
        <v>0.1123357354811361</v>
      </c>
    </row>
    <row r="99">
      <c r="I99" s="103" t="inlineStr">
        <is>
          <t>KERNEX</t>
        </is>
      </c>
      <c r="J99" s="94" t="n">
        <v>1689.9</v>
      </c>
      <c r="K99" s="94" t="n">
        <v>1877.9</v>
      </c>
      <c r="L99" s="96" t="n">
        <v>0.1112491863423871</v>
      </c>
    </row>
    <row r="100">
      <c r="I100" s="101" t="inlineStr">
        <is>
          <t>HFCL</t>
        </is>
      </c>
      <c r="J100" s="94" t="n">
        <v>179.94</v>
      </c>
      <c r="K100" s="94" t="n">
        <v>199.41</v>
      </c>
      <c r="L100" s="96" t="n">
        <v>0.1082027342447482</v>
      </c>
    </row>
    <row r="101">
      <c r="I101" s="103" t="inlineStr">
        <is>
          <t>NMDC</t>
        </is>
      </c>
      <c r="J101" s="94" t="n">
        <v>87.98999999999999</v>
      </c>
      <c r="K101" s="94" t="n">
        <v>96.04000000000001</v>
      </c>
      <c r="L101" s="96" t="n">
        <v>0.09148766905330165</v>
      </c>
    </row>
  </sheetData>
  <mergeCells count="2">
    <mergeCell ref="I1:L1"/>
    <mergeCell ref="A1:G1"/>
  </mergeCells>
  <conditionalFormatting sqref="B7">
    <cfRule type="cellIs" priority="1" operator="greaterThan" dxfId="34">
      <formula>0</formula>
    </cfRule>
    <cfRule type="cellIs" priority="2" operator="lessThan" dxfId="35">
      <formula>0</formula>
    </cfRule>
  </conditionalFormatting>
  <conditionalFormatting sqref="B8">
    <cfRule type="cellIs" priority="3" operator="greaterThan" dxfId="34">
      <formula>0</formula>
    </cfRule>
    <cfRule type="cellIs" priority="4" operator="lessThan" dxfId="35">
      <formula>0</formula>
    </cfRule>
  </conditionalFormatting>
  <conditionalFormatting sqref="B9">
    <cfRule type="cellIs" priority="5" operator="greaterThan" dxfId="34">
      <formula>0</formula>
    </cfRule>
    <cfRule type="cellIs" priority="6" operator="lessThan" dxfId="35">
      <formula>0</formula>
    </cfRule>
  </conditionalFormatting>
  <conditionalFormatting sqref="B10">
    <cfRule type="cellIs" priority="7" operator="greaterThan" dxfId="34">
      <formula>0</formula>
    </cfRule>
    <cfRule type="cellIs" priority="8" operator="lessThan" dxfId="35">
      <formula>0</formula>
    </cfRule>
  </conditionalFormatting>
  <conditionalFormatting sqref="E19">
    <cfRule type="cellIs" priority="9" operator="greaterThan" dxfId="34">
      <formula>0</formula>
    </cfRule>
    <cfRule type="cellIs" priority="10" operator="lessThan" dxfId="35">
      <formula>0</formula>
    </cfRule>
  </conditionalFormatting>
  <conditionalFormatting sqref="F19">
    <cfRule type="cellIs" priority="11" operator="greaterThan" dxfId="34">
      <formula>0</formula>
    </cfRule>
    <cfRule type="cellIs" priority="12" operator="lessThan" dxfId="35">
      <formula>0</formula>
    </cfRule>
  </conditionalFormatting>
  <conditionalFormatting sqref="E20">
    <cfRule type="cellIs" priority="13" operator="greaterThan" dxfId="34">
      <formula>0</formula>
    </cfRule>
    <cfRule type="cellIs" priority="14" operator="lessThan" dxfId="35">
      <formula>0</formula>
    </cfRule>
  </conditionalFormatting>
  <conditionalFormatting sqref="F20">
    <cfRule type="cellIs" priority="15" operator="greaterThan" dxfId="34">
      <formula>0</formula>
    </cfRule>
    <cfRule type="cellIs" priority="16" operator="lessThan" dxfId="35">
      <formula>0</formula>
    </cfRule>
  </conditionalFormatting>
  <conditionalFormatting sqref="E21">
    <cfRule type="cellIs" priority="17" operator="greaterThan" dxfId="34">
      <formula>0</formula>
    </cfRule>
    <cfRule type="cellIs" priority="18" operator="lessThan" dxfId="35">
      <formula>0</formula>
    </cfRule>
  </conditionalFormatting>
  <conditionalFormatting sqref="F21">
    <cfRule type="cellIs" priority="19" operator="greaterThan" dxfId="34">
      <formula>0</formula>
    </cfRule>
    <cfRule type="cellIs" priority="20" operator="lessThan" dxfId="35">
      <formula>0</formula>
    </cfRule>
  </conditionalFormatting>
  <conditionalFormatting sqref="E22">
    <cfRule type="cellIs" priority="21" operator="greaterThan" dxfId="34">
      <formula>0</formula>
    </cfRule>
    <cfRule type="cellIs" priority="22" operator="lessThan" dxfId="35">
      <formula>0</formula>
    </cfRule>
  </conditionalFormatting>
  <conditionalFormatting sqref="F22">
    <cfRule type="cellIs" priority="23" operator="greaterThan" dxfId="34">
      <formula>0</formula>
    </cfRule>
    <cfRule type="cellIs" priority="24" operator="lessThan" dxfId="35">
      <formula>0</formula>
    </cfRule>
  </conditionalFormatting>
  <conditionalFormatting sqref="E23">
    <cfRule type="cellIs" priority="25" operator="greaterThan" dxfId="34">
      <formula>0</formula>
    </cfRule>
    <cfRule type="cellIs" priority="26" operator="lessThan" dxfId="35">
      <formula>0</formula>
    </cfRule>
  </conditionalFormatting>
  <conditionalFormatting sqref="F23">
    <cfRule type="cellIs" priority="27" operator="greaterThan" dxfId="34">
      <formula>0</formula>
    </cfRule>
    <cfRule type="cellIs" priority="28" operator="lessThan" dxfId="35">
      <formula>0</formula>
    </cfRule>
  </conditionalFormatting>
  <conditionalFormatting sqref="E24">
    <cfRule type="cellIs" priority="29" operator="greaterThan" dxfId="34">
      <formula>0</formula>
    </cfRule>
    <cfRule type="cellIs" priority="30" operator="lessThan" dxfId="35">
      <formula>0</formula>
    </cfRule>
  </conditionalFormatting>
  <conditionalFormatting sqref="F24">
    <cfRule type="cellIs" priority="31" operator="greaterThan" dxfId="34">
      <formula>0</formula>
    </cfRule>
    <cfRule type="cellIs" priority="32" operator="lessThan" dxfId="35">
      <formula>0</formula>
    </cfRule>
  </conditionalFormatting>
  <conditionalFormatting sqref="E25">
    <cfRule type="cellIs" priority="33" operator="greaterThan" dxfId="34">
      <formula>0</formula>
    </cfRule>
    <cfRule type="cellIs" priority="34" operator="lessThan" dxfId="35">
      <formula>0</formula>
    </cfRule>
  </conditionalFormatting>
  <conditionalFormatting sqref="F25">
    <cfRule type="cellIs" priority="35" operator="greaterThan" dxfId="34">
      <formula>0</formula>
    </cfRule>
    <cfRule type="cellIs" priority="36" operator="lessThan" dxfId="35">
      <formula>0</formula>
    </cfRule>
  </conditionalFormatting>
  <conditionalFormatting sqref="E26">
    <cfRule type="cellIs" priority="37" operator="greaterThan" dxfId="34">
      <formula>0</formula>
    </cfRule>
    <cfRule type="cellIs" priority="38" operator="lessThan" dxfId="35">
      <formula>0</formula>
    </cfRule>
  </conditionalFormatting>
  <conditionalFormatting sqref="F26">
    <cfRule type="cellIs" priority="39" operator="greaterThan" dxfId="34">
      <formula>0</formula>
    </cfRule>
    <cfRule type="cellIs" priority="40" operator="lessThan" dxfId="35">
      <formula>0</formula>
    </cfRule>
  </conditionalFormatting>
  <conditionalFormatting sqref="E27">
    <cfRule type="cellIs" priority="41" operator="greaterThan" dxfId="34">
      <formula>0</formula>
    </cfRule>
    <cfRule type="cellIs" priority="42" operator="lessThan" dxfId="35">
      <formula>0</formula>
    </cfRule>
  </conditionalFormatting>
  <conditionalFormatting sqref="F27">
    <cfRule type="cellIs" priority="43" operator="greaterThan" dxfId="34">
      <formula>0</formula>
    </cfRule>
    <cfRule type="cellIs" priority="44" operator="lessThan" dxfId="35">
      <formula>0</formula>
    </cfRule>
  </conditionalFormatting>
  <conditionalFormatting sqref="E28">
    <cfRule type="cellIs" priority="45" operator="greaterThan" dxfId="34">
      <formula>0</formula>
    </cfRule>
    <cfRule type="cellIs" priority="46" operator="lessThan" dxfId="35">
      <formula>0</formula>
    </cfRule>
  </conditionalFormatting>
  <conditionalFormatting sqref="F28">
    <cfRule type="cellIs" priority="47" operator="greaterThan" dxfId="34">
      <formula>0</formula>
    </cfRule>
    <cfRule type="cellIs" priority="48" operator="lessThan" dxfId="35">
      <formula>0</formula>
    </cfRule>
  </conditionalFormatting>
  <conditionalFormatting sqref="E33">
    <cfRule type="cellIs" priority="49" operator="greaterThan" dxfId="34">
      <formula>0</formula>
    </cfRule>
    <cfRule type="cellIs" priority="50" operator="lessThan" dxfId="35">
      <formula>0</formula>
    </cfRule>
  </conditionalFormatting>
  <conditionalFormatting sqref="F33">
    <cfRule type="cellIs" priority="51" operator="greaterThan" dxfId="34">
      <formula>0</formula>
    </cfRule>
    <cfRule type="cellIs" priority="52" operator="lessThan" dxfId="35">
      <formula>0</formula>
    </cfRule>
  </conditionalFormatting>
  <conditionalFormatting sqref="E34">
    <cfRule type="cellIs" priority="53" operator="greaterThan" dxfId="34">
      <formula>0</formula>
    </cfRule>
    <cfRule type="cellIs" priority="54" operator="lessThan" dxfId="35">
      <formula>0</formula>
    </cfRule>
  </conditionalFormatting>
  <conditionalFormatting sqref="F34">
    <cfRule type="cellIs" priority="55" operator="greaterThan" dxfId="34">
      <formula>0</formula>
    </cfRule>
    <cfRule type="cellIs" priority="56" operator="lessThan" dxfId="35">
      <formula>0</formula>
    </cfRule>
  </conditionalFormatting>
  <conditionalFormatting sqref="E35">
    <cfRule type="cellIs" priority="57" operator="greaterThan" dxfId="34">
      <formula>0</formula>
    </cfRule>
    <cfRule type="cellIs" priority="58" operator="lessThan" dxfId="35">
      <formula>0</formula>
    </cfRule>
  </conditionalFormatting>
  <conditionalFormatting sqref="F35">
    <cfRule type="cellIs" priority="59" operator="greaterThan" dxfId="34">
      <formula>0</formula>
    </cfRule>
    <cfRule type="cellIs" priority="60" operator="lessThan" dxfId="35">
      <formula>0</formula>
    </cfRule>
  </conditionalFormatting>
  <conditionalFormatting sqref="E36">
    <cfRule type="cellIs" priority="61" operator="greaterThan" dxfId="34">
      <formula>0</formula>
    </cfRule>
    <cfRule type="cellIs" priority="62" operator="lessThan" dxfId="35">
      <formula>0</formula>
    </cfRule>
  </conditionalFormatting>
  <conditionalFormatting sqref="F36">
    <cfRule type="cellIs" priority="63" operator="greaterThan" dxfId="34">
      <formula>0</formula>
    </cfRule>
    <cfRule type="cellIs" priority="64" operator="lessThan" dxfId="35">
      <formula>0</formula>
    </cfRule>
  </conditionalFormatting>
  <conditionalFormatting sqref="E37">
    <cfRule type="cellIs" priority="65" operator="greaterThan" dxfId="34">
      <formula>0</formula>
    </cfRule>
    <cfRule type="cellIs" priority="66" operator="lessThan" dxfId="35">
      <formula>0</formula>
    </cfRule>
  </conditionalFormatting>
  <conditionalFormatting sqref="F37">
    <cfRule type="cellIs" priority="67" operator="greaterThan" dxfId="34">
      <formula>0</formula>
    </cfRule>
    <cfRule type="cellIs" priority="68" operator="lessThan" dxfId="35">
      <formula>0</formula>
    </cfRule>
  </conditionalFormatting>
  <conditionalFormatting sqref="E38">
    <cfRule type="cellIs" priority="69" operator="greaterThan" dxfId="34">
      <formula>0</formula>
    </cfRule>
    <cfRule type="cellIs" priority="70" operator="lessThan" dxfId="35">
      <formula>0</formula>
    </cfRule>
  </conditionalFormatting>
  <conditionalFormatting sqref="F38">
    <cfRule type="cellIs" priority="71" operator="greaterThan" dxfId="34">
      <formula>0</formula>
    </cfRule>
    <cfRule type="cellIs" priority="72" operator="lessThan" dxfId="35">
      <formula>0</formula>
    </cfRule>
  </conditionalFormatting>
  <conditionalFormatting sqref="E39">
    <cfRule type="cellIs" priority="73" operator="greaterThan" dxfId="34">
      <formula>0</formula>
    </cfRule>
    <cfRule type="cellIs" priority="74" operator="lessThan" dxfId="35">
      <formula>0</formula>
    </cfRule>
  </conditionalFormatting>
  <conditionalFormatting sqref="F39">
    <cfRule type="cellIs" priority="75" operator="greaterThan" dxfId="34">
      <formula>0</formula>
    </cfRule>
    <cfRule type="cellIs" priority="76" operator="lessThan" dxfId="35">
      <formula>0</formula>
    </cfRule>
  </conditionalFormatting>
  <conditionalFormatting sqref="E40">
    <cfRule type="cellIs" priority="77" operator="greaterThan" dxfId="34">
      <formula>0</formula>
    </cfRule>
    <cfRule type="cellIs" priority="78" operator="lessThan" dxfId="35">
      <formula>0</formula>
    </cfRule>
  </conditionalFormatting>
  <conditionalFormatting sqref="F40">
    <cfRule type="cellIs" priority="79" operator="greaterThan" dxfId="34">
      <formula>0</formula>
    </cfRule>
    <cfRule type="cellIs" priority="80" operator="lessThan" dxfId="35">
      <formula>0</formula>
    </cfRule>
  </conditionalFormatting>
  <conditionalFormatting sqref="E41">
    <cfRule type="cellIs" priority="81" operator="greaterThan" dxfId="34">
      <formula>0</formula>
    </cfRule>
    <cfRule type="cellIs" priority="82" operator="lessThan" dxfId="35">
      <formula>0</formula>
    </cfRule>
  </conditionalFormatting>
  <conditionalFormatting sqref="F41">
    <cfRule type="cellIs" priority="83" operator="greaterThan" dxfId="34">
      <formula>0</formula>
    </cfRule>
    <cfRule type="cellIs" priority="84" operator="lessThan" dxfId="35">
      <formula>0</formula>
    </cfRule>
  </conditionalFormatting>
  <conditionalFormatting sqref="F46">
    <cfRule type="cellIs" priority="85" operator="lessThan" dxfId="35">
      <formula>0.05</formula>
    </cfRule>
    <cfRule type="cellIs" priority="86" operator="greaterThan" dxfId="34">
      <formula>0.15</formula>
    </cfRule>
  </conditionalFormatting>
  <conditionalFormatting sqref="F47">
    <cfRule type="cellIs" priority="87" operator="lessThan" dxfId="35">
      <formula>0.05</formula>
    </cfRule>
    <cfRule type="cellIs" priority="88" operator="greaterThan" dxfId="34">
      <formula>0.15</formula>
    </cfRule>
  </conditionalFormatting>
  <conditionalFormatting sqref="F48">
    <cfRule type="cellIs" priority="89" operator="lessThan" dxfId="35">
      <formula>0.05</formula>
    </cfRule>
    <cfRule type="cellIs" priority="90" operator="greaterThan" dxfId="34">
      <formula>0.15</formula>
    </cfRule>
  </conditionalFormatting>
  <conditionalFormatting sqref="F49">
    <cfRule type="cellIs" priority="91" operator="lessThan" dxfId="35">
      <formula>0.05</formula>
    </cfRule>
    <cfRule type="cellIs" priority="92" operator="greaterThan" dxfId="34">
      <formula>0.15</formula>
    </cfRule>
  </conditionalFormatting>
  <conditionalFormatting sqref="F50">
    <cfRule type="cellIs" priority="93" operator="lessThan" dxfId="35">
      <formula>0.05</formula>
    </cfRule>
    <cfRule type="cellIs" priority="94" operator="greaterThan" dxfId="34">
      <formula>0.15</formula>
    </cfRule>
  </conditionalFormatting>
  <conditionalFormatting sqref="F51">
    <cfRule type="cellIs" priority="95" operator="lessThan" dxfId="35">
      <formula>0.05</formula>
    </cfRule>
    <cfRule type="cellIs" priority="96" operator="greaterThan" dxfId="34">
      <formula>0.15</formula>
    </cfRule>
  </conditionalFormatting>
  <conditionalFormatting sqref="F52">
    <cfRule type="cellIs" priority="97" operator="lessThan" dxfId="35">
      <formula>0.05</formula>
    </cfRule>
    <cfRule type="cellIs" priority="98" operator="greaterThan" dxfId="34">
      <formula>0.15</formula>
    </cfRule>
  </conditionalFormatting>
  <conditionalFormatting sqref="F53">
    <cfRule type="cellIs" priority="99" operator="lessThan" dxfId="35">
      <formula>0.05</formula>
    </cfRule>
    <cfRule type="cellIs" priority="100" operator="greaterThan" dxfId="34">
      <formula>0.15</formula>
    </cfRule>
  </conditionalFormatting>
  <conditionalFormatting sqref="F54">
    <cfRule type="cellIs" priority="101" operator="lessThan" dxfId="35">
      <formula>0.05</formula>
    </cfRule>
    <cfRule type="cellIs" priority="102" operator="greaterThan" dxfId="34">
      <formula>0.15</formula>
    </cfRule>
  </conditionalFormatting>
  <conditionalFormatting sqref="F55">
    <cfRule type="cellIs" priority="103" operator="lessThan" dxfId="35">
      <formula>0.05</formula>
    </cfRule>
    <cfRule type="cellIs" priority="104" operator="greaterThan" dxfId="34">
      <formula>0.15</formula>
    </cfRule>
  </conditionalFormatting>
  <conditionalFormatting sqref="L5">
    <cfRule type="cellIs" priority="105" operator="greaterThan" dxfId="34">
      <formula>0</formula>
    </cfRule>
    <cfRule type="cellIs" priority="106" operator="lessThan" dxfId="35">
      <formula>0</formula>
    </cfRule>
  </conditionalFormatting>
  <conditionalFormatting sqref="L6">
    <cfRule type="cellIs" priority="107" operator="greaterThan" dxfId="34">
      <formula>0</formula>
    </cfRule>
    <cfRule type="cellIs" priority="108" operator="lessThan" dxfId="35">
      <formula>0</formula>
    </cfRule>
  </conditionalFormatting>
  <conditionalFormatting sqref="L11">
    <cfRule type="cellIs" priority="109" operator="greaterThan" dxfId="34">
      <formula>0</formula>
    </cfRule>
    <cfRule type="cellIs" priority="110" operator="lessThan" dxfId="35">
      <formula>0</formula>
    </cfRule>
  </conditionalFormatting>
  <conditionalFormatting sqref="L12">
    <cfRule type="cellIs" priority="111" operator="greaterThan" dxfId="34">
      <formula>0</formula>
    </cfRule>
    <cfRule type="cellIs" priority="112" operator="lessThan" dxfId="35">
      <formula>0</formula>
    </cfRule>
  </conditionalFormatting>
  <conditionalFormatting sqref="L13">
    <cfRule type="cellIs" priority="113" operator="greaterThan" dxfId="34">
      <formula>0</formula>
    </cfRule>
    <cfRule type="cellIs" priority="114" operator="lessThan" dxfId="35">
      <formula>0</formula>
    </cfRule>
  </conditionalFormatting>
  <conditionalFormatting sqref="L14">
    <cfRule type="cellIs" priority="115" operator="greaterThan" dxfId="34">
      <formula>0</formula>
    </cfRule>
    <cfRule type="cellIs" priority="116" operator="lessThan" dxfId="35">
      <formula>0</formula>
    </cfRule>
  </conditionalFormatting>
  <conditionalFormatting sqref="J50:L50">
    <cfRule type="cellIs" priority="117" operator="greaterThan" dxfId="34">
      <formula>0</formula>
    </cfRule>
    <cfRule type="cellIs" priority="118" operator="lessThan" dxfId="35">
      <formula>0</formula>
    </cfRule>
  </conditionalFormatting>
  <conditionalFormatting sqref="J51:L51">
    <cfRule type="cellIs" priority="119" operator="greaterThan" dxfId="34">
      <formula>0</formula>
    </cfRule>
    <cfRule type="cellIs" priority="120" operator="lessThan" dxfId="35">
      <formula>0</formula>
    </cfRule>
  </conditionalFormatting>
  <conditionalFormatting sqref="J52:L52">
    <cfRule type="cellIs" priority="121" operator="greaterThan" dxfId="34">
      <formula>0</formula>
    </cfRule>
    <cfRule type="cellIs" priority="122" operator="lessThan" dxfId="35">
      <formula>0</formula>
    </cfRule>
  </conditionalFormatting>
  <conditionalFormatting sqref="J53:L53">
    <cfRule type="cellIs" priority="123" operator="greaterThan" dxfId="34">
      <formula>0</formula>
    </cfRule>
    <cfRule type="cellIs" priority="124" operator="lessThan" dxfId="35">
      <formula>0</formula>
    </cfRule>
  </conditionalFormatting>
  <conditionalFormatting sqref="J54:L54">
    <cfRule type="cellIs" priority="125" operator="greaterThan" dxfId="34">
      <formula>0</formula>
    </cfRule>
    <cfRule type="cellIs" priority="126" operator="lessThan" dxfId="35">
      <formula>0</formula>
    </cfRule>
  </conditionalFormatting>
  <conditionalFormatting sqref="L78">
    <cfRule type="cellIs" priority="127" operator="greaterThan" dxfId="34">
      <formula>0</formula>
    </cfRule>
    <cfRule type="cellIs" priority="128" operator="lessThan" dxfId="35">
      <formula>0</formula>
    </cfRule>
  </conditionalFormatting>
  <conditionalFormatting sqref="L79">
    <cfRule type="cellIs" priority="129" operator="greaterThan" dxfId="34">
      <formula>0</formula>
    </cfRule>
    <cfRule type="cellIs" priority="130" operator="lessThan" dxfId="35">
      <formula>0</formula>
    </cfRule>
  </conditionalFormatting>
  <conditionalFormatting sqref="L80">
    <cfRule type="cellIs" priority="131" operator="greaterThan" dxfId="34">
      <formula>0</formula>
    </cfRule>
    <cfRule type="cellIs" priority="132" operator="lessThan" dxfId="35">
      <formula>0</formula>
    </cfRule>
  </conditionalFormatting>
  <conditionalFormatting sqref="L81">
    <cfRule type="cellIs" priority="133" operator="greaterThan" dxfId="34">
      <formula>0</formula>
    </cfRule>
    <cfRule type="cellIs" priority="134" operator="lessThan" dxfId="35">
      <formula>0</formula>
    </cfRule>
  </conditionalFormatting>
  <conditionalFormatting sqref="L82">
    <cfRule type="cellIs" priority="135" operator="greaterThan" dxfId="34">
      <formula>0</formula>
    </cfRule>
    <cfRule type="cellIs" priority="136" operator="lessThan" dxfId="35">
      <formula>0</formula>
    </cfRule>
  </conditionalFormatting>
  <conditionalFormatting sqref="L83">
    <cfRule type="cellIs" priority="137" operator="greaterThan" dxfId="34">
      <formula>0</formula>
    </cfRule>
    <cfRule type="cellIs" priority="138" operator="lessThan" dxfId="35">
      <formula>0</formula>
    </cfRule>
  </conditionalFormatting>
  <conditionalFormatting sqref="L84">
    <cfRule type="cellIs" priority="139" operator="greaterThan" dxfId="34">
      <formula>0</formula>
    </cfRule>
    <cfRule type="cellIs" priority="140" operator="lessThan" dxfId="35">
      <formula>0</formula>
    </cfRule>
  </conditionalFormatting>
  <conditionalFormatting sqref="L85">
    <cfRule type="cellIs" priority="141" operator="greaterThan" dxfId="34">
      <formula>0</formula>
    </cfRule>
    <cfRule type="cellIs" priority="142" operator="lessThan" dxfId="35">
      <formula>0</formula>
    </cfRule>
  </conditionalFormatting>
  <conditionalFormatting sqref="L86">
    <cfRule type="cellIs" priority="143" operator="greaterThan" dxfId="34">
      <formula>0</formula>
    </cfRule>
    <cfRule type="cellIs" priority="144" operator="lessThan" dxfId="35">
      <formula>0</formula>
    </cfRule>
  </conditionalFormatting>
  <conditionalFormatting sqref="L87">
    <cfRule type="cellIs" priority="145" operator="greaterThan" dxfId="34">
      <formula>0</formula>
    </cfRule>
    <cfRule type="cellIs" priority="146" operator="lessThan" dxfId="35">
      <formula>0</formula>
    </cfRule>
  </conditionalFormatting>
  <conditionalFormatting sqref="L92">
    <cfRule type="cellIs" priority="147" operator="greaterThan" dxfId="34">
      <formula>0</formula>
    </cfRule>
    <cfRule type="cellIs" priority="148" operator="lessThan" dxfId="35">
      <formula>0</formula>
    </cfRule>
  </conditionalFormatting>
  <conditionalFormatting sqref="L93">
    <cfRule type="cellIs" priority="149" operator="greaterThan" dxfId="34">
      <formula>0</formula>
    </cfRule>
    <cfRule type="cellIs" priority="150" operator="lessThan" dxfId="35">
      <formula>0</formula>
    </cfRule>
  </conditionalFormatting>
  <conditionalFormatting sqref="L94">
    <cfRule type="cellIs" priority="151" operator="greaterThan" dxfId="34">
      <formula>0</formula>
    </cfRule>
    <cfRule type="cellIs" priority="152" operator="lessThan" dxfId="35">
      <formula>0</formula>
    </cfRule>
  </conditionalFormatting>
  <conditionalFormatting sqref="L95">
    <cfRule type="cellIs" priority="153" operator="greaterThan" dxfId="34">
      <formula>0</formula>
    </cfRule>
    <cfRule type="cellIs" priority="154" operator="lessThan" dxfId="35">
      <formula>0</formula>
    </cfRule>
  </conditionalFormatting>
  <conditionalFormatting sqref="L96">
    <cfRule type="cellIs" priority="155" operator="greaterThan" dxfId="34">
      <formula>0</formula>
    </cfRule>
    <cfRule type="cellIs" priority="156" operator="lessThan" dxfId="35">
      <formula>0</formula>
    </cfRule>
  </conditionalFormatting>
  <conditionalFormatting sqref="L97">
    <cfRule type="cellIs" priority="157" operator="greaterThan" dxfId="34">
      <formula>0</formula>
    </cfRule>
    <cfRule type="cellIs" priority="158" operator="lessThan" dxfId="35">
      <formula>0</formula>
    </cfRule>
  </conditionalFormatting>
  <conditionalFormatting sqref="L98">
    <cfRule type="cellIs" priority="159" operator="greaterThan" dxfId="34">
      <formula>0</formula>
    </cfRule>
    <cfRule type="cellIs" priority="160" operator="lessThan" dxfId="35">
      <formula>0</formula>
    </cfRule>
  </conditionalFormatting>
  <conditionalFormatting sqref="L99">
    <cfRule type="cellIs" priority="161" operator="greaterThan" dxfId="34">
      <formula>0</formula>
    </cfRule>
    <cfRule type="cellIs" priority="162" operator="lessThan" dxfId="35">
      <formula>0</formula>
    </cfRule>
  </conditionalFormatting>
  <conditionalFormatting sqref="L100">
    <cfRule type="cellIs" priority="163" operator="greaterThan" dxfId="34">
      <formula>0</formula>
    </cfRule>
    <cfRule type="cellIs" priority="164" operator="lessThan" dxfId="35">
      <formula>0</formula>
    </cfRule>
  </conditionalFormatting>
  <conditionalFormatting sqref="L101">
    <cfRule type="cellIs" priority="165" operator="greaterThan" dxfId="34">
      <formula>0</formula>
    </cfRule>
    <cfRule type="cellIs" priority="166" operator="lessThan" dxfId="35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ySplit="1" topLeftCell="A17" activePane="bottomLeft" state="frozen"/>
      <selection pane="bottomLeft" activeCell="D33" sqref="D33"/>
    </sheetView>
  </sheetViews>
  <sheetFormatPr baseColWidth="8" defaultRowHeight="15"/>
  <cols>
    <col width="10.42578125" bestFit="1" customWidth="1" style="87" min="1" max="1"/>
    <col width="15.85546875" bestFit="1" customWidth="1" style="87" min="2" max="2"/>
    <col width="14.42578125" bestFit="1" customWidth="1" style="87" min="3" max="3"/>
    <col width="22.5703125" bestFit="1" customWidth="1" style="87" min="4" max="4"/>
    <col width="15.7109375" bestFit="1" customWidth="1" style="87" min="5" max="5"/>
    <col width="20.7109375" bestFit="1" customWidth="1" style="87" min="6" max="6"/>
    <col width="22.85546875" bestFit="1" customWidth="1" style="87" min="7" max="7"/>
    <col width="76.7109375" bestFit="1" customWidth="1" style="87" min="8" max="8"/>
    <col width="12.85546875" bestFit="1" customWidth="1" style="87" min="9" max="9"/>
    <col width="56.85546875" bestFit="1" customWidth="1" style="87" min="10" max="10"/>
  </cols>
  <sheetData>
    <row r="1">
      <c r="A1" s="61" t="inlineStr">
        <is>
          <t>Date</t>
        </is>
      </c>
      <c r="B1" s="61" t="inlineStr">
        <is>
          <t>TF_Classification</t>
        </is>
      </c>
      <c r="C1" s="61" t="inlineStr">
        <is>
          <t xml:space="preserve">Stock </t>
        </is>
      </c>
      <c r="D1" s="61" t="inlineStr">
        <is>
          <t>Sector</t>
        </is>
      </c>
      <c r="E1" s="61" t="inlineStr">
        <is>
          <t xml:space="preserve">TF Classification </t>
        </is>
      </c>
      <c r="F1" s="61" t="inlineStr">
        <is>
          <t>Latest Tranch or Cheat</t>
        </is>
      </c>
      <c r="G1" s="61" t="inlineStr">
        <is>
          <t xml:space="preserve">Action (Recommended) </t>
        </is>
      </c>
      <c r="H1" s="61" t="inlineStr">
        <is>
          <t>Reason</t>
        </is>
      </c>
      <c r="I1" s="61" t="inlineStr">
        <is>
          <t xml:space="preserve">Action Taken </t>
        </is>
      </c>
      <c r="J1" s="61" t="inlineStr">
        <is>
          <t>Remarks</t>
        </is>
      </c>
    </row>
    <row r="2">
      <c r="A2" s="62" t="inlineStr">
        <is>
          <t>29-05-2026</t>
        </is>
      </c>
      <c r="B2" s="62" t="inlineStr">
        <is>
          <t>Satellite</t>
        </is>
      </c>
      <c r="C2" s="67" t="inlineStr">
        <is>
          <t>GPIL</t>
        </is>
      </c>
      <c r="D2" s="64" t="inlineStr">
        <is>
          <t>Industrial</t>
        </is>
      </c>
      <c r="E2" s="62" t="inlineStr">
        <is>
          <t>Satellite</t>
        </is>
      </c>
      <c r="F2" s="62" t="inlineStr">
        <is>
          <t>Cheat 2</t>
        </is>
      </c>
      <c r="G2" s="66" t="inlineStr">
        <is>
          <t>SELL</t>
        </is>
      </c>
      <c r="H2" s="64" t="inlineStr">
        <is>
          <t>Cheat holding period long and less return (214 days, 1.56% return)</t>
        </is>
      </c>
      <c r="I2" s="64" t="inlineStr">
        <is>
          <t>No</t>
        </is>
      </c>
      <c r="J2" s="64" t="inlineStr">
        <is>
          <t xml:space="preserve">Sakthiman- OK, </t>
        </is>
      </c>
    </row>
    <row r="3">
      <c r="A3" s="62" t="inlineStr">
        <is>
          <t>29-05-2026</t>
        </is>
      </c>
      <c r="B3" s="62" t="inlineStr">
        <is>
          <t>Satellite</t>
        </is>
      </c>
      <c r="C3" s="68" t="inlineStr">
        <is>
          <t>AJANTPHARM</t>
        </is>
      </c>
      <c r="D3" s="64" t="inlineStr">
        <is>
          <t>Health / Pharma / Chem</t>
        </is>
      </c>
      <c r="E3" s="62" t="inlineStr">
        <is>
          <t>Satellite</t>
        </is>
      </c>
      <c r="F3" s="62" t="inlineStr">
        <is>
          <t>Cheat 2</t>
        </is>
      </c>
      <c r="G3" s="66" t="inlineStr">
        <is>
          <t>SELL</t>
        </is>
      </c>
      <c r="H3" s="64" t="inlineStr">
        <is>
          <t>Cheat holding period long and red (144 days, -4.47% return)</t>
        </is>
      </c>
      <c r="I3" s="64" t="inlineStr">
        <is>
          <t>No</t>
        </is>
      </c>
      <c r="J3" s="64" t="inlineStr">
        <is>
          <t xml:space="preserve">Sakthiman- OK, </t>
        </is>
      </c>
    </row>
    <row r="4">
      <c r="A4" s="62" t="inlineStr">
        <is>
          <t>29-05-2026</t>
        </is>
      </c>
      <c r="B4" s="62" t="inlineStr">
        <is>
          <t>Satellite</t>
        </is>
      </c>
      <c r="C4" s="69" t="inlineStr">
        <is>
          <t>LAURUSLABS</t>
        </is>
      </c>
      <c r="D4" s="64" t="inlineStr">
        <is>
          <t>Health / Pharma / Chem</t>
        </is>
      </c>
      <c r="E4" s="62" t="inlineStr">
        <is>
          <t>Satellite</t>
        </is>
      </c>
      <c r="F4" s="62" t="inlineStr">
        <is>
          <t>Cheat 1</t>
        </is>
      </c>
      <c r="G4" s="66" t="inlineStr">
        <is>
          <t>SELL</t>
        </is>
      </c>
      <c r="H4" s="64" t="inlineStr">
        <is>
          <t>Cheat holding period long and less return (14 days, 3.74% return)</t>
        </is>
      </c>
      <c r="I4" s="64" t="inlineStr">
        <is>
          <t>No</t>
        </is>
      </c>
      <c r="J4" s="64" t="inlineStr">
        <is>
          <t xml:space="preserve">Sakthiman- OK, </t>
        </is>
      </c>
    </row>
    <row r="5">
      <c r="A5" s="62" t="inlineStr">
        <is>
          <t>29-05-2026</t>
        </is>
      </c>
      <c r="B5" s="62" t="inlineStr">
        <is>
          <t>Satellite</t>
        </is>
      </c>
      <c r="C5" s="68" t="inlineStr">
        <is>
          <t>AUROPHARMA</t>
        </is>
      </c>
      <c r="D5" s="64" t="inlineStr">
        <is>
          <t>Health / Pharma / Chem</t>
        </is>
      </c>
      <c r="E5" s="62" t="inlineStr">
        <is>
          <t>Satellite</t>
        </is>
      </c>
      <c r="F5" s="62" t="inlineStr">
        <is>
          <t>Cheat 1</t>
        </is>
      </c>
      <c r="G5" s="66" t="inlineStr">
        <is>
          <t>SELL</t>
        </is>
      </c>
      <c r="H5" s="64" t="inlineStr">
        <is>
          <t>Cheat holding period long and red (11 days, -4.00% return)</t>
        </is>
      </c>
      <c r="I5" s="64" t="inlineStr">
        <is>
          <t>No</t>
        </is>
      </c>
      <c r="J5" s="64" t="inlineStr">
        <is>
          <t xml:space="preserve">Sakthiman- OK, </t>
        </is>
      </c>
    </row>
    <row r="6">
      <c r="A6" s="62" t="inlineStr">
        <is>
          <t>29-05-2026</t>
        </is>
      </c>
      <c r="B6" s="62" t="inlineStr">
        <is>
          <t>Satellite</t>
        </is>
      </c>
      <c r="C6" s="68" t="inlineStr">
        <is>
          <t>SUNPHARMA</t>
        </is>
      </c>
      <c r="D6" s="64" t="inlineStr">
        <is>
          <t>Health / Pharma / Chem</t>
        </is>
      </c>
      <c r="E6" s="62" t="inlineStr">
        <is>
          <t>Satellite</t>
        </is>
      </c>
      <c r="F6" s="62" t="inlineStr">
        <is>
          <t>Cheat 1</t>
        </is>
      </c>
      <c r="G6" s="66" t="inlineStr">
        <is>
          <t>SELL</t>
        </is>
      </c>
      <c r="H6" s="64" t="inlineStr">
        <is>
          <t>Cheat holding period long and red (11 days, -3.09% return)</t>
        </is>
      </c>
      <c r="I6" s="64" t="inlineStr">
        <is>
          <t>No</t>
        </is>
      </c>
      <c r="J6" s="64" t="inlineStr">
        <is>
          <t xml:space="preserve">Sakthiman- OK, </t>
        </is>
      </c>
    </row>
    <row r="7">
      <c r="A7" s="62" t="inlineStr">
        <is>
          <t>29-05-2026</t>
        </is>
      </c>
      <c r="B7" s="62" t="inlineStr">
        <is>
          <t>Satellite</t>
        </is>
      </c>
      <c r="C7" s="70" t="inlineStr">
        <is>
          <t>POCL</t>
        </is>
      </c>
      <c r="D7" s="64" t="inlineStr">
        <is>
          <t>Industrial</t>
        </is>
      </c>
      <c r="E7" s="62" t="inlineStr">
        <is>
          <t>Satellite</t>
        </is>
      </c>
      <c r="F7" s="62" t="inlineStr">
        <is>
          <t>Tranch 1</t>
        </is>
      </c>
      <c r="G7" s="66" t="inlineStr">
        <is>
          <t>SELL</t>
        </is>
      </c>
      <c r="H7" s="64" t="inlineStr">
        <is>
          <t>Tranch LTP close to stop loss (&lt; 5% difference)</t>
        </is>
      </c>
      <c r="I7" s="64" t="inlineStr">
        <is>
          <t>No</t>
        </is>
      </c>
      <c r="J7" s="64" t="inlineStr">
        <is>
          <t>Sakthiman- X, Reversing Positively, Wait Mode</t>
        </is>
      </c>
    </row>
    <row r="8" ht="150" customHeight="1" s="87">
      <c r="A8" s="62" t="inlineStr">
        <is>
          <t>29-05-2026</t>
        </is>
      </c>
      <c r="B8" s="62" t="inlineStr">
        <is>
          <t>Satellite</t>
        </is>
      </c>
      <c r="C8" s="67" t="inlineStr">
        <is>
          <t>GAEL</t>
        </is>
      </c>
      <c r="D8" s="64" t="inlineStr">
        <is>
          <t>Consumption</t>
        </is>
      </c>
      <c r="E8" s="62" t="inlineStr">
        <is>
          <t>Satellite</t>
        </is>
      </c>
      <c r="F8" s="62" t="inlineStr">
        <is>
          <t>Cheat 2</t>
        </is>
      </c>
      <c r="G8" s="70" t="inlineStr">
        <is>
          <t>ADD</t>
        </is>
      </c>
      <c r="H8" s="64" t="inlineStr">
        <is>
          <t>Cheat positive return (147 days, 14.90% return, -2.46% return from prev week close)</t>
        </is>
      </c>
      <c r="I8" s="64" t="inlineStr">
        <is>
          <t>No</t>
        </is>
      </c>
      <c r="J8" s="65" t="inlineStr">
        <is>
          <t>Weekly Red Candle 
Shaktimaan shows Green and "C" even though the weekly candle is red
"Green" indicates a positive trend signal
"C" typically suggests consolidation or caution but not a sell signal
In this case, the green color in Shaktimaan outweighs the red candle, meaning the overall trend is still positive.
So, the strategy remains: 🔵 Hold your position for now.</t>
        </is>
      </c>
    </row>
    <row r="9" ht="60" customHeight="1" s="87">
      <c r="A9" s="62" t="inlineStr">
        <is>
          <t>29-05-2026</t>
        </is>
      </c>
      <c r="B9" s="62" t="inlineStr">
        <is>
          <t>Satellite</t>
        </is>
      </c>
      <c r="C9" s="70" t="inlineStr">
        <is>
          <t>NMDC</t>
        </is>
      </c>
      <c r="D9" s="64" t="inlineStr">
        <is>
          <t>Industrial</t>
        </is>
      </c>
      <c r="E9" s="62" t="inlineStr">
        <is>
          <t>Satellite</t>
        </is>
      </c>
      <c r="F9" s="62" t="inlineStr">
        <is>
          <t>Cheat 1</t>
        </is>
      </c>
      <c r="G9" s="70" t="inlineStr">
        <is>
          <t>ADD</t>
        </is>
      </c>
      <c r="H9" s="64" t="inlineStr">
        <is>
          <t>Cheat positive return (147 days, 8.49% return, 4.34% return from prev week close)</t>
        </is>
      </c>
      <c r="I9" s="64" t="inlineStr">
        <is>
          <t>Yes</t>
        </is>
      </c>
      <c r="J9" s="65" t="inlineStr">
        <is>
          <t xml:space="preserve">Weekly candle is higher than previous week closing
Shaktimaan shows B (Green)
Donchian Channel breakout two weekly candles back
The strategy is:  Buy/Add position </t>
        </is>
      </c>
    </row>
    <row r="10" ht="60" customHeight="1" s="87">
      <c r="A10" s="62" t="inlineStr">
        <is>
          <t>29-05-2026</t>
        </is>
      </c>
      <c r="B10" s="62" t="inlineStr">
        <is>
          <t>Satellite</t>
        </is>
      </c>
      <c r="C10" s="70" t="inlineStr">
        <is>
          <t>SEAMECLTD</t>
        </is>
      </c>
      <c r="D10" s="64" t="inlineStr">
        <is>
          <t>Industrial</t>
        </is>
      </c>
      <c r="E10" s="62" t="inlineStr">
        <is>
          <t>Satellite</t>
        </is>
      </c>
      <c r="F10" s="62" t="inlineStr">
        <is>
          <t>Cheat 4</t>
        </is>
      </c>
      <c r="G10" s="70" t="inlineStr">
        <is>
          <t>ADD</t>
        </is>
      </c>
      <c r="H10" s="64" t="inlineStr">
        <is>
          <t>Cheat positive return (119 days, 20.27% return, 1.28% return from prev week close)</t>
        </is>
      </c>
      <c r="I10" s="64" t="inlineStr">
        <is>
          <t xml:space="preserve">No </t>
        </is>
      </c>
      <c r="J10" s="65" t="inlineStr">
        <is>
          <t>This week red candle but current price is above last week's green candle close
Has NOT formed a new weekly high compared to previous week</t>
        </is>
      </c>
    </row>
    <row r="11">
      <c r="A11" s="62" t="inlineStr">
        <is>
          <t>29-05-2026</t>
        </is>
      </c>
      <c r="B11" s="62" t="inlineStr">
        <is>
          <t>Satellite</t>
        </is>
      </c>
      <c r="C11" s="69" t="inlineStr">
        <is>
          <t>CGPOWER</t>
        </is>
      </c>
      <c r="D11" s="64" t="inlineStr">
        <is>
          <t>Industrial</t>
        </is>
      </c>
      <c r="E11" s="62" t="inlineStr">
        <is>
          <t>Satellite</t>
        </is>
      </c>
      <c r="F11" s="62" t="inlineStr">
        <is>
          <t>Cheat 3</t>
        </is>
      </c>
      <c r="G11" s="70" t="inlineStr">
        <is>
          <t>ADD</t>
        </is>
      </c>
      <c r="H11" s="64" t="inlineStr">
        <is>
          <t>Cheat positive return (106 days, 15.78% return, 7.10% return from prev week close)</t>
        </is>
      </c>
      <c r="I11" s="64" t="inlineStr">
        <is>
          <t>Yes</t>
        </is>
      </c>
      <c r="J11" s="64" t="inlineStr">
        <is>
          <t>Green Candle, DC High, Volume almost equivalent to Average</t>
        </is>
      </c>
    </row>
    <row r="12">
      <c r="A12" s="62" t="inlineStr">
        <is>
          <t>29-05-2026</t>
        </is>
      </c>
      <c r="B12" s="62" t="inlineStr">
        <is>
          <t>Satellite</t>
        </is>
      </c>
      <c r="C12" s="69" t="inlineStr">
        <is>
          <t>ASTRAMICRO</t>
        </is>
      </c>
      <c r="D12" s="64" t="inlineStr">
        <is>
          <t>Industrial</t>
        </is>
      </c>
      <c r="E12" s="62" t="inlineStr">
        <is>
          <t>Satellite</t>
        </is>
      </c>
      <c r="F12" s="62" t="inlineStr">
        <is>
          <t>Cheat 1</t>
        </is>
      </c>
      <c r="G12" s="70" t="inlineStr">
        <is>
          <t>ADD</t>
        </is>
      </c>
      <c r="H12" s="64" t="inlineStr">
        <is>
          <t>Cheat positive return (32 days, 22.88% return, 19.39% return from prev week close)</t>
        </is>
      </c>
      <c r="I12" s="64" t="inlineStr">
        <is>
          <t>Yes</t>
        </is>
      </c>
      <c r="J12" s="64" t="inlineStr">
        <is>
          <t>Green candle, DC high, Above Average Volume</t>
        </is>
      </c>
    </row>
    <row r="13">
      <c r="A13" s="62" t="inlineStr">
        <is>
          <t>29-05-2026</t>
        </is>
      </c>
      <c r="B13" s="62" t="inlineStr">
        <is>
          <t>Satellite</t>
        </is>
      </c>
      <c r="C13" s="66" t="inlineStr">
        <is>
          <t>ADANIENT</t>
        </is>
      </c>
      <c r="D13" s="64" t="inlineStr">
        <is>
          <t>Industrial</t>
        </is>
      </c>
      <c r="E13" s="62" t="inlineStr">
        <is>
          <t>Satellite</t>
        </is>
      </c>
      <c r="F13" s="62" t="inlineStr">
        <is>
          <t>Cheat 1</t>
        </is>
      </c>
      <c r="G13" s="70" t="inlineStr">
        <is>
          <t>ADD</t>
        </is>
      </c>
      <c r="H13" s="64" t="inlineStr">
        <is>
          <t>Cheat positive return (14 days, 8.42% return, 8.81% return from prev week close)</t>
        </is>
      </c>
      <c r="I13" s="64" t="inlineStr">
        <is>
          <t>Yes</t>
        </is>
      </c>
      <c r="J13" s="64" t="inlineStr">
        <is>
          <t>Green candle, DC high, Above Average Volume</t>
        </is>
      </c>
    </row>
    <row r="14">
      <c r="A14" s="62" t="inlineStr">
        <is>
          <t>29-05-2026</t>
        </is>
      </c>
      <c r="B14" s="62" t="inlineStr">
        <is>
          <t>Satellite</t>
        </is>
      </c>
      <c r="C14" s="67" t="inlineStr">
        <is>
          <t>TATATECH</t>
        </is>
      </c>
      <c r="D14" s="64" t="inlineStr">
        <is>
          <t>Tech / Platform / IT</t>
        </is>
      </c>
      <c r="E14" s="62" t="inlineStr">
        <is>
          <t>Satellite</t>
        </is>
      </c>
      <c r="F14" s="62" t="inlineStr">
        <is>
          <t>Cheat 1</t>
        </is>
      </c>
      <c r="G14" s="70" t="inlineStr">
        <is>
          <t>ADD</t>
        </is>
      </c>
      <c r="H14" s="64" t="inlineStr">
        <is>
          <t>Cheat positive return (10 days, 6.41% return, 6.28% return from prev week close)</t>
        </is>
      </c>
      <c r="I14" s="64" t="inlineStr">
        <is>
          <t>Yes</t>
        </is>
      </c>
      <c r="J14" s="64" t="inlineStr">
        <is>
          <t>Green candle, DC high, Above Average Volume</t>
        </is>
      </c>
    </row>
    <row r="15">
      <c r="A15" s="62" t="inlineStr">
        <is>
          <t>29-05-2026</t>
        </is>
      </c>
      <c r="B15" s="62" t="inlineStr">
        <is>
          <t>Satellite</t>
        </is>
      </c>
      <c r="C15" s="69" t="inlineStr">
        <is>
          <t>APOLLO</t>
        </is>
      </c>
      <c r="D15" s="64" t="inlineStr">
        <is>
          <t>Industrial</t>
        </is>
      </c>
      <c r="E15" s="62" t="inlineStr">
        <is>
          <t>Satellite</t>
        </is>
      </c>
      <c r="F15" s="62" t="inlineStr">
        <is>
          <t>Tranch 1</t>
        </is>
      </c>
      <c r="G15" s="70" t="inlineStr">
        <is>
          <t>ADD</t>
        </is>
      </c>
      <c r="H15" s="64" t="inlineStr">
        <is>
          <t>Tranch LTP above previous week close [&gt; 5%] (15.93% above)</t>
        </is>
      </c>
      <c r="I15" s="64" t="inlineStr">
        <is>
          <t>Yes</t>
        </is>
      </c>
      <c r="J15" s="64" t="inlineStr">
        <is>
          <t>Green candle, DC high, Above Average Volume</t>
        </is>
      </c>
    </row>
    <row r="16">
      <c r="A16" s="62" t="inlineStr">
        <is>
          <t>29-05-2026</t>
        </is>
      </c>
      <c r="B16" s="62" t="inlineStr">
        <is>
          <t>Satellite</t>
        </is>
      </c>
      <c r="C16" s="68" t="inlineStr">
        <is>
          <t>BALAMINES</t>
        </is>
      </c>
      <c r="D16" s="64" t="inlineStr">
        <is>
          <t>Health / Pharma / Chem</t>
        </is>
      </c>
      <c r="E16" s="62" t="inlineStr">
        <is>
          <t>Satellite</t>
        </is>
      </c>
      <c r="F16" s="62" t="inlineStr">
        <is>
          <t>Tranch 1</t>
        </is>
      </c>
      <c r="G16" s="70" t="inlineStr">
        <is>
          <t>ADD</t>
        </is>
      </c>
      <c r="H16" s="64" t="inlineStr">
        <is>
          <t>Tranch LTP above previous week close [0 to 5%] (0.10% above)</t>
        </is>
      </c>
      <c r="I16" s="64" t="inlineStr">
        <is>
          <t>NO</t>
        </is>
      </c>
      <c r="J16" s="64" t="inlineStr">
        <is>
          <t>Red Candle, DC high, Sakthiman C</t>
        </is>
      </c>
    </row>
    <row r="17">
      <c r="A17" s="62" t="inlineStr">
        <is>
          <t>29-05-2026</t>
        </is>
      </c>
      <c r="B17" s="62" t="inlineStr">
        <is>
          <t>Satellite</t>
        </is>
      </c>
      <c r="C17" s="69" t="inlineStr">
        <is>
          <t>CUPID</t>
        </is>
      </c>
      <c r="D17" s="64" t="inlineStr">
        <is>
          <t>Consumption</t>
        </is>
      </c>
      <c r="E17" s="62" t="inlineStr">
        <is>
          <t>Satellite</t>
        </is>
      </c>
      <c r="F17" s="62" t="inlineStr">
        <is>
          <t>Tranch 2</t>
        </is>
      </c>
      <c r="G17" s="70" t="inlineStr">
        <is>
          <t>ADD</t>
        </is>
      </c>
      <c r="H17" s="64" t="inlineStr">
        <is>
          <t>Tranch LTP above previous week close [&gt; 5%] (7.82% above)</t>
        </is>
      </c>
      <c r="I17" s="64" t="n"/>
      <c r="J17" s="64" t="n"/>
    </row>
    <row r="18">
      <c r="A18" s="62" t="inlineStr">
        <is>
          <t>29-05-2026</t>
        </is>
      </c>
      <c r="B18" s="62" t="inlineStr">
        <is>
          <t>Satellite</t>
        </is>
      </c>
      <c r="C18" s="67" t="inlineStr">
        <is>
          <t>HINDALCO</t>
        </is>
      </c>
      <c r="D18" s="64" t="inlineStr">
        <is>
          <t>Industrial</t>
        </is>
      </c>
      <c r="E18" s="62" t="inlineStr">
        <is>
          <t>Satellite</t>
        </is>
      </c>
      <c r="F18" s="62" t="inlineStr">
        <is>
          <t>Tranch 3</t>
        </is>
      </c>
      <c r="G18" s="70" t="inlineStr">
        <is>
          <t>ADD</t>
        </is>
      </c>
      <c r="H18" s="64" t="inlineStr">
        <is>
          <t>Tranch LTP above previous week close [0 to 5%] (3.07% above)</t>
        </is>
      </c>
      <c r="I18" s="64" t="n"/>
      <c r="J18" s="64" t="n"/>
    </row>
    <row r="19">
      <c r="A19" s="62" t="inlineStr">
        <is>
          <t>29-05-2026</t>
        </is>
      </c>
      <c r="B19" s="62" t="inlineStr">
        <is>
          <t>Satellite</t>
        </is>
      </c>
      <c r="C19" s="68" t="inlineStr">
        <is>
          <t>ADANIENSOL</t>
        </is>
      </c>
      <c r="D19" s="64" t="n"/>
      <c r="E19" s="62" t="inlineStr">
        <is>
          <t>Satellite</t>
        </is>
      </c>
      <c r="F19" s="62" t="inlineStr">
        <is>
          <t>Watchlist</t>
        </is>
      </c>
      <c r="G19" s="68" t="inlineStr">
        <is>
          <t>BUY</t>
        </is>
      </c>
      <c r="H19" s="64" t="inlineStr">
        <is>
          <t>Buy breakout (RSI: 74.3, ADX: 33.0, Vol: +53% above average)</t>
        </is>
      </c>
      <c r="I19" s="64" t="n"/>
      <c r="J19" s="64" t="n"/>
    </row>
    <row r="20">
      <c r="A20" s="62" t="inlineStr">
        <is>
          <t>29-05-2026</t>
        </is>
      </c>
      <c r="B20" s="62" t="inlineStr">
        <is>
          <t>Satellite</t>
        </is>
      </c>
      <c r="C20" s="69" t="inlineStr">
        <is>
          <t>HFCL</t>
        </is>
      </c>
      <c r="D20" s="64" t="n"/>
      <c r="E20" s="62" t="inlineStr">
        <is>
          <t>Satellite</t>
        </is>
      </c>
      <c r="F20" s="62" t="inlineStr">
        <is>
          <t>Watchlist</t>
        </is>
      </c>
      <c r="G20" s="68" t="inlineStr">
        <is>
          <t>BUY</t>
        </is>
      </c>
      <c r="H20" s="64" t="inlineStr">
        <is>
          <t>Buy breakout (RSI: 91.9, ADX: 39.5, Vol: +68% above average)</t>
        </is>
      </c>
      <c r="I20" s="64" t="n"/>
      <c r="J20" s="64" t="n"/>
    </row>
    <row r="21">
      <c r="A21" s="62" t="inlineStr">
        <is>
          <t>29-05-2026</t>
        </is>
      </c>
      <c r="B21" s="62" t="inlineStr">
        <is>
          <t>Satellite</t>
        </is>
      </c>
      <c r="C21" s="70" t="inlineStr">
        <is>
          <t>MAYURUNIQ</t>
        </is>
      </c>
      <c r="D21" s="64" t="n"/>
      <c r="E21" s="62" t="inlineStr">
        <is>
          <t>Satellite</t>
        </is>
      </c>
      <c r="F21" s="62" t="inlineStr">
        <is>
          <t>Watchlist</t>
        </is>
      </c>
      <c r="G21" s="68" t="inlineStr">
        <is>
          <t>BUY</t>
        </is>
      </c>
      <c r="H21" s="64" t="inlineStr">
        <is>
          <t>Buy breakout (RSI: 79.5, ADX: 28.3, Vol: +83% above average)</t>
        </is>
      </c>
      <c r="I21" s="64" t="n"/>
      <c r="J21" s="64" t="n"/>
    </row>
    <row r="22">
      <c r="A22" s="62" t="inlineStr">
        <is>
          <t>29-05-2026</t>
        </is>
      </c>
      <c r="B22" s="62" t="inlineStr">
        <is>
          <t>Satellite</t>
        </is>
      </c>
      <c r="C22" s="70" t="inlineStr">
        <is>
          <t>NGLFINE</t>
        </is>
      </c>
      <c r="D22" s="64" t="n"/>
      <c r="E22" s="62" t="inlineStr">
        <is>
          <t>Satellite</t>
        </is>
      </c>
      <c r="F22" s="62" t="inlineStr">
        <is>
          <t>Watchlist</t>
        </is>
      </c>
      <c r="G22" s="68" t="inlineStr">
        <is>
          <t>BUY</t>
        </is>
      </c>
      <c r="H22" s="64" t="inlineStr">
        <is>
          <t>Buy breakout (RSI: 77.5, ADX: 65.9, Vol: +199% above average)</t>
        </is>
      </c>
      <c r="I22" s="64" t="n"/>
      <c r="J22" s="64" t="n"/>
    </row>
    <row r="23">
      <c r="A23" s="62" t="inlineStr">
        <is>
          <t>29-05-2026</t>
        </is>
      </c>
      <c r="B23" s="62" t="inlineStr">
        <is>
          <t>Satellite</t>
        </is>
      </c>
      <c r="C23" s="70" t="inlineStr">
        <is>
          <t>SHILPAMED</t>
        </is>
      </c>
      <c r="D23" s="64" t="n"/>
      <c r="E23" s="62" t="inlineStr">
        <is>
          <t>Satellite</t>
        </is>
      </c>
      <c r="F23" s="62" t="inlineStr">
        <is>
          <t>Watchlist</t>
        </is>
      </c>
      <c r="G23" s="68" t="inlineStr">
        <is>
          <t>BUY</t>
        </is>
      </c>
      <c r="H23" s="64" t="inlineStr">
        <is>
          <t>Buy breakout (RSI: 75.8, ADX: 37.8, Vol: +104% above average)</t>
        </is>
      </c>
      <c r="I23" s="64" t="n"/>
      <c r="J23" s="64" t="n"/>
    </row>
    <row r="24">
      <c r="A24" s="62" t="inlineStr">
        <is>
          <t>29-05-2026</t>
        </is>
      </c>
      <c r="B24" s="62" t="inlineStr">
        <is>
          <t>Satellite</t>
        </is>
      </c>
      <c r="C24" s="68" t="inlineStr">
        <is>
          <t>SPARC</t>
        </is>
      </c>
      <c r="D24" s="64" t="n"/>
      <c r="E24" s="62" t="inlineStr">
        <is>
          <t>Satellite</t>
        </is>
      </c>
      <c r="F24" s="62" t="inlineStr">
        <is>
          <t>Watchlist</t>
        </is>
      </c>
      <c r="G24" s="68" t="inlineStr">
        <is>
          <t>BUY</t>
        </is>
      </c>
      <c r="H24" s="64" t="inlineStr">
        <is>
          <t>Buy breakout (RSI: 75.3, ADX: 44.3, Vol: +511% above average)</t>
        </is>
      </c>
      <c r="I24" s="64" t="n"/>
      <c r="J24" s="64" t="n"/>
    </row>
    <row r="25">
      <c r="A25" s="62" t="inlineStr">
        <is>
          <t>29-05-2026</t>
        </is>
      </c>
      <c r="B25" s="62" t="inlineStr">
        <is>
          <t>Satellite</t>
        </is>
      </c>
      <c r="C25" s="69" t="inlineStr">
        <is>
          <t>SUPRIYA</t>
        </is>
      </c>
      <c r="D25" s="64" t="n"/>
      <c r="E25" s="62" t="inlineStr">
        <is>
          <t>Satellite</t>
        </is>
      </c>
      <c r="F25" s="62" t="inlineStr">
        <is>
          <t>Watchlist</t>
        </is>
      </c>
      <c r="G25" s="68" t="inlineStr">
        <is>
          <t>BUY</t>
        </is>
      </c>
      <c r="H25" s="64" t="inlineStr">
        <is>
          <t>Buy breakout (RSI: 78.9, ADX: 25.8, Vol: +420% above average)</t>
        </is>
      </c>
      <c r="I25" s="64" t="n"/>
      <c r="J25" s="64" t="n"/>
    </row>
    <row r="26">
      <c r="A26" s="62" t="inlineStr">
        <is>
          <t>29-05-2026</t>
        </is>
      </c>
      <c r="B26" s="62" t="inlineStr">
        <is>
          <t>Satellite</t>
        </is>
      </c>
      <c r="C26" s="70" t="inlineStr">
        <is>
          <t>SUVEN</t>
        </is>
      </c>
      <c r="D26" s="64" t="n"/>
      <c r="E26" s="62" t="inlineStr">
        <is>
          <t>Satellite</t>
        </is>
      </c>
      <c r="F26" s="62" t="inlineStr">
        <is>
          <t>Watchlist</t>
        </is>
      </c>
      <c r="G26" s="68" t="inlineStr">
        <is>
          <t>BUY</t>
        </is>
      </c>
      <c r="H26" s="64" t="inlineStr">
        <is>
          <t>Buy breakout (RSI: 76.7, ADX: 34.5, Vol: +34% above average)</t>
        </is>
      </c>
      <c r="I26" s="64" t="n"/>
      <c r="J26" s="64" t="n"/>
    </row>
    <row r="27">
      <c r="A27" s="62" t="inlineStr">
        <is>
          <t>29-05-2026</t>
        </is>
      </c>
      <c r="B27" s="62" t="inlineStr">
        <is>
          <t>Satellite</t>
        </is>
      </c>
      <c r="C27" s="68" t="inlineStr">
        <is>
          <t>THERMAX</t>
        </is>
      </c>
      <c r="D27" s="64" t="n"/>
      <c r="E27" s="62" t="inlineStr">
        <is>
          <t>Satellite</t>
        </is>
      </c>
      <c r="F27" s="62" t="inlineStr">
        <is>
          <t>Watchlist</t>
        </is>
      </c>
      <c r="G27" s="68" t="inlineStr">
        <is>
          <t>BUY</t>
        </is>
      </c>
      <c r="H27" s="64" t="inlineStr">
        <is>
          <t>Buy breakout (RSI: 79.8, ADX: 31.5, Vol: +52% above average)</t>
        </is>
      </c>
      <c r="I27" s="64" t="inlineStr">
        <is>
          <t>yes</t>
        </is>
      </c>
      <c r="J27" s="64" t="n"/>
    </row>
    <row r="28">
      <c r="A28" s="63" t="n">
        <v>46028</v>
      </c>
      <c r="B28" s="62" t="inlineStr">
        <is>
          <t>Satellite</t>
        </is>
      </c>
      <c r="C28" s="68" t="inlineStr">
        <is>
          <t>ABB</t>
        </is>
      </c>
      <c r="D28" s="64" t="n"/>
      <c r="E28" s="62" t="inlineStr">
        <is>
          <t>Satellite</t>
        </is>
      </c>
      <c r="F28" s="62" t="inlineStr">
        <is>
          <t>Watchlist</t>
        </is>
      </c>
      <c r="G28" s="68" t="inlineStr">
        <is>
          <t>BUY</t>
        </is>
      </c>
      <c r="H28" s="64" t="inlineStr">
        <is>
          <t>Buy breakout (RSI: 66.3, ADX: 38.1, Vol: +50% above average)</t>
        </is>
      </c>
      <c r="I28" s="64" t="n"/>
      <c r="J28" s="64" t="n"/>
    </row>
    <row r="29">
      <c r="A29" s="63" t="n">
        <v>46028</v>
      </c>
      <c r="B29" s="62" t="inlineStr">
        <is>
          <t>Satellite</t>
        </is>
      </c>
      <c r="C29" s="68" t="inlineStr">
        <is>
          <t>ADANIENSOL</t>
        </is>
      </c>
      <c r="D29" s="64" t="n"/>
      <c r="E29" s="62" t="inlineStr">
        <is>
          <t>Satellite</t>
        </is>
      </c>
      <c r="F29" s="62" t="inlineStr">
        <is>
          <t>Watchlist</t>
        </is>
      </c>
      <c r="G29" s="68" t="inlineStr">
        <is>
          <t>BUY</t>
        </is>
      </c>
      <c r="H29" s="64" t="inlineStr">
        <is>
          <t>Buy breakout (RSI: 73.5, ADX: 33.0, Vol: +89% above average)</t>
        </is>
      </c>
      <c r="I29" s="64" t="n"/>
      <c r="J29" s="64" t="n"/>
    </row>
    <row r="30">
      <c r="A30" s="63" t="n">
        <v>46028</v>
      </c>
      <c r="B30" s="62" t="inlineStr">
        <is>
          <t>Satellite</t>
        </is>
      </c>
      <c r="C30" s="68" t="inlineStr">
        <is>
          <t>CONFIPET</t>
        </is>
      </c>
      <c r="D30" s="64" t="n"/>
      <c r="E30" s="62" t="inlineStr">
        <is>
          <t>Satellite</t>
        </is>
      </c>
      <c r="F30" s="62" t="inlineStr">
        <is>
          <t>Watchlist</t>
        </is>
      </c>
      <c r="G30" s="68" t="inlineStr">
        <is>
          <t>BUY</t>
        </is>
      </c>
      <c r="H30" s="64" t="inlineStr">
        <is>
          <t>Buy breakout (RSI: 74.6, ADX: 55.7, Vol: +12% above average)</t>
        </is>
      </c>
      <c r="I30" s="64" t="n"/>
      <c r="J30" s="64" t="n"/>
    </row>
    <row r="31">
      <c r="A31" s="63" t="n">
        <v>46028</v>
      </c>
      <c r="B31" s="62" t="inlineStr">
        <is>
          <t>Satellite</t>
        </is>
      </c>
      <c r="C31" s="68" t="inlineStr">
        <is>
          <t>E2E</t>
        </is>
      </c>
      <c r="D31" s="64" t="n"/>
      <c r="E31" s="62" t="inlineStr">
        <is>
          <t>Satellite</t>
        </is>
      </c>
      <c r="F31" s="62" t="inlineStr">
        <is>
          <t>Watchlist</t>
        </is>
      </c>
      <c r="G31" s="68" t="inlineStr">
        <is>
          <t>BUY</t>
        </is>
      </c>
      <c r="H31" s="64" t="inlineStr">
        <is>
          <t>Buy breakout (RSI: 70.5, ADX: 28.6, Vol: +78% above average)</t>
        </is>
      </c>
      <c r="I31" s="64" t="n"/>
      <c r="J31" s="64" t="n"/>
    </row>
    <row r="32">
      <c r="A32" s="63" t="n">
        <v>46028</v>
      </c>
      <c r="B32" s="62" t="inlineStr">
        <is>
          <t>Satellite</t>
        </is>
      </c>
      <c r="C32" s="68" t="inlineStr">
        <is>
          <t>EXIDEIND</t>
        </is>
      </c>
      <c r="D32" s="64" t="n"/>
      <c r="E32" s="62" t="inlineStr">
        <is>
          <t>Satellite</t>
        </is>
      </c>
      <c r="F32" s="62" t="inlineStr">
        <is>
          <t>Watchlist</t>
        </is>
      </c>
      <c r="G32" s="68" t="inlineStr">
        <is>
          <t>BUY</t>
        </is>
      </c>
      <c r="H32" s="64" t="inlineStr">
        <is>
          <t>Buy breakout (RSI: 63.5, ADX: 28.0, Vol: +239% above average)</t>
        </is>
      </c>
      <c r="I32" s="64" t="n"/>
      <c r="J32" s="64" t="n"/>
    </row>
    <row r="33">
      <c r="A33" s="63" t="n">
        <v>46028</v>
      </c>
      <c r="B33" s="62" t="inlineStr">
        <is>
          <t>Satellite</t>
        </is>
      </c>
      <c r="C33" s="68" t="inlineStr">
        <is>
          <t>FCL</t>
        </is>
      </c>
      <c r="D33" s="64" t="n"/>
      <c r="E33" s="62" t="inlineStr">
        <is>
          <t>Satellite</t>
        </is>
      </c>
      <c r="F33" s="62" t="inlineStr">
        <is>
          <t>Watchlist</t>
        </is>
      </c>
      <c r="G33" s="68" t="inlineStr">
        <is>
          <t>BUY</t>
        </is>
      </c>
      <c r="H33" s="64" t="inlineStr">
        <is>
          <t>Buy breakout (RSI: 76.4, ADX: 35.1, Vol: +468% above average)</t>
        </is>
      </c>
      <c r="I33" s="64" t="n"/>
      <c r="J33" s="64" t="n"/>
    </row>
    <row r="34">
      <c r="A34" s="63" t="n">
        <v>46028</v>
      </c>
      <c r="B34" s="62" t="inlineStr">
        <is>
          <t>Satellite</t>
        </is>
      </c>
      <c r="C34" s="68" t="inlineStr">
        <is>
          <t>FINCABLES</t>
        </is>
      </c>
      <c r="D34" s="64" t="n"/>
      <c r="E34" s="62" t="inlineStr">
        <is>
          <t>Satellite</t>
        </is>
      </c>
      <c r="F34" s="62" t="inlineStr">
        <is>
          <t>Watchlist</t>
        </is>
      </c>
      <c r="G34" s="68" t="inlineStr">
        <is>
          <t>BUY</t>
        </is>
      </c>
      <c r="H34" s="64" t="inlineStr">
        <is>
          <t>Buy breakout (RSI: 66.8, ADX: 34.8, Vol: +108% above average)</t>
        </is>
      </c>
      <c r="I34" s="64" t="n"/>
      <c r="J34" s="64" t="n"/>
    </row>
    <row r="35">
      <c r="A35" s="63" t="n">
        <v>46028</v>
      </c>
      <c r="B35" s="62" t="inlineStr">
        <is>
          <t>Satellite</t>
        </is>
      </c>
      <c r="C35" s="68" t="inlineStr">
        <is>
          <t>MARKSANS</t>
        </is>
      </c>
      <c r="D35" s="64" t="n"/>
      <c r="E35" s="62" t="inlineStr">
        <is>
          <t>Satellite</t>
        </is>
      </c>
      <c r="F35" s="62" t="inlineStr">
        <is>
          <t>Watchlist</t>
        </is>
      </c>
      <c r="G35" s="68" t="inlineStr">
        <is>
          <t>BUY</t>
        </is>
      </c>
      <c r="H35" s="64" t="inlineStr">
        <is>
          <t>Buy breakout (RSI: 75.4, ADX: 26.9, Vol: +720% above average)</t>
        </is>
      </c>
      <c r="I35" s="64" t="n"/>
      <c r="J35" s="64" t="n"/>
    </row>
    <row r="36">
      <c r="A36" s="63" t="n">
        <v>46028</v>
      </c>
      <c r="B36" s="62" t="inlineStr">
        <is>
          <t>Satellite</t>
        </is>
      </c>
      <c r="C36" s="68" t="inlineStr">
        <is>
          <t>MOLDTKPAC</t>
        </is>
      </c>
      <c r="D36" s="64" t="n"/>
      <c r="E36" s="62" t="inlineStr">
        <is>
          <t>Satellite</t>
        </is>
      </c>
      <c r="F36" s="62" t="inlineStr">
        <is>
          <t>Watchlist</t>
        </is>
      </c>
      <c r="G36" s="68" t="inlineStr">
        <is>
          <t>BUY</t>
        </is>
      </c>
      <c r="H36" s="64" t="inlineStr">
        <is>
          <t>Buy breakout (RSI: 63.7, ADX: 26.2, Vol: +8% above average)</t>
        </is>
      </c>
      <c r="I36" s="64" t="n"/>
      <c r="J36" s="64" t="n"/>
    </row>
    <row r="37">
      <c r="A37" s="63" t="n">
        <v>46028</v>
      </c>
      <c r="B37" s="62" t="inlineStr">
        <is>
          <t>Satellite</t>
        </is>
      </c>
      <c r="C37" s="70" t="inlineStr">
        <is>
          <t>NETWEB</t>
        </is>
      </c>
      <c r="D37" s="64" t="n"/>
      <c r="E37" s="62" t="inlineStr">
        <is>
          <t>Satellite</t>
        </is>
      </c>
      <c r="F37" s="62" t="inlineStr">
        <is>
          <t>Watchlist</t>
        </is>
      </c>
      <c r="G37" s="68" t="inlineStr">
        <is>
          <t>BUY</t>
        </is>
      </c>
      <c r="H37" s="64" t="inlineStr">
        <is>
          <t>Buy breakout (RSI: 65.9, ADX: 45.1, Vol: +156% above average)</t>
        </is>
      </c>
      <c r="I37" s="64" t="n"/>
      <c r="J37" s="64" t="n"/>
    </row>
    <row r="38">
      <c r="A38" s="63" t="n">
        <v>46028</v>
      </c>
      <c r="B38" s="62" t="inlineStr">
        <is>
          <t>Satellite</t>
        </is>
      </c>
      <c r="C38" s="68" t="inlineStr">
        <is>
          <t>SKIPPER</t>
        </is>
      </c>
      <c r="D38" s="64" t="n"/>
      <c r="E38" s="62" t="inlineStr">
        <is>
          <t>Satellite</t>
        </is>
      </c>
      <c r="F38" s="62" t="inlineStr">
        <is>
          <t>Watchlist</t>
        </is>
      </c>
      <c r="G38" s="68" t="inlineStr">
        <is>
          <t>BUY</t>
        </is>
      </c>
      <c r="H38" s="64" t="inlineStr">
        <is>
          <t>Buy breakout (RSI: 71.4, ADX: 31.9, Vol: +277% above average)</t>
        </is>
      </c>
      <c r="I38" s="64" t="n"/>
      <c r="J38" s="64" t="n"/>
    </row>
    <row r="39">
      <c r="A39" s="63" t="n">
        <v>46028</v>
      </c>
      <c r="B39" s="62" t="inlineStr">
        <is>
          <t>Satellite</t>
        </is>
      </c>
      <c r="C39" s="70" t="inlineStr">
        <is>
          <t>SUVEN</t>
        </is>
      </c>
      <c r="D39" s="64" t="n"/>
      <c r="E39" s="62" t="inlineStr">
        <is>
          <t>Satellite</t>
        </is>
      </c>
      <c r="F39" s="62" t="inlineStr">
        <is>
          <t>Watchlist</t>
        </is>
      </c>
      <c r="G39" s="68" t="inlineStr">
        <is>
          <t>BUY</t>
        </is>
      </c>
      <c r="H39" s="64" t="inlineStr">
        <is>
          <t>Buy breakout (RSI: 76.2, ADX: 34.5, Vol: +109% above average)</t>
        </is>
      </c>
      <c r="I39" s="64" t="n"/>
      <c r="J39" s="64" t="n"/>
    </row>
    <row r="40">
      <c r="A40" s="63" t="n">
        <v>46028</v>
      </c>
      <c r="B40" s="62" t="inlineStr">
        <is>
          <t>Satellite</t>
        </is>
      </c>
      <c r="C40" s="68" t="inlineStr">
        <is>
          <t>TRITURBINE</t>
        </is>
      </c>
      <c r="D40" s="64" t="n"/>
      <c r="E40" s="62" t="inlineStr">
        <is>
          <t>Satellite</t>
        </is>
      </c>
      <c r="F40" s="62" t="inlineStr">
        <is>
          <t>Watchlist</t>
        </is>
      </c>
      <c r="G40" s="68" t="inlineStr">
        <is>
          <t>BUY</t>
        </is>
      </c>
      <c r="H40" s="64" t="inlineStr">
        <is>
          <t>Buy breakout (RSI: 82.1, ADX: 26.6, Vol: +74% above average)</t>
        </is>
      </c>
      <c r="I40" s="64" t="n"/>
      <c r="J40" s="64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87" min="1" max="1"/>
    <col width="12" customWidth="1" style="87" min="2" max="2"/>
    <col width="14" customWidth="1" style="87" min="3" max="3"/>
    <col width="12" customWidth="1" style="87" min="4" max="4"/>
    <col width="10" customWidth="1" style="87" min="5" max="5"/>
    <col width="10" customWidth="1" style="87" min="6" max="6"/>
    <col width="10" customWidth="1" style="87" min="7" max="7"/>
    <col width="12" customWidth="1" style="87" min="8" max="8"/>
    <col width="10" customWidth="1" style="87" min="9" max="9"/>
    <col width="10" customWidth="1" style="87" min="10" max="10"/>
    <col width="19" customWidth="1" style="87" min="11" max="11"/>
    <col width="11" customWidth="1" style="87" min="12" max="12"/>
    <col width="21" customWidth="1" style="87" min="13" max="13"/>
    <col width="22" customWidth="1" style="87" min="14" max="14"/>
    <col width="12" customWidth="1" style="87" min="15" max="15"/>
  </cols>
  <sheetData>
    <row r="1">
      <c r="A1" s="114" t="inlineStr">
        <is>
          <t>Unnamed: 0.1</t>
        </is>
      </c>
      <c r="B1" s="114" t="inlineStr">
        <is>
          <t>Symbol</t>
        </is>
      </c>
      <c r="C1" s="114" t="inlineStr">
        <is>
          <t>ISIN</t>
        </is>
      </c>
      <c r="D1" s="114" t="inlineStr">
        <is>
          <t>Trade Date</t>
        </is>
      </c>
      <c r="E1" s="114" t="inlineStr">
        <is>
          <t>Exchange</t>
        </is>
      </c>
      <c r="F1" s="114" t="inlineStr">
        <is>
          <t>Segment</t>
        </is>
      </c>
      <c r="G1" s="114" t="inlineStr">
        <is>
          <t>Series</t>
        </is>
      </c>
      <c r="H1" s="114" t="inlineStr">
        <is>
          <t>Trade Type</t>
        </is>
      </c>
      <c r="I1" s="114" t="inlineStr">
        <is>
          <t>Auction</t>
        </is>
      </c>
      <c r="J1" s="114" t="inlineStr">
        <is>
          <t>Quantity</t>
        </is>
      </c>
      <c r="K1" s="114" t="inlineStr">
        <is>
          <t>Price</t>
        </is>
      </c>
      <c r="L1" s="114" t="inlineStr">
        <is>
          <t>Trade ID</t>
        </is>
      </c>
      <c r="M1" s="114" t="inlineStr">
        <is>
          <t>Order ID</t>
        </is>
      </c>
      <c r="N1" s="114" t="inlineStr">
        <is>
          <t>Order Execution Time</t>
        </is>
      </c>
      <c r="O1" s="114" t="inlineStr">
        <is>
          <t>Unnamed: 0</t>
        </is>
      </c>
    </row>
    <row r="2">
      <c r="A2" s="115" t="inlineStr"/>
      <c r="B2" s="115" t="inlineStr">
        <is>
          <t>POLYCAB</t>
        </is>
      </c>
      <c r="C2" s="115" t="inlineStr">
        <is>
          <t>INE455K01017</t>
        </is>
      </c>
      <c r="D2" s="115" t="inlineStr">
        <is>
          <t>2025-09-08</t>
        </is>
      </c>
      <c r="E2" s="115" t="inlineStr">
        <is>
          <t>NSE</t>
        </is>
      </c>
      <c r="F2" s="115" t="inlineStr">
        <is>
          <t>EQ</t>
        </is>
      </c>
      <c r="G2" s="115" t="inlineStr">
        <is>
          <t>EQ</t>
        </is>
      </c>
      <c r="H2" s="115" t="inlineStr">
        <is>
          <t>buy</t>
        </is>
      </c>
      <c r="I2" s="115" t="b">
        <v>0</v>
      </c>
      <c r="J2" s="115" t="n">
        <v>13</v>
      </c>
      <c r="K2" s="115" t="n">
        <v>7343</v>
      </c>
      <c r="L2" s="116" t="n">
        <v>405271862</v>
      </c>
      <c r="M2" s="116" t="n">
        <v>1200000047930385</v>
      </c>
      <c r="N2" s="115" t="inlineStr">
        <is>
          <t>2025-09-08T13:01:01</t>
        </is>
      </c>
      <c r="O2" s="115" t="inlineStr"/>
    </row>
    <row r="3">
      <c r="A3" s="115" t="inlineStr"/>
      <c r="B3" s="115" t="inlineStr">
        <is>
          <t>CIPLA</t>
        </is>
      </c>
      <c r="C3" s="115" t="inlineStr">
        <is>
          <t>INE059A01026</t>
        </is>
      </c>
      <c r="D3" s="115" t="inlineStr">
        <is>
          <t>2025-09-08</t>
        </is>
      </c>
      <c r="E3" s="115" t="inlineStr">
        <is>
          <t>NSE</t>
        </is>
      </c>
      <c r="F3" s="115" t="inlineStr">
        <is>
          <t>EQ</t>
        </is>
      </c>
      <c r="G3" s="115" t="inlineStr">
        <is>
          <t>EQ</t>
        </is>
      </c>
      <c r="H3" s="115" t="inlineStr">
        <is>
          <t>buy</t>
        </is>
      </c>
      <c r="I3" s="115" t="b">
        <v>0</v>
      </c>
      <c r="J3" s="115" t="n">
        <v>64</v>
      </c>
      <c r="K3" s="115" t="n">
        <v>1548.9</v>
      </c>
      <c r="L3" s="116" t="n">
        <v>3877073</v>
      </c>
      <c r="M3" s="116" t="n">
        <v>1000000036265725</v>
      </c>
      <c r="N3" s="115" t="inlineStr">
        <is>
          <t>2025-09-08T13:15:31</t>
        </is>
      </c>
      <c r="O3" s="115" t="inlineStr"/>
    </row>
    <row r="4">
      <c r="A4" s="115" t="inlineStr"/>
      <c r="B4" s="115" t="inlineStr">
        <is>
          <t>HBLENGINE</t>
        </is>
      </c>
      <c r="C4" s="115" t="inlineStr">
        <is>
          <t>INE292B01021</t>
        </is>
      </c>
      <c r="D4" s="115" t="inlineStr">
        <is>
          <t>2025-09-08</t>
        </is>
      </c>
      <c r="E4" s="115" t="inlineStr">
        <is>
          <t>NSE</t>
        </is>
      </c>
      <c r="F4" s="115" t="inlineStr">
        <is>
          <t>EQ</t>
        </is>
      </c>
      <c r="G4" s="115" t="inlineStr">
        <is>
          <t>EQ</t>
        </is>
      </c>
      <c r="H4" s="115" t="inlineStr">
        <is>
          <t>buy</t>
        </is>
      </c>
      <c r="I4" s="115" t="b">
        <v>0</v>
      </c>
      <c r="J4" s="115" t="n">
        <v>7</v>
      </c>
      <c r="K4" s="115" t="n">
        <v>844.15</v>
      </c>
      <c r="L4" s="116" t="n">
        <v>205329072</v>
      </c>
      <c r="M4" s="116" t="n">
        <v>1100000044831951</v>
      </c>
      <c r="N4" s="115" t="inlineStr">
        <is>
          <t>2025-09-08T13:22:33</t>
        </is>
      </c>
      <c r="O4" s="115" t="inlineStr"/>
    </row>
    <row r="5">
      <c r="A5" s="115" t="inlineStr"/>
      <c r="B5" s="115" t="inlineStr">
        <is>
          <t>HBLENGINE</t>
        </is>
      </c>
      <c r="C5" s="115" t="inlineStr">
        <is>
          <t>INE292B01021</t>
        </is>
      </c>
      <c r="D5" s="115" t="inlineStr">
        <is>
          <t>2025-09-08</t>
        </is>
      </c>
      <c r="E5" s="115" t="inlineStr">
        <is>
          <t>NSE</t>
        </is>
      </c>
      <c r="F5" s="115" t="inlineStr">
        <is>
          <t>EQ</t>
        </is>
      </c>
      <c r="G5" s="115" t="inlineStr">
        <is>
          <t>EQ</t>
        </is>
      </c>
      <c r="H5" s="115" t="inlineStr">
        <is>
          <t>buy</t>
        </is>
      </c>
      <c r="I5" s="115" t="b">
        <v>0</v>
      </c>
      <c r="J5" s="115" t="n">
        <v>50</v>
      </c>
      <c r="K5" s="115" t="n">
        <v>844.15</v>
      </c>
      <c r="L5" s="116" t="n">
        <v>205330804</v>
      </c>
      <c r="M5" s="116" t="n">
        <v>1100000044831951</v>
      </c>
      <c r="N5" s="115" t="inlineStr">
        <is>
          <t>2025-09-08T13:22:33</t>
        </is>
      </c>
      <c r="O5" s="115" t="inlineStr"/>
    </row>
    <row r="6">
      <c r="A6" s="115" t="inlineStr"/>
      <c r="B6" s="115" t="inlineStr">
        <is>
          <t>HBLENGINE</t>
        </is>
      </c>
      <c r="C6" s="115" t="inlineStr">
        <is>
          <t>INE292B01021</t>
        </is>
      </c>
      <c r="D6" s="115" t="inlineStr">
        <is>
          <t>2025-09-08</t>
        </is>
      </c>
      <c r="E6" s="115" t="inlineStr">
        <is>
          <t>NSE</t>
        </is>
      </c>
      <c r="F6" s="115" t="inlineStr">
        <is>
          <t>EQ</t>
        </is>
      </c>
      <c r="G6" s="115" t="inlineStr">
        <is>
          <t>EQ</t>
        </is>
      </c>
      <c r="H6" s="115" t="inlineStr">
        <is>
          <t>buy</t>
        </is>
      </c>
      <c r="I6" s="115" t="b">
        <v>0</v>
      </c>
      <c r="J6" s="115" t="n">
        <v>4</v>
      </c>
      <c r="K6" s="115" t="n">
        <v>844.15</v>
      </c>
      <c r="L6" s="116" t="n">
        <v>205330817</v>
      </c>
      <c r="M6" s="116" t="n">
        <v>1100000044831951</v>
      </c>
      <c r="N6" s="115" t="inlineStr">
        <is>
          <t>2025-09-08T13:22:33</t>
        </is>
      </c>
      <c r="O6" s="115" t="inlineStr"/>
    </row>
    <row r="7">
      <c r="A7" s="115" t="inlineStr"/>
      <c r="B7" s="115" t="inlineStr">
        <is>
          <t>HBLENGINE</t>
        </is>
      </c>
      <c r="C7" s="115" t="inlineStr">
        <is>
          <t>INE292B01021</t>
        </is>
      </c>
      <c r="D7" s="115" t="inlineStr">
        <is>
          <t>2025-09-08</t>
        </is>
      </c>
      <c r="E7" s="115" t="inlineStr">
        <is>
          <t>NSE</t>
        </is>
      </c>
      <c r="F7" s="115" t="inlineStr">
        <is>
          <t>EQ</t>
        </is>
      </c>
      <c r="G7" s="115" t="inlineStr">
        <is>
          <t>EQ</t>
        </is>
      </c>
      <c r="H7" s="115" t="inlineStr">
        <is>
          <t>buy</t>
        </is>
      </c>
      <c r="I7" s="115" t="b">
        <v>0</v>
      </c>
      <c r="J7" s="115" t="n">
        <v>55</v>
      </c>
      <c r="K7" s="115" t="n">
        <v>844.15</v>
      </c>
      <c r="L7" s="116" t="n">
        <v>205331314</v>
      </c>
      <c r="M7" s="116" t="n">
        <v>1100000044831951</v>
      </c>
      <c r="N7" s="115" t="inlineStr">
        <is>
          <t>2025-09-08T13:22:33</t>
        </is>
      </c>
      <c r="O7" s="115" t="inlineStr"/>
    </row>
    <row r="8">
      <c r="A8" s="115" t="inlineStr"/>
      <c r="B8" s="115" t="inlineStr">
        <is>
          <t>SUPREMEIND</t>
        </is>
      </c>
      <c r="C8" s="115" t="inlineStr">
        <is>
          <t>INE195A01028</t>
        </is>
      </c>
      <c r="D8" s="115" t="inlineStr">
        <is>
          <t>2025-09-08</t>
        </is>
      </c>
      <c r="E8" s="115" t="inlineStr">
        <is>
          <t>NSE</t>
        </is>
      </c>
      <c r="F8" s="115" t="inlineStr">
        <is>
          <t>EQ</t>
        </is>
      </c>
      <c r="G8" s="115" t="inlineStr">
        <is>
          <t>EQ</t>
        </is>
      </c>
      <c r="H8" s="115" t="inlineStr">
        <is>
          <t>buy</t>
        </is>
      </c>
      <c r="I8" s="115" t="b">
        <v>0</v>
      </c>
      <c r="J8" s="115" t="n">
        <v>20</v>
      </c>
      <c r="K8" s="115" t="n">
        <v>4509</v>
      </c>
      <c r="L8" s="116" t="n">
        <v>605415434</v>
      </c>
      <c r="M8" s="116" t="n">
        <v>1300000045456483</v>
      </c>
      <c r="N8" s="115" t="inlineStr">
        <is>
          <t>2025-09-08T13:36:34</t>
        </is>
      </c>
      <c r="O8" s="115" t="inlineStr"/>
    </row>
    <row r="9">
      <c r="A9" s="115" t="inlineStr"/>
      <c r="B9" s="115" t="inlineStr">
        <is>
          <t>TITAN</t>
        </is>
      </c>
      <c r="C9" s="115" t="inlineStr">
        <is>
          <t>INE280A01028</t>
        </is>
      </c>
      <c r="D9" s="115" t="inlineStr">
        <is>
          <t>2025-09-08</t>
        </is>
      </c>
      <c r="E9" s="115" t="inlineStr">
        <is>
          <t>NSE</t>
        </is>
      </c>
      <c r="F9" s="115" t="inlineStr">
        <is>
          <t>EQ</t>
        </is>
      </c>
      <c r="G9" s="115" t="inlineStr">
        <is>
          <t>EQ</t>
        </is>
      </c>
      <c r="H9" s="115" t="inlineStr">
        <is>
          <t>buy</t>
        </is>
      </c>
      <c r="I9" s="115" t="b">
        <v>0</v>
      </c>
      <c r="J9" s="115" t="n">
        <v>11</v>
      </c>
      <c r="K9" s="115" t="n">
        <v>3662.7</v>
      </c>
      <c r="L9" s="116" t="n">
        <v>605630531</v>
      </c>
      <c r="M9" s="116" t="n">
        <v>1300000047488914</v>
      </c>
      <c r="N9" s="115" t="inlineStr">
        <is>
          <t>2025-09-08T13:52:01</t>
        </is>
      </c>
      <c r="O9" s="115" t="inlineStr"/>
    </row>
    <row r="10">
      <c r="A10" s="115" t="inlineStr"/>
      <c r="B10" s="115" t="inlineStr">
        <is>
          <t>TITAN</t>
        </is>
      </c>
      <c r="C10" s="115" t="inlineStr">
        <is>
          <t>INE280A01028</t>
        </is>
      </c>
      <c r="D10" s="115" t="inlineStr">
        <is>
          <t>2025-09-08</t>
        </is>
      </c>
      <c r="E10" s="115" t="inlineStr">
        <is>
          <t>NSE</t>
        </is>
      </c>
      <c r="F10" s="115" t="inlineStr">
        <is>
          <t>EQ</t>
        </is>
      </c>
      <c r="G10" s="115" t="inlineStr">
        <is>
          <t>EQ</t>
        </is>
      </c>
      <c r="H10" s="115" t="inlineStr">
        <is>
          <t>buy</t>
        </is>
      </c>
      <c r="I10" s="115" t="b">
        <v>0</v>
      </c>
      <c r="J10" s="115" t="n">
        <v>14</v>
      </c>
      <c r="K10" s="115" t="n">
        <v>3662.7</v>
      </c>
      <c r="L10" s="116" t="n">
        <v>605630530</v>
      </c>
      <c r="M10" s="116" t="n">
        <v>1300000047488914</v>
      </c>
      <c r="N10" s="115" t="inlineStr">
        <is>
          <t>2025-09-08T13:52:01</t>
        </is>
      </c>
      <c r="O10" s="115" t="inlineStr"/>
    </row>
    <row r="11">
      <c r="A11" s="115" t="inlineStr"/>
      <c r="B11" s="115" t="inlineStr">
        <is>
          <t>DMART</t>
        </is>
      </c>
      <c r="C11" s="115" t="inlineStr">
        <is>
          <t>INE192R01011</t>
        </is>
      </c>
      <c r="D11" s="115" t="inlineStr">
        <is>
          <t>2025-09-08</t>
        </is>
      </c>
      <c r="E11" s="115" t="inlineStr">
        <is>
          <t>NSE</t>
        </is>
      </c>
      <c r="F11" s="115" t="inlineStr">
        <is>
          <t>EQ</t>
        </is>
      </c>
      <c r="G11" s="115" t="inlineStr">
        <is>
          <t>EQ</t>
        </is>
      </c>
      <c r="H11" s="115" t="inlineStr">
        <is>
          <t>buy</t>
        </is>
      </c>
      <c r="I11" s="115" t="b">
        <v>0</v>
      </c>
      <c r="J11" s="115" t="n">
        <v>5</v>
      </c>
      <c r="K11" s="115" t="n">
        <v>4724.1001</v>
      </c>
      <c r="L11" s="116" t="n">
        <v>205904922</v>
      </c>
      <c r="M11" s="116" t="n">
        <v>1100000049703254</v>
      </c>
      <c r="N11" s="115" t="inlineStr">
        <is>
          <t>2025-09-08T13:56:18</t>
        </is>
      </c>
      <c r="O11" s="115" t="inlineStr"/>
    </row>
    <row r="12">
      <c r="A12" s="115" t="inlineStr"/>
      <c r="B12" s="115" t="inlineStr">
        <is>
          <t>DMART</t>
        </is>
      </c>
      <c r="C12" s="115" t="inlineStr">
        <is>
          <t>INE192R01011</t>
        </is>
      </c>
      <c r="D12" s="115" t="inlineStr">
        <is>
          <t>2025-09-08</t>
        </is>
      </c>
      <c r="E12" s="115" t="inlineStr">
        <is>
          <t>NSE</t>
        </is>
      </c>
      <c r="F12" s="115" t="inlineStr">
        <is>
          <t>EQ</t>
        </is>
      </c>
      <c r="G12" s="115" t="inlineStr">
        <is>
          <t>EQ</t>
        </is>
      </c>
      <c r="H12" s="115" t="inlineStr">
        <is>
          <t>buy</t>
        </is>
      </c>
      <c r="I12" s="115" t="b">
        <v>0</v>
      </c>
      <c r="J12" s="115" t="n">
        <v>1</v>
      </c>
      <c r="K12" s="115" t="n">
        <v>4724.1001</v>
      </c>
      <c r="L12" s="116" t="n">
        <v>205904923</v>
      </c>
      <c r="M12" s="116" t="n">
        <v>1100000049703254</v>
      </c>
      <c r="N12" s="115" t="inlineStr">
        <is>
          <t>2025-09-08T13:56:18</t>
        </is>
      </c>
      <c r="O12" s="115" t="inlineStr"/>
    </row>
    <row r="13">
      <c r="A13" s="115" t="inlineStr"/>
      <c r="B13" s="115" t="inlineStr">
        <is>
          <t>DMART</t>
        </is>
      </c>
      <c r="C13" s="115" t="inlineStr">
        <is>
          <t>INE192R01011</t>
        </is>
      </c>
      <c r="D13" s="115" t="inlineStr">
        <is>
          <t>2025-09-08</t>
        </is>
      </c>
      <c r="E13" s="115" t="inlineStr">
        <is>
          <t>NSE</t>
        </is>
      </c>
      <c r="F13" s="115" t="inlineStr">
        <is>
          <t>EQ</t>
        </is>
      </c>
      <c r="G13" s="115" t="inlineStr">
        <is>
          <t>EQ</t>
        </is>
      </c>
      <c r="H13" s="115" t="inlineStr">
        <is>
          <t>buy</t>
        </is>
      </c>
      <c r="I13" s="115" t="b">
        <v>0</v>
      </c>
      <c r="J13" s="115" t="n">
        <v>1</v>
      </c>
      <c r="K13" s="115" t="n">
        <v>4724</v>
      </c>
      <c r="L13" s="116" t="n">
        <v>205904921</v>
      </c>
      <c r="M13" s="116" t="n">
        <v>1100000049703254</v>
      </c>
      <c r="N13" s="115" t="inlineStr">
        <is>
          <t>2025-09-08T13:56:18</t>
        </is>
      </c>
      <c r="O13" s="115" t="inlineStr"/>
    </row>
    <row r="14">
      <c r="A14" s="115" t="inlineStr"/>
      <c r="B14" s="115" t="inlineStr">
        <is>
          <t>DMART</t>
        </is>
      </c>
      <c r="C14" s="115" t="inlineStr">
        <is>
          <t>INE192R01011</t>
        </is>
      </c>
      <c r="D14" s="115" t="inlineStr">
        <is>
          <t>2025-09-08</t>
        </is>
      </c>
      <c r="E14" s="115" t="inlineStr">
        <is>
          <t>NSE</t>
        </is>
      </c>
      <c r="F14" s="115" t="inlineStr">
        <is>
          <t>EQ</t>
        </is>
      </c>
      <c r="G14" s="115" t="inlineStr">
        <is>
          <t>EQ</t>
        </is>
      </c>
      <c r="H14" s="115" t="inlineStr">
        <is>
          <t>buy</t>
        </is>
      </c>
      <c r="I14" s="115" t="b">
        <v>0</v>
      </c>
      <c r="J14" s="115" t="n">
        <v>12</v>
      </c>
      <c r="K14" s="115" t="n">
        <v>4724</v>
      </c>
      <c r="L14" s="116" t="n">
        <v>205904920</v>
      </c>
      <c r="M14" s="116" t="n">
        <v>1100000049703254</v>
      </c>
      <c r="N14" s="115" t="inlineStr">
        <is>
          <t>2025-09-08T13:56:18</t>
        </is>
      </c>
      <c r="O14" s="115" t="inlineStr"/>
    </row>
    <row r="15">
      <c r="A15" s="115" t="inlineStr"/>
      <c r="B15" s="115" t="inlineStr">
        <is>
          <t>METROPOLIS</t>
        </is>
      </c>
      <c r="C15" s="115" t="inlineStr">
        <is>
          <t>INE112L01020</t>
        </is>
      </c>
      <c r="D15" s="115" t="inlineStr">
        <is>
          <t>2025-09-08</t>
        </is>
      </c>
      <c r="E15" s="115" t="inlineStr">
        <is>
          <t>NSE</t>
        </is>
      </c>
      <c r="F15" s="115" t="inlineStr">
        <is>
          <t>EQ</t>
        </is>
      </c>
      <c r="G15" s="115" t="inlineStr">
        <is>
          <t>EQ</t>
        </is>
      </c>
      <c r="H15" s="115" t="inlineStr">
        <is>
          <t>buy</t>
        </is>
      </c>
      <c r="I15" s="115" t="b">
        <v>0</v>
      </c>
      <c r="J15" s="115" t="n">
        <v>168</v>
      </c>
      <c r="K15" s="115" t="n">
        <v>543</v>
      </c>
      <c r="L15" s="116" t="n">
        <v>406172265</v>
      </c>
      <c r="M15" s="116" t="n">
        <v>1200000056506188</v>
      </c>
      <c r="N15" s="115" t="inlineStr">
        <is>
          <t>2025-09-08T14:00:59</t>
        </is>
      </c>
      <c r="O15" s="115" t="inlineStr"/>
    </row>
    <row r="16">
      <c r="A16" s="115" t="inlineStr"/>
      <c r="B16" s="115" t="inlineStr">
        <is>
          <t>AVANTEL</t>
        </is>
      </c>
      <c r="C16" s="115" t="inlineStr">
        <is>
          <t>INE005B01027</t>
        </is>
      </c>
      <c r="D16" s="115" t="inlineStr">
        <is>
          <t>2025-09-09</t>
        </is>
      </c>
      <c r="E16" s="115" t="inlineStr">
        <is>
          <t>NSE</t>
        </is>
      </c>
      <c r="F16" s="115" t="inlineStr">
        <is>
          <t>EQ</t>
        </is>
      </c>
      <c r="G16" s="115" t="inlineStr">
        <is>
          <t>EQ</t>
        </is>
      </c>
      <c r="H16" s="115" t="inlineStr">
        <is>
          <t>buy</t>
        </is>
      </c>
      <c r="I16" s="115" t="b">
        <v>0</v>
      </c>
      <c r="J16" s="115" t="n">
        <v>48</v>
      </c>
      <c r="K16" s="115" t="n">
        <v>175.36</v>
      </c>
      <c r="L16" s="116" t="n">
        <v>2344605</v>
      </c>
      <c r="M16" s="116" t="n">
        <v>1000000022356020</v>
      </c>
      <c r="N16" s="115" t="inlineStr">
        <is>
          <t>2025-09-09T11:27:29</t>
        </is>
      </c>
      <c r="O16" s="115" t="inlineStr"/>
    </row>
    <row r="17">
      <c r="A17" s="115" t="inlineStr"/>
      <c r="B17" s="115" t="inlineStr">
        <is>
          <t>AVANTEL</t>
        </is>
      </c>
      <c r="C17" s="115" t="inlineStr">
        <is>
          <t>INE005B01027</t>
        </is>
      </c>
      <c r="D17" s="115" t="inlineStr">
        <is>
          <t>2025-09-09</t>
        </is>
      </c>
      <c r="E17" s="115" t="inlineStr">
        <is>
          <t>NSE</t>
        </is>
      </c>
      <c r="F17" s="115" t="inlineStr">
        <is>
          <t>EQ</t>
        </is>
      </c>
      <c r="G17" s="115" t="inlineStr">
        <is>
          <t>EQ</t>
        </is>
      </c>
      <c r="H17" s="115" t="inlineStr">
        <is>
          <t>buy</t>
        </is>
      </c>
      <c r="I17" s="115" t="b">
        <v>0</v>
      </c>
      <c r="J17" s="115" t="n">
        <v>6</v>
      </c>
      <c r="K17" s="115" t="n">
        <v>175.36</v>
      </c>
      <c r="L17" s="116" t="n">
        <v>2344520</v>
      </c>
      <c r="M17" s="116" t="n">
        <v>1000000022356020</v>
      </c>
      <c r="N17" s="115" t="inlineStr">
        <is>
          <t>2025-09-09T11:27:29</t>
        </is>
      </c>
      <c r="O17" s="115" t="inlineStr"/>
    </row>
    <row r="18">
      <c r="A18" s="115" t="inlineStr"/>
      <c r="B18" s="115" t="inlineStr">
        <is>
          <t>AVANTEL</t>
        </is>
      </c>
      <c r="C18" s="115" t="inlineStr">
        <is>
          <t>INE005B01027</t>
        </is>
      </c>
      <c r="D18" s="115" t="inlineStr">
        <is>
          <t>2025-09-09</t>
        </is>
      </c>
      <c r="E18" s="115" t="inlineStr">
        <is>
          <t>NSE</t>
        </is>
      </c>
      <c r="F18" s="115" t="inlineStr">
        <is>
          <t>EQ</t>
        </is>
      </c>
      <c r="G18" s="115" t="inlineStr">
        <is>
          <t>EQ</t>
        </is>
      </c>
      <c r="H18" s="115" t="inlineStr">
        <is>
          <t>buy</t>
        </is>
      </c>
      <c r="I18" s="115" t="b">
        <v>0</v>
      </c>
      <c r="J18" s="115" t="n">
        <v>86</v>
      </c>
      <c r="K18" s="115" t="n">
        <v>175.36</v>
      </c>
      <c r="L18" s="116" t="n">
        <v>2342640</v>
      </c>
      <c r="M18" s="116" t="n">
        <v>1000000022356020</v>
      </c>
      <c r="N18" s="115" t="inlineStr">
        <is>
          <t>2025-09-09T11:27:29</t>
        </is>
      </c>
      <c r="O18" s="115" t="inlineStr"/>
    </row>
    <row r="19">
      <c r="A19" s="115" t="inlineStr"/>
      <c r="B19" s="115" t="inlineStr">
        <is>
          <t>GMDCLTD</t>
        </is>
      </c>
      <c r="C19" s="115" t="inlineStr">
        <is>
          <t>INE131A01031</t>
        </is>
      </c>
      <c r="D19" s="115" t="inlineStr">
        <is>
          <t>2025-09-09</t>
        </is>
      </c>
      <c r="E19" s="115" t="inlineStr">
        <is>
          <t>NSE</t>
        </is>
      </c>
      <c r="F19" s="115" t="inlineStr">
        <is>
          <t>EQ</t>
        </is>
      </c>
      <c r="G19" s="115" t="inlineStr">
        <is>
          <t>EQ</t>
        </is>
      </c>
      <c r="H19" s="115" t="inlineStr">
        <is>
          <t>buy</t>
        </is>
      </c>
      <c r="I19" s="115" t="b">
        <v>0</v>
      </c>
      <c r="J19" s="115" t="n">
        <v>28</v>
      </c>
      <c r="K19" s="115" t="n">
        <v>517.1</v>
      </c>
      <c r="L19" s="116" t="n">
        <v>203621195</v>
      </c>
      <c r="M19" s="116" t="n">
        <v>1100000031435771</v>
      </c>
      <c r="N19" s="115" t="inlineStr">
        <is>
          <t>2025-09-09T11:27:52</t>
        </is>
      </c>
      <c r="O19" s="115" t="inlineStr"/>
    </row>
    <row r="20">
      <c r="A20" s="115" t="inlineStr"/>
      <c r="B20" s="115" t="inlineStr">
        <is>
          <t>GMDCLTD</t>
        </is>
      </c>
      <c r="C20" s="115" t="inlineStr">
        <is>
          <t>INE131A01031</t>
        </is>
      </c>
      <c r="D20" s="115" t="inlineStr">
        <is>
          <t>2025-09-09</t>
        </is>
      </c>
      <c r="E20" s="115" t="inlineStr">
        <is>
          <t>NSE</t>
        </is>
      </c>
      <c r="F20" s="115" t="inlineStr">
        <is>
          <t>EQ</t>
        </is>
      </c>
      <c r="G20" s="115" t="inlineStr">
        <is>
          <t>EQ</t>
        </is>
      </c>
      <c r="H20" s="115" t="inlineStr">
        <is>
          <t>buy</t>
        </is>
      </c>
      <c r="I20" s="115" t="b">
        <v>0</v>
      </c>
      <c r="J20" s="115" t="n">
        <v>5</v>
      </c>
      <c r="K20" s="115" t="n">
        <v>517.1</v>
      </c>
      <c r="L20" s="116" t="n">
        <v>203618990</v>
      </c>
      <c r="M20" s="116" t="n">
        <v>1100000031435771</v>
      </c>
      <c r="N20" s="115" t="inlineStr">
        <is>
          <t>2025-09-09T11:27:52</t>
        </is>
      </c>
      <c r="O20" s="115" t="inlineStr"/>
    </row>
    <row r="21">
      <c r="A21" s="115" t="inlineStr"/>
      <c r="B21" s="115" t="inlineStr">
        <is>
          <t>GMDCLTD</t>
        </is>
      </c>
      <c r="C21" s="115" t="inlineStr">
        <is>
          <t>INE131A01031</t>
        </is>
      </c>
      <c r="D21" s="115" t="inlineStr">
        <is>
          <t>2025-09-09</t>
        </is>
      </c>
      <c r="E21" s="115" t="inlineStr">
        <is>
          <t>NSE</t>
        </is>
      </c>
      <c r="F21" s="115" t="inlineStr">
        <is>
          <t>EQ</t>
        </is>
      </c>
      <c r="G21" s="115" t="inlineStr">
        <is>
          <t>EQ</t>
        </is>
      </c>
      <c r="H21" s="115" t="inlineStr">
        <is>
          <t>buy</t>
        </is>
      </c>
      <c r="I21" s="115" t="b">
        <v>0</v>
      </c>
      <c r="J21" s="115" t="n">
        <v>14</v>
      </c>
      <c r="K21" s="115" t="n">
        <v>517.1</v>
      </c>
      <c r="L21" s="116" t="n">
        <v>203667601</v>
      </c>
      <c r="M21" s="116" t="n">
        <v>1100000031435771</v>
      </c>
      <c r="N21" s="115" t="inlineStr">
        <is>
          <t>2025-09-09T11:27:52</t>
        </is>
      </c>
      <c r="O21" s="115" t="inlineStr"/>
    </row>
    <row r="22">
      <c r="A22" s="115" t="inlineStr"/>
      <c r="B22" s="115" t="inlineStr">
        <is>
          <t>GMDCLTD</t>
        </is>
      </c>
      <c r="C22" s="115" t="inlineStr">
        <is>
          <t>INE131A01031</t>
        </is>
      </c>
      <c r="D22" s="115" t="inlineStr">
        <is>
          <t>2025-09-09</t>
        </is>
      </c>
      <c r="E22" s="115" t="inlineStr">
        <is>
          <t>NSE</t>
        </is>
      </c>
      <c r="F22" s="115" t="inlineStr">
        <is>
          <t>EQ</t>
        </is>
      </c>
      <c r="G22" s="115" t="inlineStr">
        <is>
          <t>EQ</t>
        </is>
      </c>
      <c r="H22" s="115" t="inlineStr">
        <is>
          <t>buy</t>
        </is>
      </c>
      <c r="I22" s="115" t="b">
        <v>0</v>
      </c>
      <c r="J22" s="115" t="n">
        <v>1</v>
      </c>
      <c r="K22" s="115" t="n">
        <v>517.1</v>
      </c>
      <c r="L22" s="116" t="n">
        <v>203621030</v>
      </c>
      <c r="M22" s="116" t="n">
        <v>1100000031435771</v>
      </c>
      <c r="N22" s="115" t="inlineStr">
        <is>
          <t>2025-09-09T11:27:52</t>
        </is>
      </c>
      <c r="O22" s="115" t="inlineStr"/>
    </row>
    <row r="23">
      <c r="A23" s="115" t="inlineStr"/>
      <c r="B23" s="115" t="inlineStr">
        <is>
          <t>UNOMINDA</t>
        </is>
      </c>
      <c r="C23" s="115" t="inlineStr">
        <is>
          <t>INE405E01023</t>
        </is>
      </c>
      <c r="D23" s="115" t="inlineStr">
        <is>
          <t>2025-09-09</t>
        </is>
      </c>
      <c r="E23" s="115" t="inlineStr">
        <is>
          <t>NSE</t>
        </is>
      </c>
      <c r="F23" s="115" t="inlineStr">
        <is>
          <t>EQ</t>
        </is>
      </c>
      <c r="G23" s="115" t="inlineStr">
        <is>
          <t>EQ</t>
        </is>
      </c>
      <c r="H23" s="115" t="inlineStr">
        <is>
          <t>buy</t>
        </is>
      </c>
      <c r="I23" s="115" t="b">
        <v>0</v>
      </c>
      <c r="J23" s="115" t="n">
        <v>13</v>
      </c>
      <c r="K23" s="115" t="n">
        <v>1289.2</v>
      </c>
      <c r="L23" s="116" t="n">
        <v>603829142</v>
      </c>
      <c r="M23" s="116" t="n">
        <v>1300000030742059</v>
      </c>
      <c r="N23" s="115" t="inlineStr">
        <is>
          <t>2025-09-09T11:50:25</t>
        </is>
      </c>
      <c r="O23" s="115" t="inlineStr"/>
    </row>
    <row r="24">
      <c r="A24" s="115" t="inlineStr"/>
      <c r="B24" s="115" t="inlineStr">
        <is>
          <t>UNOMINDA</t>
        </is>
      </c>
      <c r="C24" s="115" t="inlineStr">
        <is>
          <t>INE405E01023</t>
        </is>
      </c>
      <c r="D24" s="115" t="inlineStr">
        <is>
          <t>2025-09-09</t>
        </is>
      </c>
      <c r="E24" s="115" t="inlineStr">
        <is>
          <t>NSE</t>
        </is>
      </c>
      <c r="F24" s="115" t="inlineStr">
        <is>
          <t>EQ</t>
        </is>
      </c>
      <c r="G24" s="115" t="inlineStr">
        <is>
          <t>EQ</t>
        </is>
      </c>
      <c r="H24" s="115" t="inlineStr">
        <is>
          <t>buy</t>
        </is>
      </c>
      <c r="I24" s="115" t="b">
        <v>0</v>
      </c>
      <c r="J24" s="115" t="n">
        <v>11</v>
      </c>
      <c r="K24" s="115" t="n">
        <v>1289.2</v>
      </c>
      <c r="L24" s="116" t="n">
        <v>603829143</v>
      </c>
      <c r="M24" s="116" t="n">
        <v>1300000030742059</v>
      </c>
      <c r="N24" s="115" t="inlineStr">
        <is>
          <t>2025-09-09T11:50:25</t>
        </is>
      </c>
      <c r="O24" s="115" t="inlineStr"/>
    </row>
    <row r="25">
      <c r="A25" s="115" t="inlineStr"/>
      <c r="B25" s="115" t="inlineStr">
        <is>
          <t>UNOMINDA</t>
        </is>
      </c>
      <c r="C25" s="115" t="inlineStr">
        <is>
          <t>INE405E01023</t>
        </is>
      </c>
      <c r="D25" s="115" t="inlineStr">
        <is>
          <t>2025-09-09</t>
        </is>
      </c>
      <c r="E25" s="115" t="inlineStr">
        <is>
          <t>NSE</t>
        </is>
      </c>
      <c r="F25" s="115" t="inlineStr">
        <is>
          <t>EQ</t>
        </is>
      </c>
      <c r="G25" s="115" t="inlineStr">
        <is>
          <t>EQ</t>
        </is>
      </c>
      <c r="H25" s="115" t="inlineStr">
        <is>
          <t>buy</t>
        </is>
      </c>
      <c r="I25" s="115" t="b">
        <v>0</v>
      </c>
      <c r="J25" s="115" t="n">
        <v>10</v>
      </c>
      <c r="K25" s="115" t="n">
        <v>1289.2</v>
      </c>
      <c r="L25" s="116" t="n">
        <v>603825496</v>
      </c>
      <c r="M25" s="116" t="n">
        <v>1300000030742059</v>
      </c>
      <c r="N25" s="115" t="inlineStr">
        <is>
          <t>2025-09-09T11:50:25</t>
        </is>
      </c>
      <c r="O25" s="115" t="inlineStr"/>
    </row>
    <row r="26">
      <c r="A26" s="115" t="inlineStr"/>
      <c r="B26" s="115" t="inlineStr">
        <is>
          <t>UNOMINDA</t>
        </is>
      </c>
      <c r="C26" s="115" t="inlineStr">
        <is>
          <t>INE405E01023</t>
        </is>
      </c>
      <c r="D26" s="115" t="inlineStr">
        <is>
          <t>2025-09-09</t>
        </is>
      </c>
      <c r="E26" s="115" t="inlineStr">
        <is>
          <t>NSE</t>
        </is>
      </c>
      <c r="F26" s="115" t="inlineStr">
        <is>
          <t>EQ</t>
        </is>
      </c>
      <c r="G26" s="115" t="inlineStr">
        <is>
          <t>EQ</t>
        </is>
      </c>
      <c r="H26" s="115" t="inlineStr">
        <is>
          <t>buy</t>
        </is>
      </c>
      <c r="I26" s="115" t="b">
        <v>0</v>
      </c>
      <c r="J26" s="115" t="n">
        <v>3</v>
      </c>
      <c r="K26" s="115" t="n">
        <v>1289.2</v>
      </c>
      <c r="L26" s="116" t="n">
        <v>603832890</v>
      </c>
      <c r="M26" s="116" t="n">
        <v>1300000030742059</v>
      </c>
      <c r="N26" s="115" t="inlineStr">
        <is>
          <t>2025-09-09T11:50:25</t>
        </is>
      </c>
      <c r="O26" s="115" t="inlineStr"/>
    </row>
    <row r="27">
      <c r="A27" s="115" t="inlineStr"/>
      <c r="B27" s="115" t="inlineStr">
        <is>
          <t>PIDILITIND</t>
        </is>
      </c>
      <c r="C27" s="115" t="inlineStr">
        <is>
          <t>INE318A01026</t>
        </is>
      </c>
      <c r="D27" s="115" t="inlineStr">
        <is>
          <t>2025-09-09</t>
        </is>
      </c>
      <c r="E27" s="115" t="inlineStr">
        <is>
          <t>NSE</t>
        </is>
      </c>
      <c r="F27" s="115" t="inlineStr">
        <is>
          <t>EQ</t>
        </is>
      </c>
      <c r="G27" s="115" t="inlineStr">
        <is>
          <t>EQ</t>
        </is>
      </c>
      <c r="H27" s="115" t="inlineStr">
        <is>
          <t>buy</t>
        </is>
      </c>
      <c r="I27" s="115" t="b">
        <v>0</v>
      </c>
      <c r="J27" s="115" t="n">
        <v>60</v>
      </c>
      <c r="K27" s="115" t="n">
        <v>1562.4</v>
      </c>
      <c r="L27" s="116" t="n">
        <v>403366394</v>
      </c>
      <c r="M27" s="116" t="n">
        <v>1200000033081200</v>
      </c>
      <c r="N27" s="115" t="inlineStr">
        <is>
          <t>2025-09-09T11:58:50</t>
        </is>
      </c>
      <c r="O27" s="115" t="inlineStr"/>
    </row>
    <row r="28">
      <c r="A28" s="115" t="inlineStr"/>
      <c r="B28" s="115" t="inlineStr">
        <is>
          <t>CGPOWER</t>
        </is>
      </c>
      <c r="C28" s="115" t="inlineStr">
        <is>
          <t>INE067A01029</t>
        </is>
      </c>
      <c r="D28" s="115" t="inlineStr">
        <is>
          <t>2025-09-15</t>
        </is>
      </c>
      <c r="E28" s="115" t="inlineStr">
        <is>
          <t>NSE</t>
        </is>
      </c>
      <c r="F28" s="115" t="inlineStr">
        <is>
          <t>EQ</t>
        </is>
      </c>
      <c r="G28" s="115" t="inlineStr">
        <is>
          <t>EQ</t>
        </is>
      </c>
      <c r="H28" s="115" t="inlineStr">
        <is>
          <t>buy</t>
        </is>
      </c>
      <c r="I28" s="115" t="b">
        <v>0</v>
      </c>
      <c r="J28" s="115" t="n">
        <v>17</v>
      </c>
      <c r="K28" s="115" t="n">
        <v>785.35</v>
      </c>
      <c r="L28" s="116" t="n">
        <v>1789285</v>
      </c>
      <c r="M28" s="116" t="n">
        <v>1000000016049556</v>
      </c>
      <c r="N28" s="115" t="inlineStr">
        <is>
          <t>2025-09-15T10:20:52</t>
        </is>
      </c>
      <c r="O28" s="115" t="inlineStr"/>
    </row>
    <row r="29">
      <c r="A29" s="115" t="inlineStr"/>
      <c r="B29" s="115" t="inlineStr">
        <is>
          <t>CGPOWER</t>
        </is>
      </c>
      <c r="C29" s="115" t="inlineStr">
        <is>
          <t>INE067A01029</t>
        </is>
      </c>
      <c r="D29" s="115" t="inlineStr">
        <is>
          <t>2025-09-15</t>
        </is>
      </c>
      <c r="E29" s="115" t="inlineStr">
        <is>
          <t>NSE</t>
        </is>
      </c>
      <c r="F29" s="115" t="inlineStr">
        <is>
          <t>EQ</t>
        </is>
      </c>
      <c r="G29" s="115" t="inlineStr">
        <is>
          <t>EQ</t>
        </is>
      </c>
      <c r="H29" s="115" t="inlineStr">
        <is>
          <t>buy</t>
        </is>
      </c>
      <c r="I29" s="115" t="b">
        <v>0</v>
      </c>
      <c r="J29" s="115" t="n">
        <v>16</v>
      </c>
      <c r="K29" s="115" t="n">
        <v>785.35</v>
      </c>
      <c r="L29" s="116" t="n">
        <v>1789286</v>
      </c>
      <c r="M29" s="116" t="n">
        <v>1000000016049556</v>
      </c>
      <c r="N29" s="115" t="inlineStr">
        <is>
          <t>2025-09-15T10:20:52</t>
        </is>
      </c>
      <c r="O29" s="115" t="inlineStr"/>
    </row>
    <row r="30">
      <c r="A30" s="115" t="inlineStr"/>
      <c r="B30" s="115" t="inlineStr">
        <is>
          <t>JBMA</t>
        </is>
      </c>
      <c r="C30" s="115" t="inlineStr">
        <is>
          <t>INE927D01051</t>
        </is>
      </c>
      <c r="D30" s="115" t="inlineStr">
        <is>
          <t>2025-09-16</t>
        </is>
      </c>
      <c r="E30" s="115" t="inlineStr">
        <is>
          <t>NSE</t>
        </is>
      </c>
      <c r="F30" s="115" t="inlineStr">
        <is>
          <t>EQ</t>
        </is>
      </c>
      <c r="G30" s="115" t="inlineStr">
        <is>
          <t>EQ</t>
        </is>
      </c>
      <c r="H30" s="115" t="inlineStr">
        <is>
          <t>buy</t>
        </is>
      </c>
      <c r="I30" s="115" t="b">
        <v>0</v>
      </c>
      <c r="J30" s="115" t="n">
        <v>35</v>
      </c>
      <c r="K30" s="115" t="n">
        <v>716.85</v>
      </c>
      <c r="L30" s="116" t="n">
        <v>208118057</v>
      </c>
      <c r="M30" s="116" t="n">
        <v>1100000062670206</v>
      </c>
      <c r="N30" s="115" t="inlineStr">
        <is>
          <t>2025-09-16T15:22:47</t>
        </is>
      </c>
      <c r="O30" s="115" t="inlineStr"/>
    </row>
    <row r="31">
      <c r="A31" s="115" t="inlineStr"/>
      <c r="B31" s="115" t="inlineStr">
        <is>
          <t>CANBK</t>
        </is>
      </c>
      <c r="C31" s="115" t="inlineStr">
        <is>
          <t>INE476A01022</t>
        </is>
      </c>
      <c r="D31" s="115" t="inlineStr">
        <is>
          <t>2025-09-22</t>
        </is>
      </c>
      <c r="E31" s="115" t="inlineStr">
        <is>
          <t>NSE</t>
        </is>
      </c>
      <c r="F31" s="115" t="inlineStr">
        <is>
          <t>EQ</t>
        </is>
      </c>
      <c r="G31" s="115" t="inlineStr">
        <is>
          <t>EQ</t>
        </is>
      </c>
      <c r="H31" s="115" t="inlineStr">
        <is>
          <t>buy</t>
        </is>
      </c>
      <c r="I31" s="115" t="b">
        <v>0</v>
      </c>
      <c r="J31" s="115" t="n">
        <v>43</v>
      </c>
      <c r="K31" s="115" t="n">
        <v>119.3</v>
      </c>
      <c r="L31" s="116" t="n">
        <v>5959861</v>
      </c>
      <c r="M31" s="116" t="n">
        <v>1000000060868317</v>
      </c>
      <c r="N31" s="115" t="inlineStr">
        <is>
          <t>2025-09-22T13:57:19</t>
        </is>
      </c>
      <c r="O31" s="115" t="inlineStr"/>
    </row>
    <row r="32">
      <c r="A32" s="115" t="inlineStr"/>
      <c r="B32" s="115" t="inlineStr">
        <is>
          <t>CANBK</t>
        </is>
      </c>
      <c r="C32" s="115" t="inlineStr">
        <is>
          <t>INE476A01022</t>
        </is>
      </c>
      <c r="D32" s="115" t="inlineStr">
        <is>
          <t>2025-09-22</t>
        </is>
      </c>
      <c r="E32" s="115" t="inlineStr">
        <is>
          <t>NSE</t>
        </is>
      </c>
      <c r="F32" s="115" t="inlineStr">
        <is>
          <t>EQ</t>
        </is>
      </c>
      <c r="G32" s="115" t="inlineStr">
        <is>
          <t>EQ</t>
        </is>
      </c>
      <c r="H32" s="115" t="inlineStr">
        <is>
          <t>buy</t>
        </is>
      </c>
      <c r="I32" s="115" t="b">
        <v>0</v>
      </c>
      <c r="J32" s="115" t="n">
        <v>77</v>
      </c>
      <c r="K32" s="115" t="n">
        <v>119.3</v>
      </c>
      <c r="L32" s="116" t="n">
        <v>5959859</v>
      </c>
      <c r="M32" s="116" t="n">
        <v>1000000060868317</v>
      </c>
      <c r="N32" s="115" t="inlineStr">
        <is>
          <t>2025-09-22T13:57:19</t>
        </is>
      </c>
      <c r="O32" s="115" t="inlineStr"/>
    </row>
    <row r="33">
      <c r="A33" s="115" t="inlineStr"/>
      <c r="B33" s="115" t="inlineStr">
        <is>
          <t>CANBK</t>
        </is>
      </c>
      <c r="C33" s="115" t="inlineStr">
        <is>
          <t>INE476A01022</t>
        </is>
      </c>
      <c r="D33" s="115" t="inlineStr">
        <is>
          <t>2025-09-22</t>
        </is>
      </c>
      <c r="E33" s="115" t="inlineStr">
        <is>
          <t>NSE</t>
        </is>
      </c>
      <c r="F33" s="115" t="inlineStr">
        <is>
          <t>EQ</t>
        </is>
      </c>
      <c r="G33" s="115" t="inlineStr">
        <is>
          <t>EQ</t>
        </is>
      </c>
      <c r="H33" s="115" t="inlineStr">
        <is>
          <t>buy</t>
        </is>
      </c>
      <c r="I33" s="115" t="b">
        <v>0</v>
      </c>
      <c r="J33" s="115" t="n">
        <v>100</v>
      </c>
      <c r="K33" s="115" t="n">
        <v>119.3</v>
      </c>
      <c r="L33" s="116" t="n">
        <v>5959860</v>
      </c>
      <c r="M33" s="116" t="n">
        <v>1000000060868317</v>
      </c>
      <c r="N33" s="115" t="inlineStr">
        <is>
          <t>2025-09-22T13:57:19</t>
        </is>
      </c>
      <c r="O33" s="115" t="inlineStr"/>
    </row>
    <row r="34">
      <c r="A34" s="115" t="inlineStr"/>
      <c r="B34" s="115" t="inlineStr">
        <is>
          <t>AVANTEL</t>
        </is>
      </c>
      <c r="C34" s="115" t="inlineStr">
        <is>
          <t>INE005B01027</t>
        </is>
      </c>
      <c r="D34" s="115" t="inlineStr">
        <is>
          <t>2025-09-22</t>
        </is>
      </c>
      <c r="E34" s="115" t="inlineStr">
        <is>
          <t>NSE</t>
        </is>
      </c>
      <c r="F34" s="115" t="inlineStr">
        <is>
          <t>EQ</t>
        </is>
      </c>
      <c r="G34" s="115" t="inlineStr">
        <is>
          <t>EQ</t>
        </is>
      </c>
      <c r="H34" s="115" t="inlineStr">
        <is>
          <t>buy</t>
        </is>
      </c>
      <c r="I34" s="115" t="b">
        <v>0</v>
      </c>
      <c r="J34" s="115" t="n">
        <v>55</v>
      </c>
      <c r="K34" s="115" t="n">
        <v>189</v>
      </c>
      <c r="L34" s="116" t="n">
        <v>6217725</v>
      </c>
      <c r="M34" s="116" t="n">
        <v>1000000063494426</v>
      </c>
      <c r="N34" s="115" t="inlineStr">
        <is>
          <t>2025-09-22T14:09:54</t>
        </is>
      </c>
      <c r="O34" s="115" t="inlineStr"/>
    </row>
    <row r="35">
      <c r="A35" s="115" t="inlineStr"/>
      <c r="B35" s="115" t="inlineStr">
        <is>
          <t>AVANTEL</t>
        </is>
      </c>
      <c r="C35" s="115" t="inlineStr">
        <is>
          <t>INE005B01027</t>
        </is>
      </c>
      <c r="D35" s="115" t="inlineStr">
        <is>
          <t>2025-09-22</t>
        </is>
      </c>
      <c r="E35" s="115" t="inlineStr">
        <is>
          <t>NSE</t>
        </is>
      </c>
      <c r="F35" s="115" t="inlineStr">
        <is>
          <t>EQ</t>
        </is>
      </c>
      <c r="G35" s="115" t="inlineStr">
        <is>
          <t>EQ</t>
        </is>
      </c>
      <c r="H35" s="115" t="inlineStr">
        <is>
          <t>buy</t>
        </is>
      </c>
      <c r="I35" s="115" t="b">
        <v>0</v>
      </c>
      <c r="J35" s="115" t="n">
        <v>62</v>
      </c>
      <c r="K35" s="115" t="n">
        <v>188.99</v>
      </c>
      <c r="L35" s="116" t="n">
        <v>6217724</v>
      </c>
      <c r="M35" s="116" t="n">
        <v>1000000063494426</v>
      </c>
      <c r="N35" s="115" t="inlineStr">
        <is>
          <t>2025-09-22T14:09:54</t>
        </is>
      </c>
      <c r="O35" s="115" t="inlineStr"/>
    </row>
    <row r="36">
      <c r="A36" s="115" t="inlineStr"/>
      <c r="B36" s="115" t="inlineStr">
        <is>
          <t>AVANTEL</t>
        </is>
      </c>
      <c r="C36" s="115" t="inlineStr">
        <is>
          <t>INE005B01027</t>
        </is>
      </c>
      <c r="D36" s="115" t="inlineStr">
        <is>
          <t>2025-09-22</t>
        </is>
      </c>
      <c r="E36" s="115" t="inlineStr">
        <is>
          <t>NSE</t>
        </is>
      </c>
      <c r="F36" s="115" t="inlineStr">
        <is>
          <t>EQ</t>
        </is>
      </c>
      <c r="G36" s="115" t="inlineStr">
        <is>
          <t>EQ</t>
        </is>
      </c>
      <c r="H36" s="115" t="inlineStr">
        <is>
          <t>buy</t>
        </is>
      </c>
      <c r="I36" s="115" t="b">
        <v>0</v>
      </c>
      <c r="J36" s="115" t="n">
        <v>14</v>
      </c>
      <c r="K36" s="115" t="n">
        <v>188.94</v>
      </c>
      <c r="L36" s="116" t="n">
        <v>6217723</v>
      </c>
      <c r="M36" s="116" t="n">
        <v>1000000063494426</v>
      </c>
      <c r="N36" s="115" t="inlineStr">
        <is>
          <t>2025-09-22T14:09:54</t>
        </is>
      </c>
      <c r="O36" s="115" t="inlineStr"/>
    </row>
    <row r="37">
      <c r="A37" s="115" t="inlineStr"/>
      <c r="B37" s="115" t="inlineStr">
        <is>
          <t>GMDCLTD</t>
        </is>
      </c>
      <c r="C37" s="115" t="inlineStr">
        <is>
          <t>INE131A01031</t>
        </is>
      </c>
      <c r="D37" s="115" t="inlineStr">
        <is>
          <t>2025-09-22</t>
        </is>
      </c>
      <c r="E37" s="115" t="inlineStr">
        <is>
          <t>NSE</t>
        </is>
      </c>
      <c r="F37" s="115" t="inlineStr">
        <is>
          <t>EQ</t>
        </is>
      </c>
      <c r="G37" s="115" t="inlineStr">
        <is>
          <t>EQ</t>
        </is>
      </c>
      <c r="H37" s="115" t="inlineStr">
        <is>
          <t>buy</t>
        </is>
      </c>
      <c r="I37" s="115" t="b">
        <v>0</v>
      </c>
      <c r="J37" s="115" t="n">
        <v>54</v>
      </c>
      <c r="K37" s="115" t="n">
        <v>577.8</v>
      </c>
      <c r="L37" s="116" t="n">
        <v>206567205</v>
      </c>
      <c r="M37" s="116" t="n">
        <v>1100000055164659</v>
      </c>
      <c r="N37" s="115" t="inlineStr">
        <is>
          <t>2025-09-22T14:14:57</t>
        </is>
      </c>
      <c r="O37" s="115" t="inlineStr"/>
    </row>
    <row r="38">
      <c r="A38" s="115" t="inlineStr"/>
      <c r="B38" s="115" t="inlineStr">
        <is>
          <t>GMDCLTD</t>
        </is>
      </c>
      <c r="C38" s="115" t="inlineStr">
        <is>
          <t>INE131A01031</t>
        </is>
      </c>
      <c r="D38" s="115" t="inlineStr">
        <is>
          <t>2025-09-22</t>
        </is>
      </c>
      <c r="E38" s="115" t="inlineStr">
        <is>
          <t>NSE</t>
        </is>
      </c>
      <c r="F38" s="115" t="inlineStr">
        <is>
          <t>EQ</t>
        </is>
      </c>
      <c r="G38" s="115" t="inlineStr">
        <is>
          <t>EQ</t>
        </is>
      </c>
      <c r="H38" s="115" t="inlineStr">
        <is>
          <t>buy</t>
        </is>
      </c>
      <c r="I38" s="115" t="b">
        <v>0</v>
      </c>
      <c r="J38" s="115" t="n">
        <v>33</v>
      </c>
      <c r="K38" s="115" t="n">
        <v>577.85</v>
      </c>
      <c r="L38" s="116" t="n">
        <v>206567206</v>
      </c>
      <c r="M38" s="116" t="n">
        <v>1100000055164659</v>
      </c>
      <c r="N38" s="115" t="inlineStr">
        <is>
          <t>2025-09-22T14:14:57</t>
        </is>
      </c>
      <c r="O38" s="115" t="inlineStr"/>
    </row>
    <row r="39">
      <c r="A39" s="115" t="inlineStr"/>
      <c r="B39" s="115" t="inlineStr">
        <is>
          <t>SPLPETRO</t>
        </is>
      </c>
      <c r="C39" s="115" t="inlineStr">
        <is>
          <t>INE663A01033</t>
        </is>
      </c>
      <c r="D39" s="115" t="inlineStr">
        <is>
          <t>2025-09-29</t>
        </is>
      </c>
      <c r="E39" s="115" t="inlineStr">
        <is>
          <t>NSE</t>
        </is>
      </c>
      <c r="F39" s="115" t="inlineStr">
        <is>
          <t>EQ</t>
        </is>
      </c>
      <c r="G39" s="115" t="inlineStr">
        <is>
          <t>EQ</t>
        </is>
      </c>
      <c r="H39" s="115" t="inlineStr">
        <is>
          <t>buy</t>
        </is>
      </c>
      <c r="I39" s="115" t="b">
        <v>0</v>
      </c>
      <c r="J39" s="115" t="n">
        <v>16</v>
      </c>
      <c r="K39" s="115" t="n">
        <v>880</v>
      </c>
      <c r="L39" s="116" t="n">
        <v>606877843</v>
      </c>
      <c r="M39" s="116" t="n">
        <v>1300000066618858</v>
      </c>
      <c r="N39" s="115" t="inlineStr">
        <is>
          <t>2025-09-29T13:44:57</t>
        </is>
      </c>
      <c r="O39" s="115" t="inlineStr"/>
    </row>
    <row r="40">
      <c r="A40" s="115" t="inlineStr"/>
      <c r="B40" s="115" t="inlineStr">
        <is>
          <t>SPLPETRO</t>
        </is>
      </c>
      <c r="C40" s="115" t="inlineStr">
        <is>
          <t>INE663A01033</t>
        </is>
      </c>
      <c r="D40" s="115" t="inlineStr">
        <is>
          <t>2025-09-29</t>
        </is>
      </c>
      <c r="E40" s="115" t="inlineStr">
        <is>
          <t>NSE</t>
        </is>
      </c>
      <c r="F40" s="115" t="inlineStr">
        <is>
          <t>EQ</t>
        </is>
      </c>
      <c r="G40" s="115" t="inlineStr">
        <is>
          <t>EQ</t>
        </is>
      </c>
      <c r="H40" s="115" t="inlineStr">
        <is>
          <t>buy</t>
        </is>
      </c>
      <c r="I40" s="115" t="b">
        <v>0</v>
      </c>
      <c r="J40" s="115" t="n">
        <v>40</v>
      </c>
      <c r="K40" s="115" t="n">
        <v>880</v>
      </c>
      <c r="L40" s="116" t="n">
        <v>606877841</v>
      </c>
      <c r="M40" s="116" t="n">
        <v>1300000066618858</v>
      </c>
      <c r="N40" s="115" t="inlineStr">
        <is>
          <t>2025-09-29T13:44:57</t>
        </is>
      </c>
      <c r="O40" s="115" t="inlineStr"/>
    </row>
    <row r="41">
      <c r="A41" s="115" t="inlineStr"/>
      <c r="B41" s="115" t="inlineStr">
        <is>
          <t>SPLPETRO</t>
        </is>
      </c>
      <c r="C41" s="115" t="inlineStr">
        <is>
          <t>INE663A01033</t>
        </is>
      </c>
      <c r="D41" s="115" t="inlineStr">
        <is>
          <t>2025-09-29</t>
        </is>
      </c>
      <c r="E41" s="115" t="inlineStr">
        <is>
          <t>NSE</t>
        </is>
      </c>
      <c r="F41" s="115" t="inlineStr">
        <is>
          <t>EQ</t>
        </is>
      </c>
      <c r="G41" s="115" t="inlineStr">
        <is>
          <t>EQ</t>
        </is>
      </c>
      <c r="H41" s="115" t="inlineStr">
        <is>
          <t>buy</t>
        </is>
      </c>
      <c r="I41" s="115" t="b">
        <v>0</v>
      </c>
      <c r="J41" s="115" t="n">
        <v>1</v>
      </c>
      <c r="K41" s="115" t="n">
        <v>880</v>
      </c>
      <c r="L41" s="116" t="n">
        <v>606877842</v>
      </c>
      <c r="M41" s="116" t="n">
        <v>1300000066618858</v>
      </c>
      <c r="N41" s="115" t="inlineStr">
        <is>
          <t>2025-09-29T13:44:57</t>
        </is>
      </c>
      <c r="O41" s="115" t="inlineStr"/>
    </row>
    <row r="42">
      <c r="A42" s="115" t="inlineStr"/>
      <c r="B42" s="115" t="inlineStr">
        <is>
          <t>TITAN</t>
        </is>
      </c>
      <c r="C42" s="115" t="inlineStr">
        <is>
          <t>INE280A01028</t>
        </is>
      </c>
      <c r="D42" s="115" t="inlineStr">
        <is>
          <t>2025-10-03</t>
        </is>
      </c>
      <c r="E42" s="115" t="inlineStr">
        <is>
          <t>NSE</t>
        </is>
      </c>
      <c r="F42" s="115" t="inlineStr">
        <is>
          <t>EQ</t>
        </is>
      </c>
      <c r="G42" s="115" t="inlineStr">
        <is>
          <t>EQ</t>
        </is>
      </c>
      <c r="H42" s="115" t="inlineStr">
        <is>
          <t>sell</t>
        </is>
      </c>
      <c r="I42" s="115" t="b">
        <v>0</v>
      </c>
      <c r="J42" s="115" t="n">
        <v>7</v>
      </c>
      <c r="K42" s="115" t="n">
        <v>3390.5</v>
      </c>
      <c r="L42" s="116" t="n">
        <v>602384371</v>
      </c>
      <c r="M42" s="116" t="n">
        <v>1300000019285280</v>
      </c>
      <c r="N42" s="115" t="inlineStr">
        <is>
          <t>2025-10-03T10:11:43</t>
        </is>
      </c>
      <c r="O42" s="115" t="inlineStr"/>
    </row>
    <row r="43">
      <c r="A43" s="115" t="inlineStr"/>
      <c r="B43" s="115" t="inlineStr">
        <is>
          <t>TITAN</t>
        </is>
      </c>
      <c r="C43" s="115" t="inlineStr">
        <is>
          <t>INE280A01028</t>
        </is>
      </c>
      <c r="D43" s="115" t="inlineStr">
        <is>
          <t>2025-10-03</t>
        </is>
      </c>
      <c r="E43" s="115" t="inlineStr">
        <is>
          <t>NSE</t>
        </is>
      </c>
      <c r="F43" s="115" t="inlineStr">
        <is>
          <t>EQ</t>
        </is>
      </c>
      <c r="G43" s="115" t="inlineStr">
        <is>
          <t>EQ</t>
        </is>
      </c>
      <c r="H43" s="115" t="inlineStr">
        <is>
          <t>sell</t>
        </is>
      </c>
      <c r="I43" s="115" t="b">
        <v>0</v>
      </c>
      <c r="J43" s="115" t="n">
        <v>8</v>
      </c>
      <c r="K43" s="115" t="n">
        <v>3390.5</v>
      </c>
      <c r="L43" s="116" t="n">
        <v>602384370</v>
      </c>
      <c r="M43" s="116" t="n">
        <v>1300000019285280</v>
      </c>
      <c r="N43" s="115" t="inlineStr">
        <is>
          <t>2025-10-03T10:11:43</t>
        </is>
      </c>
      <c r="O43" s="115" t="inlineStr"/>
    </row>
    <row r="44">
      <c r="A44" s="115" t="inlineStr"/>
      <c r="B44" s="115" t="inlineStr">
        <is>
          <t>TITAN</t>
        </is>
      </c>
      <c r="C44" s="115" t="inlineStr">
        <is>
          <t>INE280A01028</t>
        </is>
      </c>
      <c r="D44" s="115" t="inlineStr">
        <is>
          <t>2025-10-03</t>
        </is>
      </c>
      <c r="E44" s="115" t="inlineStr">
        <is>
          <t>NSE</t>
        </is>
      </c>
      <c r="F44" s="115" t="inlineStr">
        <is>
          <t>EQ</t>
        </is>
      </c>
      <c r="G44" s="115" t="inlineStr">
        <is>
          <t>EQ</t>
        </is>
      </c>
      <c r="H44" s="115" t="inlineStr">
        <is>
          <t>sell</t>
        </is>
      </c>
      <c r="I44" s="115" t="b">
        <v>0</v>
      </c>
      <c r="J44" s="115" t="n">
        <v>1</v>
      </c>
      <c r="K44" s="115" t="n">
        <v>3390.5</v>
      </c>
      <c r="L44" s="116" t="n">
        <v>602384368</v>
      </c>
      <c r="M44" s="116" t="n">
        <v>1300000019285280</v>
      </c>
      <c r="N44" s="115" t="inlineStr">
        <is>
          <t>2025-10-03T10:11:43</t>
        </is>
      </c>
      <c r="O44" s="115" t="inlineStr"/>
    </row>
    <row r="45">
      <c r="A45" s="115" t="inlineStr"/>
      <c r="B45" s="115" t="inlineStr">
        <is>
          <t>TITAN</t>
        </is>
      </c>
      <c r="C45" s="115" t="inlineStr">
        <is>
          <t>INE280A01028</t>
        </is>
      </c>
      <c r="D45" s="115" t="inlineStr">
        <is>
          <t>2025-10-03</t>
        </is>
      </c>
      <c r="E45" s="115" t="inlineStr">
        <is>
          <t>NSE</t>
        </is>
      </c>
      <c r="F45" s="115" t="inlineStr">
        <is>
          <t>EQ</t>
        </is>
      </c>
      <c r="G45" s="115" t="inlineStr">
        <is>
          <t>EQ</t>
        </is>
      </c>
      <c r="H45" s="115" t="inlineStr">
        <is>
          <t>sell</t>
        </is>
      </c>
      <c r="I45" s="115" t="b">
        <v>0</v>
      </c>
      <c r="J45" s="115" t="n">
        <v>9</v>
      </c>
      <c r="K45" s="115" t="n">
        <v>3390.5</v>
      </c>
      <c r="L45" s="116" t="n">
        <v>602384369</v>
      </c>
      <c r="M45" s="116" t="n">
        <v>1300000019285280</v>
      </c>
      <c r="N45" s="115" t="inlineStr">
        <is>
          <t>2025-10-03T10:11:43</t>
        </is>
      </c>
      <c r="O45" s="115" t="inlineStr"/>
    </row>
    <row r="46">
      <c r="A46" s="115" t="inlineStr"/>
      <c r="B46" s="115" t="inlineStr">
        <is>
          <t>SUPREMEIND</t>
        </is>
      </c>
      <c r="C46" s="115" t="inlineStr">
        <is>
          <t>INE195A01028</t>
        </is>
      </c>
      <c r="D46" s="115" t="inlineStr">
        <is>
          <t>2025-10-03</t>
        </is>
      </c>
      <c r="E46" s="115" t="inlineStr">
        <is>
          <t>NSE</t>
        </is>
      </c>
      <c r="F46" s="115" t="inlineStr">
        <is>
          <t>EQ</t>
        </is>
      </c>
      <c r="G46" s="115" t="inlineStr">
        <is>
          <t>EQ</t>
        </is>
      </c>
      <c r="H46" s="115" t="inlineStr">
        <is>
          <t>sell</t>
        </is>
      </c>
      <c r="I46" s="115" t="b">
        <v>0</v>
      </c>
      <c r="J46" s="115" t="n">
        <v>2</v>
      </c>
      <c r="K46" s="115" t="n">
        <v>4180.2002</v>
      </c>
      <c r="L46" s="116" t="n">
        <v>602393098</v>
      </c>
      <c r="M46" s="116" t="n">
        <v>1300000019368715</v>
      </c>
      <c r="N46" s="115" t="inlineStr">
        <is>
          <t>2025-10-03T10:12:04</t>
        </is>
      </c>
      <c r="O46" s="115" t="inlineStr"/>
    </row>
    <row r="47">
      <c r="A47" s="115" t="inlineStr"/>
      <c r="B47" s="115" t="inlineStr">
        <is>
          <t>SUPREMEIND</t>
        </is>
      </c>
      <c r="C47" s="115" t="inlineStr">
        <is>
          <t>INE195A01028</t>
        </is>
      </c>
      <c r="D47" s="115" t="inlineStr">
        <is>
          <t>2025-10-03</t>
        </is>
      </c>
      <c r="E47" s="115" t="inlineStr">
        <is>
          <t>NSE</t>
        </is>
      </c>
      <c r="F47" s="115" t="inlineStr">
        <is>
          <t>EQ</t>
        </is>
      </c>
      <c r="G47" s="115" t="inlineStr">
        <is>
          <t>EQ</t>
        </is>
      </c>
      <c r="H47" s="115" t="inlineStr">
        <is>
          <t>sell</t>
        </is>
      </c>
      <c r="I47" s="115" t="b">
        <v>0</v>
      </c>
      <c r="J47" s="115" t="n">
        <v>4</v>
      </c>
      <c r="K47" s="115" t="n">
        <v>4180.2998</v>
      </c>
      <c r="L47" s="116" t="n">
        <v>602393093</v>
      </c>
      <c r="M47" s="116" t="n">
        <v>1300000019368715</v>
      </c>
      <c r="N47" s="115" t="inlineStr">
        <is>
          <t>2025-10-03T10:12:04</t>
        </is>
      </c>
      <c r="O47" s="115" t="inlineStr"/>
    </row>
    <row r="48">
      <c r="A48" s="115" t="inlineStr"/>
      <c r="B48" s="115" t="inlineStr">
        <is>
          <t>SUPREMEIND</t>
        </is>
      </c>
      <c r="C48" s="115" t="inlineStr">
        <is>
          <t>INE195A01028</t>
        </is>
      </c>
      <c r="D48" s="115" t="inlineStr">
        <is>
          <t>2025-10-03</t>
        </is>
      </c>
      <c r="E48" s="115" t="inlineStr">
        <is>
          <t>NSE</t>
        </is>
      </c>
      <c r="F48" s="115" t="inlineStr">
        <is>
          <t>EQ</t>
        </is>
      </c>
      <c r="G48" s="115" t="inlineStr">
        <is>
          <t>EQ</t>
        </is>
      </c>
      <c r="H48" s="115" t="inlineStr">
        <is>
          <t>sell</t>
        </is>
      </c>
      <c r="I48" s="115" t="b">
        <v>0</v>
      </c>
      <c r="J48" s="115" t="n">
        <v>1</v>
      </c>
      <c r="K48" s="115" t="n">
        <v>4180.2002</v>
      </c>
      <c r="L48" s="116" t="n">
        <v>602393095</v>
      </c>
      <c r="M48" s="116" t="n">
        <v>1300000019368715</v>
      </c>
      <c r="N48" s="115" t="inlineStr">
        <is>
          <t>2025-10-03T10:12:04</t>
        </is>
      </c>
      <c r="O48" s="115" t="inlineStr"/>
    </row>
    <row r="49">
      <c r="A49" s="115" t="inlineStr"/>
      <c r="B49" s="115" t="inlineStr">
        <is>
          <t>SUPREMEIND</t>
        </is>
      </c>
      <c r="C49" s="115" t="inlineStr">
        <is>
          <t>INE195A01028</t>
        </is>
      </c>
      <c r="D49" s="115" t="inlineStr">
        <is>
          <t>2025-10-03</t>
        </is>
      </c>
      <c r="E49" s="115" t="inlineStr">
        <is>
          <t>NSE</t>
        </is>
      </c>
      <c r="F49" s="115" t="inlineStr">
        <is>
          <t>EQ</t>
        </is>
      </c>
      <c r="G49" s="115" t="inlineStr">
        <is>
          <t>EQ</t>
        </is>
      </c>
      <c r="H49" s="115" t="inlineStr">
        <is>
          <t>sell</t>
        </is>
      </c>
      <c r="I49" s="115" t="b">
        <v>0</v>
      </c>
      <c r="J49" s="115" t="n">
        <v>1</v>
      </c>
      <c r="K49" s="115" t="n">
        <v>4180.2998</v>
      </c>
      <c r="L49" s="116" t="n">
        <v>602393092</v>
      </c>
      <c r="M49" s="116" t="n">
        <v>1300000019368715</v>
      </c>
      <c r="N49" s="115" t="inlineStr">
        <is>
          <t>2025-10-03T10:12:04</t>
        </is>
      </c>
      <c r="O49" s="115" t="inlineStr"/>
    </row>
    <row r="50">
      <c r="A50" s="115" t="inlineStr"/>
      <c r="B50" s="115" t="inlineStr">
        <is>
          <t>SUPREMEIND</t>
        </is>
      </c>
      <c r="C50" s="115" t="inlineStr">
        <is>
          <t>INE195A01028</t>
        </is>
      </c>
      <c r="D50" s="115" t="inlineStr">
        <is>
          <t>2025-10-03</t>
        </is>
      </c>
      <c r="E50" s="115" t="inlineStr">
        <is>
          <t>NSE</t>
        </is>
      </c>
      <c r="F50" s="115" t="inlineStr">
        <is>
          <t>EQ</t>
        </is>
      </c>
      <c r="G50" s="115" t="inlineStr">
        <is>
          <t>EQ</t>
        </is>
      </c>
      <c r="H50" s="115" t="inlineStr">
        <is>
          <t>sell</t>
        </is>
      </c>
      <c r="I50" s="115" t="b">
        <v>0</v>
      </c>
      <c r="J50" s="115" t="n">
        <v>8</v>
      </c>
      <c r="K50" s="115" t="n">
        <v>4180</v>
      </c>
      <c r="L50" s="116" t="n">
        <v>602393099</v>
      </c>
      <c r="M50" s="116" t="n">
        <v>1300000019368715</v>
      </c>
      <c r="N50" s="115" t="inlineStr">
        <is>
          <t>2025-10-03T10:12:04</t>
        </is>
      </c>
      <c r="O50" s="115" t="inlineStr"/>
    </row>
    <row r="51">
      <c r="A51" s="115" t="inlineStr"/>
      <c r="B51" s="115" t="inlineStr">
        <is>
          <t>PIDILITIND</t>
        </is>
      </c>
      <c r="C51" s="115" t="inlineStr">
        <is>
          <t>INE318A01026</t>
        </is>
      </c>
      <c r="D51" s="115" t="inlineStr">
        <is>
          <t>2025-10-03</t>
        </is>
      </c>
      <c r="E51" s="115" t="inlineStr">
        <is>
          <t>NSE</t>
        </is>
      </c>
      <c r="F51" s="115" t="inlineStr">
        <is>
          <t>EQ</t>
        </is>
      </c>
      <c r="G51" s="115" t="inlineStr">
        <is>
          <t>EQ</t>
        </is>
      </c>
      <c r="H51" s="115" t="inlineStr">
        <is>
          <t>sell</t>
        </is>
      </c>
      <c r="I51" s="115" t="b">
        <v>0</v>
      </c>
      <c r="J51" s="115" t="n">
        <v>8</v>
      </c>
      <c r="K51" s="115" t="n">
        <v>1476.9</v>
      </c>
      <c r="L51" s="116" t="n">
        <v>402017002</v>
      </c>
      <c r="M51" s="116" t="n">
        <v>1200000018561473</v>
      </c>
      <c r="N51" s="115" t="inlineStr">
        <is>
          <t>2025-10-03T10:12:36</t>
        </is>
      </c>
      <c r="O51" s="115" t="inlineStr"/>
    </row>
    <row r="52">
      <c r="A52" s="115" t="inlineStr"/>
      <c r="B52" s="115" t="inlineStr">
        <is>
          <t>PIDILITIND</t>
        </is>
      </c>
      <c r="C52" s="115" t="inlineStr">
        <is>
          <t>INE318A01026</t>
        </is>
      </c>
      <c r="D52" s="115" t="inlineStr">
        <is>
          <t>2025-10-03</t>
        </is>
      </c>
      <c r="E52" s="115" t="inlineStr">
        <is>
          <t>NSE</t>
        </is>
      </c>
      <c r="F52" s="115" t="inlineStr">
        <is>
          <t>EQ</t>
        </is>
      </c>
      <c r="G52" s="115" t="inlineStr">
        <is>
          <t>EQ</t>
        </is>
      </c>
      <c r="H52" s="115" t="inlineStr">
        <is>
          <t>sell</t>
        </is>
      </c>
      <c r="I52" s="115" t="b">
        <v>0</v>
      </c>
      <c r="J52" s="115" t="n">
        <v>7</v>
      </c>
      <c r="K52" s="115" t="n">
        <v>1476.9</v>
      </c>
      <c r="L52" s="116" t="n">
        <v>402017003</v>
      </c>
      <c r="M52" s="116" t="n">
        <v>1200000018561473</v>
      </c>
      <c r="N52" s="115" t="inlineStr">
        <is>
          <t>2025-10-03T10:12:36</t>
        </is>
      </c>
      <c r="O52" s="115" t="inlineStr"/>
    </row>
    <row r="53">
      <c r="A53" s="115" t="inlineStr"/>
      <c r="B53" s="115" t="inlineStr">
        <is>
          <t>PIDILITIND</t>
        </is>
      </c>
      <c r="C53" s="115" t="inlineStr">
        <is>
          <t>INE318A01026</t>
        </is>
      </c>
      <c r="D53" s="115" t="inlineStr">
        <is>
          <t>2025-10-03</t>
        </is>
      </c>
      <c r="E53" s="115" t="inlineStr">
        <is>
          <t>NSE</t>
        </is>
      </c>
      <c r="F53" s="115" t="inlineStr">
        <is>
          <t>EQ</t>
        </is>
      </c>
      <c r="G53" s="115" t="inlineStr">
        <is>
          <t>EQ</t>
        </is>
      </c>
      <c r="H53" s="115" t="inlineStr">
        <is>
          <t>sell</t>
        </is>
      </c>
      <c r="I53" s="115" t="b">
        <v>0</v>
      </c>
      <c r="J53" s="115" t="n">
        <v>4</v>
      </c>
      <c r="K53" s="115" t="n">
        <v>1477.1</v>
      </c>
      <c r="L53" s="116" t="n">
        <v>402016996</v>
      </c>
      <c r="M53" s="116" t="n">
        <v>1200000018561473</v>
      </c>
      <c r="N53" s="115" t="inlineStr">
        <is>
          <t>2025-10-03T10:12:36</t>
        </is>
      </c>
      <c r="O53" s="115" t="inlineStr"/>
    </row>
    <row r="54">
      <c r="A54" s="115" t="inlineStr"/>
      <c r="B54" s="115" t="inlineStr">
        <is>
          <t>PIDILITIND</t>
        </is>
      </c>
      <c r="C54" s="115" t="inlineStr">
        <is>
          <t>INE318A01026</t>
        </is>
      </c>
      <c r="D54" s="115" t="inlineStr">
        <is>
          <t>2025-10-03</t>
        </is>
      </c>
      <c r="E54" s="115" t="inlineStr">
        <is>
          <t>NSE</t>
        </is>
      </c>
      <c r="F54" s="115" t="inlineStr">
        <is>
          <t>EQ</t>
        </is>
      </c>
      <c r="G54" s="115" t="inlineStr">
        <is>
          <t>EQ</t>
        </is>
      </c>
      <c r="H54" s="115" t="inlineStr">
        <is>
          <t>sell</t>
        </is>
      </c>
      <c r="I54" s="115" t="b">
        <v>0</v>
      </c>
      <c r="J54" s="115" t="n">
        <v>2</v>
      </c>
      <c r="K54" s="115" t="n">
        <v>1477.1</v>
      </c>
      <c r="L54" s="116" t="n">
        <v>402016994</v>
      </c>
      <c r="M54" s="116" t="n">
        <v>1200000018561473</v>
      </c>
      <c r="N54" s="115" t="inlineStr">
        <is>
          <t>2025-10-03T10:12:36</t>
        </is>
      </c>
      <c r="O54" s="115" t="inlineStr"/>
    </row>
    <row r="55">
      <c r="A55" s="115" t="inlineStr"/>
      <c r="B55" s="115" t="inlineStr">
        <is>
          <t>PIDILITIND</t>
        </is>
      </c>
      <c r="C55" s="115" t="inlineStr">
        <is>
          <t>INE318A01026</t>
        </is>
      </c>
      <c r="D55" s="115" t="inlineStr">
        <is>
          <t>2025-10-03</t>
        </is>
      </c>
      <c r="E55" s="115" t="inlineStr">
        <is>
          <t>NSE</t>
        </is>
      </c>
      <c r="F55" s="115" t="inlineStr">
        <is>
          <t>EQ</t>
        </is>
      </c>
      <c r="G55" s="115" t="inlineStr">
        <is>
          <t>EQ</t>
        </is>
      </c>
      <c r="H55" s="115" t="inlineStr">
        <is>
          <t>sell</t>
        </is>
      </c>
      <c r="I55" s="115" t="b">
        <v>0</v>
      </c>
      <c r="J55" s="115" t="n">
        <v>1</v>
      </c>
      <c r="K55" s="115" t="n">
        <v>1477</v>
      </c>
      <c r="L55" s="116" t="n">
        <v>402017000</v>
      </c>
      <c r="M55" s="116" t="n">
        <v>1200000018561473</v>
      </c>
      <c r="N55" s="115" t="inlineStr">
        <is>
          <t>2025-10-03T10:12:36</t>
        </is>
      </c>
      <c r="O55" s="115" t="inlineStr"/>
    </row>
    <row r="56">
      <c r="A56" s="115" t="inlineStr"/>
      <c r="B56" s="115" t="inlineStr">
        <is>
          <t>PIDILITIND</t>
        </is>
      </c>
      <c r="C56" s="115" t="inlineStr">
        <is>
          <t>INE318A01026</t>
        </is>
      </c>
      <c r="D56" s="115" t="inlineStr">
        <is>
          <t>2025-10-03</t>
        </is>
      </c>
      <c r="E56" s="115" t="inlineStr">
        <is>
          <t>NSE</t>
        </is>
      </c>
      <c r="F56" s="115" t="inlineStr">
        <is>
          <t>EQ</t>
        </is>
      </c>
      <c r="G56" s="115" t="inlineStr">
        <is>
          <t>EQ</t>
        </is>
      </c>
      <c r="H56" s="115" t="inlineStr">
        <is>
          <t>sell</t>
        </is>
      </c>
      <c r="I56" s="115" t="b">
        <v>0</v>
      </c>
      <c r="J56" s="115" t="n">
        <v>1</v>
      </c>
      <c r="K56" s="115" t="n">
        <v>1477.1</v>
      </c>
      <c r="L56" s="116" t="n">
        <v>402016997</v>
      </c>
      <c r="M56" s="116" t="n">
        <v>1200000018561473</v>
      </c>
      <c r="N56" s="115" t="inlineStr">
        <is>
          <t>2025-10-03T10:12:36</t>
        </is>
      </c>
      <c r="O56" s="115" t="inlineStr"/>
    </row>
    <row r="57">
      <c r="A57" s="115" t="inlineStr"/>
      <c r="B57" s="115" t="inlineStr">
        <is>
          <t>PIDILITIND</t>
        </is>
      </c>
      <c r="C57" s="115" t="inlineStr">
        <is>
          <t>INE318A01026</t>
        </is>
      </c>
      <c r="D57" s="115" t="inlineStr">
        <is>
          <t>2025-10-03</t>
        </is>
      </c>
      <c r="E57" s="115" t="inlineStr">
        <is>
          <t>NSE</t>
        </is>
      </c>
      <c r="F57" s="115" t="inlineStr">
        <is>
          <t>EQ</t>
        </is>
      </c>
      <c r="G57" s="115" t="inlineStr">
        <is>
          <t>EQ</t>
        </is>
      </c>
      <c r="H57" s="115" t="inlineStr">
        <is>
          <t>sell</t>
        </is>
      </c>
      <c r="I57" s="115" t="b">
        <v>0</v>
      </c>
      <c r="J57" s="115" t="n">
        <v>14</v>
      </c>
      <c r="K57" s="115" t="n">
        <v>1477</v>
      </c>
      <c r="L57" s="116" t="n">
        <v>402017001</v>
      </c>
      <c r="M57" s="116" t="n">
        <v>1200000018561473</v>
      </c>
      <c r="N57" s="115" t="inlineStr">
        <is>
          <t>2025-10-03T10:12:36</t>
        </is>
      </c>
      <c r="O57" s="115" t="inlineStr"/>
    </row>
    <row r="58">
      <c r="A58" s="115" t="inlineStr"/>
      <c r="B58" s="115" t="inlineStr">
        <is>
          <t>PIDILITIND</t>
        </is>
      </c>
      <c r="C58" s="115" t="inlineStr">
        <is>
          <t>INE318A01026</t>
        </is>
      </c>
      <c r="D58" s="115" t="inlineStr">
        <is>
          <t>2025-10-03</t>
        </is>
      </c>
      <c r="E58" s="115" t="inlineStr">
        <is>
          <t>NSE</t>
        </is>
      </c>
      <c r="F58" s="115" t="inlineStr">
        <is>
          <t>EQ</t>
        </is>
      </c>
      <c r="G58" s="115" t="inlineStr">
        <is>
          <t>EQ</t>
        </is>
      </c>
      <c r="H58" s="115" t="inlineStr">
        <is>
          <t>sell</t>
        </is>
      </c>
      <c r="I58" s="115" t="b">
        <v>0</v>
      </c>
      <c r="J58" s="115" t="n">
        <v>5</v>
      </c>
      <c r="K58" s="115" t="n">
        <v>1477.1</v>
      </c>
      <c r="L58" s="116" t="n">
        <v>402016998</v>
      </c>
      <c r="M58" s="116" t="n">
        <v>1200000018561473</v>
      </c>
      <c r="N58" s="115" t="inlineStr">
        <is>
          <t>2025-10-03T10:12:36</t>
        </is>
      </c>
      <c r="O58" s="115" t="inlineStr"/>
    </row>
    <row r="59">
      <c r="A59" s="115" t="inlineStr"/>
      <c r="B59" s="115" t="inlineStr">
        <is>
          <t>PIDILITIND</t>
        </is>
      </c>
      <c r="C59" s="115" t="inlineStr">
        <is>
          <t>INE318A01026</t>
        </is>
      </c>
      <c r="D59" s="115" t="inlineStr">
        <is>
          <t>2025-10-03</t>
        </is>
      </c>
      <c r="E59" s="115" t="inlineStr">
        <is>
          <t>NSE</t>
        </is>
      </c>
      <c r="F59" s="115" t="inlineStr">
        <is>
          <t>EQ</t>
        </is>
      </c>
      <c r="G59" s="115" t="inlineStr">
        <is>
          <t>EQ</t>
        </is>
      </c>
      <c r="H59" s="115" t="inlineStr">
        <is>
          <t>sell</t>
        </is>
      </c>
      <c r="I59" s="115" t="b">
        <v>0</v>
      </c>
      <c r="J59" s="115" t="n">
        <v>10</v>
      </c>
      <c r="K59" s="115" t="n">
        <v>1477.1</v>
      </c>
      <c r="L59" s="116" t="n">
        <v>402016999</v>
      </c>
      <c r="M59" s="116" t="n">
        <v>1200000018561473</v>
      </c>
      <c r="N59" s="115" t="inlineStr">
        <is>
          <t>2025-10-03T10:12:36</t>
        </is>
      </c>
      <c r="O59" s="115" t="inlineStr"/>
    </row>
    <row r="60">
      <c r="A60" s="115" t="inlineStr"/>
      <c r="B60" s="115" t="inlineStr">
        <is>
          <t>CANBK</t>
        </is>
      </c>
      <c r="C60" s="115" t="inlineStr">
        <is>
          <t>INE476A01022</t>
        </is>
      </c>
      <c r="D60" s="115" t="inlineStr">
        <is>
          <t>2025-10-06</t>
        </is>
      </c>
      <c r="E60" s="115" t="inlineStr">
        <is>
          <t>NSE</t>
        </is>
      </c>
      <c r="F60" s="115" t="inlineStr">
        <is>
          <t>EQ</t>
        </is>
      </c>
      <c r="G60" s="115" t="inlineStr">
        <is>
          <t>EQ</t>
        </is>
      </c>
      <c r="H60" s="115" t="inlineStr">
        <is>
          <t>buy</t>
        </is>
      </c>
      <c r="I60" s="115" t="b">
        <v>0</v>
      </c>
      <c r="J60" s="115" t="n">
        <v>1</v>
      </c>
      <c r="K60" s="115" t="n">
        <v>126.69</v>
      </c>
      <c r="L60" s="116" t="n">
        <v>5171536</v>
      </c>
      <c r="M60" s="116" t="n">
        <v>1000000056548613</v>
      </c>
      <c r="N60" s="115" t="inlineStr">
        <is>
          <t>2025-10-06T14:28:07</t>
        </is>
      </c>
      <c r="O60" s="115" t="inlineStr"/>
    </row>
    <row r="61">
      <c r="A61" s="115" t="inlineStr"/>
      <c r="B61" s="115" t="inlineStr">
        <is>
          <t>CANBK</t>
        </is>
      </c>
      <c r="C61" s="115" t="inlineStr">
        <is>
          <t>INE476A01022</t>
        </is>
      </c>
      <c r="D61" s="115" t="inlineStr">
        <is>
          <t>2025-10-06</t>
        </is>
      </c>
      <c r="E61" s="115" t="inlineStr">
        <is>
          <t>NSE</t>
        </is>
      </c>
      <c r="F61" s="115" t="inlineStr">
        <is>
          <t>EQ</t>
        </is>
      </c>
      <c r="G61" s="115" t="inlineStr">
        <is>
          <t>EQ</t>
        </is>
      </c>
      <c r="H61" s="115" t="inlineStr">
        <is>
          <t>buy</t>
        </is>
      </c>
      <c r="I61" s="115" t="b">
        <v>0</v>
      </c>
      <c r="J61" s="115" t="n">
        <v>2</v>
      </c>
      <c r="K61" s="115" t="n">
        <v>126.67</v>
      </c>
      <c r="L61" s="116" t="n">
        <v>5171523</v>
      </c>
      <c r="M61" s="116" t="n">
        <v>1000000056548613</v>
      </c>
      <c r="N61" s="115" t="inlineStr">
        <is>
          <t>2025-10-06T14:28:07</t>
        </is>
      </c>
      <c r="O61" s="115" t="inlineStr"/>
    </row>
    <row r="62">
      <c r="A62" s="115" t="inlineStr"/>
      <c r="B62" s="115" t="inlineStr">
        <is>
          <t>CANBK</t>
        </is>
      </c>
      <c r="C62" s="115" t="inlineStr">
        <is>
          <t>INE476A01022</t>
        </is>
      </c>
      <c r="D62" s="115" t="inlineStr">
        <is>
          <t>2025-10-06</t>
        </is>
      </c>
      <c r="E62" s="115" t="inlineStr">
        <is>
          <t>NSE</t>
        </is>
      </c>
      <c r="F62" s="115" t="inlineStr">
        <is>
          <t>EQ</t>
        </is>
      </c>
      <c r="G62" s="115" t="inlineStr">
        <is>
          <t>EQ</t>
        </is>
      </c>
      <c r="H62" s="115" t="inlineStr">
        <is>
          <t>buy</t>
        </is>
      </c>
      <c r="I62" s="115" t="b">
        <v>0</v>
      </c>
      <c r="J62" s="115" t="n">
        <v>1</v>
      </c>
      <c r="K62" s="115" t="n">
        <v>126.67</v>
      </c>
      <c r="L62" s="116" t="n">
        <v>5171524</v>
      </c>
      <c r="M62" s="116" t="n">
        <v>1000000056548613</v>
      </c>
      <c r="N62" s="115" t="inlineStr">
        <is>
          <t>2025-10-06T14:28:07</t>
        </is>
      </c>
      <c r="O62" s="115" t="inlineStr"/>
    </row>
    <row r="63">
      <c r="A63" s="115" t="inlineStr"/>
      <c r="B63" s="115" t="inlineStr">
        <is>
          <t>CANBK</t>
        </is>
      </c>
      <c r="C63" s="115" t="inlineStr">
        <is>
          <t>INE476A01022</t>
        </is>
      </c>
      <c r="D63" s="115" t="inlineStr">
        <is>
          <t>2025-10-06</t>
        </is>
      </c>
      <c r="E63" s="115" t="inlineStr">
        <is>
          <t>NSE</t>
        </is>
      </c>
      <c r="F63" s="115" t="inlineStr">
        <is>
          <t>EQ</t>
        </is>
      </c>
      <c r="G63" s="115" t="inlineStr">
        <is>
          <t>EQ</t>
        </is>
      </c>
      <c r="H63" s="115" t="inlineStr">
        <is>
          <t>buy</t>
        </is>
      </c>
      <c r="I63" s="115" t="b">
        <v>0</v>
      </c>
      <c r="J63" s="115" t="n">
        <v>369</v>
      </c>
      <c r="K63" s="115" t="n">
        <v>126.7</v>
      </c>
      <c r="L63" s="116" t="n">
        <v>5171538</v>
      </c>
      <c r="M63" s="116" t="n">
        <v>1000000056548613</v>
      </c>
      <c r="N63" s="115" t="inlineStr">
        <is>
          <t>2025-10-06T14:28:07</t>
        </is>
      </c>
      <c r="O63" s="115" t="inlineStr"/>
    </row>
    <row r="64">
      <c r="A64" s="115" t="inlineStr"/>
      <c r="B64" s="115" t="inlineStr">
        <is>
          <t>CANBK</t>
        </is>
      </c>
      <c r="C64" s="115" t="inlineStr">
        <is>
          <t>INE476A01022</t>
        </is>
      </c>
      <c r="D64" s="115" t="inlineStr">
        <is>
          <t>2025-10-06</t>
        </is>
      </c>
      <c r="E64" s="115" t="inlineStr">
        <is>
          <t>NSE</t>
        </is>
      </c>
      <c r="F64" s="115" t="inlineStr">
        <is>
          <t>EQ</t>
        </is>
      </c>
      <c r="G64" s="115" t="inlineStr">
        <is>
          <t>EQ</t>
        </is>
      </c>
      <c r="H64" s="115" t="inlineStr">
        <is>
          <t>buy</t>
        </is>
      </c>
      <c r="I64" s="115" t="b">
        <v>0</v>
      </c>
      <c r="J64" s="115" t="n">
        <v>60</v>
      </c>
      <c r="K64" s="115" t="n">
        <v>126.7</v>
      </c>
      <c r="L64" s="116" t="n">
        <v>5171540</v>
      </c>
      <c r="M64" s="116" t="n">
        <v>1000000056548613</v>
      </c>
      <c r="N64" s="115" t="inlineStr">
        <is>
          <t>2025-10-06T14:28:07</t>
        </is>
      </c>
      <c r="O64" s="115" t="inlineStr"/>
    </row>
    <row r="65">
      <c r="A65" s="115" t="inlineStr"/>
      <c r="B65" s="115" t="inlineStr">
        <is>
          <t>CANBK</t>
        </is>
      </c>
      <c r="C65" s="115" t="inlineStr">
        <is>
          <t>INE476A01022</t>
        </is>
      </c>
      <c r="D65" s="115" t="inlineStr">
        <is>
          <t>2025-10-06</t>
        </is>
      </c>
      <c r="E65" s="115" t="inlineStr">
        <is>
          <t>NSE</t>
        </is>
      </c>
      <c r="F65" s="115" t="inlineStr">
        <is>
          <t>EQ</t>
        </is>
      </c>
      <c r="G65" s="115" t="inlineStr">
        <is>
          <t>EQ</t>
        </is>
      </c>
      <c r="H65" s="115" t="inlineStr">
        <is>
          <t>buy</t>
        </is>
      </c>
      <c r="I65" s="115" t="b">
        <v>0</v>
      </c>
      <c r="J65" s="115" t="n">
        <v>125</v>
      </c>
      <c r="K65" s="115" t="n">
        <v>126.69</v>
      </c>
      <c r="L65" s="116" t="n">
        <v>5171535</v>
      </c>
      <c r="M65" s="116" t="n">
        <v>1000000056548613</v>
      </c>
      <c r="N65" s="115" t="inlineStr">
        <is>
          <t>2025-10-06T14:28:07</t>
        </is>
      </c>
      <c r="O65" s="115" t="inlineStr"/>
    </row>
    <row r="66">
      <c r="A66" s="115" t="inlineStr"/>
      <c r="B66" s="115" t="inlineStr">
        <is>
          <t>CANBK</t>
        </is>
      </c>
      <c r="C66" s="115" t="inlineStr">
        <is>
          <t>INE476A01022</t>
        </is>
      </c>
      <c r="D66" s="115" t="inlineStr">
        <is>
          <t>2025-10-06</t>
        </is>
      </c>
      <c r="E66" s="115" t="inlineStr">
        <is>
          <t>NSE</t>
        </is>
      </c>
      <c r="F66" s="115" t="inlineStr">
        <is>
          <t>EQ</t>
        </is>
      </c>
      <c r="G66" s="115" t="inlineStr">
        <is>
          <t>EQ</t>
        </is>
      </c>
      <c r="H66" s="115" t="inlineStr">
        <is>
          <t>buy</t>
        </is>
      </c>
      <c r="I66" s="115" t="b">
        <v>0</v>
      </c>
      <c r="J66" s="115" t="n">
        <v>110</v>
      </c>
      <c r="K66" s="115" t="n">
        <v>126.7</v>
      </c>
      <c r="L66" s="116" t="n">
        <v>5171539</v>
      </c>
      <c r="M66" s="116" t="n">
        <v>1000000056548613</v>
      </c>
      <c r="N66" s="115" t="inlineStr">
        <is>
          <t>2025-10-06T14:28:07</t>
        </is>
      </c>
      <c r="O66" s="115" t="inlineStr"/>
    </row>
    <row r="67">
      <c r="A67" s="115" t="inlineStr"/>
      <c r="B67" s="115" t="inlineStr">
        <is>
          <t>CANBK</t>
        </is>
      </c>
      <c r="C67" s="115" t="inlineStr">
        <is>
          <t>INE476A01022</t>
        </is>
      </c>
      <c r="D67" s="115" t="inlineStr">
        <is>
          <t>2025-10-06</t>
        </is>
      </c>
      <c r="E67" s="115" t="inlineStr">
        <is>
          <t>NSE</t>
        </is>
      </c>
      <c r="F67" s="115" t="inlineStr">
        <is>
          <t>EQ</t>
        </is>
      </c>
      <c r="G67" s="115" t="inlineStr">
        <is>
          <t>EQ</t>
        </is>
      </c>
      <c r="H67" s="115" t="inlineStr">
        <is>
          <t>buy</t>
        </is>
      </c>
      <c r="I67" s="115" t="b">
        <v>0</v>
      </c>
      <c r="J67" s="115" t="n">
        <v>59</v>
      </c>
      <c r="K67" s="115" t="n">
        <v>126.69</v>
      </c>
      <c r="L67" s="116" t="n">
        <v>5171537</v>
      </c>
      <c r="M67" s="116" t="n">
        <v>1000000056548613</v>
      </c>
      <c r="N67" s="115" t="inlineStr">
        <is>
          <t>2025-10-06T14:28:07</t>
        </is>
      </c>
      <c r="O67" s="115" t="inlineStr"/>
    </row>
    <row r="68">
      <c r="A68" s="115" t="inlineStr"/>
      <c r="B68" s="115" t="inlineStr">
        <is>
          <t>CANBK</t>
        </is>
      </c>
      <c r="C68" s="115" t="inlineStr">
        <is>
          <t>INE476A01022</t>
        </is>
      </c>
      <c r="D68" s="115" t="inlineStr">
        <is>
          <t>2025-10-06</t>
        </is>
      </c>
      <c r="E68" s="115" t="inlineStr">
        <is>
          <t>NSE</t>
        </is>
      </c>
      <c r="F68" s="115" t="inlineStr">
        <is>
          <t>EQ</t>
        </is>
      </c>
      <c r="G68" s="115" t="inlineStr">
        <is>
          <t>EQ</t>
        </is>
      </c>
      <c r="H68" s="115" t="inlineStr">
        <is>
          <t>buy</t>
        </is>
      </c>
      <c r="I68" s="115" t="b">
        <v>0</v>
      </c>
      <c r="J68" s="115" t="n">
        <v>7</v>
      </c>
      <c r="K68" s="115" t="n">
        <v>126.7</v>
      </c>
      <c r="L68" s="116" t="n">
        <v>5171541</v>
      </c>
      <c r="M68" s="116" t="n">
        <v>1000000056548613</v>
      </c>
      <c r="N68" s="115" t="inlineStr">
        <is>
          <t>2025-10-06T14:28:07</t>
        </is>
      </c>
      <c r="O68" s="115" t="inlineStr"/>
    </row>
    <row r="69">
      <c r="A69" s="115" t="inlineStr"/>
      <c r="B69" s="115" t="inlineStr">
        <is>
          <t>AVANTEL</t>
        </is>
      </c>
      <c r="C69" s="115" t="inlineStr">
        <is>
          <t>INE005B01027</t>
        </is>
      </c>
      <c r="D69" s="115" t="inlineStr">
        <is>
          <t>2025-10-06</t>
        </is>
      </c>
      <c r="E69" s="115" t="inlineStr">
        <is>
          <t>BSE</t>
        </is>
      </c>
      <c r="F69" s="115" t="inlineStr">
        <is>
          <t>EQ</t>
        </is>
      </c>
      <c r="G69" s="115" t="inlineStr">
        <is>
          <t>A</t>
        </is>
      </c>
      <c r="H69" s="115" t="inlineStr">
        <is>
          <t>buy</t>
        </is>
      </c>
      <c r="I69" s="115" t="b">
        <v>0</v>
      </c>
      <c r="J69" s="115" t="n">
        <v>250</v>
      </c>
      <c r="K69" s="115" t="n">
        <v>207</v>
      </c>
      <c r="L69" s="116" t="n">
        <v>8112900</v>
      </c>
      <c r="M69" s="116" t="n">
        <v>1.759741436626173e+18</v>
      </c>
      <c r="N69" s="115" t="inlineStr">
        <is>
          <t>2025-10-06T14:43:43</t>
        </is>
      </c>
      <c r="O69" s="115" t="inlineStr"/>
    </row>
    <row r="70">
      <c r="A70" s="115" t="inlineStr"/>
      <c r="B70" s="115" t="inlineStr">
        <is>
          <t>POONAWALLA</t>
        </is>
      </c>
      <c r="C70" s="115" t="inlineStr">
        <is>
          <t>INE511C01022</t>
        </is>
      </c>
      <c r="D70" s="115" t="inlineStr">
        <is>
          <t>2025-10-06</t>
        </is>
      </c>
      <c r="E70" s="115" t="inlineStr">
        <is>
          <t>NSE</t>
        </is>
      </c>
      <c r="F70" s="115" t="inlineStr">
        <is>
          <t>EQ</t>
        </is>
      </c>
      <c r="G70" s="115" t="inlineStr">
        <is>
          <t>EQ</t>
        </is>
      </c>
      <c r="H70" s="115" t="inlineStr">
        <is>
          <t>buy</t>
        </is>
      </c>
      <c r="I70" s="115" t="b">
        <v>0</v>
      </c>
      <c r="J70" s="115" t="n">
        <v>154</v>
      </c>
      <c r="K70" s="115" t="n">
        <v>531.35</v>
      </c>
      <c r="L70" s="116" t="n">
        <v>406721086</v>
      </c>
      <c r="M70" s="116" t="n">
        <v>1200000079369794</v>
      </c>
      <c r="N70" s="115" t="inlineStr">
        <is>
          <t>2025-10-06T14:49:23</t>
        </is>
      </c>
      <c r="O70" s="115" t="inlineStr"/>
    </row>
    <row r="71">
      <c r="A71" s="115" t="inlineStr"/>
      <c r="B71" s="115" t="inlineStr">
        <is>
          <t>POONAWALLA</t>
        </is>
      </c>
      <c r="C71" s="115" t="inlineStr">
        <is>
          <t>INE511C01022</t>
        </is>
      </c>
      <c r="D71" s="115" t="inlineStr">
        <is>
          <t>2025-10-06</t>
        </is>
      </c>
      <c r="E71" s="115" t="inlineStr">
        <is>
          <t>NSE</t>
        </is>
      </c>
      <c r="F71" s="115" t="inlineStr">
        <is>
          <t>EQ</t>
        </is>
      </c>
      <c r="G71" s="115" t="inlineStr">
        <is>
          <t>EQ</t>
        </is>
      </c>
      <c r="H71" s="115" t="inlineStr">
        <is>
          <t>buy</t>
        </is>
      </c>
      <c r="I71" s="115" t="b">
        <v>0</v>
      </c>
      <c r="J71" s="115" t="n">
        <v>23</v>
      </c>
      <c r="K71" s="115" t="n">
        <v>531.3</v>
      </c>
      <c r="L71" s="116" t="n">
        <v>406721085</v>
      </c>
      <c r="M71" s="116" t="n">
        <v>1200000079369794</v>
      </c>
      <c r="N71" s="115" t="inlineStr">
        <is>
          <t>2025-10-06T14:49:23</t>
        </is>
      </c>
      <c r="O71" s="115" t="inlineStr"/>
    </row>
    <row r="72">
      <c r="A72" s="115" t="inlineStr"/>
      <c r="B72" s="115" t="inlineStr">
        <is>
          <t>POONAWALLA</t>
        </is>
      </c>
      <c r="C72" s="115" t="inlineStr">
        <is>
          <t>INE511C01022</t>
        </is>
      </c>
      <c r="D72" s="115" t="inlineStr">
        <is>
          <t>2025-10-06</t>
        </is>
      </c>
      <c r="E72" s="115" t="inlineStr">
        <is>
          <t>NSE</t>
        </is>
      </c>
      <c r="F72" s="115" t="inlineStr">
        <is>
          <t>EQ</t>
        </is>
      </c>
      <c r="G72" s="115" t="inlineStr">
        <is>
          <t>EQ</t>
        </is>
      </c>
      <c r="H72" s="115" t="inlineStr">
        <is>
          <t>buy</t>
        </is>
      </c>
      <c r="I72" s="115" t="b">
        <v>0</v>
      </c>
      <c r="J72" s="115" t="n">
        <v>11</v>
      </c>
      <c r="K72" s="115" t="n">
        <v>531.35</v>
      </c>
      <c r="L72" s="116" t="n">
        <v>406721087</v>
      </c>
      <c r="M72" s="116" t="n">
        <v>1200000079369794</v>
      </c>
      <c r="N72" s="115" t="inlineStr">
        <is>
          <t>2025-10-06T14:49:23</t>
        </is>
      </c>
      <c r="O72" s="115" t="inlineStr"/>
    </row>
    <row r="73">
      <c r="A73" s="115" t="inlineStr"/>
      <c r="B73" s="115" t="inlineStr">
        <is>
          <t>PRECWIRE</t>
        </is>
      </c>
      <c r="C73" s="115" t="inlineStr">
        <is>
          <t>INE372C01037</t>
        </is>
      </c>
      <c r="D73" s="115" t="inlineStr">
        <is>
          <t>2025-10-06</t>
        </is>
      </c>
      <c r="E73" s="115" t="inlineStr">
        <is>
          <t>NSE</t>
        </is>
      </c>
      <c r="F73" s="115" t="inlineStr">
        <is>
          <t>EQ</t>
        </is>
      </c>
      <c r="G73" s="115" t="inlineStr">
        <is>
          <t>EQ</t>
        </is>
      </c>
      <c r="H73" s="115" t="inlineStr">
        <is>
          <t>buy</t>
        </is>
      </c>
      <c r="I73" s="115" t="b">
        <v>0</v>
      </c>
      <c r="J73" s="115" t="n">
        <v>5</v>
      </c>
      <c r="K73" s="115" t="n">
        <v>210.48</v>
      </c>
      <c r="L73" s="116" t="n">
        <v>406814089</v>
      </c>
      <c r="M73" s="116" t="n">
        <v>1200000080227979</v>
      </c>
      <c r="N73" s="115" t="inlineStr">
        <is>
          <t>2025-10-06T14:53:24</t>
        </is>
      </c>
      <c r="O73" s="115" t="inlineStr"/>
    </row>
    <row r="74">
      <c r="A74" s="115" t="inlineStr"/>
      <c r="B74" s="115" t="inlineStr">
        <is>
          <t>PRECWIRE</t>
        </is>
      </c>
      <c r="C74" s="115" t="inlineStr">
        <is>
          <t>INE372C01037</t>
        </is>
      </c>
      <c r="D74" s="115" t="inlineStr">
        <is>
          <t>2025-10-06</t>
        </is>
      </c>
      <c r="E74" s="115" t="inlineStr">
        <is>
          <t>NSE</t>
        </is>
      </c>
      <c r="F74" s="115" t="inlineStr">
        <is>
          <t>EQ</t>
        </is>
      </c>
      <c r="G74" s="115" t="inlineStr">
        <is>
          <t>EQ</t>
        </is>
      </c>
      <c r="H74" s="115" t="inlineStr">
        <is>
          <t>buy</t>
        </is>
      </c>
      <c r="I74" s="115" t="b">
        <v>0</v>
      </c>
      <c r="J74" s="115" t="n">
        <v>19</v>
      </c>
      <c r="K74" s="115" t="n">
        <v>210.48</v>
      </c>
      <c r="L74" s="116" t="n">
        <v>406814086</v>
      </c>
      <c r="M74" s="116" t="n">
        <v>1200000080227979</v>
      </c>
      <c r="N74" s="115" t="inlineStr">
        <is>
          <t>2025-10-06T14:53:24</t>
        </is>
      </c>
      <c r="O74" s="115" t="inlineStr"/>
    </row>
    <row r="75">
      <c r="A75" s="115" t="inlineStr"/>
      <c r="B75" s="115" t="inlineStr">
        <is>
          <t>PRECWIRE</t>
        </is>
      </c>
      <c r="C75" s="115" t="inlineStr">
        <is>
          <t>INE372C01037</t>
        </is>
      </c>
      <c r="D75" s="115" t="inlineStr">
        <is>
          <t>2025-10-06</t>
        </is>
      </c>
      <c r="E75" s="115" t="inlineStr">
        <is>
          <t>NSE</t>
        </is>
      </c>
      <c r="F75" s="115" t="inlineStr">
        <is>
          <t>EQ</t>
        </is>
      </c>
      <c r="G75" s="115" t="inlineStr">
        <is>
          <t>EQ</t>
        </is>
      </c>
      <c r="H75" s="115" t="inlineStr">
        <is>
          <t>buy</t>
        </is>
      </c>
      <c r="I75" s="115" t="b">
        <v>0</v>
      </c>
      <c r="J75" s="115" t="n">
        <v>2</v>
      </c>
      <c r="K75" s="115" t="n">
        <v>210.49</v>
      </c>
      <c r="L75" s="116" t="n">
        <v>406814099</v>
      </c>
      <c r="M75" s="116" t="n">
        <v>1200000080227979</v>
      </c>
      <c r="N75" s="115" t="inlineStr">
        <is>
          <t>2025-10-06T14:53:24</t>
        </is>
      </c>
      <c r="O75" s="115" t="inlineStr"/>
    </row>
    <row r="76">
      <c r="A76" s="115" t="inlineStr"/>
      <c r="B76" s="115" t="inlineStr">
        <is>
          <t>PRECWIRE</t>
        </is>
      </c>
      <c r="C76" s="115" t="inlineStr">
        <is>
          <t>INE372C01037</t>
        </is>
      </c>
      <c r="D76" s="115" t="inlineStr">
        <is>
          <t>2025-10-06</t>
        </is>
      </c>
      <c r="E76" s="115" t="inlineStr">
        <is>
          <t>NSE</t>
        </is>
      </c>
      <c r="F76" s="115" t="inlineStr">
        <is>
          <t>EQ</t>
        </is>
      </c>
      <c r="G76" s="115" t="inlineStr">
        <is>
          <t>EQ</t>
        </is>
      </c>
      <c r="H76" s="115" t="inlineStr">
        <is>
          <t>buy</t>
        </is>
      </c>
      <c r="I76" s="115" t="b">
        <v>0</v>
      </c>
      <c r="J76" s="115" t="n">
        <v>1</v>
      </c>
      <c r="K76" s="115" t="n">
        <v>210.48</v>
      </c>
      <c r="L76" s="116" t="n">
        <v>406814087</v>
      </c>
      <c r="M76" s="116" t="n">
        <v>1200000080227979</v>
      </c>
      <c r="N76" s="115" t="inlineStr">
        <is>
          <t>2025-10-06T14:53:24</t>
        </is>
      </c>
      <c r="O76" s="115" t="inlineStr"/>
    </row>
    <row r="77">
      <c r="A77" s="115" t="inlineStr"/>
      <c r="B77" s="115" t="inlineStr">
        <is>
          <t>PRECWIRE</t>
        </is>
      </c>
      <c r="C77" s="115" t="inlineStr">
        <is>
          <t>INE372C01037</t>
        </is>
      </c>
      <c r="D77" s="115" t="inlineStr">
        <is>
          <t>2025-10-06</t>
        </is>
      </c>
      <c r="E77" s="115" t="inlineStr">
        <is>
          <t>NSE</t>
        </is>
      </c>
      <c r="F77" s="115" t="inlineStr">
        <is>
          <t>EQ</t>
        </is>
      </c>
      <c r="G77" s="115" t="inlineStr">
        <is>
          <t>EQ</t>
        </is>
      </c>
      <c r="H77" s="115" t="inlineStr">
        <is>
          <t>buy</t>
        </is>
      </c>
      <c r="I77" s="115" t="b">
        <v>0</v>
      </c>
      <c r="J77" s="115" t="n">
        <v>17</v>
      </c>
      <c r="K77" s="115" t="n">
        <v>210.49</v>
      </c>
      <c r="L77" s="116" t="n">
        <v>406814090</v>
      </c>
      <c r="M77" s="116" t="n">
        <v>1200000080227979</v>
      </c>
      <c r="N77" s="115" t="inlineStr">
        <is>
          <t>2025-10-06T14:53:24</t>
        </is>
      </c>
      <c r="O77" s="115" t="inlineStr"/>
    </row>
    <row r="78">
      <c r="A78" s="115" t="inlineStr"/>
      <c r="B78" s="115" t="inlineStr">
        <is>
          <t>PRECWIRE</t>
        </is>
      </c>
      <c r="C78" s="115" t="inlineStr">
        <is>
          <t>INE372C01037</t>
        </is>
      </c>
      <c r="D78" s="115" t="inlineStr">
        <is>
          <t>2025-10-06</t>
        </is>
      </c>
      <c r="E78" s="115" t="inlineStr">
        <is>
          <t>NSE</t>
        </is>
      </c>
      <c r="F78" s="115" t="inlineStr">
        <is>
          <t>EQ</t>
        </is>
      </c>
      <c r="G78" s="115" t="inlineStr">
        <is>
          <t>EQ</t>
        </is>
      </c>
      <c r="H78" s="115" t="inlineStr">
        <is>
          <t>buy</t>
        </is>
      </c>
      <c r="I78" s="115" t="b">
        <v>0</v>
      </c>
      <c r="J78" s="115" t="n">
        <v>23</v>
      </c>
      <c r="K78" s="115" t="n">
        <v>210.5</v>
      </c>
      <c r="L78" s="116" t="n">
        <v>406814105</v>
      </c>
      <c r="M78" s="116" t="n">
        <v>1200000080227979</v>
      </c>
      <c r="N78" s="115" t="inlineStr">
        <is>
          <t>2025-10-06T14:53:24</t>
        </is>
      </c>
      <c r="O78" s="115" t="inlineStr"/>
    </row>
    <row r="79">
      <c r="A79" s="115" t="inlineStr"/>
      <c r="B79" s="115" t="inlineStr">
        <is>
          <t>PRECWIRE</t>
        </is>
      </c>
      <c r="C79" s="115" t="inlineStr">
        <is>
          <t>INE372C01037</t>
        </is>
      </c>
      <c r="D79" s="115" t="inlineStr">
        <is>
          <t>2025-10-06</t>
        </is>
      </c>
      <c r="E79" s="115" t="inlineStr">
        <is>
          <t>NSE</t>
        </is>
      </c>
      <c r="F79" s="115" t="inlineStr">
        <is>
          <t>EQ</t>
        </is>
      </c>
      <c r="G79" s="115" t="inlineStr">
        <is>
          <t>EQ</t>
        </is>
      </c>
      <c r="H79" s="115" t="inlineStr">
        <is>
          <t>buy</t>
        </is>
      </c>
      <c r="I79" s="115" t="b">
        <v>0</v>
      </c>
      <c r="J79" s="115" t="n">
        <v>1</v>
      </c>
      <c r="K79" s="115" t="n">
        <v>210.49</v>
      </c>
      <c r="L79" s="116" t="n">
        <v>406814092</v>
      </c>
      <c r="M79" s="116" t="n">
        <v>1200000080227979</v>
      </c>
      <c r="N79" s="115" t="inlineStr">
        <is>
          <t>2025-10-06T14:53:24</t>
        </is>
      </c>
      <c r="O79" s="115" t="inlineStr"/>
    </row>
    <row r="80">
      <c r="A80" s="115" t="inlineStr"/>
      <c r="B80" s="115" t="inlineStr">
        <is>
          <t>PRECWIRE</t>
        </is>
      </c>
      <c r="C80" s="115" t="inlineStr">
        <is>
          <t>INE372C01037</t>
        </is>
      </c>
      <c r="D80" s="115" t="inlineStr">
        <is>
          <t>2025-10-06</t>
        </is>
      </c>
      <c r="E80" s="115" t="inlineStr">
        <is>
          <t>NSE</t>
        </is>
      </c>
      <c r="F80" s="115" t="inlineStr">
        <is>
          <t>EQ</t>
        </is>
      </c>
      <c r="G80" s="115" t="inlineStr">
        <is>
          <t>EQ</t>
        </is>
      </c>
      <c r="H80" s="115" t="inlineStr">
        <is>
          <t>buy</t>
        </is>
      </c>
      <c r="I80" s="115" t="b">
        <v>0</v>
      </c>
      <c r="J80" s="115" t="n">
        <v>17</v>
      </c>
      <c r="K80" s="115" t="n">
        <v>210.48</v>
      </c>
      <c r="L80" s="116" t="n">
        <v>406814083</v>
      </c>
      <c r="M80" s="116" t="n">
        <v>1200000080227979</v>
      </c>
      <c r="N80" s="115" t="inlineStr">
        <is>
          <t>2025-10-06T14:53:24</t>
        </is>
      </c>
      <c r="O80" s="115" t="inlineStr"/>
    </row>
    <row r="81">
      <c r="A81" s="115" t="inlineStr"/>
      <c r="B81" s="115" t="inlineStr">
        <is>
          <t>PRECWIRE</t>
        </is>
      </c>
      <c r="C81" s="115" t="inlineStr">
        <is>
          <t>INE372C01037</t>
        </is>
      </c>
      <c r="D81" s="115" t="inlineStr">
        <is>
          <t>2025-10-06</t>
        </is>
      </c>
      <c r="E81" s="115" t="inlineStr">
        <is>
          <t>NSE</t>
        </is>
      </c>
      <c r="F81" s="115" t="inlineStr">
        <is>
          <t>EQ</t>
        </is>
      </c>
      <c r="G81" s="115" t="inlineStr">
        <is>
          <t>EQ</t>
        </is>
      </c>
      <c r="H81" s="115" t="inlineStr">
        <is>
          <t>buy</t>
        </is>
      </c>
      <c r="I81" s="115" t="b">
        <v>0</v>
      </c>
      <c r="J81" s="115" t="n">
        <v>8</v>
      </c>
      <c r="K81" s="115" t="n">
        <v>210.48</v>
      </c>
      <c r="L81" s="116" t="n">
        <v>406814085</v>
      </c>
      <c r="M81" s="116" t="n">
        <v>1200000080227979</v>
      </c>
      <c r="N81" s="115" t="inlineStr">
        <is>
          <t>2025-10-06T14:53:24</t>
        </is>
      </c>
      <c r="O81" s="115" t="inlineStr"/>
    </row>
    <row r="82">
      <c r="A82" s="115" t="inlineStr"/>
      <c r="B82" s="115" t="inlineStr">
        <is>
          <t>PRECWIRE</t>
        </is>
      </c>
      <c r="C82" s="115" t="inlineStr">
        <is>
          <t>INE372C01037</t>
        </is>
      </c>
      <c r="D82" s="115" t="inlineStr">
        <is>
          <t>2025-10-06</t>
        </is>
      </c>
      <c r="E82" s="115" t="inlineStr">
        <is>
          <t>NSE</t>
        </is>
      </c>
      <c r="F82" s="115" t="inlineStr">
        <is>
          <t>EQ</t>
        </is>
      </c>
      <c r="G82" s="115" t="inlineStr">
        <is>
          <t>EQ</t>
        </is>
      </c>
      <c r="H82" s="115" t="inlineStr">
        <is>
          <t>buy</t>
        </is>
      </c>
      <c r="I82" s="115" t="b">
        <v>0</v>
      </c>
      <c r="J82" s="115" t="n">
        <v>2</v>
      </c>
      <c r="K82" s="115" t="n">
        <v>210.5</v>
      </c>
      <c r="L82" s="116" t="n">
        <v>406814104</v>
      </c>
      <c r="M82" s="116" t="n">
        <v>1200000080227979</v>
      </c>
      <c r="N82" s="115" t="inlineStr">
        <is>
          <t>2025-10-06T14:53:24</t>
        </is>
      </c>
      <c r="O82" s="115" t="inlineStr"/>
    </row>
    <row r="83">
      <c r="A83" s="115" t="inlineStr"/>
      <c r="B83" s="115" t="inlineStr">
        <is>
          <t>PRECWIRE</t>
        </is>
      </c>
      <c r="C83" s="115" t="inlineStr">
        <is>
          <t>INE372C01037</t>
        </is>
      </c>
      <c r="D83" s="115" t="inlineStr">
        <is>
          <t>2025-10-06</t>
        </is>
      </c>
      <c r="E83" s="115" t="inlineStr">
        <is>
          <t>NSE</t>
        </is>
      </c>
      <c r="F83" s="115" t="inlineStr">
        <is>
          <t>EQ</t>
        </is>
      </c>
      <c r="G83" s="115" t="inlineStr">
        <is>
          <t>EQ</t>
        </is>
      </c>
      <c r="H83" s="115" t="inlineStr">
        <is>
          <t>buy</t>
        </is>
      </c>
      <c r="I83" s="115" t="b">
        <v>0</v>
      </c>
      <c r="J83" s="115" t="n">
        <v>2</v>
      </c>
      <c r="K83" s="115" t="n">
        <v>210.48</v>
      </c>
      <c r="L83" s="116" t="n">
        <v>406814088</v>
      </c>
      <c r="M83" s="116" t="n">
        <v>1200000080227979</v>
      </c>
      <c r="N83" s="115" t="inlineStr">
        <is>
          <t>2025-10-06T14:53:24</t>
        </is>
      </c>
      <c r="O83" s="115" t="inlineStr"/>
    </row>
    <row r="84">
      <c r="A84" s="115" t="inlineStr"/>
      <c r="B84" s="115" t="inlineStr">
        <is>
          <t>PRECWIRE</t>
        </is>
      </c>
      <c r="C84" s="115" t="inlineStr">
        <is>
          <t>INE372C01037</t>
        </is>
      </c>
      <c r="D84" s="115" t="inlineStr">
        <is>
          <t>2025-10-06</t>
        </is>
      </c>
      <c r="E84" s="115" t="inlineStr">
        <is>
          <t>NSE</t>
        </is>
      </c>
      <c r="F84" s="115" t="inlineStr">
        <is>
          <t>EQ</t>
        </is>
      </c>
      <c r="G84" s="115" t="inlineStr">
        <is>
          <t>EQ</t>
        </is>
      </c>
      <c r="H84" s="115" t="inlineStr">
        <is>
          <t>buy</t>
        </is>
      </c>
      <c r="I84" s="115" t="b">
        <v>0</v>
      </c>
      <c r="J84" s="115" t="n">
        <v>7</v>
      </c>
      <c r="K84" s="115" t="n">
        <v>210.49</v>
      </c>
      <c r="L84" s="116" t="n">
        <v>406814103</v>
      </c>
      <c r="M84" s="116" t="n">
        <v>1200000080227979</v>
      </c>
      <c r="N84" s="115" t="inlineStr">
        <is>
          <t>2025-10-06T14:53:24</t>
        </is>
      </c>
      <c r="O84" s="115" t="inlineStr"/>
    </row>
    <row r="85">
      <c r="A85" s="115" t="inlineStr"/>
      <c r="B85" s="115" t="inlineStr">
        <is>
          <t>GMDCLTD</t>
        </is>
      </c>
      <c r="C85" s="115" t="inlineStr">
        <is>
          <t>INE131A01031</t>
        </is>
      </c>
      <c r="D85" s="115" t="inlineStr">
        <is>
          <t>2025-10-06</t>
        </is>
      </c>
      <c r="E85" s="115" t="inlineStr">
        <is>
          <t>BSE</t>
        </is>
      </c>
      <c r="F85" s="115" t="inlineStr">
        <is>
          <t>EQ</t>
        </is>
      </c>
      <c r="G85" s="115" t="inlineStr">
        <is>
          <t>A</t>
        </is>
      </c>
      <c r="H85" s="115" t="inlineStr">
        <is>
          <t>buy</t>
        </is>
      </c>
      <c r="I85" s="115" t="b">
        <v>0</v>
      </c>
      <c r="J85" s="115" t="n">
        <v>163</v>
      </c>
      <c r="K85" s="115" t="n">
        <v>612.2</v>
      </c>
      <c r="L85" s="116" t="n">
        <v>7270300</v>
      </c>
      <c r="M85" s="116" t="n">
        <v>1.759741109970501e+18</v>
      </c>
      <c r="N85" s="115" t="inlineStr">
        <is>
          <t>2025-10-06T14:55:34</t>
        </is>
      </c>
      <c r="O85" s="115" t="inlineStr"/>
    </row>
    <row r="86">
      <c r="A86" s="115" t="inlineStr"/>
      <c r="B86" s="115" t="inlineStr">
        <is>
          <t>HINDALCO</t>
        </is>
      </c>
      <c r="C86" s="115" t="inlineStr">
        <is>
          <t>INE038A01020</t>
        </is>
      </c>
      <c r="D86" s="115" t="inlineStr">
        <is>
          <t>2025-10-06</t>
        </is>
      </c>
      <c r="E86" s="115" t="inlineStr">
        <is>
          <t>NSE</t>
        </is>
      </c>
      <c r="F86" s="115" t="inlineStr">
        <is>
          <t>EQ</t>
        </is>
      </c>
      <c r="G86" s="115" t="inlineStr">
        <is>
          <t>EQ</t>
        </is>
      </c>
      <c r="H86" s="115" t="inlineStr">
        <is>
          <t>buy</t>
        </is>
      </c>
      <c r="I86" s="115" t="b">
        <v>0</v>
      </c>
      <c r="J86" s="115" t="n">
        <v>87</v>
      </c>
      <c r="K86" s="115" t="n">
        <v>775.7</v>
      </c>
      <c r="L86" s="116" t="n">
        <v>208032320</v>
      </c>
      <c r="M86" s="116" t="n">
        <v>1100000078423165</v>
      </c>
      <c r="N86" s="115" t="inlineStr">
        <is>
          <t>2025-10-06T15:06:32</t>
        </is>
      </c>
      <c r="O86" s="115" t="inlineStr"/>
    </row>
    <row r="87">
      <c r="A87" s="115" t="inlineStr"/>
      <c r="B87" s="115" t="inlineStr">
        <is>
          <t>HINDALCO</t>
        </is>
      </c>
      <c r="C87" s="115" t="inlineStr">
        <is>
          <t>INE038A01020</t>
        </is>
      </c>
      <c r="D87" s="115" t="inlineStr">
        <is>
          <t>2025-10-06</t>
        </is>
      </c>
      <c r="E87" s="115" t="inlineStr">
        <is>
          <t>NSE</t>
        </is>
      </c>
      <c r="F87" s="115" t="inlineStr">
        <is>
          <t>EQ</t>
        </is>
      </c>
      <c r="G87" s="115" t="inlineStr">
        <is>
          <t>EQ</t>
        </is>
      </c>
      <c r="H87" s="115" t="inlineStr">
        <is>
          <t>buy</t>
        </is>
      </c>
      <c r="I87" s="115" t="b">
        <v>0</v>
      </c>
      <c r="J87" s="115" t="n">
        <v>42</v>
      </c>
      <c r="K87" s="115" t="n">
        <v>775.7</v>
      </c>
      <c r="L87" s="116" t="n">
        <v>208032319</v>
      </c>
      <c r="M87" s="116" t="n">
        <v>1100000078423165</v>
      </c>
      <c r="N87" s="115" t="inlineStr">
        <is>
          <t>2025-10-06T15:06:32</t>
        </is>
      </c>
      <c r="O87" s="115" t="inlineStr"/>
    </row>
    <row r="88">
      <c r="A88" s="115" t="inlineStr"/>
      <c r="B88" s="115" t="inlineStr">
        <is>
          <t>SPLPETRO</t>
        </is>
      </c>
      <c r="C88" s="115" t="inlineStr">
        <is>
          <t>INE663A01033</t>
        </is>
      </c>
      <c r="D88" s="115" t="inlineStr">
        <is>
          <t>2025-10-08</t>
        </is>
      </c>
      <c r="E88" s="115" t="inlineStr">
        <is>
          <t>NSE</t>
        </is>
      </c>
      <c r="F88" s="115" t="inlineStr">
        <is>
          <t>EQ</t>
        </is>
      </c>
      <c r="G88" s="115" t="inlineStr">
        <is>
          <t>EQ</t>
        </is>
      </c>
      <c r="H88" s="115" t="inlineStr">
        <is>
          <t>sell</t>
        </is>
      </c>
      <c r="I88" s="115" t="b">
        <v>0</v>
      </c>
      <c r="J88" s="115" t="n">
        <v>8</v>
      </c>
      <c r="K88" s="115" t="n">
        <v>786.7</v>
      </c>
      <c r="L88" s="116" t="n">
        <v>605515333</v>
      </c>
      <c r="M88" s="116" t="n">
        <v>1300000051006281</v>
      </c>
      <c r="N88" s="115" t="inlineStr">
        <is>
          <t>2025-10-08T13:18:12</t>
        </is>
      </c>
      <c r="O88" s="115" t="inlineStr"/>
    </row>
    <row r="89">
      <c r="A89" s="115" t="inlineStr"/>
      <c r="B89" s="115" t="inlineStr">
        <is>
          <t>SPLPETRO</t>
        </is>
      </c>
      <c r="C89" s="115" t="inlineStr">
        <is>
          <t>INE663A01033</t>
        </is>
      </c>
      <c r="D89" s="115" t="inlineStr">
        <is>
          <t>2025-10-08</t>
        </is>
      </c>
      <c r="E89" s="115" t="inlineStr">
        <is>
          <t>NSE</t>
        </is>
      </c>
      <c r="F89" s="115" t="inlineStr">
        <is>
          <t>EQ</t>
        </is>
      </c>
      <c r="G89" s="115" t="inlineStr">
        <is>
          <t>EQ</t>
        </is>
      </c>
      <c r="H89" s="115" t="inlineStr">
        <is>
          <t>sell</t>
        </is>
      </c>
      <c r="I89" s="115" t="b">
        <v>0</v>
      </c>
      <c r="J89" s="115" t="n">
        <v>1</v>
      </c>
      <c r="K89" s="115" t="n">
        <v>786.85</v>
      </c>
      <c r="L89" s="116" t="n">
        <v>605515329</v>
      </c>
      <c r="M89" s="116" t="n">
        <v>1300000051006281</v>
      </c>
      <c r="N89" s="115" t="inlineStr">
        <is>
          <t>2025-10-08T13:18:12</t>
        </is>
      </c>
      <c r="O89" s="115" t="inlineStr"/>
    </row>
    <row r="90">
      <c r="A90" s="115" t="inlineStr"/>
      <c r="B90" s="115" t="inlineStr">
        <is>
          <t>SPLPETRO</t>
        </is>
      </c>
      <c r="C90" s="115" t="inlineStr">
        <is>
          <t>INE663A01033</t>
        </is>
      </c>
      <c r="D90" s="115" t="inlineStr">
        <is>
          <t>2025-10-08</t>
        </is>
      </c>
      <c r="E90" s="115" t="inlineStr">
        <is>
          <t>NSE</t>
        </is>
      </c>
      <c r="F90" s="115" t="inlineStr">
        <is>
          <t>EQ</t>
        </is>
      </c>
      <c r="G90" s="115" t="inlineStr">
        <is>
          <t>EQ</t>
        </is>
      </c>
      <c r="H90" s="115" t="inlineStr">
        <is>
          <t>sell</t>
        </is>
      </c>
      <c r="I90" s="115" t="b">
        <v>0</v>
      </c>
      <c r="J90" s="115" t="n">
        <v>9</v>
      </c>
      <c r="K90" s="115" t="n">
        <v>786.75</v>
      </c>
      <c r="L90" s="116" t="n">
        <v>605515330</v>
      </c>
      <c r="M90" s="116" t="n">
        <v>1300000051006281</v>
      </c>
      <c r="N90" s="115" t="inlineStr">
        <is>
          <t>2025-10-08T13:18:12</t>
        </is>
      </c>
      <c r="O90" s="115" t="inlineStr"/>
    </row>
    <row r="91">
      <c r="A91" s="115" t="inlineStr"/>
      <c r="B91" s="115" t="inlineStr">
        <is>
          <t>SPLPETRO</t>
        </is>
      </c>
      <c r="C91" s="115" t="inlineStr">
        <is>
          <t>INE663A01033</t>
        </is>
      </c>
      <c r="D91" s="115" t="inlineStr">
        <is>
          <t>2025-10-08</t>
        </is>
      </c>
      <c r="E91" s="115" t="inlineStr">
        <is>
          <t>NSE</t>
        </is>
      </c>
      <c r="F91" s="115" t="inlineStr">
        <is>
          <t>EQ</t>
        </is>
      </c>
      <c r="G91" s="115" t="inlineStr">
        <is>
          <t>EQ</t>
        </is>
      </c>
      <c r="H91" s="115" t="inlineStr">
        <is>
          <t>sell</t>
        </is>
      </c>
      <c r="I91" s="115" t="b">
        <v>0</v>
      </c>
      <c r="J91" s="115" t="n">
        <v>3</v>
      </c>
      <c r="K91" s="115" t="n">
        <v>786.7</v>
      </c>
      <c r="L91" s="116" t="n">
        <v>605515331</v>
      </c>
      <c r="M91" s="116" t="n">
        <v>1300000051006281</v>
      </c>
      <c r="N91" s="115" t="inlineStr">
        <is>
          <t>2025-10-08T13:18:12</t>
        </is>
      </c>
      <c r="O91" s="115" t="inlineStr"/>
    </row>
    <row r="92">
      <c r="A92" s="115" t="inlineStr"/>
      <c r="B92" s="115" t="inlineStr">
        <is>
          <t>SPLPETRO</t>
        </is>
      </c>
      <c r="C92" s="115" t="inlineStr">
        <is>
          <t>INE663A01033</t>
        </is>
      </c>
      <c r="D92" s="115" t="inlineStr">
        <is>
          <t>2025-10-08</t>
        </is>
      </c>
      <c r="E92" s="115" t="inlineStr">
        <is>
          <t>NSE</t>
        </is>
      </c>
      <c r="F92" s="115" t="inlineStr">
        <is>
          <t>EQ</t>
        </is>
      </c>
      <c r="G92" s="115" t="inlineStr">
        <is>
          <t>EQ</t>
        </is>
      </c>
      <c r="H92" s="115" t="inlineStr">
        <is>
          <t>sell</t>
        </is>
      </c>
      <c r="I92" s="115" t="b">
        <v>0</v>
      </c>
      <c r="J92" s="115" t="n">
        <v>16</v>
      </c>
      <c r="K92" s="115" t="n">
        <v>786.9</v>
      </c>
      <c r="L92" s="116" t="n">
        <v>605515328</v>
      </c>
      <c r="M92" s="116" t="n">
        <v>1300000051006281</v>
      </c>
      <c r="N92" s="115" t="inlineStr">
        <is>
          <t>2025-10-08T13:18:12</t>
        </is>
      </c>
      <c r="O92" s="115" t="inlineStr"/>
    </row>
    <row r="93">
      <c r="A93" s="115" t="inlineStr"/>
      <c r="B93" s="115" t="inlineStr">
        <is>
          <t>SPLPETRO</t>
        </is>
      </c>
      <c r="C93" s="115" t="inlineStr">
        <is>
          <t>INE663A01033</t>
        </is>
      </c>
      <c r="D93" s="115" t="inlineStr">
        <is>
          <t>2025-10-08</t>
        </is>
      </c>
      <c r="E93" s="115" t="inlineStr">
        <is>
          <t>NSE</t>
        </is>
      </c>
      <c r="F93" s="115" t="inlineStr">
        <is>
          <t>EQ</t>
        </is>
      </c>
      <c r="G93" s="115" t="inlineStr">
        <is>
          <t>EQ</t>
        </is>
      </c>
      <c r="H93" s="115" t="inlineStr">
        <is>
          <t>sell</t>
        </is>
      </c>
      <c r="I93" s="115" t="b">
        <v>0</v>
      </c>
      <c r="J93" s="115" t="n">
        <v>1</v>
      </c>
      <c r="K93" s="115" t="n">
        <v>786.95</v>
      </c>
      <c r="L93" s="116" t="n">
        <v>605515326</v>
      </c>
      <c r="M93" s="116" t="n">
        <v>1300000051006281</v>
      </c>
      <c r="N93" s="115" t="inlineStr">
        <is>
          <t>2025-10-08T13:18:12</t>
        </is>
      </c>
      <c r="O93" s="115" t="inlineStr"/>
    </row>
    <row r="94">
      <c r="A94" s="115" t="inlineStr"/>
      <c r="B94" s="115" t="inlineStr">
        <is>
          <t>SPLPETRO</t>
        </is>
      </c>
      <c r="C94" s="115" t="inlineStr">
        <is>
          <t>INE663A01033</t>
        </is>
      </c>
      <c r="D94" s="115" t="inlineStr">
        <is>
          <t>2025-10-08</t>
        </is>
      </c>
      <c r="E94" s="115" t="inlineStr">
        <is>
          <t>NSE</t>
        </is>
      </c>
      <c r="F94" s="115" t="inlineStr">
        <is>
          <t>EQ</t>
        </is>
      </c>
      <c r="G94" s="115" t="inlineStr">
        <is>
          <t>EQ</t>
        </is>
      </c>
      <c r="H94" s="115" t="inlineStr">
        <is>
          <t>sell</t>
        </is>
      </c>
      <c r="I94" s="115" t="b">
        <v>0</v>
      </c>
      <c r="J94" s="115" t="n">
        <v>15</v>
      </c>
      <c r="K94" s="115" t="n">
        <v>786.95</v>
      </c>
      <c r="L94" s="116" t="n">
        <v>605515327</v>
      </c>
      <c r="M94" s="116" t="n">
        <v>1300000051006281</v>
      </c>
      <c r="N94" s="115" t="inlineStr">
        <is>
          <t>2025-10-08T13:18:12</t>
        </is>
      </c>
      <c r="O94" s="115" t="inlineStr"/>
    </row>
    <row r="95">
      <c r="A95" s="115" t="inlineStr"/>
      <c r="B95" s="115" t="inlineStr">
        <is>
          <t>SPLPETRO</t>
        </is>
      </c>
      <c r="C95" s="115" t="inlineStr">
        <is>
          <t>INE663A01033</t>
        </is>
      </c>
      <c r="D95" s="115" t="inlineStr">
        <is>
          <t>2025-10-08</t>
        </is>
      </c>
      <c r="E95" s="115" t="inlineStr">
        <is>
          <t>NSE</t>
        </is>
      </c>
      <c r="F95" s="115" t="inlineStr">
        <is>
          <t>EQ</t>
        </is>
      </c>
      <c r="G95" s="115" t="inlineStr">
        <is>
          <t>EQ</t>
        </is>
      </c>
      <c r="H95" s="115" t="inlineStr">
        <is>
          <t>sell</t>
        </is>
      </c>
      <c r="I95" s="115" t="b">
        <v>0</v>
      </c>
      <c r="J95" s="115" t="n">
        <v>1</v>
      </c>
      <c r="K95" s="115" t="n">
        <v>786.7</v>
      </c>
      <c r="L95" s="116" t="n">
        <v>605515332</v>
      </c>
      <c r="M95" s="116" t="n">
        <v>1300000051006281</v>
      </c>
      <c r="N95" s="115" t="inlineStr">
        <is>
          <t>2025-10-08T13:18:12</t>
        </is>
      </c>
      <c r="O95" s="115" t="inlineStr"/>
    </row>
    <row r="96">
      <c r="A96" s="115" t="inlineStr"/>
      <c r="B96" s="115" t="inlineStr">
        <is>
          <t>SPLPETRO</t>
        </is>
      </c>
      <c r="C96" s="115" t="inlineStr">
        <is>
          <t>INE663A01033</t>
        </is>
      </c>
      <c r="D96" s="115" t="inlineStr">
        <is>
          <t>2025-10-08</t>
        </is>
      </c>
      <c r="E96" s="115" t="inlineStr">
        <is>
          <t>NSE</t>
        </is>
      </c>
      <c r="F96" s="115" t="inlineStr">
        <is>
          <t>EQ</t>
        </is>
      </c>
      <c r="G96" s="115" t="inlineStr">
        <is>
          <t>EQ</t>
        </is>
      </c>
      <c r="H96" s="115" t="inlineStr">
        <is>
          <t>sell</t>
        </is>
      </c>
      <c r="I96" s="115" t="b">
        <v>0</v>
      </c>
      <c r="J96" s="115" t="n">
        <v>3</v>
      </c>
      <c r="K96" s="115" t="n">
        <v>787</v>
      </c>
      <c r="L96" s="116" t="n">
        <v>605515325</v>
      </c>
      <c r="M96" s="116" t="n">
        <v>1300000051006281</v>
      </c>
      <c r="N96" s="115" t="inlineStr">
        <is>
          <t>2025-10-08T13:18:12</t>
        </is>
      </c>
      <c r="O96" s="115" t="inlineStr"/>
    </row>
    <row r="97">
      <c r="A97" s="115" t="inlineStr"/>
      <c r="B97" s="115" t="inlineStr">
        <is>
          <t>POLYCAB</t>
        </is>
      </c>
      <c r="C97" s="115" t="inlineStr">
        <is>
          <t>INE455K01017</t>
        </is>
      </c>
      <c r="D97" s="115" t="inlineStr">
        <is>
          <t>2025-10-09</t>
        </is>
      </c>
      <c r="E97" s="115" t="inlineStr">
        <is>
          <t>NSE</t>
        </is>
      </c>
      <c r="F97" s="115" t="inlineStr">
        <is>
          <t>EQ</t>
        </is>
      </c>
      <c r="G97" s="115" t="inlineStr">
        <is>
          <t>EQ</t>
        </is>
      </c>
      <c r="H97" s="115" t="inlineStr">
        <is>
          <t>buy</t>
        </is>
      </c>
      <c r="I97" s="115" t="b">
        <v>0</v>
      </c>
      <c r="J97" s="115" t="n">
        <v>13</v>
      </c>
      <c r="K97" s="115" t="n">
        <v>7609</v>
      </c>
      <c r="L97" s="116" t="n">
        <v>402573640</v>
      </c>
      <c r="M97" s="116" t="n">
        <v>1200000029961011</v>
      </c>
      <c r="N97" s="115" t="inlineStr">
        <is>
          <t>2025-10-09T11:10:16</t>
        </is>
      </c>
      <c r="O97" s="115" t="inlineStr"/>
    </row>
    <row r="98">
      <c r="A98" s="115" t="inlineStr"/>
      <c r="B98" s="115" t="inlineStr">
        <is>
          <t>CANBK</t>
        </is>
      </c>
      <c r="C98" s="115" t="inlineStr">
        <is>
          <t>INE476A01022</t>
        </is>
      </c>
      <c r="D98" s="115" t="inlineStr">
        <is>
          <t>2025-10-13</t>
        </is>
      </c>
      <c r="E98" s="115" t="inlineStr">
        <is>
          <t>NSE</t>
        </is>
      </c>
      <c r="F98" s="115" t="inlineStr">
        <is>
          <t>EQ</t>
        </is>
      </c>
      <c r="G98" s="115" t="inlineStr">
        <is>
          <t>EQ</t>
        </is>
      </c>
      <c r="H98" s="115" t="inlineStr">
        <is>
          <t>buy</t>
        </is>
      </c>
      <c r="I98" s="115" t="b">
        <v>0</v>
      </c>
      <c r="J98" s="115" t="n">
        <v>356</v>
      </c>
      <c r="K98" s="115" t="n">
        <v>127.49</v>
      </c>
      <c r="L98" s="116" t="n">
        <v>4798495</v>
      </c>
      <c r="M98" s="116" t="n">
        <v>1000000054465625</v>
      </c>
      <c r="N98" s="115" t="inlineStr">
        <is>
          <t>2025-10-13T14:44:00</t>
        </is>
      </c>
      <c r="O98" s="115" t="inlineStr"/>
    </row>
    <row r="99">
      <c r="A99" s="115" t="inlineStr"/>
      <c r="B99" s="115" t="inlineStr">
        <is>
          <t>CANBK</t>
        </is>
      </c>
      <c r="C99" s="115" t="inlineStr">
        <is>
          <t>INE476A01022</t>
        </is>
      </c>
      <c r="D99" s="115" t="inlineStr">
        <is>
          <t>2025-10-13</t>
        </is>
      </c>
      <c r="E99" s="115" t="inlineStr">
        <is>
          <t>NSE</t>
        </is>
      </c>
      <c r="F99" s="115" t="inlineStr">
        <is>
          <t>EQ</t>
        </is>
      </c>
      <c r="G99" s="115" t="inlineStr">
        <is>
          <t>EQ</t>
        </is>
      </c>
      <c r="H99" s="115" t="inlineStr">
        <is>
          <t>buy</t>
        </is>
      </c>
      <c r="I99" s="115" t="b">
        <v>0</v>
      </c>
      <c r="J99" s="115" t="n">
        <v>428</v>
      </c>
      <c r="K99" s="115" t="n">
        <v>127.5</v>
      </c>
      <c r="L99" s="116" t="n">
        <v>4798496</v>
      </c>
      <c r="M99" s="116" t="n">
        <v>1000000054465625</v>
      </c>
      <c r="N99" s="115" t="inlineStr">
        <is>
          <t>2025-10-13T14:44:00</t>
        </is>
      </c>
      <c r="O99" s="115" t="inlineStr"/>
    </row>
    <row r="100">
      <c r="A100" s="115" t="inlineStr"/>
      <c r="B100" s="115" t="inlineStr">
        <is>
          <t>AVANTEL</t>
        </is>
      </c>
      <c r="C100" s="115" t="inlineStr">
        <is>
          <t>INE005B01027</t>
        </is>
      </c>
      <c r="D100" s="115" t="inlineStr">
        <is>
          <t>2025-10-13</t>
        </is>
      </c>
      <c r="E100" s="115" t="inlineStr">
        <is>
          <t>NSE</t>
        </is>
      </c>
      <c r="F100" s="115" t="inlineStr">
        <is>
          <t>EQ</t>
        </is>
      </c>
      <c r="G100" s="115" t="inlineStr">
        <is>
          <t>EQ</t>
        </is>
      </c>
      <c r="H100" s="115" t="inlineStr">
        <is>
          <t>buy</t>
        </is>
      </c>
      <c r="I100" s="115" t="b">
        <v>0</v>
      </c>
      <c r="J100" s="115" t="n">
        <v>28</v>
      </c>
      <c r="K100" s="115" t="n">
        <v>190.93</v>
      </c>
      <c r="L100" s="116" t="n">
        <v>5398744</v>
      </c>
      <c r="M100" s="116" t="n">
        <v>1000000058915517</v>
      </c>
      <c r="N100" s="115" t="inlineStr">
        <is>
          <t>2025-10-13T15:12:12</t>
        </is>
      </c>
      <c r="O100" s="115" t="inlineStr"/>
    </row>
    <row r="101">
      <c r="A101" s="115" t="inlineStr"/>
      <c r="B101" s="115" t="inlineStr">
        <is>
          <t>AVANTEL</t>
        </is>
      </c>
      <c r="C101" s="115" t="inlineStr">
        <is>
          <t>INE005B01027</t>
        </is>
      </c>
      <c r="D101" s="115" t="inlineStr">
        <is>
          <t>2025-10-13</t>
        </is>
      </c>
      <c r="E101" s="115" t="inlineStr">
        <is>
          <t>NSE</t>
        </is>
      </c>
      <c r="F101" s="115" t="inlineStr">
        <is>
          <t>EQ</t>
        </is>
      </c>
      <c r="G101" s="115" t="inlineStr">
        <is>
          <t>EQ</t>
        </is>
      </c>
      <c r="H101" s="115" t="inlineStr">
        <is>
          <t>buy</t>
        </is>
      </c>
      <c r="I101" s="115" t="b">
        <v>0</v>
      </c>
      <c r="J101" s="115" t="n">
        <v>122</v>
      </c>
      <c r="K101" s="115" t="n">
        <v>190.9</v>
      </c>
      <c r="L101" s="116" t="n">
        <v>5398743</v>
      </c>
      <c r="M101" s="116" t="n">
        <v>1000000058915517</v>
      </c>
      <c r="N101" s="115" t="inlineStr">
        <is>
          <t>2025-10-13T15:12:12</t>
        </is>
      </c>
      <c r="O101" s="115" t="inlineStr"/>
    </row>
    <row r="102">
      <c r="A102" s="115" t="inlineStr"/>
      <c r="B102" s="115" t="inlineStr">
        <is>
          <t>BAJFINANCE</t>
        </is>
      </c>
      <c r="C102" s="115" t="inlineStr">
        <is>
          <t>INE296A01032</t>
        </is>
      </c>
      <c r="D102" s="115" t="inlineStr">
        <is>
          <t>2025-10-16</t>
        </is>
      </c>
      <c r="E102" s="115" t="inlineStr">
        <is>
          <t>NSE</t>
        </is>
      </c>
      <c r="F102" s="115" t="inlineStr">
        <is>
          <t>EQ</t>
        </is>
      </c>
      <c r="G102" s="115" t="inlineStr">
        <is>
          <t>EQ</t>
        </is>
      </c>
      <c r="H102" s="115" t="inlineStr">
        <is>
          <t>buy</t>
        </is>
      </c>
      <c r="I102" s="115" t="b">
        <v>0</v>
      </c>
      <c r="J102" s="115" t="n">
        <v>7</v>
      </c>
      <c r="K102" s="115" t="n">
        <v>1064.6</v>
      </c>
      <c r="L102" s="116" t="n">
        <v>5528442</v>
      </c>
      <c r="M102" s="116" t="n">
        <v>1000000054803594</v>
      </c>
      <c r="N102" s="115" t="inlineStr">
        <is>
          <t>2025-10-16T14:02:53</t>
        </is>
      </c>
      <c r="O102" s="115" t="inlineStr"/>
    </row>
    <row r="103">
      <c r="A103" s="115" t="inlineStr"/>
      <c r="B103" s="115" t="inlineStr">
        <is>
          <t>BAJFINANCE</t>
        </is>
      </c>
      <c r="C103" s="115" t="inlineStr">
        <is>
          <t>INE296A01032</t>
        </is>
      </c>
      <c r="D103" s="115" t="inlineStr">
        <is>
          <t>2025-10-16</t>
        </is>
      </c>
      <c r="E103" s="115" t="inlineStr">
        <is>
          <t>NSE</t>
        </is>
      </c>
      <c r="F103" s="115" t="inlineStr">
        <is>
          <t>EQ</t>
        </is>
      </c>
      <c r="G103" s="115" t="inlineStr">
        <is>
          <t>EQ</t>
        </is>
      </c>
      <c r="H103" s="115" t="inlineStr">
        <is>
          <t>buy</t>
        </is>
      </c>
      <c r="I103" s="115" t="b">
        <v>0</v>
      </c>
      <c r="J103" s="115" t="n">
        <v>41</v>
      </c>
      <c r="K103" s="115" t="n">
        <v>1064.6</v>
      </c>
      <c r="L103" s="116" t="n">
        <v>5528440</v>
      </c>
      <c r="M103" s="116" t="n">
        <v>1000000054803594</v>
      </c>
      <c r="N103" s="115" t="inlineStr">
        <is>
          <t>2025-10-16T14:02:53</t>
        </is>
      </c>
      <c r="O103" s="115" t="inlineStr"/>
    </row>
    <row r="104">
      <c r="A104" s="115" t="inlineStr"/>
      <c r="B104" s="115" t="inlineStr">
        <is>
          <t>BAJFINANCE</t>
        </is>
      </c>
      <c r="C104" s="115" t="inlineStr">
        <is>
          <t>INE296A01032</t>
        </is>
      </c>
      <c r="D104" s="115" t="inlineStr">
        <is>
          <t>2025-10-16</t>
        </is>
      </c>
      <c r="E104" s="115" t="inlineStr">
        <is>
          <t>NSE</t>
        </is>
      </c>
      <c r="F104" s="115" t="inlineStr">
        <is>
          <t>EQ</t>
        </is>
      </c>
      <c r="G104" s="115" t="inlineStr">
        <is>
          <t>EQ</t>
        </is>
      </c>
      <c r="H104" s="115" t="inlineStr">
        <is>
          <t>buy</t>
        </is>
      </c>
      <c r="I104" s="115" t="b">
        <v>0</v>
      </c>
      <c r="J104" s="115" t="n">
        <v>16</v>
      </c>
      <c r="K104" s="115" t="n">
        <v>1064.6</v>
      </c>
      <c r="L104" s="116" t="n">
        <v>5528441</v>
      </c>
      <c r="M104" s="116" t="n">
        <v>1000000054803594</v>
      </c>
      <c r="N104" s="115" t="inlineStr">
        <is>
          <t>2025-10-16T14:02:53</t>
        </is>
      </c>
      <c r="O104" s="115" t="inlineStr"/>
    </row>
    <row r="105">
      <c r="A105" s="115" t="inlineStr"/>
      <c r="B105" s="115" t="inlineStr">
        <is>
          <t>BAJFINANCE</t>
        </is>
      </c>
      <c r="C105" s="115" t="inlineStr">
        <is>
          <t>INE296A01032</t>
        </is>
      </c>
      <c r="D105" s="115" t="inlineStr">
        <is>
          <t>2025-10-16</t>
        </is>
      </c>
      <c r="E105" s="115" t="inlineStr">
        <is>
          <t>NSE</t>
        </is>
      </c>
      <c r="F105" s="115" t="inlineStr">
        <is>
          <t>EQ</t>
        </is>
      </c>
      <c r="G105" s="115" t="inlineStr">
        <is>
          <t>EQ</t>
        </is>
      </c>
      <c r="H105" s="115" t="inlineStr">
        <is>
          <t>buy</t>
        </is>
      </c>
      <c r="I105" s="115" t="b">
        <v>0</v>
      </c>
      <c r="J105" s="115" t="n">
        <v>30</v>
      </c>
      <c r="K105" s="115" t="n">
        <v>1064.6</v>
      </c>
      <c r="L105" s="116" t="n">
        <v>5528443</v>
      </c>
      <c r="M105" s="116" t="n">
        <v>1000000054803594</v>
      </c>
      <c r="N105" s="115" t="inlineStr">
        <is>
          <t>2025-10-16T14:02:53</t>
        </is>
      </c>
      <c r="O105" s="115" t="inlineStr"/>
    </row>
    <row r="106">
      <c r="A106" s="115" t="inlineStr"/>
      <c r="B106" s="115" t="inlineStr">
        <is>
          <t>HBLENGINE</t>
        </is>
      </c>
      <c r="C106" s="115" t="inlineStr">
        <is>
          <t>INE292B01021</t>
        </is>
      </c>
      <c r="D106" s="115" t="inlineStr">
        <is>
          <t>2025-10-16</t>
        </is>
      </c>
      <c r="E106" s="115" t="inlineStr">
        <is>
          <t>NSE</t>
        </is>
      </c>
      <c r="F106" s="115" t="inlineStr">
        <is>
          <t>EQ</t>
        </is>
      </c>
      <c r="G106" s="115" t="inlineStr">
        <is>
          <t>EQ</t>
        </is>
      </c>
      <c r="H106" s="115" t="inlineStr">
        <is>
          <t>buy</t>
        </is>
      </c>
      <c r="I106" s="115" t="b">
        <v>0</v>
      </c>
      <c r="J106" s="115" t="n">
        <v>110</v>
      </c>
      <c r="K106" s="115" t="n">
        <v>914.55</v>
      </c>
      <c r="L106" s="116" t="n">
        <v>206824794</v>
      </c>
      <c r="M106" s="116" t="n">
        <v>1100000060857644</v>
      </c>
      <c r="N106" s="115" t="inlineStr">
        <is>
          <t>2025-10-16T14:05:36</t>
        </is>
      </c>
      <c r="O106" s="115" t="inlineStr"/>
    </row>
    <row r="107">
      <c r="A107" s="115" t="inlineStr"/>
      <c r="B107" s="115" t="inlineStr">
        <is>
          <t>CGPOWER</t>
        </is>
      </c>
      <c r="C107" s="115" t="inlineStr">
        <is>
          <t>INE067A01029</t>
        </is>
      </c>
      <c r="D107" s="115" t="inlineStr">
        <is>
          <t>2025-10-17</t>
        </is>
      </c>
      <c r="E107" s="115" t="inlineStr">
        <is>
          <t>NSE</t>
        </is>
      </c>
      <c r="F107" s="115" t="inlineStr">
        <is>
          <t>EQ</t>
        </is>
      </c>
      <c r="G107" s="115" t="inlineStr">
        <is>
          <t>EQ</t>
        </is>
      </c>
      <c r="H107" s="115" t="inlineStr">
        <is>
          <t>sell</t>
        </is>
      </c>
      <c r="I107" s="115" t="b">
        <v>0</v>
      </c>
      <c r="J107" s="115" t="n">
        <v>24</v>
      </c>
      <c r="K107" s="115" t="n">
        <v>757.6</v>
      </c>
      <c r="L107" s="116" t="n">
        <v>5988450</v>
      </c>
      <c r="M107" s="116" t="n">
        <v>1000000067422485</v>
      </c>
      <c r="N107" s="115" t="inlineStr">
        <is>
          <t>2025-10-17T14:27:40</t>
        </is>
      </c>
      <c r="O107" s="115" t="inlineStr"/>
    </row>
    <row r="108">
      <c r="A108" s="115" t="inlineStr"/>
      <c r="B108" s="115" t="inlineStr">
        <is>
          <t>CGPOWER</t>
        </is>
      </c>
      <c r="C108" s="115" t="inlineStr">
        <is>
          <t>INE067A01029</t>
        </is>
      </c>
      <c r="D108" s="115" t="inlineStr">
        <is>
          <t>2025-10-17</t>
        </is>
      </c>
      <c r="E108" s="115" t="inlineStr">
        <is>
          <t>NSE</t>
        </is>
      </c>
      <c r="F108" s="115" t="inlineStr">
        <is>
          <t>EQ</t>
        </is>
      </c>
      <c r="G108" s="115" t="inlineStr">
        <is>
          <t>EQ</t>
        </is>
      </c>
      <c r="H108" s="115" t="inlineStr">
        <is>
          <t>sell</t>
        </is>
      </c>
      <c r="I108" s="115" t="b">
        <v>0</v>
      </c>
      <c r="J108" s="115" t="n">
        <v>9</v>
      </c>
      <c r="K108" s="115" t="n">
        <v>757.6</v>
      </c>
      <c r="L108" s="116" t="n">
        <v>5988451</v>
      </c>
      <c r="M108" s="116" t="n">
        <v>1000000067422485</v>
      </c>
      <c r="N108" s="115" t="inlineStr">
        <is>
          <t>2025-10-17T14:27:40</t>
        </is>
      </c>
      <c r="O108" s="115" t="inlineStr"/>
    </row>
    <row r="109">
      <c r="A109" s="115" t="inlineStr"/>
      <c r="B109" s="115" t="inlineStr">
        <is>
          <t>JBMA</t>
        </is>
      </c>
      <c r="C109" s="115" t="inlineStr">
        <is>
          <t>INE927D01051</t>
        </is>
      </c>
      <c r="D109" s="115" t="inlineStr">
        <is>
          <t>2025-10-17</t>
        </is>
      </c>
      <c r="E109" s="115" t="inlineStr">
        <is>
          <t>BSE</t>
        </is>
      </c>
      <c r="F109" s="115" t="inlineStr">
        <is>
          <t>EQ</t>
        </is>
      </c>
      <c r="G109" s="115" t="inlineStr">
        <is>
          <t>A</t>
        </is>
      </c>
      <c r="H109" s="115" t="inlineStr">
        <is>
          <t>sell</t>
        </is>
      </c>
      <c r="I109" s="115" t="b">
        <v>0</v>
      </c>
      <c r="J109" s="115" t="n">
        <v>5</v>
      </c>
      <c r="K109" s="115" t="n">
        <v>647.15</v>
      </c>
      <c r="L109" s="116" t="n">
        <v>7351500</v>
      </c>
      <c r="M109" s="116" t="n">
        <v>1.760690323268599e+18</v>
      </c>
      <c r="N109" s="115" t="inlineStr">
        <is>
          <t>2025-10-17T14:27:54</t>
        </is>
      </c>
      <c r="O109" s="115" t="inlineStr"/>
    </row>
    <row r="110">
      <c r="A110" s="115" t="inlineStr"/>
      <c r="B110" s="115" t="inlineStr">
        <is>
          <t>JBMA</t>
        </is>
      </c>
      <c r="C110" s="115" t="inlineStr">
        <is>
          <t>INE927D01051</t>
        </is>
      </c>
      <c r="D110" s="115" t="inlineStr">
        <is>
          <t>2025-10-17</t>
        </is>
      </c>
      <c r="E110" s="115" t="inlineStr">
        <is>
          <t>BSE</t>
        </is>
      </c>
      <c r="F110" s="115" t="inlineStr">
        <is>
          <t>EQ</t>
        </is>
      </c>
      <c r="G110" s="115" t="inlineStr">
        <is>
          <t>A</t>
        </is>
      </c>
      <c r="H110" s="115" t="inlineStr">
        <is>
          <t>sell</t>
        </is>
      </c>
      <c r="I110" s="115" t="b">
        <v>0</v>
      </c>
      <c r="J110" s="115" t="n">
        <v>30</v>
      </c>
      <c r="K110" s="115" t="n">
        <v>647.2</v>
      </c>
      <c r="L110" s="116" t="n">
        <v>7351300</v>
      </c>
      <c r="M110" s="116" t="n">
        <v>1.760690323268599e+18</v>
      </c>
      <c r="N110" s="115" t="inlineStr">
        <is>
          <t>2025-10-17T14:27:54</t>
        </is>
      </c>
      <c r="O110" s="115" t="inlineStr"/>
    </row>
    <row r="111">
      <c r="A111" s="115" t="inlineStr"/>
      <c r="B111" s="115" t="inlineStr">
        <is>
          <t>AVANTEL</t>
        </is>
      </c>
      <c r="C111" s="115" t="inlineStr">
        <is>
          <t>INE005B01027</t>
        </is>
      </c>
      <c r="D111" s="115" t="inlineStr">
        <is>
          <t>2025-10-20</t>
        </is>
      </c>
      <c r="E111" s="115" t="inlineStr">
        <is>
          <t>NSE</t>
        </is>
      </c>
      <c r="F111" s="115" t="inlineStr">
        <is>
          <t>EQ</t>
        </is>
      </c>
      <c r="G111" s="115" t="inlineStr">
        <is>
          <t>EQ</t>
        </is>
      </c>
      <c r="H111" s="115" t="inlineStr">
        <is>
          <t>sell</t>
        </is>
      </c>
      <c r="I111" s="115" t="b">
        <v>0</v>
      </c>
      <c r="J111" s="115" t="n">
        <v>100</v>
      </c>
      <c r="K111" s="115" t="n">
        <v>179.34</v>
      </c>
      <c r="L111" s="116" t="n">
        <v>29470</v>
      </c>
      <c r="M111" s="116" t="n">
        <v>1000000000031386</v>
      </c>
      <c r="N111" s="115" t="inlineStr">
        <is>
          <t>2025-10-20T09:00:03</t>
        </is>
      </c>
      <c r="O111" s="115" t="inlineStr"/>
    </row>
    <row r="112">
      <c r="A112" s="115" t="inlineStr"/>
      <c r="B112" s="115" t="inlineStr">
        <is>
          <t>AVANTEL</t>
        </is>
      </c>
      <c r="C112" s="115" t="inlineStr">
        <is>
          <t>INE005B01027</t>
        </is>
      </c>
      <c r="D112" s="115" t="inlineStr">
        <is>
          <t>2025-10-20</t>
        </is>
      </c>
      <c r="E112" s="115" t="inlineStr">
        <is>
          <t>NSE</t>
        </is>
      </c>
      <c r="F112" s="115" t="inlineStr">
        <is>
          <t>EQ</t>
        </is>
      </c>
      <c r="G112" s="115" t="inlineStr">
        <is>
          <t>EQ</t>
        </is>
      </c>
      <c r="H112" s="115" t="inlineStr">
        <is>
          <t>sell</t>
        </is>
      </c>
      <c r="I112" s="115" t="b">
        <v>0</v>
      </c>
      <c r="J112" s="115" t="n">
        <v>556</v>
      </c>
      <c r="K112" s="115" t="n">
        <v>179.34</v>
      </c>
      <c r="L112" s="116" t="n">
        <v>29471</v>
      </c>
      <c r="M112" s="116" t="n">
        <v>1000000000031386</v>
      </c>
      <c r="N112" s="115" t="inlineStr">
        <is>
          <t>2025-10-20T09:00:03</t>
        </is>
      </c>
      <c r="O112" s="115" t="inlineStr"/>
    </row>
    <row r="113">
      <c r="A113" s="115" t="inlineStr"/>
      <c r="B113" s="115" t="inlineStr">
        <is>
          <t>AVANTEL</t>
        </is>
      </c>
      <c r="C113" s="115" t="inlineStr">
        <is>
          <t>INE005B01027</t>
        </is>
      </c>
      <c r="D113" s="115" t="inlineStr">
        <is>
          <t>2025-10-20</t>
        </is>
      </c>
      <c r="E113" s="115" t="inlineStr">
        <is>
          <t>NSE</t>
        </is>
      </c>
      <c r="F113" s="115" t="inlineStr">
        <is>
          <t>EQ</t>
        </is>
      </c>
      <c r="G113" s="115" t="inlineStr">
        <is>
          <t>EQ</t>
        </is>
      </c>
      <c r="H113" s="115" t="inlineStr">
        <is>
          <t>sell</t>
        </is>
      </c>
      <c r="I113" s="115" t="b">
        <v>0</v>
      </c>
      <c r="J113" s="115" t="n">
        <v>15</v>
      </c>
      <c r="K113" s="115" t="n">
        <v>179.34</v>
      </c>
      <c r="L113" s="116" t="n">
        <v>29469</v>
      </c>
      <c r="M113" s="116" t="n">
        <v>1000000000031386</v>
      </c>
      <c r="N113" s="115" t="inlineStr">
        <is>
          <t>2025-10-20T09:00:03</t>
        </is>
      </c>
      <c r="O113" s="115" t="inlineStr"/>
    </row>
    <row r="114">
      <c r="A114" s="115" t="inlineStr"/>
      <c r="B114" s="115" t="inlineStr">
        <is>
          <t>ETERNAL</t>
        </is>
      </c>
      <c r="C114" s="115" t="inlineStr">
        <is>
          <t>INE758T01015</t>
        </is>
      </c>
      <c r="D114" s="115" t="inlineStr">
        <is>
          <t>2025-10-21</t>
        </is>
      </c>
      <c r="E114" s="115" t="inlineStr">
        <is>
          <t>NSE</t>
        </is>
      </c>
      <c r="F114" s="115" t="inlineStr">
        <is>
          <t>EQ</t>
        </is>
      </c>
      <c r="G114" s="115" t="inlineStr">
        <is>
          <t>EQ</t>
        </is>
      </c>
      <c r="H114" s="115" t="inlineStr">
        <is>
          <t>buy</t>
        </is>
      </c>
      <c r="I114" s="115" t="b">
        <v>0</v>
      </c>
      <c r="J114" s="115" t="n">
        <v>75</v>
      </c>
      <c r="K114" s="115" t="n">
        <v>339.2</v>
      </c>
      <c r="L114" s="116" t="n">
        <v>201509326</v>
      </c>
      <c r="M114" s="116" t="n">
        <v>1100000006516881</v>
      </c>
      <c r="N114" s="115" t="inlineStr">
        <is>
          <t>2025-10-21T14:13:25</t>
        </is>
      </c>
      <c r="O114" s="115" t="inlineStr"/>
    </row>
    <row r="115">
      <c r="A115" s="115" t="inlineStr"/>
      <c r="B115" s="115" t="inlineStr">
        <is>
          <t>CANBK</t>
        </is>
      </c>
      <c r="C115" s="115" t="inlineStr">
        <is>
          <t>INE476A01022</t>
        </is>
      </c>
      <c r="D115" s="115" t="inlineStr">
        <is>
          <t>2025-10-21</t>
        </is>
      </c>
      <c r="E115" s="115" t="inlineStr">
        <is>
          <t>BSE</t>
        </is>
      </c>
      <c r="F115" s="115" t="inlineStr">
        <is>
          <t>EQ</t>
        </is>
      </c>
      <c r="G115" s="115" t="inlineStr">
        <is>
          <t>A</t>
        </is>
      </c>
      <c r="H115" s="115" t="inlineStr">
        <is>
          <t>sell</t>
        </is>
      </c>
      <c r="I115" s="115" t="b">
        <v>0</v>
      </c>
      <c r="J115" s="115" t="n">
        <v>1754</v>
      </c>
      <c r="K115" s="115" t="n">
        <v>126.6</v>
      </c>
      <c r="L115" s="116" t="n">
        <v>3510100</v>
      </c>
      <c r="M115" s="116" t="n">
        <v>1.761037655907058e+18</v>
      </c>
      <c r="N115" s="115" t="inlineStr">
        <is>
          <t>2025-10-21T14:42:11</t>
        </is>
      </c>
      <c r="O115" s="115" t="inlineStr"/>
    </row>
    <row r="116">
      <c r="A116" s="115" t="inlineStr"/>
      <c r="B116" s="115" t="inlineStr">
        <is>
          <t>GMDCLTD</t>
        </is>
      </c>
      <c r="C116" s="115" t="inlineStr">
        <is>
          <t>INE131A01031</t>
        </is>
      </c>
      <c r="D116" s="115" t="inlineStr">
        <is>
          <t>2025-10-24</t>
        </is>
      </c>
      <c r="E116" s="115" t="inlineStr">
        <is>
          <t>NSE</t>
        </is>
      </c>
      <c r="F116" s="115" t="inlineStr">
        <is>
          <t>EQ</t>
        </is>
      </c>
      <c r="G116" s="115" t="inlineStr">
        <is>
          <t>EQ</t>
        </is>
      </c>
      <c r="H116" s="115" t="inlineStr">
        <is>
          <t>sell</t>
        </is>
      </c>
      <c r="I116" s="115" t="b">
        <v>0</v>
      </c>
      <c r="J116" s="115" t="n">
        <v>43</v>
      </c>
      <c r="K116" s="115" t="n">
        <v>589.95</v>
      </c>
      <c r="L116" s="116" t="n">
        <v>205345110</v>
      </c>
      <c r="M116" s="116" t="n">
        <v>1100000056341252</v>
      </c>
      <c r="N116" s="115" t="inlineStr">
        <is>
          <t>2025-10-24T12:58:42</t>
        </is>
      </c>
      <c r="O116" s="115" t="inlineStr"/>
    </row>
    <row r="117">
      <c r="A117" s="115" t="inlineStr"/>
      <c r="B117" s="115" t="inlineStr">
        <is>
          <t>GMDCLTD</t>
        </is>
      </c>
      <c r="C117" s="115" t="inlineStr">
        <is>
          <t>INE131A01031</t>
        </is>
      </c>
      <c r="D117" s="115" t="inlineStr">
        <is>
          <t>2025-10-24</t>
        </is>
      </c>
      <c r="E117" s="115" t="inlineStr">
        <is>
          <t>NSE</t>
        </is>
      </c>
      <c r="F117" s="115" t="inlineStr">
        <is>
          <t>EQ</t>
        </is>
      </c>
      <c r="G117" s="115" t="inlineStr">
        <is>
          <t>EQ</t>
        </is>
      </c>
      <c r="H117" s="115" t="inlineStr">
        <is>
          <t>sell</t>
        </is>
      </c>
      <c r="I117" s="115" t="b">
        <v>0</v>
      </c>
      <c r="J117" s="115" t="n">
        <v>85</v>
      </c>
      <c r="K117" s="115" t="n">
        <v>589.9</v>
      </c>
      <c r="L117" s="116" t="n">
        <v>205345111</v>
      </c>
      <c r="M117" s="116" t="n">
        <v>1100000056341252</v>
      </c>
      <c r="N117" s="115" t="inlineStr">
        <is>
          <t>2025-10-24T12:58:42</t>
        </is>
      </c>
      <c r="O117" s="115" t="inlineStr"/>
    </row>
    <row r="118">
      <c r="A118" s="115" t="inlineStr"/>
      <c r="B118" s="115" t="inlineStr">
        <is>
          <t>GMDCLTD</t>
        </is>
      </c>
      <c r="C118" s="115" t="inlineStr">
        <is>
          <t>INE131A01031</t>
        </is>
      </c>
      <c r="D118" s="115" t="inlineStr">
        <is>
          <t>2025-10-24</t>
        </is>
      </c>
      <c r="E118" s="115" t="inlineStr">
        <is>
          <t>NSE</t>
        </is>
      </c>
      <c r="F118" s="115" t="inlineStr">
        <is>
          <t>EQ</t>
        </is>
      </c>
      <c r="G118" s="115" t="inlineStr">
        <is>
          <t>EQ</t>
        </is>
      </c>
      <c r="H118" s="115" t="inlineStr">
        <is>
          <t>sell</t>
        </is>
      </c>
      <c r="I118" s="115" t="b">
        <v>0</v>
      </c>
      <c r="J118" s="115" t="n">
        <v>1</v>
      </c>
      <c r="K118" s="115" t="n">
        <v>589.95</v>
      </c>
      <c r="L118" s="116" t="n">
        <v>205345108</v>
      </c>
      <c r="M118" s="116" t="n">
        <v>1100000056341252</v>
      </c>
      <c r="N118" s="115" t="inlineStr">
        <is>
          <t>2025-10-24T12:58:42</t>
        </is>
      </c>
      <c r="O118" s="115" t="inlineStr"/>
    </row>
    <row r="119">
      <c r="A119" s="115" t="inlineStr"/>
      <c r="B119" s="115" t="inlineStr">
        <is>
          <t>GMDCLTD</t>
        </is>
      </c>
      <c r="C119" s="115" t="inlineStr">
        <is>
          <t>INE131A01031</t>
        </is>
      </c>
      <c r="D119" s="115" t="inlineStr">
        <is>
          <t>2025-10-24</t>
        </is>
      </c>
      <c r="E119" s="115" t="inlineStr">
        <is>
          <t>NSE</t>
        </is>
      </c>
      <c r="F119" s="115" t="inlineStr">
        <is>
          <t>EQ</t>
        </is>
      </c>
      <c r="G119" s="115" t="inlineStr">
        <is>
          <t>EQ</t>
        </is>
      </c>
      <c r="H119" s="115" t="inlineStr">
        <is>
          <t>sell</t>
        </is>
      </c>
      <c r="I119" s="115" t="b">
        <v>0</v>
      </c>
      <c r="J119" s="115" t="n">
        <v>16</v>
      </c>
      <c r="K119" s="115" t="n">
        <v>589.9</v>
      </c>
      <c r="L119" s="116" t="n">
        <v>205345113</v>
      </c>
      <c r="M119" s="116" t="n">
        <v>1100000056341252</v>
      </c>
      <c r="N119" s="115" t="inlineStr">
        <is>
          <t>2025-10-24T12:58:42</t>
        </is>
      </c>
      <c r="O119" s="115" t="inlineStr"/>
    </row>
    <row r="120">
      <c r="A120" s="115" t="inlineStr"/>
      <c r="B120" s="115" t="inlineStr">
        <is>
          <t>GMDCLTD</t>
        </is>
      </c>
      <c r="C120" s="115" t="inlineStr">
        <is>
          <t>INE131A01031</t>
        </is>
      </c>
      <c r="D120" s="115" t="inlineStr">
        <is>
          <t>2025-10-24</t>
        </is>
      </c>
      <c r="E120" s="115" t="inlineStr">
        <is>
          <t>NSE</t>
        </is>
      </c>
      <c r="F120" s="115" t="inlineStr">
        <is>
          <t>EQ</t>
        </is>
      </c>
      <c r="G120" s="115" t="inlineStr">
        <is>
          <t>EQ</t>
        </is>
      </c>
      <c r="H120" s="115" t="inlineStr">
        <is>
          <t>sell</t>
        </is>
      </c>
      <c r="I120" s="115" t="b">
        <v>0</v>
      </c>
      <c r="J120" s="115" t="n">
        <v>25</v>
      </c>
      <c r="K120" s="115" t="n">
        <v>590.2</v>
      </c>
      <c r="L120" s="116" t="n">
        <v>205345107</v>
      </c>
      <c r="M120" s="116" t="n">
        <v>1100000056341252</v>
      </c>
      <c r="N120" s="115" t="inlineStr">
        <is>
          <t>2025-10-24T12:58:42</t>
        </is>
      </c>
      <c r="O120" s="115" t="inlineStr"/>
    </row>
    <row r="121">
      <c r="A121" s="115" t="inlineStr"/>
      <c r="B121" s="115" t="inlineStr">
        <is>
          <t>GMDCLTD</t>
        </is>
      </c>
      <c r="C121" s="115" t="inlineStr">
        <is>
          <t>INE131A01031</t>
        </is>
      </c>
      <c r="D121" s="115" t="inlineStr">
        <is>
          <t>2025-10-24</t>
        </is>
      </c>
      <c r="E121" s="115" t="inlineStr">
        <is>
          <t>NSE</t>
        </is>
      </c>
      <c r="F121" s="115" t="inlineStr">
        <is>
          <t>EQ</t>
        </is>
      </c>
      <c r="G121" s="115" t="inlineStr">
        <is>
          <t>EQ</t>
        </is>
      </c>
      <c r="H121" s="115" t="inlineStr">
        <is>
          <t>sell</t>
        </is>
      </c>
      <c r="I121" s="115" t="b">
        <v>0</v>
      </c>
      <c r="J121" s="115" t="n">
        <v>43</v>
      </c>
      <c r="K121" s="115" t="n">
        <v>589.9</v>
      </c>
      <c r="L121" s="116" t="n">
        <v>205345112</v>
      </c>
      <c r="M121" s="116" t="n">
        <v>1100000056341252</v>
      </c>
      <c r="N121" s="115" t="inlineStr">
        <is>
          <t>2025-10-24T12:58:42</t>
        </is>
      </c>
      <c r="O121" s="115" t="inlineStr"/>
    </row>
    <row r="122">
      <c r="A122" s="115" t="inlineStr"/>
      <c r="B122" s="115" t="inlineStr">
        <is>
          <t>GMDCLTD</t>
        </is>
      </c>
      <c r="C122" s="115" t="inlineStr">
        <is>
          <t>INE131A01031</t>
        </is>
      </c>
      <c r="D122" s="115" t="inlineStr">
        <is>
          <t>2025-10-24</t>
        </is>
      </c>
      <c r="E122" s="115" t="inlineStr">
        <is>
          <t>NSE</t>
        </is>
      </c>
      <c r="F122" s="115" t="inlineStr">
        <is>
          <t>EQ</t>
        </is>
      </c>
      <c r="G122" s="115" t="inlineStr">
        <is>
          <t>EQ</t>
        </is>
      </c>
      <c r="H122" s="115" t="inlineStr">
        <is>
          <t>sell</t>
        </is>
      </c>
      <c r="I122" s="115" t="b">
        <v>0</v>
      </c>
      <c r="J122" s="115" t="n">
        <v>85</v>
      </c>
      <c r="K122" s="115" t="n">
        <v>589.95</v>
      </c>
      <c r="L122" s="116" t="n">
        <v>205345109</v>
      </c>
      <c r="M122" s="116" t="n">
        <v>1100000056341252</v>
      </c>
      <c r="N122" s="115" t="inlineStr">
        <is>
          <t>2025-10-24T12:58:42</t>
        </is>
      </c>
      <c r="O122" s="115" t="inlineStr"/>
    </row>
    <row r="123">
      <c r="A123" s="115" t="inlineStr"/>
      <c r="B123" s="115" t="inlineStr">
        <is>
          <t>POONAWALLA</t>
        </is>
      </c>
      <c r="C123" s="115" t="inlineStr">
        <is>
          <t>INE511C01022</t>
        </is>
      </c>
      <c r="D123" s="115" t="inlineStr">
        <is>
          <t>2025-10-27</t>
        </is>
      </c>
      <c r="E123" s="115" t="inlineStr">
        <is>
          <t>NSE</t>
        </is>
      </c>
      <c r="F123" s="115" t="inlineStr">
        <is>
          <t>EQ</t>
        </is>
      </c>
      <c r="G123" s="115" t="inlineStr">
        <is>
          <t>EQ</t>
        </is>
      </c>
      <c r="H123" s="115" t="inlineStr">
        <is>
          <t>sell</t>
        </is>
      </c>
      <c r="I123" s="115" t="b">
        <v>0</v>
      </c>
      <c r="J123" s="115" t="n">
        <v>14</v>
      </c>
      <c r="K123" s="115" t="n">
        <v>482.05</v>
      </c>
      <c r="L123" s="116" t="n">
        <v>400073759</v>
      </c>
      <c r="M123" s="116" t="n">
        <v>1200000000472402</v>
      </c>
      <c r="N123" s="115" t="inlineStr">
        <is>
          <t>2025-10-27T09:15:24</t>
        </is>
      </c>
      <c r="O123" s="115" t="inlineStr"/>
    </row>
    <row r="124">
      <c r="A124" s="115" t="inlineStr"/>
      <c r="B124" s="115" t="inlineStr">
        <is>
          <t>POONAWALLA</t>
        </is>
      </c>
      <c r="C124" s="115" t="inlineStr">
        <is>
          <t>INE511C01022</t>
        </is>
      </c>
      <c r="D124" s="115" t="inlineStr">
        <is>
          <t>2025-10-27</t>
        </is>
      </c>
      <c r="E124" s="115" t="inlineStr">
        <is>
          <t>NSE</t>
        </is>
      </c>
      <c r="F124" s="115" t="inlineStr">
        <is>
          <t>EQ</t>
        </is>
      </c>
      <c r="G124" s="115" t="inlineStr">
        <is>
          <t>EQ</t>
        </is>
      </c>
      <c r="H124" s="115" t="inlineStr">
        <is>
          <t>sell</t>
        </is>
      </c>
      <c r="I124" s="115" t="b">
        <v>0</v>
      </c>
      <c r="J124" s="115" t="n">
        <v>10</v>
      </c>
      <c r="K124" s="115" t="n">
        <v>482</v>
      </c>
      <c r="L124" s="116" t="n">
        <v>400073762</v>
      </c>
      <c r="M124" s="116" t="n">
        <v>1200000000472402</v>
      </c>
      <c r="N124" s="115" t="inlineStr">
        <is>
          <t>2025-10-27T09:15:24</t>
        </is>
      </c>
      <c r="O124" s="115" t="inlineStr"/>
    </row>
    <row r="125">
      <c r="A125" s="115" t="inlineStr"/>
      <c r="B125" s="115" t="inlineStr">
        <is>
          <t>POONAWALLA</t>
        </is>
      </c>
      <c r="C125" s="115" t="inlineStr">
        <is>
          <t>INE511C01022</t>
        </is>
      </c>
      <c r="D125" s="115" t="inlineStr">
        <is>
          <t>2025-10-27</t>
        </is>
      </c>
      <c r="E125" s="115" t="inlineStr">
        <is>
          <t>NSE</t>
        </is>
      </c>
      <c r="F125" s="115" t="inlineStr">
        <is>
          <t>EQ</t>
        </is>
      </c>
      <c r="G125" s="115" t="inlineStr">
        <is>
          <t>EQ</t>
        </is>
      </c>
      <c r="H125" s="115" t="inlineStr">
        <is>
          <t>sell</t>
        </is>
      </c>
      <c r="I125" s="115" t="b">
        <v>0</v>
      </c>
      <c r="J125" s="115" t="n">
        <v>17</v>
      </c>
      <c r="K125" s="115" t="n">
        <v>482.05</v>
      </c>
      <c r="L125" s="116" t="n">
        <v>400073755</v>
      </c>
      <c r="M125" s="116" t="n">
        <v>1200000000472402</v>
      </c>
      <c r="N125" s="115" t="inlineStr">
        <is>
          <t>2025-10-27T09:15:24</t>
        </is>
      </c>
      <c r="O125" s="115" t="inlineStr"/>
    </row>
    <row r="126">
      <c r="A126" s="115" t="inlineStr"/>
      <c r="B126" s="115" t="inlineStr">
        <is>
          <t>POONAWALLA</t>
        </is>
      </c>
      <c r="C126" s="115" t="inlineStr">
        <is>
          <t>INE511C01022</t>
        </is>
      </c>
      <c r="D126" s="115" t="inlineStr">
        <is>
          <t>2025-10-27</t>
        </is>
      </c>
      <c r="E126" s="115" t="inlineStr">
        <is>
          <t>NSE</t>
        </is>
      </c>
      <c r="F126" s="115" t="inlineStr">
        <is>
          <t>EQ</t>
        </is>
      </c>
      <c r="G126" s="115" t="inlineStr">
        <is>
          <t>EQ</t>
        </is>
      </c>
      <c r="H126" s="115" t="inlineStr">
        <is>
          <t>sell</t>
        </is>
      </c>
      <c r="I126" s="115" t="b">
        <v>0</v>
      </c>
      <c r="J126" s="115" t="n">
        <v>2</v>
      </c>
      <c r="K126" s="115" t="n">
        <v>482.05</v>
      </c>
      <c r="L126" s="116" t="n">
        <v>400073756</v>
      </c>
      <c r="M126" s="116" t="n">
        <v>1200000000472402</v>
      </c>
      <c r="N126" s="115" t="inlineStr">
        <is>
          <t>2025-10-27T09:15:24</t>
        </is>
      </c>
      <c r="O126" s="115" t="inlineStr"/>
    </row>
    <row r="127">
      <c r="A127" s="115" t="inlineStr"/>
      <c r="B127" s="115" t="inlineStr">
        <is>
          <t>POONAWALLA</t>
        </is>
      </c>
      <c r="C127" s="115" t="inlineStr">
        <is>
          <t>INE511C01022</t>
        </is>
      </c>
      <c r="D127" s="115" t="inlineStr">
        <is>
          <t>2025-10-27</t>
        </is>
      </c>
      <c r="E127" s="115" t="inlineStr">
        <is>
          <t>NSE</t>
        </is>
      </c>
      <c r="F127" s="115" t="inlineStr">
        <is>
          <t>EQ</t>
        </is>
      </c>
      <c r="G127" s="115" t="inlineStr">
        <is>
          <t>EQ</t>
        </is>
      </c>
      <c r="H127" s="115" t="inlineStr">
        <is>
          <t>sell</t>
        </is>
      </c>
      <c r="I127" s="115" t="b">
        <v>0</v>
      </c>
      <c r="J127" s="115" t="n">
        <v>2</v>
      </c>
      <c r="K127" s="115" t="n">
        <v>482</v>
      </c>
      <c r="L127" s="116" t="n">
        <v>400073761</v>
      </c>
      <c r="M127" s="116" t="n">
        <v>1200000000472402</v>
      </c>
      <c r="N127" s="115" t="inlineStr">
        <is>
          <t>2025-10-27T09:15:24</t>
        </is>
      </c>
      <c r="O127" s="115" t="inlineStr"/>
    </row>
    <row r="128">
      <c r="A128" s="115" t="inlineStr"/>
      <c r="B128" s="115" t="inlineStr">
        <is>
          <t>POONAWALLA</t>
        </is>
      </c>
      <c r="C128" s="115" t="inlineStr">
        <is>
          <t>INE511C01022</t>
        </is>
      </c>
      <c r="D128" s="115" t="inlineStr">
        <is>
          <t>2025-10-27</t>
        </is>
      </c>
      <c r="E128" s="115" t="inlineStr">
        <is>
          <t>NSE</t>
        </is>
      </c>
      <c r="F128" s="115" t="inlineStr">
        <is>
          <t>EQ</t>
        </is>
      </c>
      <c r="G128" s="115" t="inlineStr">
        <is>
          <t>EQ</t>
        </is>
      </c>
      <c r="H128" s="115" t="inlineStr">
        <is>
          <t>sell</t>
        </is>
      </c>
      <c r="I128" s="115" t="b">
        <v>0</v>
      </c>
      <c r="J128" s="115" t="n">
        <v>1</v>
      </c>
      <c r="K128" s="115" t="n">
        <v>482</v>
      </c>
      <c r="L128" s="116" t="n">
        <v>400073764</v>
      </c>
      <c r="M128" s="116" t="n">
        <v>1200000000472402</v>
      </c>
      <c r="N128" s="115" t="inlineStr">
        <is>
          <t>2025-10-27T09:15:24</t>
        </is>
      </c>
      <c r="O128" s="115" t="inlineStr"/>
    </row>
    <row r="129">
      <c r="A129" s="115" t="inlineStr"/>
      <c r="B129" s="115" t="inlineStr">
        <is>
          <t>POONAWALLA</t>
        </is>
      </c>
      <c r="C129" s="115" t="inlineStr">
        <is>
          <t>INE511C01022</t>
        </is>
      </c>
      <c r="D129" s="115" t="inlineStr">
        <is>
          <t>2025-10-27</t>
        </is>
      </c>
      <c r="E129" s="115" t="inlineStr">
        <is>
          <t>NSE</t>
        </is>
      </c>
      <c r="F129" s="115" t="inlineStr">
        <is>
          <t>EQ</t>
        </is>
      </c>
      <c r="G129" s="115" t="inlineStr">
        <is>
          <t>EQ</t>
        </is>
      </c>
      <c r="H129" s="115" t="inlineStr">
        <is>
          <t>sell</t>
        </is>
      </c>
      <c r="I129" s="115" t="b">
        <v>0</v>
      </c>
      <c r="J129" s="115" t="n">
        <v>50</v>
      </c>
      <c r="K129" s="115" t="n">
        <v>482</v>
      </c>
      <c r="L129" s="116" t="n">
        <v>400073763</v>
      </c>
      <c r="M129" s="116" t="n">
        <v>1200000000472402</v>
      </c>
      <c r="N129" s="115" t="inlineStr">
        <is>
          <t>2025-10-27T09:15:24</t>
        </is>
      </c>
      <c r="O129" s="115" t="inlineStr"/>
    </row>
    <row r="130">
      <c r="A130" s="115" t="inlineStr"/>
      <c r="B130" s="115" t="inlineStr">
        <is>
          <t>POONAWALLA</t>
        </is>
      </c>
      <c r="C130" s="115" t="inlineStr">
        <is>
          <t>INE511C01022</t>
        </is>
      </c>
      <c r="D130" s="115" t="inlineStr">
        <is>
          <t>2025-10-27</t>
        </is>
      </c>
      <c r="E130" s="115" t="inlineStr">
        <is>
          <t>NSE</t>
        </is>
      </c>
      <c r="F130" s="115" t="inlineStr">
        <is>
          <t>EQ</t>
        </is>
      </c>
      <c r="G130" s="115" t="inlineStr">
        <is>
          <t>EQ</t>
        </is>
      </c>
      <c r="H130" s="115" t="inlineStr">
        <is>
          <t>sell</t>
        </is>
      </c>
      <c r="I130" s="115" t="b">
        <v>0</v>
      </c>
      <c r="J130" s="115" t="n">
        <v>5</v>
      </c>
      <c r="K130" s="115" t="n">
        <v>481.9</v>
      </c>
      <c r="L130" s="116" t="n">
        <v>400073768</v>
      </c>
      <c r="M130" s="116" t="n">
        <v>1200000000472402</v>
      </c>
      <c r="N130" s="115" t="inlineStr">
        <is>
          <t>2025-10-27T09:15:24</t>
        </is>
      </c>
      <c r="O130" s="115" t="inlineStr"/>
    </row>
    <row r="131">
      <c r="A131" s="115" t="inlineStr"/>
      <c r="B131" s="115" t="inlineStr">
        <is>
          <t>POONAWALLA</t>
        </is>
      </c>
      <c r="C131" s="115" t="inlineStr">
        <is>
          <t>INE511C01022</t>
        </is>
      </c>
      <c r="D131" s="115" t="inlineStr">
        <is>
          <t>2025-10-27</t>
        </is>
      </c>
      <c r="E131" s="115" t="inlineStr">
        <is>
          <t>NSE</t>
        </is>
      </c>
      <c r="F131" s="115" t="inlineStr">
        <is>
          <t>EQ</t>
        </is>
      </c>
      <c r="G131" s="115" t="inlineStr">
        <is>
          <t>EQ</t>
        </is>
      </c>
      <c r="H131" s="115" t="inlineStr">
        <is>
          <t>sell</t>
        </is>
      </c>
      <c r="I131" s="115" t="b">
        <v>0</v>
      </c>
      <c r="J131" s="115" t="n">
        <v>16</v>
      </c>
      <c r="K131" s="115" t="n">
        <v>482.05</v>
      </c>
      <c r="L131" s="116" t="n">
        <v>400073753</v>
      </c>
      <c r="M131" s="116" t="n">
        <v>1200000000472402</v>
      </c>
      <c r="N131" s="115" t="inlineStr">
        <is>
          <t>2025-10-27T09:15:24</t>
        </is>
      </c>
      <c r="O131" s="115" t="inlineStr"/>
    </row>
    <row r="132">
      <c r="A132" s="115" t="inlineStr"/>
      <c r="B132" s="115" t="inlineStr">
        <is>
          <t>POONAWALLA</t>
        </is>
      </c>
      <c r="C132" s="115" t="inlineStr">
        <is>
          <t>INE511C01022</t>
        </is>
      </c>
      <c r="D132" s="115" t="inlineStr">
        <is>
          <t>2025-10-27</t>
        </is>
      </c>
      <c r="E132" s="115" t="inlineStr">
        <is>
          <t>NSE</t>
        </is>
      </c>
      <c r="F132" s="115" t="inlineStr">
        <is>
          <t>EQ</t>
        </is>
      </c>
      <c r="G132" s="115" t="inlineStr">
        <is>
          <t>EQ</t>
        </is>
      </c>
      <c r="H132" s="115" t="inlineStr">
        <is>
          <t>sell</t>
        </is>
      </c>
      <c r="I132" s="115" t="b">
        <v>0</v>
      </c>
      <c r="J132" s="115" t="n">
        <v>42</v>
      </c>
      <c r="K132" s="115" t="n">
        <v>482</v>
      </c>
      <c r="L132" s="116" t="n">
        <v>400073766</v>
      </c>
      <c r="M132" s="116" t="n">
        <v>1200000000472402</v>
      </c>
      <c r="N132" s="115" t="inlineStr">
        <is>
          <t>2025-10-27T09:15:24</t>
        </is>
      </c>
      <c r="O132" s="115" t="inlineStr"/>
    </row>
    <row r="133">
      <c r="A133" s="115" t="inlineStr"/>
      <c r="B133" s="115" t="inlineStr">
        <is>
          <t>POONAWALLA</t>
        </is>
      </c>
      <c r="C133" s="115" t="inlineStr">
        <is>
          <t>INE511C01022</t>
        </is>
      </c>
      <c r="D133" s="115" t="inlineStr">
        <is>
          <t>2025-10-27</t>
        </is>
      </c>
      <c r="E133" s="115" t="inlineStr">
        <is>
          <t>NSE</t>
        </is>
      </c>
      <c r="F133" s="115" t="inlineStr">
        <is>
          <t>EQ</t>
        </is>
      </c>
      <c r="G133" s="115" t="inlineStr">
        <is>
          <t>EQ</t>
        </is>
      </c>
      <c r="H133" s="115" t="inlineStr">
        <is>
          <t>sell</t>
        </is>
      </c>
      <c r="I133" s="115" t="b">
        <v>0</v>
      </c>
      <c r="J133" s="115" t="n">
        <v>4</v>
      </c>
      <c r="K133" s="115" t="n">
        <v>482</v>
      </c>
      <c r="L133" s="116" t="n">
        <v>400073767</v>
      </c>
      <c r="M133" s="116" t="n">
        <v>1200000000472402</v>
      </c>
      <c r="N133" s="115" t="inlineStr">
        <is>
          <t>2025-10-27T09:15:24</t>
        </is>
      </c>
      <c r="O133" s="115" t="inlineStr"/>
    </row>
    <row r="134">
      <c r="A134" s="115" t="inlineStr"/>
      <c r="B134" s="115" t="inlineStr">
        <is>
          <t>HINDALCO</t>
        </is>
      </c>
      <c r="C134" s="115" t="inlineStr">
        <is>
          <t>INE038A01020</t>
        </is>
      </c>
      <c r="D134" s="115" t="inlineStr">
        <is>
          <t>2025-10-27</t>
        </is>
      </c>
      <c r="E134" s="115" t="inlineStr">
        <is>
          <t>NSE</t>
        </is>
      </c>
      <c r="F134" s="115" t="inlineStr">
        <is>
          <t>EQ</t>
        </is>
      </c>
      <c r="G134" s="115" t="inlineStr">
        <is>
          <t>EQ</t>
        </is>
      </c>
      <c r="H134" s="115" t="inlineStr">
        <is>
          <t>buy</t>
        </is>
      </c>
      <c r="I134" s="115" t="b">
        <v>0</v>
      </c>
      <c r="J134" s="115" t="n">
        <v>84</v>
      </c>
      <c r="K134" s="115" t="n">
        <v>841.1</v>
      </c>
      <c r="L134" s="116" t="n">
        <v>208603870</v>
      </c>
      <c r="M134" s="116" t="n">
        <v>1100000076303650</v>
      </c>
      <c r="N134" s="115" t="inlineStr">
        <is>
          <t>2025-10-27T14:53:01</t>
        </is>
      </c>
      <c r="O134" s="115" t="inlineStr"/>
    </row>
    <row r="135">
      <c r="A135" s="115" t="inlineStr"/>
      <c r="B135" s="115" t="inlineStr">
        <is>
          <t>HINDALCO</t>
        </is>
      </c>
      <c r="C135" s="115" t="inlineStr">
        <is>
          <t>INE038A01020</t>
        </is>
      </c>
      <c r="D135" s="115" t="inlineStr">
        <is>
          <t>2025-10-27</t>
        </is>
      </c>
      <c r="E135" s="115" t="inlineStr">
        <is>
          <t>NSE</t>
        </is>
      </c>
      <c r="F135" s="115" t="inlineStr">
        <is>
          <t>EQ</t>
        </is>
      </c>
      <c r="G135" s="115" t="inlineStr">
        <is>
          <t>EQ</t>
        </is>
      </c>
      <c r="H135" s="115" t="inlineStr">
        <is>
          <t>buy</t>
        </is>
      </c>
      <c r="I135" s="115" t="b">
        <v>0</v>
      </c>
      <c r="J135" s="115" t="n">
        <v>35</v>
      </c>
      <c r="K135" s="115" t="n">
        <v>841.1</v>
      </c>
      <c r="L135" s="116" t="n">
        <v>208603871</v>
      </c>
      <c r="M135" s="116" t="n">
        <v>1100000076303650</v>
      </c>
      <c r="N135" s="115" t="inlineStr">
        <is>
          <t>2025-10-27T14:53:01</t>
        </is>
      </c>
      <c r="O135" s="115" t="inlineStr"/>
    </row>
    <row r="136">
      <c r="A136" s="115" t="inlineStr"/>
      <c r="B136" s="115" t="inlineStr">
        <is>
          <t>GPIL</t>
        </is>
      </c>
      <c r="C136" s="115" t="inlineStr">
        <is>
          <t>INE177H01039</t>
        </is>
      </c>
      <c r="D136" s="115" t="inlineStr">
        <is>
          <t>2025-10-27</t>
        </is>
      </c>
      <c r="E136" s="115" t="inlineStr">
        <is>
          <t>NSE</t>
        </is>
      </c>
      <c r="F136" s="115" t="inlineStr">
        <is>
          <t>EQ</t>
        </is>
      </c>
      <c r="G136" s="115" t="inlineStr">
        <is>
          <t>EQ</t>
        </is>
      </c>
      <c r="H136" s="115" t="inlineStr">
        <is>
          <t>buy</t>
        </is>
      </c>
      <c r="I136" s="115" t="b">
        <v>0</v>
      </c>
      <c r="J136" s="115" t="n">
        <v>49</v>
      </c>
      <c r="K136" s="115" t="n">
        <v>269.69</v>
      </c>
      <c r="L136" s="116" t="n">
        <v>208693336</v>
      </c>
      <c r="M136" s="116" t="n">
        <v>1100000077091561</v>
      </c>
      <c r="N136" s="115" t="inlineStr">
        <is>
          <t>2025-10-27T14:56:38</t>
        </is>
      </c>
      <c r="O136" s="115" t="inlineStr"/>
    </row>
    <row r="137">
      <c r="A137" s="115" t="inlineStr"/>
      <c r="B137" s="115" t="inlineStr">
        <is>
          <t>GPIL</t>
        </is>
      </c>
      <c r="C137" s="115" t="inlineStr">
        <is>
          <t>INE177H01039</t>
        </is>
      </c>
      <c r="D137" s="115" t="inlineStr">
        <is>
          <t>2025-10-27</t>
        </is>
      </c>
      <c r="E137" s="115" t="inlineStr">
        <is>
          <t>NSE</t>
        </is>
      </c>
      <c r="F137" s="115" t="inlineStr">
        <is>
          <t>EQ</t>
        </is>
      </c>
      <c r="G137" s="115" t="inlineStr">
        <is>
          <t>EQ</t>
        </is>
      </c>
      <c r="H137" s="115" t="inlineStr">
        <is>
          <t>buy</t>
        </is>
      </c>
      <c r="I137" s="115" t="b">
        <v>0</v>
      </c>
      <c r="J137" s="115" t="n">
        <v>51</v>
      </c>
      <c r="K137" s="115" t="n">
        <v>269.68</v>
      </c>
      <c r="L137" s="116" t="n">
        <v>208693335</v>
      </c>
      <c r="M137" s="116" t="n">
        <v>1100000077091561</v>
      </c>
      <c r="N137" s="115" t="inlineStr">
        <is>
          <t>2025-10-27T14:56:38</t>
        </is>
      </c>
      <c r="O137" s="115" t="inlineStr"/>
    </row>
    <row r="138">
      <c r="A138" s="115" t="inlineStr"/>
      <c r="B138" s="115" t="inlineStr">
        <is>
          <t>GPIL</t>
        </is>
      </c>
      <c r="C138" s="115" t="inlineStr">
        <is>
          <t>INE177H01039</t>
        </is>
      </c>
      <c r="D138" s="115" t="inlineStr">
        <is>
          <t>2025-10-31</t>
        </is>
      </c>
      <c r="E138" s="115" t="inlineStr">
        <is>
          <t>NSE</t>
        </is>
      </c>
      <c r="F138" s="115" t="inlineStr">
        <is>
          <t>EQ</t>
        </is>
      </c>
      <c r="G138" s="115" t="inlineStr">
        <is>
          <t>EQ</t>
        </is>
      </c>
      <c r="H138" s="115" t="inlineStr">
        <is>
          <t>buy</t>
        </is>
      </c>
      <c r="I138" s="115" t="b">
        <v>0</v>
      </c>
      <c r="J138" s="115" t="n">
        <v>30</v>
      </c>
      <c r="K138" s="115" t="n">
        <v>283.87</v>
      </c>
      <c r="L138" s="116" t="n">
        <v>208482585</v>
      </c>
      <c r="M138" s="116" t="n">
        <v>1100000073723147</v>
      </c>
      <c r="N138" s="115" t="inlineStr">
        <is>
          <t>2025-10-31T15:14:31</t>
        </is>
      </c>
      <c r="O138" s="115" t="inlineStr"/>
    </row>
    <row r="139">
      <c r="A139" s="115" t="inlineStr"/>
      <c r="B139" s="115" t="inlineStr">
        <is>
          <t>GPIL</t>
        </is>
      </c>
      <c r="C139" s="115" t="inlineStr">
        <is>
          <t>INE177H01039</t>
        </is>
      </c>
      <c r="D139" s="115" t="inlineStr">
        <is>
          <t>2025-10-31</t>
        </is>
      </c>
      <c r="E139" s="115" t="inlineStr">
        <is>
          <t>NSE</t>
        </is>
      </c>
      <c r="F139" s="115" t="inlineStr">
        <is>
          <t>EQ</t>
        </is>
      </c>
      <c r="G139" s="115" t="inlineStr">
        <is>
          <t>EQ</t>
        </is>
      </c>
      <c r="H139" s="115" t="inlineStr">
        <is>
          <t>buy</t>
        </is>
      </c>
      <c r="I139" s="115" t="b">
        <v>0</v>
      </c>
      <c r="J139" s="115" t="n">
        <v>146</v>
      </c>
      <c r="K139" s="115" t="n">
        <v>283.89</v>
      </c>
      <c r="L139" s="116" t="n">
        <v>208482586</v>
      </c>
      <c r="M139" s="116" t="n">
        <v>1100000073723147</v>
      </c>
      <c r="N139" s="115" t="inlineStr">
        <is>
          <t>2025-10-31T15:14:31</t>
        </is>
      </c>
      <c r="O139" s="115" t="inlineStr"/>
    </row>
    <row r="140">
      <c r="A140" s="115" t="inlineStr"/>
      <c r="B140" s="115" t="inlineStr">
        <is>
          <t>HINDPETRO</t>
        </is>
      </c>
      <c r="C140" s="115" t="inlineStr">
        <is>
          <t>INE094A01015</t>
        </is>
      </c>
      <c r="D140" s="115" t="inlineStr">
        <is>
          <t>2025-11-03</t>
        </is>
      </c>
      <c r="E140" s="115" t="inlineStr">
        <is>
          <t>NSE</t>
        </is>
      </c>
      <c r="F140" s="115" t="inlineStr">
        <is>
          <t>EQ</t>
        </is>
      </c>
      <c r="G140" s="115" t="inlineStr">
        <is>
          <t>EQ</t>
        </is>
      </c>
      <c r="H140" s="115" t="inlineStr">
        <is>
          <t>buy</t>
        </is>
      </c>
      <c r="I140" s="115" t="b">
        <v>0</v>
      </c>
      <c r="J140" s="115" t="n">
        <v>7</v>
      </c>
      <c r="K140" s="115" t="n">
        <v>483.35</v>
      </c>
      <c r="L140" s="116" t="n">
        <v>207124675</v>
      </c>
      <c r="M140" s="116" t="n">
        <v>1100000062113123</v>
      </c>
      <c r="N140" s="115" t="inlineStr">
        <is>
          <t>2025-11-03T14:37:07</t>
        </is>
      </c>
      <c r="O140" s="115" t="inlineStr"/>
    </row>
    <row r="141">
      <c r="A141" s="115" t="inlineStr"/>
      <c r="B141" s="115" t="inlineStr">
        <is>
          <t>HINDPETRO</t>
        </is>
      </c>
      <c r="C141" s="115" t="inlineStr">
        <is>
          <t>INE094A01015</t>
        </is>
      </c>
      <c r="D141" s="115" t="inlineStr">
        <is>
          <t>2025-11-03</t>
        </is>
      </c>
      <c r="E141" s="115" t="inlineStr">
        <is>
          <t>NSE</t>
        </is>
      </c>
      <c r="F141" s="115" t="inlineStr">
        <is>
          <t>EQ</t>
        </is>
      </c>
      <c r="G141" s="115" t="inlineStr">
        <is>
          <t>EQ</t>
        </is>
      </c>
      <c r="H141" s="115" t="inlineStr">
        <is>
          <t>buy</t>
        </is>
      </c>
      <c r="I141" s="115" t="b">
        <v>0</v>
      </c>
      <c r="J141" s="115" t="n">
        <v>153</v>
      </c>
      <c r="K141" s="115" t="n">
        <v>483.35</v>
      </c>
      <c r="L141" s="116" t="n">
        <v>207124677</v>
      </c>
      <c r="M141" s="116" t="n">
        <v>1100000062113123</v>
      </c>
      <c r="N141" s="115" t="inlineStr">
        <is>
          <t>2025-11-03T14:37:07</t>
        </is>
      </c>
      <c r="O141" s="115" t="inlineStr"/>
    </row>
    <row r="142">
      <c r="A142" s="115" t="inlineStr"/>
      <c r="B142" s="115" t="inlineStr">
        <is>
          <t>HINDPETRO</t>
        </is>
      </c>
      <c r="C142" s="115" t="inlineStr">
        <is>
          <t>INE094A01015</t>
        </is>
      </c>
      <c r="D142" s="115" t="inlineStr">
        <is>
          <t>2025-11-03</t>
        </is>
      </c>
      <c r="E142" s="115" t="inlineStr">
        <is>
          <t>NSE</t>
        </is>
      </c>
      <c r="F142" s="115" t="inlineStr">
        <is>
          <t>EQ</t>
        </is>
      </c>
      <c r="G142" s="115" t="inlineStr">
        <is>
          <t>EQ</t>
        </is>
      </c>
      <c r="H142" s="115" t="inlineStr">
        <is>
          <t>buy</t>
        </is>
      </c>
      <c r="I142" s="115" t="b">
        <v>0</v>
      </c>
      <c r="J142" s="115" t="n">
        <v>45</v>
      </c>
      <c r="K142" s="115" t="n">
        <v>483.35</v>
      </c>
      <c r="L142" s="116" t="n">
        <v>207124676</v>
      </c>
      <c r="M142" s="116" t="n">
        <v>1100000062113123</v>
      </c>
      <c r="N142" s="115" t="inlineStr">
        <is>
          <t>2025-11-03T14:37:07</t>
        </is>
      </c>
      <c r="O142" s="115" t="inlineStr"/>
    </row>
    <row r="143">
      <c r="A143" s="115" t="inlineStr"/>
      <c r="B143" s="115" t="inlineStr">
        <is>
          <t>CHENNPETRO</t>
        </is>
      </c>
      <c r="C143" s="115" t="inlineStr">
        <is>
          <t>INE178A01016</t>
        </is>
      </c>
      <c r="D143" s="115" t="inlineStr">
        <is>
          <t>2025-11-03</t>
        </is>
      </c>
      <c r="E143" s="115" t="inlineStr">
        <is>
          <t>NSE</t>
        </is>
      </c>
      <c r="F143" s="115" t="inlineStr">
        <is>
          <t>EQ</t>
        </is>
      </c>
      <c r="G143" s="115" t="inlineStr">
        <is>
          <t>EQ</t>
        </is>
      </c>
      <c r="H143" s="115" t="inlineStr">
        <is>
          <t>buy</t>
        </is>
      </c>
      <c r="I143" s="115" t="b">
        <v>0</v>
      </c>
      <c r="J143" s="115" t="n">
        <v>10</v>
      </c>
      <c r="K143" s="115" t="n">
        <v>955.9</v>
      </c>
      <c r="L143" s="116" t="n">
        <v>5432380</v>
      </c>
      <c r="M143" s="116" t="n">
        <v>1000000052812081</v>
      </c>
      <c r="N143" s="115" t="inlineStr">
        <is>
          <t>2025-11-03T14:37:50</t>
        </is>
      </c>
      <c r="O143" s="115" t="inlineStr"/>
    </row>
    <row r="144">
      <c r="A144" s="115" t="inlineStr"/>
      <c r="B144" s="115" t="inlineStr">
        <is>
          <t>CHENNPETRO</t>
        </is>
      </c>
      <c r="C144" s="115" t="inlineStr">
        <is>
          <t>INE178A01016</t>
        </is>
      </c>
      <c r="D144" s="115" t="inlineStr">
        <is>
          <t>2025-11-03</t>
        </is>
      </c>
      <c r="E144" s="115" t="inlineStr">
        <is>
          <t>NSE</t>
        </is>
      </c>
      <c r="F144" s="115" t="inlineStr">
        <is>
          <t>EQ</t>
        </is>
      </c>
      <c r="G144" s="115" t="inlineStr">
        <is>
          <t>EQ</t>
        </is>
      </c>
      <c r="H144" s="115" t="inlineStr">
        <is>
          <t>buy</t>
        </is>
      </c>
      <c r="I144" s="115" t="b">
        <v>0</v>
      </c>
      <c r="J144" s="115" t="n">
        <v>9</v>
      </c>
      <c r="K144" s="115" t="n">
        <v>955.9</v>
      </c>
      <c r="L144" s="116" t="n">
        <v>5432379</v>
      </c>
      <c r="M144" s="116" t="n">
        <v>1000000052812081</v>
      </c>
      <c r="N144" s="115" t="inlineStr">
        <is>
          <t>2025-11-03T14:37:50</t>
        </is>
      </c>
      <c r="O144" s="115" t="inlineStr"/>
    </row>
    <row r="145">
      <c r="A145" s="115" t="inlineStr"/>
      <c r="B145" s="115" t="inlineStr">
        <is>
          <t>CHENNPETRO</t>
        </is>
      </c>
      <c r="C145" s="115" t="inlineStr">
        <is>
          <t>INE178A01016</t>
        </is>
      </c>
      <c r="D145" s="115" t="inlineStr">
        <is>
          <t>2025-11-03</t>
        </is>
      </c>
      <c r="E145" s="115" t="inlineStr">
        <is>
          <t>NSE</t>
        </is>
      </c>
      <c r="F145" s="115" t="inlineStr">
        <is>
          <t>EQ</t>
        </is>
      </c>
      <c r="G145" s="115" t="inlineStr">
        <is>
          <t>EQ</t>
        </is>
      </c>
      <c r="H145" s="115" t="inlineStr">
        <is>
          <t>buy</t>
        </is>
      </c>
      <c r="I145" s="115" t="b">
        <v>0</v>
      </c>
      <c r="J145" s="115" t="n">
        <v>8</v>
      </c>
      <c r="K145" s="115" t="n">
        <v>955.9</v>
      </c>
      <c r="L145" s="116" t="n">
        <v>5432381</v>
      </c>
      <c r="M145" s="116" t="n">
        <v>1000000052812081</v>
      </c>
      <c r="N145" s="115" t="inlineStr">
        <is>
          <t>2025-11-03T14:37:50</t>
        </is>
      </c>
      <c r="O145" s="115" t="inlineStr"/>
    </row>
    <row r="146">
      <c r="A146" s="115" t="inlineStr"/>
      <c r="B146" s="115" t="inlineStr">
        <is>
          <t>CHENNPETRO</t>
        </is>
      </c>
      <c r="C146" s="115" t="inlineStr">
        <is>
          <t>INE178A01016</t>
        </is>
      </c>
      <c r="D146" s="115" t="inlineStr">
        <is>
          <t>2025-11-03</t>
        </is>
      </c>
      <c r="E146" s="115" t="inlineStr">
        <is>
          <t>NSE</t>
        </is>
      </c>
      <c r="F146" s="115" t="inlineStr">
        <is>
          <t>EQ</t>
        </is>
      </c>
      <c r="G146" s="115" t="inlineStr">
        <is>
          <t>EQ</t>
        </is>
      </c>
      <c r="H146" s="115" t="inlineStr">
        <is>
          <t>buy</t>
        </is>
      </c>
      <c r="I146" s="115" t="b">
        <v>0</v>
      </c>
      <c r="J146" s="115" t="n">
        <v>5</v>
      </c>
      <c r="K146" s="115" t="n">
        <v>955.85</v>
      </c>
      <c r="L146" s="116" t="n">
        <v>5432376</v>
      </c>
      <c r="M146" s="116" t="n">
        <v>1000000052812081</v>
      </c>
      <c r="N146" s="115" t="inlineStr">
        <is>
          <t>2025-11-03T14:37:50</t>
        </is>
      </c>
      <c r="O146" s="115" t="inlineStr"/>
    </row>
    <row r="147">
      <c r="A147" s="115" t="inlineStr"/>
      <c r="B147" s="115" t="inlineStr">
        <is>
          <t>CHENNPETRO</t>
        </is>
      </c>
      <c r="C147" s="115" t="inlineStr">
        <is>
          <t>INE178A01016</t>
        </is>
      </c>
      <c r="D147" s="115" t="inlineStr">
        <is>
          <t>2025-11-03</t>
        </is>
      </c>
      <c r="E147" s="115" t="inlineStr">
        <is>
          <t>NSE</t>
        </is>
      </c>
      <c r="F147" s="115" t="inlineStr">
        <is>
          <t>EQ</t>
        </is>
      </c>
      <c r="G147" s="115" t="inlineStr">
        <is>
          <t>EQ</t>
        </is>
      </c>
      <c r="H147" s="115" t="inlineStr">
        <is>
          <t>buy</t>
        </is>
      </c>
      <c r="I147" s="115" t="b">
        <v>0</v>
      </c>
      <c r="J147" s="115" t="n">
        <v>10</v>
      </c>
      <c r="K147" s="115" t="n">
        <v>955.85</v>
      </c>
      <c r="L147" s="116" t="n">
        <v>5432378</v>
      </c>
      <c r="M147" s="116" t="n">
        <v>1000000052812081</v>
      </c>
      <c r="N147" s="115" t="inlineStr">
        <is>
          <t>2025-11-03T14:37:50</t>
        </is>
      </c>
      <c r="O147" s="115" t="inlineStr"/>
    </row>
    <row r="148">
      <c r="A148" s="115" t="inlineStr"/>
      <c r="B148" s="115" t="inlineStr">
        <is>
          <t>BPCL</t>
        </is>
      </c>
      <c r="C148" s="115" t="inlineStr">
        <is>
          <t>INE029A01011</t>
        </is>
      </c>
      <c r="D148" s="115" t="inlineStr">
        <is>
          <t>2025-11-03</t>
        </is>
      </c>
      <c r="E148" s="115" t="inlineStr">
        <is>
          <t>NSE</t>
        </is>
      </c>
      <c r="F148" s="115" t="inlineStr">
        <is>
          <t>EQ</t>
        </is>
      </c>
      <c r="G148" s="115" t="inlineStr">
        <is>
          <t>EQ</t>
        </is>
      </c>
      <c r="H148" s="115" t="inlineStr">
        <is>
          <t>buy</t>
        </is>
      </c>
      <c r="I148" s="115" t="b">
        <v>0</v>
      </c>
      <c r="J148" s="115" t="n">
        <v>82</v>
      </c>
      <c r="K148" s="115" t="n">
        <v>367.7</v>
      </c>
      <c r="L148" s="116" t="n">
        <v>5441880</v>
      </c>
      <c r="M148" s="116" t="n">
        <v>1000000052895910</v>
      </c>
      <c r="N148" s="115" t="inlineStr">
        <is>
          <t>2025-11-03T14:38:30</t>
        </is>
      </c>
      <c r="O148" s="115" t="inlineStr"/>
    </row>
    <row r="149">
      <c r="A149" s="115" t="inlineStr"/>
      <c r="B149" s="115" t="inlineStr">
        <is>
          <t>IOC</t>
        </is>
      </c>
      <c r="C149" s="115" t="inlineStr">
        <is>
          <t>INE242A01010</t>
        </is>
      </c>
      <c r="D149" s="115" t="inlineStr">
        <is>
          <t>2025-11-03</t>
        </is>
      </c>
      <c r="E149" s="115" t="inlineStr">
        <is>
          <t>NSE</t>
        </is>
      </c>
      <c r="F149" s="115" t="inlineStr">
        <is>
          <t>EQ</t>
        </is>
      </c>
      <c r="G149" s="115" t="inlineStr">
        <is>
          <t>EQ</t>
        </is>
      </c>
      <c r="H149" s="115" t="inlineStr">
        <is>
          <t>buy</t>
        </is>
      </c>
      <c r="I149" s="115" t="b">
        <v>0</v>
      </c>
      <c r="J149" s="115" t="n">
        <v>70</v>
      </c>
      <c r="K149" s="115" t="n">
        <v>167.82</v>
      </c>
      <c r="L149" s="116" t="n">
        <v>207164289</v>
      </c>
      <c r="M149" s="116" t="n">
        <v>1100000062440946</v>
      </c>
      <c r="N149" s="115" t="inlineStr">
        <is>
          <t>2025-11-03T14:38:57</t>
        </is>
      </c>
      <c r="O149" s="115" t="inlineStr"/>
    </row>
    <row r="150">
      <c r="A150" s="115" t="inlineStr"/>
      <c r="B150" s="115" t="inlineStr">
        <is>
          <t>IOC</t>
        </is>
      </c>
      <c r="C150" s="115" t="inlineStr">
        <is>
          <t>INE242A01010</t>
        </is>
      </c>
      <c r="D150" s="115" t="inlineStr">
        <is>
          <t>2025-11-03</t>
        </is>
      </c>
      <c r="E150" s="115" t="inlineStr">
        <is>
          <t>NSE</t>
        </is>
      </c>
      <c r="F150" s="115" t="inlineStr">
        <is>
          <t>EQ</t>
        </is>
      </c>
      <c r="G150" s="115" t="inlineStr">
        <is>
          <t>EQ</t>
        </is>
      </c>
      <c r="H150" s="115" t="inlineStr">
        <is>
          <t>buy</t>
        </is>
      </c>
      <c r="I150" s="115" t="b">
        <v>0</v>
      </c>
      <c r="J150" s="115" t="n">
        <v>50</v>
      </c>
      <c r="K150" s="115" t="n">
        <v>167.82</v>
      </c>
      <c r="L150" s="116" t="n">
        <v>207164288</v>
      </c>
      <c r="M150" s="116" t="n">
        <v>1100000062440946</v>
      </c>
      <c r="N150" s="115" t="inlineStr">
        <is>
          <t>2025-11-03T14:38:57</t>
        </is>
      </c>
      <c r="O150" s="115" t="inlineStr"/>
    </row>
    <row r="151">
      <c r="A151" s="115" t="inlineStr"/>
      <c r="B151" s="115" t="inlineStr">
        <is>
          <t>SBIN</t>
        </is>
      </c>
      <c r="C151" s="115" t="inlineStr">
        <is>
          <t>INE062A01020</t>
        </is>
      </c>
      <c r="D151" s="115" t="inlineStr">
        <is>
          <t>2025-11-03</t>
        </is>
      </c>
      <c r="E151" s="115" t="inlineStr">
        <is>
          <t>NSE</t>
        </is>
      </c>
      <c r="F151" s="115" t="inlineStr">
        <is>
          <t>EQ</t>
        </is>
      </c>
      <c r="G151" s="115" t="inlineStr">
        <is>
          <t>EQ</t>
        </is>
      </c>
      <c r="H151" s="115" t="inlineStr">
        <is>
          <t>buy</t>
        </is>
      </c>
      <c r="I151" s="115" t="b">
        <v>0</v>
      </c>
      <c r="J151" s="115" t="n">
        <v>3</v>
      </c>
      <c r="K151" s="115" t="n">
        <v>950.5</v>
      </c>
      <c r="L151" s="116" t="n">
        <v>607883603</v>
      </c>
      <c r="M151" s="116" t="n">
        <v>1300000067038500</v>
      </c>
      <c r="N151" s="115" t="inlineStr">
        <is>
          <t>2025-11-03T14:39:52</t>
        </is>
      </c>
      <c r="O151" s="115" t="inlineStr"/>
    </row>
    <row r="152">
      <c r="A152" s="115" t="inlineStr"/>
      <c r="B152" s="115" t="inlineStr">
        <is>
          <t>SBIN</t>
        </is>
      </c>
      <c r="C152" s="115" t="inlineStr">
        <is>
          <t>INE062A01020</t>
        </is>
      </c>
      <c r="D152" s="115" t="inlineStr">
        <is>
          <t>2025-11-03</t>
        </is>
      </c>
      <c r="E152" s="115" t="inlineStr">
        <is>
          <t>NSE</t>
        </is>
      </c>
      <c r="F152" s="115" t="inlineStr">
        <is>
          <t>EQ</t>
        </is>
      </c>
      <c r="G152" s="115" t="inlineStr">
        <is>
          <t>EQ</t>
        </is>
      </c>
      <c r="H152" s="115" t="inlineStr">
        <is>
          <t>buy</t>
        </is>
      </c>
      <c r="I152" s="115" t="b">
        <v>0</v>
      </c>
      <c r="J152" s="115" t="n">
        <v>1</v>
      </c>
      <c r="K152" s="115" t="n">
        <v>950.5</v>
      </c>
      <c r="L152" s="116" t="n">
        <v>607883614</v>
      </c>
      <c r="M152" s="116" t="n">
        <v>1300000067038500</v>
      </c>
      <c r="N152" s="115" t="inlineStr">
        <is>
          <t>2025-11-03T14:39:52</t>
        </is>
      </c>
      <c r="O152" s="115" t="inlineStr"/>
    </row>
    <row r="153">
      <c r="A153" s="115" t="inlineStr"/>
      <c r="B153" s="115" t="inlineStr">
        <is>
          <t>SBIN</t>
        </is>
      </c>
      <c r="C153" s="115" t="inlineStr">
        <is>
          <t>INE062A01020</t>
        </is>
      </c>
      <c r="D153" s="115" t="inlineStr">
        <is>
          <t>2025-11-03</t>
        </is>
      </c>
      <c r="E153" s="115" t="inlineStr">
        <is>
          <t>NSE</t>
        </is>
      </c>
      <c r="F153" s="115" t="inlineStr">
        <is>
          <t>EQ</t>
        </is>
      </c>
      <c r="G153" s="115" t="inlineStr">
        <is>
          <t>EQ</t>
        </is>
      </c>
      <c r="H153" s="115" t="inlineStr">
        <is>
          <t>buy</t>
        </is>
      </c>
      <c r="I153" s="115" t="b">
        <v>0</v>
      </c>
      <c r="J153" s="115" t="n">
        <v>5</v>
      </c>
      <c r="K153" s="115" t="n">
        <v>950.5</v>
      </c>
      <c r="L153" s="116" t="n">
        <v>607883619</v>
      </c>
      <c r="M153" s="116" t="n">
        <v>1300000067038500</v>
      </c>
      <c r="N153" s="115" t="inlineStr">
        <is>
          <t>2025-11-03T14:39:52</t>
        </is>
      </c>
      <c r="O153" s="115" t="inlineStr"/>
    </row>
    <row r="154">
      <c r="A154" s="115" t="inlineStr"/>
      <c r="B154" s="115" t="inlineStr">
        <is>
          <t>BANKBARODA</t>
        </is>
      </c>
      <c r="C154" s="115" t="inlineStr">
        <is>
          <t>INE028A01039</t>
        </is>
      </c>
      <c r="D154" s="115" t="inlineStr">
        <is>
          <t>2025-11-03</t>
        </is>
      </c>
      <c r="E154" s="115" t="inlineStr">
        <is>
          <t>NSE</t>
        </is>
      </c>
      <c r="F154" s="115" t="inlineStr">
        <is>
          <t>EQ</t>
        </is>
      </c>
      <c r="G154" s="115" t="inlineStr">
        <is>
          <t>EQ</t>
        </is>
      </c>
      <c r="H154" s="115" t="inlineStr">
        <is>
          <t>buy</t>
        </is>
      </c>
      <c r="I154" s="115" t="b">
        <v>0</v>
      </c>
      <c r="J154" s="115" t="n">
        <v>260</v>
      </c>
      <c r="K154" s="115" t="n">
        <v>292.1</v>
      </c>
      <c r="L154" s="116" t="n">
        <v>5467966</v>
      </c>
      <c r="M154" s="116" t="n">
        <v>1000000053096238</v>
      </c>
      <c r="N154" s="115" t="inlineStr">
        <is>
          <t>2025-11-03T14:40:15</t>
        </is>
      </c>
      <c r="O154" s="115" t="inlineStr"/>
    </row>
    <row r="155">
      <c r="A155" s="115" t="inlineStr"/>
      <c r="B155" s="115" t="inlineStr">
        <is>
          <t>FEDERALBNK</t>
        </is>
      </c>
      <c r="C155" s="115" t="inlineStr">
        <is>
          <t>INE171A01029</t>
        </is>
      </c>
      <c r="D155" s="115" t="inlineStr">
        <is>
          <t>2025-11-03</t>
        </is>
      </c>
      <c r="E155" s="115" t="inlineStr">
        <is>
          <t>NSE</t>
        </is>
      </c>
      <c r="F155" s="115" t="inlineStr">
        <is>
          <t>EQ</t>
        </is>
      </c>
      <c r="G155" s="115" t="inlineStr">
        <is>
          <t>EQ</t>
        </is>
      </c>
      <c r="H155" s="115" t="inlineStr">
        <is>
          <t>buy</t>
        </is>
      </c>
      <c r="I155" s="115" t="b">
        <v>0</v>
      </c>
      <c r="J155" s="115" t="n">
        <v>121</v>
      </c>
      <c r="K155" s="115" t="n">
        <v>238.41</v>
      </c>
      <c r="L155" s="116" t="n">
        <v>207221970</v>
      </c>
      <c r="M155" s="116" t="n">
        <v>1100000062851302</v>
      </c>
      <c r="N155" s="115" t="inlineStr">
        <is>
          <t>2025-11-03T14:41:00</t>
        </is>
      </c>
      <c r="O155" s="115" t="inlineStr"/>
    </row>
    <row r="156">
      <c r="A156" s="115" t="inlineStr"/>
      <c r="B156" s="115" t="inlineStr">
        <is>
          <t>FEDERALBNK</t>
        </is>
      </c>
      <c r="C156" s="115" t="inlineStr">
        <is>
          <t>INE171A01029</t>
        </is>
      </c>
      <c r="D156" s="115" t="inlineStr">
        <is>
          <t>2025-11-03</t>
        </is>
      </c>
      <c r="E156" s="115" t="inlineStr">
        <is>
          <t>NSE</t>
        </is>
      </c>
      <c r="F156" s="115" t="inlineStr">
        <is>
          <t>EQ</t>
        </is>
      </c>
      <c r="G156" s="115" t="inlineStr">
        <is>
          <t>EQ</t>
        </is>
      </c>
      <c r="H156" s="115" t="inlineStr">
        <is>
          <t>buy</t>
        </is>
      </c>
      <c r="I156" s="115" t="b">
        <v>0</v>
      </c>
      <c r="J156" s="115" t="n">
        <v>11</v>
      </c>
      <c r="K156" s="115" t="n">
        <v>238.41</v>
      </c>
      <c r="L156" s="116" t="n">
        <v>207221969</v>
      </c>
      <c r="M156" s="116" t="n">
        <v>1100000062851302</v>
      </c>
      <c r="N156" s="115" t="inlineStr">
        <is>
          <t>2025-11-03T14:41:00</t>
        </is>
      </c>
      <c r="O156" s="115" t="inlineStr"/>
    </row>
    <row r="157">
      <c r="A157" s="115" t="inlineStr"/>
      <c r="B157" s="115" t="inlineStr">
        <is>
          <t>FEDERALBNK</t>
        </is>
      </c>
      <c r="C157" s="115" t="inlineStr">
        <is>
          <t>INE171A01029</t>
        </is>
      </c>
      <c r="D157" s="115" t="inlineStr">
        <is>
          <t>2025-11-03</t>
        </is>
      </c>
      <c r="E157" s="115" t="inlineStr">
        <is>
          <t>NSE</t>
        </is>
      </c>
      <c r="F157" s="115" t="inlineStr">
        <is>
          <t>EQ</t>
        </is>
      </c>
      <c r="G157" s="115" t="inlineStr">
        <is>
          <t>EQ</t>
        </is>
      </c>
      <c r="H157" s="115" t="inlineStr">
        <is>
          <t>buy</t>
        </is>
      </c>
      <c r="I157" s="115" t="b">
        <v>0</v>
      </c>
      <c r="J157" s="115" t="n">
        <v>78</v>
      </c>
      <c r="K157" s="115" t="n">
        <v>238.41</v>
      </c>
      <c r="L157" s="116" t="n">
        <v>207221971</v>
      </c>
      <c r="M157" s="116" t="n">
        <v>1100000062851302</v>
      </c>
      <c r="N157" s="115" t="inlineStr">
        <is>
          <t>2025-11-03T14:41:00</t>
        </is>
      </c>
      <c r="O157" s="115" t="inlineStr"/>
    </row>
    <row r="158">
      <c r="A158" s="115" t="inlineStr"/>
      <c r="B158" s="115" t="inlineStr">
        <is>
          <t>ETERNAL</t>
        </is>
      </c>
      <c r="C158" s="115" t="inlineStr">
        <is>
          <t>INE758T01015</t>
        </is>
      </c>
      <c r="D158" s="115" t="inlineStr">
        <is>
          <t>2025-11-10</t>
        </is>
      </c>
      <c r="E158" s="115" t="inlineStr">
        <is>
          <t>NSE</t>
        </is>
      </c>
      <c r="F158" s="115" t="inlineStr">
        <is>
          <t>EQ</t>
        </is>
      </c>
      <c r="G158" s="115" t="inlineStr">
        <is>
          <t>EQ</t>
        </is>
      </c>
      <c r="H158" s="115" t="inlineStr">
        <is>
          <t>sell</t>
        </is>
      </c>
      <c r="I158" s="115" t="b">
        <v>0</v>
      </c>
      <c r="J158" s="115" t="n">
        <v>16</v>
      </c>
      <c r="K158" s="115" t="n">
        <v>304.75</v>
      </c>
      <c r="L158" s="116" t="n">
        <v>200847283</v>
      </c>
      <c r="M158" s="116" t="n">
        <v>1100000006789695</v>
      </c>
      <c r="N158" s="115" t="inlineStr">
        <is>
          <t>2025-11-10T09:26:54</t>
        </is>
      </c>
      <c r="O158" s="115" t="inlineStr"/>
    </row>
    <row r="159">
      <c r="A159" s="115" t="inlineStr"/>
      <c r="B159" s="115" t="inlineStr">
        <is>
          <t>ETERNAL</t>
        </is>
      </c>
      <c r="C159" s="115" t="inlineStr">
        <is>
          <t>INE758T01015</t>
        </is>
      </c>
      <c r="D159" s="115" t="inlineStr">
        <is>
          <t>2025-11-10</t>
        </is>
      </c>
      <c r="E159" s="115" t="inlineStr">
        <is>
          <t>NSE</t>
        </is>
      </c>
      <c r="F159" s="115" t="inlineStr">
        <is>
          <t>EQ</t>
        </is>
      </c>
      <c r="G159" s="115" t="inlineStr">
        <is>
          <t>EQ</t>
        </is>
      </c>
      <c r="H159" s="115" t="inlineStr">
        <is>
          <t>sell</t>
        </is>
      </c>
      <c r="I159" s="115" t="b">
        <v>0</v>
      </c>
      <c r="J159" s="115" t="n">
        <v>56</v>
      </c>
      <c r="K159" s="115" t="n">
        <v>304.75</v>
      </c>
      <c r="L159" s="116" t="n">
        <v>200847285</v>
      </c>
      <c r="M159" s="116" t="n">
        <v>1100000006789695</v>
      </c>
      <c r="N159" s="115" t="inlineStr">
        <is>
          <t>2025-11-10T09:26:54</t>
        </is>
      </c>
      <c r="O159" s="115" t="inlineStr"/>
    </row>
    <row r="160">
      <c r="A160" s="115" t="inlineStr"/>
      <c r="B160" s="115" t="inlineStr">
        <is>
          <t>ETERNAL</t>
        </is>
      </c>
      <c r="C160" s="115" t="inlineStr">
        <is>
          <t>INE758T01015</t>
        </is>
      </c>
      <c r="D160" s="115" t="inlineStr">
        <is>
          <t>2025-11-10</t>
        </is>
      </c>
      <c r="E160" s="115" t="inlineStr">
        <is>
          <t>NSE</t>
        </is>
      </c>
      <c r="F160" s="115" t="inlineStr">
        <is>
          <t>EQ</t>
        </is>
      </c>
      <c r="G160" s="115" t="inlineStr">
        <is>
          <t>EQ</t>
        </is>
      </c>
      <c r="H160" s="115" t="inlineStr">
        <is>
          <t>sell</t>
        </is>
      </c>
      <c r="I160" s="115" t="b">
        <v>0</v>
      </c>
      <c r="J160" s="115" t="n">
        <v>3</v>
      </c>
      <c r="K160" s="115" t="n">
        <v>304.75</v>
      </c>
      <c r="L160" s="116" t="n">
        <v>200847284</v>
      </c>
      <c r="M160" s="116" t="n">
        <v>1100000006789695</v>
      </c>
      <c r="N160" s="115" t="inlineStr">
        <is>
          <t>2025-11-10T09:26:54</t>
        </is>
      </c>
      <c r="O160" s="115" t="inlineStr"/>
    </row>
    <row r="161">
      <c r="A161" s="115" t="inlineStr"/>
      <c r="B161" s="115" t="inlineStr">
        <is>
          <t>DMART</t>
        </is>
      </c>
      <c r="C161" s="115" t="inlineStr">
        <is>
          <t>INE192R01011</t>
        </is>
      </c>
      <c r="D161" s="115" t="inlineStr">
        <is>
          <t>2025-11-11</t>
        </is>
      </c>
      <c r="E161" s="115" t="inlineStr">
        <is>
          <t>NSE</t>
        </is>
      </c>
      <c r="F161" s="115" t="inlineStr">
        <is>
          <t>EQ</t>
        </is>
      </c>
      <c r="G161" s="115" t="inlineStr">
        <is>
          <t>EQ</t>
        </is>
      </c>
      <c r="H161" s="115" t="inlineStr">
        <is>
          <t>sell</t>
        </is>
      </c>
      <c r="I161" s="115" t="b">
        <v>0</v>
      </c>
      <c r="J161" s="115" t="n">
        <v>19</v>
      </c>
      <c r="K161" s="115" t="n">
        <v>4056.8</v>
      </c>
      <c r="L161" s="116" t="n">
        <v>206418034</v>
      </c>
      <c r="M161" s="116" t="n">
        <v>1100000055343086</v>
      </c>
      <c r="N161" s="115" t="inlineStr">
        <is>
          <t>2025-11-11T13:34:21</t>
        </is>
      </c>
      <c r="O161" s="115" t="inlineStr"/>
    </row>
    <row r="162">
      <c r="A162" s="115" t="inlineStr"/>
      <c r="B162" s="115" t="inlineStr">
        <is>
          <t>METROPOLIS</t>
        </is>
      </c>
      <c r="C162" s="115" t="inlineStr"/>
      <c r="D162" s="115" t="inlineStr">
        <is>
          <t>2025-11-11</t>
        </is>
      </c>
      <c r="E162" s="115" t="inlineStr">
        <is>
          <t>BSE</t>
        </is>
      </c>
      <c r="F162" s="115" t="inlineStr">
        <is>
          <t>EQ</t>
        </is>
      </c>
      <c r="G162" s="115" t="inlineStr">
        <is>
          <t>A</t>
        </is>
      </c>
      <c r="H162" s="115" t="inlineStr">
        <is>
          <t>sell</t>
        </is>
      </c>
      <c r="I162" s="115" t="b">
        <v>0</v>
      </c>
      <c r="J162" s="115" t="n">
        <v>160</v>
      </c>
      <c r="K162" s="115" t="n">
        <v>482.775</v>
      </c>
      <c r="L162" s="116" t="n">
        <v>6267600</v>
      </c>
      <c r="M162" s="116" t="n">
        <v>1.762844334102753e+18</v>
      </c>
      <c r="N162" s="115" t="inlineStr">
        <is>
          <t>2025-11-11T13:35:27</t>
        </is>
      </c>
      <c r="O162" s="115" t="inlineStr"/>
    </row>
    <row r="163">
      <c r="A163" s="115" t="inlineStr"/>
      <c r="B163" s="115" t="inlineStr">
        <is>
          <t>METROPOLIS</t>
        </is>
      </c>
      <c r="C163" s="115" t="inlineStr"/>
      <c r="D163" s="115" t="inlineStr">
        <is>
          <t>2025-11-11</t>
        </is>
      </c>
      <c r="E163" s="115" t="inlineStr">
        <is>
          <t>BSE</t>
        </is>
      </c>
      <c r="F163" s="115" t="inlineStr">
        <is>
          <t>EQ</t>
        </is>
      </c>
      <c r="G163" s="115" t="inlineStr">
        <is>
          <t>A</t>
        </is>
      </c>
      <c r="H163" s="115" t="inlineStr">
        <is>
          <t>sell</t>
        </is>
      </c>
      <c r="I163" s="115" t="b">
        <v>0</v>
      </c>
      <c r="J163" s="115" t="n">
        <v>8</v>
      </c>
      <c r="K163" s="115" t="n">
        <v>482.3125</v>
      </c>
      <c r="L163" s="116" t="n">
        <v>6267800</v>
      </c>
      <c r="M163" s="116" t="n">
        <v>1.762844334102753e+18</v>
      </c>
      <c r="N163" s="115" t="inlineStr">
        <is>
          <t>2025-11-11T13:35:27</t>
        </is>
      </c>
      <c r="O163" s="115" t="inlineStr"/>
    </row>
    <row r="164">
      <c r="A164" s="115" t="inlineStr"/>
      <c r="B164" s="115" t="inlineStr">
        <is>
          <t>POLYCAB</t>
        </is>
      </c>
      <c r="C164" s="115" t="inlineStr">
        <is>
          <t>INE455K01017</t>
        </is>
      </c>
      <c r="D164" s="115" t="inlineStr">
        <is>
          <t>2025-11-13</t>
        </is>
      </c>
      <c r="E164" s="115" t="inlineStr">
        <is>
          <t>NSE</t>
        </is>
      </c>
      <c r="F164" s="115" t="inlineStr">
        <is>
          <t>EQ</t>
        </is>
      </c>
      <c r="G164" s="115" t="inlineStr">
        <is>
          <t>EQ</t>
        </is>
      </c>
      <c r="H164" s="115" t="inlineStr">
        <is>
          <t>buy</t>
        </is>
      </c>
      <c r="I164" s="115" t="b">
        <v>0</v>
      </c>
      <c r="J164" s="115" t="n">
        <v>5</v>
      </c>
      <c r="K164" s="115" t="n">
        <v>7775.5</v>
      </c>
      <c r="L164" s="116" t="n">
        <v>402401951</v>
      </c>
      <c r="M164" s="116" t="n">
        <v>1200000022006382</v>
      </c>
      <c r="N164" s="115" t="inlineStr">
        <is>
          <t>2025-11-13T10:59:29</t>
        </is>
      </c>
      <c r="O164" s="115" t="inlineStr"/>
    </row>
    <row r="165">
      <c r="A165" s="115" t="inlineStr"/>
      <c r="B165" s="115" t="inlineStr">
        <is>
          <t>POLYCAB</t>
        </is>
      </c>
      <c r="C165" s="115" t="inlineStr">
        <is>
          <t>INE455K01017</t>
        </is>
      </c>
      <c r="D165" s="115" t="inlineStr">
        <is>
          <t>2025-11-13</t>
        </is>
      </c>
      <c r="E165" s="115" t="inlineStr">
        <is>
          <t>NSE</t>
        </is>
      </c>
      <c r="F165" s="115" t="inlineStr">
        <is>
          <t>EQ</t>
        </is>
      </c>
      <c r="G165" s="115" t="inlineStr">
        <is>
          <t>EQ</t>
        </is>
      </c>
      <c r="H165" s="115" t="inlineStr">
        <is>
          <t>buy</t>
        </is>
      </c>
      <c r="I165" s="115" t="b">
        <v>0</v>
      </c>
      <c r="J165" s="115" t="n">
        <v>1</v>
      </c>
      <c r="K165" s="115" t="n">
        <v>7773.5</v>
      </c>
      <c r="L165" s="116" t="n">
        <v>402401948</v>
      </c>
      <c r="M165" s="116" t="n">
        <v>1200000022006382</v>
      </c>
      <c r="N165" s="115" t="inlineStr">
        <is>
          <t>2025-11-13T10:59:29</t>
        </is>
      </c>
      <c r="O165" s="115" t="inlineStr"/>
    </row>
    <row r="166">
      <c r="A166" s="115" t="inlineStr"/>
      <c r="B166" s="115" t="inlineStr">
        <is>
          <t>POLYCAB</t>
        </is>
      </c>
      <c r="C166" s="115" t="inlineStr">
        <is>
          <t>INE455K01017</t>
        </is>
      </c>
      <c r="D166" s="115" t="inlineStr">
        <is>
          <t>2025-11-13</t>
        </is>
      </c>
      <c r="E166" s="115" t="inlineStr">
        <is>
          <t>NSE</t>
        </is>
      </c>
      <c r="F166" s="115" t="inlineStr">
        <is>
          <t>EQ</t>
        </is>
      </c>
      <c r="G166" s="115" t="inlineStr">
        <is>
          <t>EQ</t>
        </is>
      </c>
      <c r="H166" s="115" t="inlineStr">
        <is>
          <t>buy</t>
        </is>
      </c>
      <c r="I166" s="115" t="b">
        <v>0</v>
      </c>
      <c r="J166" s="115" t="n">
        <v>1</v>
      </c>
      <c r="K166" s="115" t="n">
        <v>7775.5</v>
      </c>
      <c r="L166" s="116" t="n">
        <v>402401949</v>
      </c>
      <c r="M166" s="116" t="n">
        <v>1200000022006382</v>
      </c>
      <c r="N166" s="115" t="inlineStr">
        <is>
          <t>2025-11-13T10:59:29</t>
        </is>
      </c>
      <c r="O166" s="115" t="inlineStr"/>
    </row>
    <row r="167">
      <c r="A167" s="115" t="inlineStr"/>
      <c r="B167" s="115" t="inlineStr">
        <is>
          <t>POLYCAB</t>
        </is>
      </c>
      <c r="C167" s="115" t="inlineStr">
        <is>
          <t>INE455K01017</t>
        </is>
      </c>
      <c r="D167" s="115" t="inlineStr">
        <is>
          <t>2025-11-13</t>
        </is>
      </c>
      <c r="E167" s="115" t="inlineStr">
        <is>
          <t>NSE</t>
        </is>
      </c>
      <c r="F167" s="115" t="inlineStr">
        <is>
          <t>EQ</t>
        </is>
      </c>
      <c r="G167" s="115" t="inlineStr">
        <is>
          <t>EQ</t>
        </is>
      </c>
      <c r="H167" s="115" t="inlineStr">
        <is>
          <t>buy</t>
        </is>
      </c>
      <c r="I167" s="115" t="b">
        <v>0</v>
      </c>
      <c r="J167" s="115" t="n">
        <v>3</v>
      </c>
      <c r="K167" s="115" t="n">
        <v>7775.5</v>
      </c>
      <c r="L167" s="116" t="n">
        <v>402401950</v>
      </c>
      <c r="M167" s="116" t="n">
        <v>1200000022006382</v>
      </c>
      <c r="N167" s="115" t="inlineStr">
        <is>
          <t>2025-11-13T10:59:29</t>
        </is>
      </c>
      <c r="O167" s="115" t="inlineStr"/>
    </row>
    <row r="168">
      <c r="A168" s="115" t="inlineStr"/>
      <c r="B168" s="115" t="inlineStr">
        <is>
          <t>POLYCAB</t>
        </is>
      </c>
      <c r="C168" s="115" t="inlineStr">
        <is>
          <t>INE455K01017</t>
        </is>
      </c>
      <c r="D168" s="115" t="inlineStr">
        <is>
          <t>2025-11-13</t>
        </is>
      </c>
      <c r="E168" s="115" t="inlineStr">
        <is>
          <t>NSE</t>
        </is>
      </c>
      <c r="F168" s="115" t="inlineStr">
        <is>
          <t>EQ</t>
        </is>
      </c>
      <c r="G168" s="115" t="inlineStr">
        <is>
          <t>EQ</t>
        </is>
      </c>
      <c r="H168" s="115" t="inlineStr">
        <is>
          <t>buy</t>
        </is>
      </c>
      <c r="I168" s="115" t="b">
        <v>0</v>
      </c>
      <c r="J168" s="115" t="n">
        <v>2</v>
      </c>
      <c r="K168" s="115" t="n">
        <v>7776</v>
      </c>
      <c r="L168" s="116" t="n">
        <v>402401953</v>
      </c>
      <c r="M168" s="116" t="n">
        <v>1200000022006382</v>
      </c>
      <c r="N168" s="115" t="inlineStr">
        <is>
          <t>2025-11-13T10:59:29</t>
        </is>
      </c>
      <c r="O168" s="115" t="inlineStr"/>
    </row>
    <row r="169">
      <c r="A169" s="115" t="inlineStr"/>
      <c r="B169" s="115" t="inlineStr">
        <is>
          <t>PRECWIRE</t>
        </is>
      </c>
      <c r="C169" s="115" t="inlineStr">
        <is>
          <t>INE372C01037</t>
        </is>
      </c>
      <c r="D169" s="115" t="inlineStr">
        <is>
          <t>2025-11-14</t>
        </is>
      </c>
      <c r="E169" s="115" t="inlineStr">
        <is>
          <t>NSE</t>
        </is>
      </c>
      <c r="F169" s="115" t="inlineStr">
        <is>
          <t>EQ</t>
        </is>
      </c>
      <c r="G169" s="115" t="inlineStr">
        <is>
          <t>EQ</t>
        </is>
      </c>
      <c r="H169" s="115" t="inlineStr">
        <is>
          <t>buy</t>
        </is>
      </c>
      <c r="I169" s="115" t="b">
        <v>0</v>
      </c>
      <c r="J169" s="115" t="n">
        <v>1</v>
      </c>
      <c r="K169" s="115" t="n">
        <v>268.67</v>
      </c>
      <c r="L169" s="116" t="n">
        <v>406381643</v>
      </c>
      <c r="M169" s="116" t="n">
        <v>1200000064459364</v>
      </c>
      <c r="N169" s="115" t="inlineStr">
        <is>
          <t>2025-11-14T15:19:43</t>
        </is>
      </c>
      <c r="O169" s="115" t="inlineStr"/>
    </row>
    <row r="170">
      <c r="A170" s="115" t="inlineStr"/>
      <c r="B170" s="115" t="inlineStr">
        <is>
          <t>PRECWIRE</t>
        </is>
      </c>
      <c r="C170" s="115" t="inlineStr">
        <is>
          <t>INE372C01037</t>
        </is>
      </c>
      <c r="D170" s="115" t="inlineStr">
        <is>
          <t>2025-11-14</t>
        </is>
      </c>
      <c r="E170" s="115" t="inlineStr">
        <is>
          <t>NSE</t>
        </is>
      </c>
      <c r="F170" s="115" t="inlineStr">
        <is>
          <t>EQ</t>
        </is>
      </c>
      <c r="G170" s="115" t="inlineStr">
        <is>
          <t>EQ</t>
        </is>
      </c>
      <c r="H170" s="115" t="inlineStr">
        <is>
          <t>buy</t>
        </is>
      </c>
      <c r="I170" s="115" t="b">
        <v>0</v>
      </c>
      <c r="J170" s="115" t="n">
        <v>99</v>
      </c>
      <c r="K170" s="115" t="n">
        <v>268.67</v>
      </c>
      <c r="L170" s="116" t="n">
        <v>406381642</v>
      </c>
      <c r="M170" s="116" t="n">
        <v>1200000064459364</v>
      </c>
      <c r="N170" s="115" t="inlineStr">
        <is>
          <t>2025-11-14T15:19:43</t>
        </is>
      </c>
      <c r="O170" s="115" t="inlineStr"/>
    </row>
    <row r="171">
      <c r="A171" s="115" t="inlineStr"/>
      <c r="B171" s="115" t="inlineStr">
        <is>
          <t>BHARATFORG</t>
        </is>
      </c>
      <c r="C171" s="115" t="inlineStr"/>
      <c r="D171" s="115" t="inlineStr">
        <is>
          <t>2025-11-17</t>
        </is>
      </c>
      <c r="E171" s="115" t="inlineStr">
        <is>
          <t>NSE</t>
        </is>
      </c>
      <c r="F171" s="115" t="inlineStr">
        <is>
          <t>EQ</t>
        </is>
      </c>
      <c r="G171" s="115" t="inlineStr">
        <is>
          <t>EQ</t>
        </is>
      </c>
      <c r="H171" s="115" t="inlineStr">
        <is>
          <t>buy</t>
        </is>
      </c>
      <c r="I171" s="115" t="b">
        <v>0</v>
      </c>
      <c r="J171" s="115" t="n">
        <v>13</v>
      </c>
      <c r="K171" s="115" t="n">
        <v>1393.8</v>
      </c>
      <c r="L171" s="116" t="n">
        <v>2834568</v>
      </c>
      <c r="M171" s="116" t="n">
        <v>1000000026298057</v>
      </c>
      <c r="N171" s="115" t="inlineStr">
        <is>
          <t>2025-11-17T11:53:38</t>
        </is>
      </c>
      <c r="O171" s="115" t="inlineStr"/>
    </row>
    <row r="172">
      <c r="A172" s="115" t="inlineStr"/>
      <c r="B172" s="115" t="inlineStr">
        <is>
          <t>BHARATFORG</t>
        </is>
      </c>
      <c r="C172" s="115" t="inlineStr"/>
      <c r="D172" s="115" t="inlineStr">
        <is>
          <t>2025-11-17</t>
        </is>
      </c>
      <c r="E172" s="115" t="inlineStr">
        <is>
          <t>NSE</t>
        </is>
      </c>
      <c r="F172" s="115" t="inlineStr">
        <is>
          <t>EQ</t>
        </is>
      </c>
      <c r="G172" s="115" t="inlineStr">
        <is>
          <t>EQ</t>
        </is>
      </c>
      <c r="H172" s="115" t="inlineStr">
        <is>
          <t>buy</t>
        </is>
      </c>
      <c r="I172" s="115" t="b">
        <v>0</v>
      </c>
      <c r="J172" s="115" t="n">
        <v>23</v>
      </c>
      <c r="K172" s="115" t="n">
        <v>1393.8</v>
      </c>
      <c r="L172" s="116" t="n">
        <v>2834567</v>
      </c>
      <c r="M172" s="116" t="n">
        <v>1000000026298057</v>
      </c>
      <c r="N172" s="115" t="inlineStr">
        <is>
          <t>2025-11-17T11:53:38</t>
        </is>
      </c>
      <c r="O172" s="115" t="inlineStr"/>
    </row>
    <row r="173">
      <c r="A173" s="115" t="inlineStr"/>
      <c r="B173" s="115" t="inlineStr">
        <is>
          <t>TVSSRICHAK</t>
        </is>
      </c>
      <c r="C173" s="115" t="inlineStr"/>
      <c r="D173" s="115" t="inlineStr">
        <is>
          <t>2025-11-17</t>
        </is>
      </c>
      <c r="E173" s="115" t="inlineStr">
        <is>
          <t>NSE</t>
        </is>
      </c>
      <c r="F173" s="115" t="inlineStr">
        <is>
          <t>EQ</t>
        </is>
      </c>
      <c r="G173" s="115" t="inlineStr">
        <is>
          <t>EQ</t>
        </is>
      </c>
      <c r="H173" s="115" t="inlineStr">
        <is>
          <t>buy</t>
        </is>
      </c>
      <c r="I173" s="115" t="b">
        <v>0</v>
      </c>
      <c r="J173" s="115" t="n">
        <v>2</v>
      </c>
      <c r="K173" s="115" t="n">
        <v>4514.2998</v>
      </c>
      <c r="L173" s="116" t="n">
        <v>604224003</v>
      </c>
      <c r="M173" s="116" t="n">
        <v>1300000032610706</v>
      </c>
      <c r="N173" s="115" t="inlineStr">
        <is>
          <t>2025-11-17T12:03:55</t>
        </is>
      </c>
      <c r="O173" s="115" t="inlineStr"/>
    </row>
    <row r="174">
      <c r="A174" s="115" t="inlineStr"/>
      <c r="B174" s="115" t="inlineStr">
        <is>
          <t>TVSSRICHAK</t>
        </is>
      </c>
      <c r="C174" s="115" t="inlineStr"/>
      <c r="D174" s="115" t="inlineStr">
        <is>
          <t>2025-11-17</t>
        </is>
      </c>
      <c r="E174" s="115" t="inlineStr">
        <is>
          <t>NSE</t>
        </is>
      </c>
      <c r="F174" s="115" t="inlineStr">
        <is>
          <t>EQ</t>
        </is>
      </c>
      <c r="G174" s="115" t="inlineStr">
        <is>
          <t>EQ</t>
        </is>
      </c>
      <c r="H174" s="115" t="inlineStr">
        <is>
          <t>buy</t>
        </is>
      </c>
      <c r="I174" s="115" t="b">
        <v>0</v>
      </c>
      <c r="J174" s="115" t="n">
        <v>2</v>
      </c>
      <c r="K174" s="115" t="n">
        <v>4514.7002</v>
      </c>
      <c r="L174" s="116" t="n">
        <v>604224005</v>
      </c>
      <c r="M174" s="116" t="n">
        <v>1300000032610706</v>
      </c>
      <c r="N174" s="115" t="inlineStr">
        <is>
          <t>2025-11-17T12:03:55</t>
        </is>
      </c>
      <c r="O174" s="115" t="inlineStr"/>
    </row>
    <row r="175">
      <c r="A175" s="115" t="inlineStr"/>
      <c r="B175" s="115" t="inlineStr">
        <is>
          <t>TVSSRICHAK</t>
        </is>
      </c>
      <c r="C175" s="115" t="inlineStr"/>
      <c r="D175" s="115" t="inlineStr">
        <is>
          <t>2025-11-17</t>
        </is>
      </c>
      <c r="E175" s="115" t="inlineStr">
        <is>
          <t>NSE</t>
        </is>
      </c>
      <c r="F175" s="115" t="inlineStr">
        <is>
          <t>EQ</t>
        </is>
      </c>
      <c r="G175" s="115" t="inlineStr">
        <is>
          <t>EQ</t>
        </is>
      </c>
      <c r="H175" s="115" t="inlineStr">
        <is>
          <t>buy</t>
        </is>
      </c>
      <c r="I175" s="115" t="b">
        <v>0</v>
      </c>
      <c r="J175" s="115" t="n">
        <v>4</v>
      </c>
      <c r="K175" s="115" t="n">
        <v>4512.5</v>
      </c>
      <c r="L175" s="116" t="n">
        <v>604224002</v>
      </c>
      <c r="M175" s="116" t="n">
        <v>1300000032610706</v>
      </c>
      <c r="N175" s="115" t="inlineStr">
        <is>
          <t>2025-11-17T12:03:55</t>
        </is>
      </c>
      <c r="O175" s="115" t="inlineStr"/>
    </row>
    <row r="176">
      <c r="A176" s="115" t="inlineStr"/>
      <c r="B176" s="115" t="inlineStr">
        <is>
          <t>TVSSRICHAK</t>
        </is>
      </c>
      <c r="C176" s="115" t="inlineStr"/>
      <c r="D176" s="115" t="inlineStr">
        <is>
          <t>2025-11-17</t>
        </is>
      </c>
      <c r="E176" s="115" t="inlineStr">
        <is>
          <t>NSE</t>
        </is>
      </c>
      <c r="F176" s="115" t="inlineStr">
        <is>
          <t>EQ</t>
        </is>
      </c>
      <c r="G176" s="115" t="inlineStr">
        <is>
          <t>EQ</t>
        </is>
      </c>
      <c r="H176" s="115" t="inlineStr">
        <is>
          <t>buy</t>
        </is>
      </c>
      <c r="I176" s="115" t="b">
        <v>0</v>
      </c>
      <c r="J176" s="115" t="n">
        <v>3</v>
      </c>
      <c r="K176" s="115" t="n">
        <v>4514.3999</v>
      </c>
      <c r="L176" s="116" t="n">
        <v>604224004</v>
      </c>
      <c r="M176" s="116" t="n">
        <v>1300000032610706</v>
      </c>
      <c r="N176" s="115" t="inlineStr">
        <is>
          <t>2025-11-17T12:03:55</t>
        </is>
      </c>
      <c r="O176" s="115" t="inlineStr"/>
    </row>
    <row r="177">
      <c r="A177" s="115" t="inlineStr"/>
      <c r="B177" s="115" t="inlineStr">
        <is>
          <t>TVSSRICHAK</t>
        </is>
      </c>
      <c r="C177" s="115" t="inlineStr">
        <is>
          <t>INE421C01016</t>
        </is>
      </c>
      <c r="D177" s="115" t="inlineStr">
        <is>
          <t>2025-11-21</t>
        </is>
      </c>
      <c r="E177" s="115" t="inlineStr">
        <is>
          <t>NSE</t>
        </is>
      </c>
      <c r="F177" s="115" t="inlineStr">
        <is>
          <t>EQ</t>
        </is>
      </c>
      <c r="G177" s="115" t="inlineStr">
        <is>
          <t>EQ</t>
        </is>
      </c>
      <c r="H177" s="115" t="inlineStr">
        <is>
          <t>buy</t>
        </is>
      </c>
      <c r="I177" s="115" t="b">
        <v>0</v>
      </c>
      <c r="J177" s="115" t="n">
        <v>3</v>
      </c>
      <c r="K177" s="115" t="n">
        <v>4712.1001</v>
      </c>
      <c r="L177" s="116" t="n">
        <v>605255054</v>
      </c>
      <c r="M177" s="116" t="n">
        <v>1300000045811742</v>
      </c>
      <c r="N177" s="115" t="inlineStr">
        <is>
          <t>2025-11-21T14:27:21</t>
        </is>
      </c>
      <c r="O177" s="115" t="inlineStr"/>
    </row>
    <row r="178">
      <c r="A178" s="115" t="inlineStr"/>
      <c r="B178" s="115" t="inlineStr">
        <is>
          <t>TVSSRICHAK</t>
        </is>
      </c>
      <c r="C178" s="115" t="inlineStr">
        <is>
          <t>INE421C01016</t>
        </is>
      </c>
      <c r="D178" s="115" t="inlineStr">
        <is>
          <t>2025-11-21</t>
        </is>
      </c>
      <c r="E178" s="115" t="inlineStr">
        <is>
          <t>NSE</t>
        </is>
      </c>
      <c r="F178" s="115" t="inlineStr">
        <is>
          <t>EQ</t>
        </is>
      </c>
      <c r="G178" s="115" t="inlineStr">
        <is>
          <t>EQ</t>
        </is>
      </c>
      <c r="H178" s="115" t="inlineStr">
        <is>
          <t>buy</t>
        </is>
      </c>
      <c r="I178" s="115" t="b">
        <v>0</v>
      </c>
      <c r="J178" s="115" t="n">
        <v>4</v>
      </c>
      <c r="K178" s="115" t="n">
        <v>4712</v>
      </c>
      <c r="L178" s="116" t="n">
        <v>605255052</v>
      </c>
      <c r="M178" s="116" t="n">
        <v>1300000045811742</v>
      </c>
      <c r="N178" s="115" t="inlineStr">
        <is>
          <t>2025-11-21T14:27:21</t>
        </is>
      </c>
      <c r="O178" s="115" t="inlineStr"/>
    </row>
    <row r="179">
      <c r="A179" s="115" t="inlineStr"/>
      <c r="B179" s="115" t="inlineStr">
        <is>
          <t>TVSSRICHAK</t>
        </is>
      </c>
      <c r="C179" s="115" t="inlineStr">
        <is>
          <t>INE421C01016</t>
        </is>
      </c>
      <c r="D179" s="115" t="inlineStr">
        <is>
          <t>2025-11-21</t>
        </is>
      </c>
      <c r="E179" s="115" t="inlineStr">
        <is>
          <t>NSE</t>
        </is>
      </c>
      <c r="F179" s="115" t="inlineStr">
        <is>
          <t>EQ</t>
        </is>
      </c>
      <c r="G179" s="115" t="inlineStr">
        <is>
          <t>EQ</t>
        </is>
      </c>
      <c r="H179" s="115" t="inlineStr">
        <is>
          <t>buy</t>
        </is>
      </c>
      <c r="I179" s="115" t="b">
        <v>0</v>
      </c>
      <c r="J179" s="115" t="n">
        <v>2</v>
      </c>
      <c r="K179" s="115" t="n">
        <v>4712.1001</v>
      </c>
      <c r="L179" s="116" t="n">
        <v>605255053</v>
      </c>
      <c r="M179" s="116" t="n">
        <v>1300000045811742</v>
      </c>
      <c r="N179" s="115" t="inlineStr">
        <is>
          <t>2025-11-21T14:27:21</t>
        </is>
      </c>
      <c r="O179" s="115" t="inlineStr"/>
    </row>
    <row r="180">
      <c r="A180" s="115" t="inlineStr"/>
      <c r="B180" s="115" t="inlineStr">
        <is>
          <t>TVSSRICHAK</t>
        </is>
      </c>
      <c r="C180" s="115" t="inlineStr">
        <is>
          <t>INE421C01016</t>
        </is>
      </c>
      <c r="D180" s="115" t="inlineStr">
        <is>
          <t>2025-11-21</t>
        </is>
      </c>
      <c r="E180" s="115" t="inlineStr">
        <is>
          <t>NSE</t>
        </is>
      </c>
      <c r="F180" s="115" t="inlineStr">
        <is>
          <t>EQ</t>
        </is>
      </c>
      <c r="G180" s="115" t="inlineStr">
        <is>
          <t>EQ</t>
        </is>
      </c>
      <c r="H180" s="115" t="inlineStr">
        <is>
          <t>buy</t>
        </is>
      </c>
      <c r="I180" s="115" t="b">
        <v>0</v>
      </c>
      <c r="J180" s="115" t="n">
        <v>2</v>
      </c>
      <c r="K180" s="115" t="n">
        <v>4711.8999</v>
      </c>
      <c r="L180" s="116" t="n">
        <v>605255051</v>
      </c>
      <c r="M180" s="116" t="n">
        <v>1300000045811742</v>
      </c>
      <c r="N180" s="115" t="inlineStr">
        <is>
          <t>2025-11-21T14:27:21</t>
        </is>
      </c>
      <c r="O180" s="115" t="inlineStr"/>
    </row>
    <row r="181">
      <c r="A181" s="115" t="inlineStr"/>
      <c r="B181" s="115" t="inlineStr">
        <is>
          <t>FEDERALBNK</t>
        </is>
      </c>
      <c r="C181" s="115" t="inlineStr">
        <is>
          <t>INE171A01029</t>
        </is>
      </c>
      <c r="D181" s="115" t="inlineStr">
        <is>
          <t>2025-11-21</t>
        </is>
      </c>
      <c r="E181" s="115" t="inlineStr">
        <is>
          <t>NSE</t>
        </is>
      </c>
      <c r="F181" s="115" t="inlineStr">
        <is>
          <t>EQ</t>
        </is>
      </c>
      <c r="G181" s="115" t="inlineStr">
        <is>
          <t>EQ</t>
        </is>
      </c>
      <c r="H181" s="115" t="inlineStr">
        <is>
          <t>buy</t>
        </is>
      </c>
      <c r="I181" s="115" t="b">
        <v>0</v>
      </c>
      <c r="J181" s="115" t="n">
        <v>108</v>
      </c>
      <c r="K181" s="115" t="n">
        <v>246.27</v>
      </c>
      <c r="L181" s="116" t="n">
        <v>206412972</v>
      </c>
      <c r="M181" s="116" t="n">
        <v>1100000054184602</v>
      </c>
      <c r="N181" s="115" t="inlineStr">
        <is>
          <t>2025-11-21T14:28:03</t>
        </is>
      </c>
      <c r="O181" s="115" t="inlineStr"/>
    </row>
    <row r="182">
      <c r="A182" s="115" t="inlineStr"/>
      <c r="B182" s="115" t="inlineStr">
        <is>
          <t>FEDERALBNK</t>
        </is>
      </c>
      <c r="C182" s="115" t="inlineStr">
        <is>
          <t>INE171A01029</t>
        </is>
      </c>
      <c r="D182" s="115" t="inlineStr">
        <is>
          <t>2025-11-21</t>
        </is>
      </c>
      <c r="E182" s="115" t="inlineStr">
        <is>
          <t>NSE</t>
        </is>
      </c>
      <c r="F182" s="115" t="inlineStr">
        <is>
          <t>EQ</t>
        </is>
      </c>
      <c r="G182" s="115" t="inlineStr">
        <is>
          <t>EQ</t>
        </is>
      </c>
      <c r="H182" s="115" t="inlineStr">
        <is>
          <t>buy</t>
        </is>
      </c>
      <c r="I182" s="115" t="b">
        <v>0</v>
      </c>
      <c r="J182" s="115" t="n">
        <v>96</v>
      </c>
      <c r="K182" s="115" t="n">
        <v>246.28</v>
      </c>
      <c r="L182" s="116" t="n">
        <v>206412973</v>
      </c>
      <c r="M182" s="116" t="n">
        <v>1100000054184602</v>
      </c>
      <c r="N182" s="115" t="inlineStr">
        <is>
          <t>2025-11-21T14:28:03</t>
        </is>
      </c>
      <c r="O182" s="115" t="inlineStr"/>
    </row>
    <row r="183">
      <c r="A183" s="115" t="inlineStr"/>
      <c r="B183" s="115" t="inlineStr">
        <is>
          <t>FEDERALBNK</t>
        </is>
      </c>
      <c r="C183" s="115" t="inlineStr">
        <is>
          <t>INE171A01029</t>
        </is>
      </c>
      <c r="D183" s="115" t="inlineStr">
        <is>
          <t>2025-11-28</t>
        </is>
      </c>
      <c r="E183" s="115" t="inlineStr">
        <is>
          <t>NSE</t>
        </is>
      </c>
      <c r="F183" s="115" t="inlineStr">
        <is>
          <t>EQ</t>
        </is>
      </c>
      <c r="G183" s="115" t="inlineStr">
        <is>
          <t>EQ</t>
        </is>
      </c>
      <c r="H183" s="115" t="inlineStr">
        <is>
          <t>buy</t>
        </is>
      </c>
      <c r="I183" s="115" t="b">
        <v>0</v>
      </c>
      <c r="J183" s="115" t="n">
        <v>14</v>
      </c>
      <c r="K183" s="115" t="n">
        <v>257.71</v>
      </c>
      <c r="L183" s="116" t="n">
        <v>205976622</v>
      </c>
      <c r="M183" s="116" t="n">
        <v>1100000056648477</v>
      </c>
      <c r="N183" s="115" t="inlineStr">
        <is>
          <t>2025-11-28T14:55:57</t>
        </is>
      </c>
      <c r="O183" s="115" t="inlineStr"/>
    </row>
    <row r="184">
      <c r="A184" s="115" t="inlineStr"/>
      <c r="B184" s="115" t="inlineStr">
        <is>
          <t>FEDERALBNK</t>
        </is>
      </c>
      <c r="C184" s="115" t="inlineStr">
        <is>
          <t>INE171A01029</t>
        </is>
      </c>
      <c r="D184" s="115" t="inlineStr">
        <is>
          <t>2025-11-28</t>
        </is>
      </c>
      <c r="E184" s="115" t="inlineStr">
        <is>
          <t>NSE</t>
        </is>
      </c>
      <c r="F184" s="115" t="inlineStr">
        <is>
          <t>EQ</t>
        </is>
      </c>
      <c r="G184" s="115" t="inlineStr">
        <is>
          <t>EQ</t>
        </is>
      </c>
      <c r="H184" s="115" t="inlineStr">
        <is>
          <t>buy</t>
        </is>
      </c>
      <c r="I184" s="115" t="b">
        <v>0</v>
      </c>
      <c r="J184" s="115" t="n">
        <v>250</v>
      </c>
      <c r="K184" s="115" t="n">
        <v>257.7</v>
      </c>
      <c r="L184" s="116" t="n">
        <v>205976620</v>
      </c>
      <c r="M184" s="116" t="n">
        <v>1100000056648477</v>
      </c>
      <c r="N184" s="115" t="inlineStr">
        <is>
          <t>2025-11-28T14:55:57</t>
        </is>
      </c>
      <c r="O184" s="115" t="inlineStr"/>
    </row>
    <row r="185">
      <c r="A185" s="115" t="inlineStr"/>
      <c r="B185" s="115" t="inlineStr">
        <is>
          <t>FEDERALBNK</t>
        </is>
      </c>
      <c r="C185" s="115" t="inlineStr">
        <is>
          <t>INE171A01029</t>
        </is>
      </c>
      <c r="D185" s="115" t="inlineStr">
        <is>
          <t>2025-11-28</t>
        </is>
      </c>
      <c r="E185" s="115" t="inlineStr">
        <is>
          <t>NSE</t>
        </is>
      </c>
      <c r="F185" s="115" t="inlineStr">
        <is>
          <t>EQ</t>
        </is>
      </c>
      <c r="G185" s="115" t="inlineStr">
        <is>
          <t>EQ</t>
        </is>
      </c>
      <c r="H185" s="115" t="inlineStr">
        <is>
          <t>buy</t>
        </is>
      </c>
      <c r="I185" s="115" t="b">
        <v>0</v>
      </c>
      <c r="J185" s="115" t="n">
        <v>92</v>
      </c>
      <c r="K185" s="115" t="n">
        <v>257.7</v>
      </c>
      <c r="L185" s="116" t="n">
        <v>205976621</v>
      </c>
      <c r="M185" s="116" t="n">
        <v>1100000056648477</v>
      </c>
      <c r="N185" s="115" t="inlineStr">
        <is>
          <t>2025-11-28T14:55:57</t>
        </is>
      </c>
      <c r="O185" s="115" t="inlineStr"/>
    </row>
    <row r="186">
      <c r="A186" s="115" t="inlineStr"/>
      <c r="B186" s="115" t="inlineStr">
        <is>
          <t>FEDERALBNK</t>
        </is>
      </c>
      <c r="C186" s="115" t="inlineStr">
        <is>
          <t>INE171A01029</t>
        </is>
      </c>
      <c r="D186" s="115" t="inlineStr">
        <is>
          <t>2025-11-28</t>
        </is>
      </c>
      <c r="E186" s="115" t="inlineStr">
        <is>
          <t>NSE</t>
        </is>
      </c>
      <c r="F186" s="115" t="inlineStr">
        <is>
          <t>EQ</t>
        </is>
      </c>
      <c r="G186" s="115" t="inlineStr">
        <is>
          <t>EQ</t>
        </is>
      </c>
      <c r="H186" s="115" t="inlineStr">
        <is>
          <t>buy</t>
        </is>
      </c>
      <c r="I186" s="115" t="b">
        <v>0</v>
      </c>
      <c r="J186" s="115" t="n">
        <v>32</v>
      </c>
      <c r="K186" s="115" t="n">
        <v>257.7</v>
      </c>
      <c r="L186" s="116" t="n">
        <v>205976619</v>
      </c>
      <c r="M186" s="116" t="n">
        <v>1100000056648477</v>
      </c>
      <c r="N186" s="115" t="inlineStr">
        <is>
          <t>2025-11-28T14:55:57</t>
        </is>
      </c>
      <c r="O186" s="115" t="inlineStr"/>
    </row>
    <row r="187">
      <c r="A187" s="115" t="inlineStr"/>
      <c r="B187" s="115" t="inlineStr">
        <is>
          <t>GMRAIRPORT</t>
        </is>
      </c>
      <c r="C187" s="115" t="inlineStr">
        <is>
          <t>INE776C01039</t>
        </is>
      </c>
      <c r="D187" s="115" t="inlineStr">
        <is>
          <t>2025-11-28</t>
        </is>
      </c>
      <c r="E187" s="115" t="inlineStr">
        <is>
          <t>NSE</t>
        </is>
      </c>
      <c r="F187" s="115" t="inlineStr">
        <is>
          <t>EQ</t>
        </is>
      </c>
      <c r="G187" s="115" t="inlineStr">
        <is>
          <t>EQ</t>
        </is>
      </c>
      <c r="H187" s="115" t="inlineStr">
        <is>
          <t>buy</t>
        </is>
      </c>
      <c r="I187" s="115" t="b">
        <v>0</v>
      </c>
      <c r="J187" s="115" t="n">
        <v>677</v>
      </c>
      <c r="K187" s="115" t="n">
        <v>108.48</v>
      </c>
      <c r="L187" s="116" t="n">
        <v>206027992</v>
      </c>
      <c r="M187" s="116" t="n">
        <v>1100000057056789</v>
      </c>
      <c r="N187" s="115" t="inlineStr">
        <is>
          <t>2025-11-28T14:58:37</t>
        </is>
      </c>
      <c r="O187" s="115" t="inlineStr"/>
    </row>
    <row r="188">
      <c r="A188" s="115" t="inlineStr"/>
      <c r="B188" s="115" t="inlineStr">
        <is>
          <t>GMRAIRPORT</t>
        </is>
      </c>
      <c r="C188" s="115" t="inlineStr">
        <is>
          <t>INE776C01039</t>
        </is>
      </c>
      <c r="D188" s="115" t="inlineStr">
        <is>
          <t>2025-11-28</t>
        </is>
      </c>
      <c r="E188" s="115" t="inlineStr">
        <is>
          <t>NSE</t>
        </is>
      </c>
      <c r="F188" s="115" t="inlineStr">
        <is>
          <t>EQ</t>
        </is>
      </c>
      <c r="G188" s="115" t="inlineStr">
        <is>
          <t>EQ</t>
        </is>
      </c>
      <c r="H188" s="115" t="inlineStr">
        <is>
          <t>buy</t>
        </is>
      </c>
      <c r="I188" s="115" t="b">
        <v>0</v>
      </c>
      <c r="J188" s="115" t="n">
        <v>243</v>
      </c>
      <c r="K188" s="115" t="n">
        <v>108.48</v>
      </c>
      <c r="L188" s="116" t="n">
        <v>206027993</v>
      </c>
      <c r="M188" s="116" t="n">
        <v>1100000057056789</v>
      </c>
      <c r="N188" s="115" t="inlineStr">
        <is>
          <t>2025-11-28T14:58:37</t>
        </is>
      </c>
      <c r="O188" s="115" t="inlineStr"/>
    </row>
    <row r="189">
      <c r="A189" s="115" t="inlineStr"/>
      <c r="B189" s="115" t="inlineStr">
        <is>
          <t>BSOFT</t>
        </is>
      </c>
      <c r="C189" s="115" t="inlineStr">
        <is>
          <t>INE836A01035</t>
        </is>
      </c>
      <c r="D189" s="115" t="inlineStr">
        <is>
          <t>2025-12-08</t>
        </is>
      </c>
      <c r="E189" s="115" t="inlineStr">
        <is>
          <t>NSE</t>
        </is>
      </c>
      <c r="F189" s="115" t="inlineStr">
        <is>
          <t>EQ</t>
        </is>
      </c>
      <c r="G189" s="115" t="inlineStr">
        <is>
          <t>EQ</t>
        </is>
      </c>
      <c r="H189" s="115" t="inlineStr">
        <is>
          <t>buy</t>
        </is>
      </c>
      <c r="I189" s="115" t="b">
        <v>0</v>
      </c>
      <c r="J189" s="115" t="n">
        <v>36</v>
      </c>
      <c r="K189" s="115" t="n">
        <v>426.6</v>
      </c>
      <c r="L189" s="116" t="n">
        <v>4769488</v>
      </c>
      <c r="M189" s="116" t="n">
        <v>1000000042386900</v>
      </c>
      <c r="N189" s="115" t="inlineStr">
        <is>
          <t>2025-12-08T14:24:37</t>
        </is>
      </c>
      <c r="O189" s="115" t="inlineStr"/>
    </row>
    <row r="190">
      <c r="A190" s="115" t="inlineStr"/>
      <c r="B190" s="115" t="inlineStr">
        <is>
          <t>BSOFT</t>
        </is>
      </c>
      <c r="C190" s="115" t="inlineStr">
        <is>
          <t>INE836A01035</t>
        </is>
      </c>
      <c r="D190" s="115" t="inlineStr">
        <is>
          <t>2025-12-08</t>
        </is>
      </c>
      <c r="E190" s="115" t="inlineStr">
        <is>
          <t>NSE</t>
        </is>
      </c>
      <c r="F190" s="115" t="inlineStr">
        <is>
          <t>EQ</t>
        </is>
      </c>
      <c r="G190" s="115" t="inlineStr">
        <is>
          <t>EQ</t>
        </is>
      </c>
      <c r="H190" s="115" t="inlineStr">
        <is>
          <t>buy</t>
        </is>
      </c>
      <c r="I190" s="115" t="b">
        <v>0</v>
      </c>
      <c r="J190" s="115" t="n">
        <v>81</v>
      </c>
      <c r="K190" s="115" t="n">
        <v>426.6</v>
      </c>
      <c r="L190" s="116" t="n">
        <v>4769042</v>
      </c>
      <c r="M190" s="116" t="n">
        <v>1000000042386900</v>
      </c>
      <c r="N190" s="115" t="inlineStr">
        <is>
          <t>2025-12-08T14:24:37</t>
        </is>
      </c>
      <c r="O190" s="115" t="inlineStr"/>
    </row>
    <row r="191">
      <c r="A191" s="115" t="inlineStr"/>
      <c r="B191" s="115" t="inlineStr">
        <is>
          <t>BSE</t>
        </is>
      </c>
      <c r="C191" s="115" t="inlineStr">
        <is>
          <t>INE118H01025</t>
        </is>
      </c>
      <c r="D191" s="115" t="inlineStr">
        <is>
          <t>2025-12-08</t>
        </is>
      </c>
      <c r="E191" s="115" t="inlineStr">
        <is>
          <t>NSE</t>
        </is>
      </c>
      <c r="F191" s="115" t="inlineStr">
        <is>
          <t>EQ</t>
        </is>
      </c>
      <c r="G191" s="115" t="inlineStr">
        <is>
          <t>EQ</t>
        </is>
      </c>
      <c r="H191" s="115" t="inlineStr">
        <is>
          <t>buy</t>
        </is>
      </c>
      <c r="I191" s="115" t="b">
        <v>0</v>
      </c>
      <c r="J191" s="115" t="n">
        <v>18</v>
      </c>
      <c r="K191" s="115" t="n">
        <v>2801.6001</v>
      </c>
      <c r="L191" s="116" t="n">
        <v>4787082</v>
      </c>
      <c r="M191" s="116" t="n">
        <v>1000000042553870</v>
      </c>
      <c r="N191" s="115" t="inlineStr">
        <is>
          <t>2025-12-08T14:25:48</t>
        </is>
      </c>
      <c r="O191" s="115" t="inlineStr"/>
    </row>
    <row r="192">
      <c r="A192" s="115" t="inlineStr"/>
      <c r="B192" s="115" t="inlineStr">
        <is>
          <t>JKTYRE</t>
        </is>
      </c>
      <c r="C192" s="115" t="inlineStr">
        <is>
          <t>INE573A01042</t>
        </is>
      </c>
      <c r="D192" s="115" t="inlineStr">
        <is>
          <t>2025-12-22</t>
        </is>
      </c>
      <c r="E192" s="115" t="inlineStr">
        <is>
          <t>NSE</t>
        </is>
      </c>
      <c r="F192" s="115" t="inlineStr">
        <is>
          <t>EQ</t>
        </is>
      </c>
      <c r="G192" s="115" t="inlineStr">
        <is>
          <t>EQ</t>
        </is>
      </c>
      <c r="H192" s="115" t="inlineStr">
        <is>
          <t>buy</t>
        </is>
      </c>
      <c r="I192" s="115" t="b">
        <v>0</v>
      </c>
      <c r="J192" s="115" t="n">
        <v>26</v>
      </c>
      <c r="K192" s="115" t="n">
        <v>485.05</v>
      </c>
      <c r="L192" s="116" t="n">
        <v>202333156</v>
      </c>
      <c r="M192" s="116" t="n">
        <v>1100000017290156</v>
      </c>
      <c r="N192" s="115" t="inlineStr">
        <is>
          <t>2025-12-22T10:04:41</t>
        </is>
      </c>
      <c r="O192" s="115" t="inlineStr"/>
    </row>
    <row r="193">
      <c r="A193" s="115" t="inlineStr"/>
      <c r="B193" s="115" t="inlineStr">
        <is>
          <t>JKTYRE</t>
        </is>
      </c>
      <c r="C193" s="115" t="inlineStr">
        <is>
          <t>INE573A01042</t>
        </is>
      </c>
      <c r="D193" s="115" t="inlineStr">
        <is>
          <t>2025-12-22</t>
        </is>
      </c>
      <c r="E193" s="115" t="inlineStr">
        <is>
          <t>NSE</t>
        </is>
      </c>
      <c r="F193" s="115" t="inlineStr">
        <is>
          <t>EQ</t>
        </is>
      </c>
      <c r="G193" s="115" t="inlineStr">
        <is>
          <t>EQ</t>
        </is>
      </c>
      <c r="H193" s="115" t="inlineStr">
        <is>
          <t>buy</t>
        </is>
      </c>
      <c r="I193" s="115" t="b">
        <v>0</v>
      </c>
      <c r="J193" s="115" t="n">
        <v>77</v>
      </c>
      <c r="K193" s="115" t="n">
        <v>485.05</v>
      </c>
      <c r="L193" s="116" t="n">
        <v>202333157</v>
      </c>
      <c r="M193" s="116" t="n">
        <v>1100000017290156</v>
      </c>
      <c r="N193" s="115" t="inlineStr">
        <is>
          <t>2025-12-22T10:04:41</t>
        </is>
      </c>
      <c r="O193" s="115" t="inlineStr"/>
    </row>
    <row r="194">
      <c r="A194" s="115" t="inlineStr"/>
      <c r="B194" s="115" t="inlineStr">
        <is>
          <t>BSOFT</t>
        </is>
      </c>
      <c r="C194" s="115" t="inlineStr">
        <is>
          <t>INE836A01035</t>
        </is>
      </c>
      <c r="D194" s="115" t="inlineStr">
        <is>
          <t>2025-12-22</t>
        </is>
      </c>
      <c r="E194" s="115" t="inlineStr">
        <is>
          <t>NSE</t>
        </is>
      </c>
      <c r="F194" s="115" t="inlineStr">
        <is>
          <t>EQ</t>
        </is>
      </c>
      <c r="G194" s="115" t="inlineStr">
        <is>
          <t>EQ</t>
        </is>
      </c>
      <c r="H194" s="115" t="inlineStr">
        <is>
          <t>buy</t>
        </is>
      </c>
      <c r="I194" s="115" t="b">
        <v>0</v>
      </c>
      <c r="J194" s="115" t="n">
        <v>100</v>
      </c>
      <c r="K194" s="115" t="n">
        <v>450.45</v>
      </c>
      <c r="L194" s="116" t="n">
        <v>1534655</v>
      </c>
      <c r="M194" s="116" t="n">
        <v>1000000015384872</v>
      </c>
      <c r="N194" s="115" t="inlineStr">
        <is>
          <t>2025-12-22T10:38:47</t>
        </is>
      </c>
      <c r="O194" s="115" t="inlineStr"/>
    </row>
    <row r="195">
      <c r="A195" s="115" t="inlineStr"/>
      <c r="B195" s="115" t="inlineStr">
        <is>
          <t>BSOFT</t>
        </is>
      </c>
      <c r="C195" s="115" t="inlineStr">
        <is>
          <t>INE836A01035</t>
        </is>
      </c>
      <c r="D195" s="115" t="inlineStr">
        <is>
          <t>2025-12-22</t>
        </is>
      </c>
      <c r="E195" s="115" t="inlineStr">
        <is>
          <t>NSE</t>
        </is>
      </c>
      <c r="F195" s="115" t="inlineStr">
        <is>
          <t>EQ</t>
        </is>
      </c>
      <c r="G195" s="115" t="inlineStr">
        <is>
          <t>EQ</t>
        </is>
      </c>
      <c r="H195" s="115" t="inlineStr">
        <is>
          <t>buy</t>
        </is>
      </c>
      <c r="I195" s="115" t="b">
        <v>0</v>
      </c>
      <c r="J195" s="115" t="n">
        <v>11</v>
      </c>
      <c r="K195" s="115" t="n">
        <v>450.45</v>
      </c>
      <c r="L195" s="116" t="n">
        <v>1534656</v>
      </c>
      <c r="M195" s="116" t="n">
        <v>1000000015384872</v>
      </c>
      <c r="N195" s="115" t="inlineStr">
        <is>
          <t>2025-12-22T10:38:47</t>
        </is>
      </c>
      <c r="O195" s="115" t="inlineStr"/>
    </row>
    <row r="196">
      <c r="A196" s="115" t="inlineStr"/>
      <c r="B196" s="115" t="inlineStr">
        <is>
          <t>KIRLOSENG</t>
        </is>
      </c>
      <c r="C196" s="115" t="inlineStr">
        <is>
          <t>INE146L01010</t>
        </is>
      </c>
      <c r="D196" s="115" t="inlineStr">
        <is>
          <t>2025-12-23</t>
        </is>
      </c>
      <c r="E196" s="115" t="inlineStr">
        <is>
          <t>NSE</t>
        </is>
      </c>
      <c r="F196" s="115" t="inlineStr">
        <is>
          <t>EQ</t>
        </is>
      </c>
      <c r="G196" s="115" t="inlineStr">
        <is>
          <t>EQ</t>
        </is>
      </c>
      <c r="H196" s="115" t="inlineStr">
        <is>
          <t>buy</t>
        </is>
      </c>
      <c r="I196" s="115" t="b">
        <v>0</v>
      </c>
      <c r="J196" s="115" t="n">
        <v>19</v>
      </c>
      <c r="K196" s="115" t="n">
        <v>1314.6</v>
      </c>
      <c r="L196" s="116" t="n">
        <v>402017427</v>
      </c>
      <c r="M196" s="116" t="n">
        <v>1200000019575555</v>
      </c>
      <c r="N196" s="115" t="inlineStr">
        <is>
          <t>2025-12-23T10:32:12</t>
        </is>
      </c>
      <c r="O196" s="115" t="inlineStr"/>
    </row>
    <row r="197">
      <c r="A197" s="115" t="inlineStr"/>
      <c r="B197" s="115" t="inlineStr">
        <is>
          <t>PRECWIRE</t>
        </is>
      </c>
      <c r="C197" s="115" t="inlineStr">
        <is>
          <t>INE372C01037</t>
        </is>
      </c>
      <c r="D197" s="115" t="inlineStr">
        <is>
          <t>2025-12-30</t>
        </is>
      </c>
      <c r="E197" s="115" t="inlineStr">
        <is>
          <t>NSE</t>
        </is>
      </c>
      <c r="F197" s="115" t="inlineStr">
        <is>
          <t>EQ</t>
        </is>
      </c>
      <c r="G197" s="115" t="inlineStr">
        <is>
          <t>EQ</t>
        </is>
      </c>
      <c r="H197" s="115" t="inlineStr">
        <is>
          <t>sell</t>
        </is>
      </c>
      <c r="I197" s="115" t="b">
        <v>0</v>
      </c>
      <c r="J197" s="115" t="n">
        <v>220</v>
      </c>
      <c r="K197" s="115" t="n">
        <v>245.9</v>
      </c>
      <c r="L197" s="116" t="n">
        <v>401382540</v>
      </c>
      <c r="M197" s="116" t="n">
        <v>1200000014901459</v>
      </c>
      <c r="N197" s="115" t="inlineStr">
        <is>
          <t>2025-12-30T10:09:53</t>
        </is>
      </c>
      <c r="O197" s="115" t="inlineStr"/>
    </row>
    <row r="198">
      <c r="A198" s="115" t="inlineStr"/>
      <c r="B198" s="115" t="inlineStr">
        <is>
          <t>HINDALCO</t>
        </is>
      </c>
      <c r="C198" s="115" t="inlineStr">
        <is>
          <t>INE038A01020</t>
        </is>
      </c>
      <c r="D198" s="115" t="inlineStr">
        <is>
          <t>2026-01-02</t>
        </is>
      </c>
      <c r="E198" s="115" t="inlineStr">
        <is>
          <t>BSE</t>
        </is>
      </c>
      <c r="F198" s="115" t="inlineStr">
        <is>
          <t>EQ</t>
        </is>
      </c>
      <c r="G198" s="115" t="inlineStr">
        <is>
          <t>A</t>
        </is>
      </c>
      <c r="H198" s="115" t="inlineStr">
        <is>
          <t>buy</t>
        </is>
      </c>
      <c r="I198" s="115" t="b">
        <v>0</v>
      </c>
      <c r="J198" s="115" t="n">
        <v>11</v>
      </c>
      <c r="K198" s="115" t="n">
        <v>926.6</v>
      </c>
      <c r="L198" s="116" t="n">
        <v>8895500</v>
      </c>
      <c r="M198" s="116" t="n">
        <v>1.767343711412717e+18</v>
      </c>
      <c r="N198" s="115" t="inlineStr">
        <is>
          <t>2026-01-02T14:57:40</t>
        </is>
      </c>
      <c r="O198" s="115" t="inlineStr"/>
    </row>
    <row r="199">
      <c r="A199" s="115" t="inlineStr"/>
      <c r="B199" s="115" t="inlineStr">
        <is>
          <t>HINDALCO</t>
        </is>
      </c>
      <c r="C199" s="115" t="inlineStr">
        <is>
          <t>INE038A01020</t>
        </is>
      </c>
      <c r="D199" s="115" t="inlineStr">
        <is>
          <t>2026-01-02</t>
        </is>
      </c>
      <c r="E199" s="115" t="inlineStr">
        <is>
          <t>BSE</t>
        </is>
      </c>
      <c r="F199" s="115" t="inlineStr">
        <is>
          <t>EQ</t>
        </is>
      </c>
      <c r="G199" s="115" t="inlineStr">
        <is>
          <t>A</t>
        </is>
      </c>
      <c r="H199" s="115" t="inlineStr">
        <is>
          <t>buy</t>
        </is>
      </c>
      <c r="I199" s="115" t="b">
        <v>0</v>
      </c>
      <c r="J199" s="115" t="n">
        <v>97</v>
      </c>
      <c r="K199" s="115" t="n">
        <v>926.5</v>
      </c>
      <c r="L199" s="116" t="n">
        <v>8895300</v>
      </c>
      <c r="M199" s="116" t="n">
        <v>1.767343711412717e+18</v>
      </c>
      <c r="N199" s="115" t="inlineStr">
        <is>
          <t>2026-01-02T14:57:40</t>
        </is>
      </c>
      <c r="O199" s="115" t="inlineStr"/>
    </row>
    <row r="200">
      <c r="A200" s="115" t="inlineStr"/>
      <c r="B200" s="115" t="inlineStr">
        <is>
          <t>NMDC</t>
        </is>
      </c>
      <c r="C200" s="115" t="inlineStr">
        <is>
          <t>INE584A01023</t>
        </is>
      </c>
      <c r="D200" s="115" t="inlineStr">
        <is>
          <t>2026-01-02</t>
        </is>
      </c>
      <c r="E200" s="115" t="inlineStr">
        <is>
          <t>NSE</t>
        </is>
      </c>
      <c r="F200" s="115" t="inlineStr">
        <is>
          <t>EQ</t>
        </is>
      </c>
      <c r="G200" s="115" t="inlineStr">
        <is>
          <t>EQ</t>
        </is>
      </c>
      <c r="H200" s="115" t="inlineStr">
        <is>
          <t>buy</t>
        </is>
      </c>
      <c r="I200" s="115" t="b">
        <v>0</v>
      </c>
      <c r="J200" s="115" t="n">
        <v>300</v>
      </c>
      <c r="K200" s="115" t="n">
        <v>84.48999999999999</v>
      </c>
      <c r="L200" s="116" t="n">
        <v>406243588</v>
      </c>
      <c r="M200" s="116" t="n">
        <v>1200000058479057</v>
      </c>
      <c r="N200" s="115" t="inlineStr">
        <is>
          <t>2026-01-02T14:58:35</t>
        </is>
      </c>
      <c r="O200" s="115" t="inlineStr"/>
    </row>
    <row r="201">
      <c r="A201" s="115" t="inlineStr"/>
      <c r="B201" s="115" t="inlineStr">
        <is>
          <t>GAEL</t>
        </is>
      </c>
      <c r="C201" s="115" t="inlineStr">
        <is>
          <t>INE036B01030</t>
        </is>
      </c>
      <c r="D201" s="115" t="inlineStr">
        <is>
          <t>2026-01-02</t>
        </is>
      </c>
      <c r="E201" s="115" t="inlineStr">
        <is>
          <t>NSE</t>
        </is>
      </c>
      <c r="F201" s="115" t="inlineStr">
        <is>
          <t>EQ</t>
        </is>
      </c>
      <c r="G201" s="115" t="inlineStr">
        <is>
          <t>EQ</t>
        </is>
      </c>
      <c r="H201" s="115" t="inlineStr">
        <is>
          <t>buy</t>
        </is>
      </c>
      <c r="I201" s="115" t="b">
        <v>0</v>
      </c>
      <c r="J201" s="115" t="n">
        <v>182</v>
      </c>
      <c r="K201" s="115" t="n">
        <v>137.25</v>
      </c>
      <c r="L201" s="116" t="n">
        <v>208912626</v>
      </c>
      <c r="M201" s="116" t="n">
        <v>1100000068739066</v>
      </c>
      <c r="N201" s="115" t="inlineStr">
        <is>
          <t>2026-01-02T15:08:42</t>
        </is>
      </c>
      <c r="O201" s="115" t="inlineStr"/>
    </row>
    <row r="202">
      <c r="A202" s="115" t="inlineStr"/>
      <c r="B202" s="115" t="inlineStr">
        <is>
          <t>CUPID</t>
        </is>
      </c>
      <c r="C202" s="115" t="inlineStr">
        <is>
          <t>INE509F01029</t>
        </is>
      </c>
      <c r="D202" s="115" t="inlineStr">
        <is>
          <t>2026-01-05</t>
        </is>
      </c>
      <c r="E202" s="115" t="inlineStr">
        <is>
          <t>NSE</t>
        </is>
      </c>
      <c r="F202" s="115" t="inlineStr">
        <is>
          <t>EQ</t>
        </is>
      </c>
      <c r="G202" s="115" t="inlineStr">
        <is>
          <t>EQ</t>
        </is>
      </c>
      <c r="H202" s="115" t="inlineStr">
        <is>
          <t>buy</t>
        </is>
      </c>
      <c r="I202" s="115" t="b">
        <v>0</v>
      </c>
      <c r="J202" s="115" t="n">
        <v>665</v>
      </c>
      <c r="K202" s="115" t="n">
        <v>75.5</v>
      </c>
      <c r="L202" s="116" t="n">
        <v>3525224</v>
      </c>
      <c r="M202" s="116" t="n">
        <v>1000000030563951</v>
      </c>
      <c r="N202" s="115" t="inlineStr">
        <is>
          <t>2026-01-05T12:26:28</t>
        </is>
      </c>
      <c r="O202" s="115" t="inlineStr"/>
    </row>
    <row r="203">
      <c r="A203" s="115" t="inlineStr"/>
      <c r="B203" s="115" t="inlineStr">
        <is>
          <t>CHENNPETRO</t>
        </is>
      </c>
      <c r="C203" s="115" t="inlineStr">
        <is>
          <t>INE178A01016</t>
        </is>
      </c>
      <c r="D203" s="115" t="inlineStr">
        <is>
          <t>2026-01-05</t>
        </is>
      </c>
      <c r="E203" s="115" t="inlineStr">
        <is>
          <t>NSE</t>
        </is>
      </c>
      <c r="F203" s="115" t="inlineStr">
        <is>
          <t>EQ</t>
        </is>
      </c>
      <c r="G203" s="115" t="inlineStr">
        <is>
          <t>EQ</t>
        </is>
      </c>
      <c r="H203" s="115" t="inlineStr">
        <is>
          <t>sell</t>
        </is>
      </c>
      <c r="I203" s="115" t="b">
        <v>0</v>
      </c>
      <c r="J203" s="115" t="n">
        <v>11</v>
      </c>
      <c r="K203" s="115" t="n">
        <v>814.95</v>
      </c>
      <c r="L203" s="116" t="n">
        <v>4105206</v>
      </c>
      <c r="M203" s="116" t="n">
        <v>1000000035841343</v>
      </c>
      <c r="N203" s="115" t="inlineStr">
        <is>
          <t>2026-01-05T13:16:53</t>
        </is>
      </c>
      <c r="O203" s="115" t="inlineStr"/>
    </row>
    <row r="204">
      <c r="A204" s="115" t="inlineStr"/>
      <c r="B204" s="115" t="inlineStr">
        <is>
          <t>CHENNPETRO</t>
        </is>
      </c>
      <c r="C204" s="115" t="inlineStr">
        <is>
          <t>INE178A01016</t>
        </is>
      </c>
      <c r="D204" s="115" t="inlineStr">
        <is>
          <t>2026-01-05</t>
        </is>
      </c>
      <c r="E204" s="115" t="inlineStr">
        <is>
          <t>NSE</t>
        </is>
      </c>
      <c r="F204" s="115" t="inlineStr">
        <is>
          <t>EQ</t>
        </is>
      </c>
      <c r="G204" s="115" t="inlineStr">
        <is>
          <t>EQ</t>
        </is>
      </c>
      <c r="H204" s="115" t="inlineStr">
        <is>
          <t>sell</t>
        </is>
      </c>
      <c r="I204" s="115" t="b">
        <v>0</v>
      </c>
      <c r="J204" s="115" t="n">
        <v>1</v>
      </c>
      <c r="K204" s="115" t="n">
        <v>814.95</v>
      </c>
      <c r="L204" s="116" t="n">
        <v>4105207</v>
      </c>
      <c r="M204" s="116" t="n">
        <v>1000000035841343</v>
      </c>
      <c r="N204" s="115" t="inlineStr">
        <is>
          <t>2026-01-05T13:16:53</t>
        </is>
      </c>
      <c r="O204" s="115" t="inlineStr"/>
    </row>
    <row r="205">
      <c r="A205" s="115" t="inlineStr"/>
      <c r="B205" s="115" t="inlineStr">
        <is>
          <t>CHENNPETRO</t>
        </is>
      </c>
      <c r="C205" s="115" t="inlineStr">
        <is>
          <t>INE178A01016</t>
        </is>
      </c>
      <c r="D205" s="115" t="inlineStr">
        <is>
          <t>2026-01-05</t>
        </is>
      </c>
      <c r="E205" s="115" t="inlineStr">
        <is>
          <t>NSE</t>
        </is>
      </c>
      <c r="F205" s="115" t="inlineStr">
        <is>
          <t>EQ</t>
        </is>
      </c>
      <c r="G205" s="115" t="inlineStr">
        <is>
          <t>EQ</t>
        </is>
      </c>
      <c r="H205" s="115" t="inlineStr">
        <is>
          <t>sell</t>
        </is>
      </c>
      <c r="I205" s="115" t="b">
        <v>0</v>
      </c>
      <c r="J205" s="115" t="n">
        <v>2</v>
      </c>
      <c r="K205" s="115" t="n">
        <v>814.9</v>
      </c>
      <c r="L205" s="116" t="n">
        <v>4105209</v>
      </c>
      <c r="M205" s="116" t="n">
        <v>1000000035841343</v>
      </c>
      <c r="N205" s="115" t="inlineStr">
        <is>
          <t>2026-01-05T13:16:53</t>
        </is>
      </c>
      <c r="O205" s="115" t="inlineStr"/>
    </row>
    <row r="206">
      <c r="A206" s="115" t="inlineStr"/>
      <c r="B206" s="115" t="inlineStr">
        <is>
          <t>CHENNPETRO</t>
        </is>
      </c>
      <c r="C206" s="115" t="inlineStr">
        <is>
          <t>INE178A01016</t>
        </is>
      </c>
      <c r="D206" s="115" t="inlineStr">
        <is>
          <t>2026-01-05</t>
        </is>
      </c>
      <c r="E206" s="115" t="inlineStr">
        <is>
          <t>NSE</t>
        </is>
      </c>
      <c r="F206" s="115" t="inlineStr">
        <is>
          <t>EQ</t>
        </is>
      </c>
      <c r="G206" s="115" t="inlineStr">
        <is>
          <t>EQ</t>
        </is>
      </c>
      <c r="H206" s="115" t="inlineStr">
        <is>
          <t>sell</t>
        </is>
      </c>
      <c r="I206" s="115" t="b">
        <v>0</v>
      </c>
      <c r="J206" s="115" t="n">
        <v>38</v>
      </c>
      <c r="K206" s="115" t="n">
        <v>814.95</v>
      </c>
      <c r="L206" s="116" t="n">
        <v>4105208</v>
      </c>
      <c r="M206" s="116" t="n">
        <v>1000000035841343</v>
      </c>
      <c r="N206" s="115" t="inlineStr">
        <is>
          <t>2026-01-05T13:16:53</t>
        </is>
      </c>
      <c r="O206" s="115" t="inlineStr"/>
    </row>
    <row r="207">
      <c r="A207" s="115" t="inlineStr"/>
      <c r="B207" s="115" t="inlineStr">
        <is>
          <t>CUPID</t>
        </is>
      </c>
      <c r="C207" s="115" t="inlineStr">
        <is>
          <t>INE509F01029</t>
        </is>
      </c>
      <c r="D207" s="115" t="inlineStr">
        <is>
          <t>2026-01-05</t>
        </is>
      </c>
      <c r="E207" s="115" t="inlineStr">
        <is>
          <t>NSE</t>
        </is>
      </c>
      <c r="F207" s="115" t="inlineStr">
        <is>
          <t>EQ</t>
        </is>
      </c>
      <c r="G207" s="115" t="inlineStr">
        <is>
          <t>EQ</t>
        </is>
      </c>
      <c r="H207" s="115" t="inlineStr">
        <is>
          <t>sell</t>
        </is>
      </c>
      <c r="I207" s="115" t="b">
        <v>0</v>
      </c>
      <c r="J207" s="115" t="n">
        <v>50</v>
      </c>
      <c r="K207" s="115" t="n">
        <v>72.97999999999999</v>
      </c>
      <c r="L207" s="116" t="n">
        <v>4343004</v>
      </c>
      <c r="M207" s="116" t="n">
        <v>1000000038012849</v>
      </c>
      <c r="N207" s="115" t="inlineStr">
        <is>
          <t>2026-01-05T13:37:39</t>
        </is>
      </c>
      <c r="O207" s="115" t="inlineStr"/>
    </row>
    <row r="208">
      <c r="A208" s="115" t="inlineStr"/>
      <c r="B208" s="115" t="inlineStr">
        <is>
          <t>CUPID</t>
        </is>
      </c>
      <c r="C208" s="115" t="inlineStr">
        <is>
          <t>INE509F01029</t>
        </is>
      </c>
      <c r="D208" s="115" t="inlineStr">
        <is>
          <t>2026-01-05</t>
        </is>
      </c>
      <c r="E208" s="115" t="inlineStr">
        <is>
          <t>NSE</t>
        </is>
      </c>
      <c r="F208" s="115" t="inlineStr">
        <is>
          <t>EQ</t>
        </is>
      </c>
      <c r="G208" s="115" t="inlineStr">
        <is>
          <t>EQ</t>
        </is>
      </c>
      <c r="H208" s="115" t="inlineStr">
        <is>
          <t>sell</t>
        </is>
      </c>
      <c r="I208" s="115" t="b">
        <v>0</v>
      </c>
      <c r="J208" s="115" t="n">
        <v>590</v>
      </c>
      <c r="K208" s="115" t="n">
        <v>72.97999999999999</v>
      </c>
      <c r="L208" s="116" t="n">
        <v>4343005</v>
      </c>
      <c r="M208" s="116" t="n">
        <v>1000000038012849</v>
      </c>
      <c r="N208" s="115" t="inlineStr">
        <is>
          <t>2026-01-05T13:37:39</t>
        </is>
      </c>
      <c r="O208" s="115" t="inlineStr"/>
    </row>
    <row r="209">
      <c r="A209" s="115" t="inlineStr"/>
      <c r="B209" s="115" t="inlineStr">
        <is>
          <t>CUPID</t>
        </is>
      </c>
      <c r="C209" s="115" t="inlineStr">
        <is>
          <t>INE509F01029</t>
        </is>
      </c>
      <c r="D209" s="115" t="inlineStr">
        <is>
          <t>2026-01-05</t>
        </is>
      </c>
      <c r="E209" s="115" t="inlineStr">
        <is>
          <t>NSE</t>
        </is>
      </c>
      <c r="F209" s="115" t="inlineStr">
        <is>
          <t>EQ</t>
        </is>
      </c>
      <c r="G209" s="115" t="inlineStr">
        <is>
          <t>EQ</t>
        </is>
      </c>
      <c r="H209" s="115" t="inlineStr">
        <is>
          <t>sell</t>
        </is>
      </c>
      <c r="I209" s="115" t="b">
        <v>0</v>
      </c>
      <c r="J209" s="115" t="n">
        <v>25</v>
      </c>
      <c r="K209" s="115" t="n">
        <v>72.97999999999999</v>
      </c>
      <c r="L209" s="116" t="n">
        <v>4343006</v>
      </c>
      <c r="M209" s="116" t="n">
        <v>1000000038012849</v>
      </c>
      <c r="N209" s="115" t="inlineStr">
        <is>
          <t>2026-01-05T13:37:39</t>
        </is>
      </c>
      <c r="O209" s="115" t="inlineStr"/>
    </row>
    <row r="210">
      <c r="A210" s="115" t="inlineStr"/>
      <c r="B210" s="115" t="inlineStr">
        <is>
          <t>CANBK</t>
        </is>
      </c>
      <c r="C210" s="115" t="inlineStr">
        <is>
          <t>INE476A01022</t>
        </is>
      </c>
      <c r="D210" s="115" t="inlineStr">
        <is>
          <t>2026-01-05</t>
        </is>
      </c>
      <c r="E210" s="115" t="inlineStr">
        <is>
          <t>NSE</t>
        </is>
      </c>
      <c r="F210" s="115" t="inlineStr">
        <is>
          <t>EQ</t>
        </is>
      </c>
      <c r="G210" s="115" t="inlineStr">
        <is>
          <t>EQ</t>
        </is>
      </c>
      <c r="H210" s="115" t="inlineStr">
        <is>
          <t>buy</t>
        </is>
      </c>
      <c r="I210" s="115" t="b">
        <v>0</v>
      </c>
      <c r="J210" s="115" t="n">
        <v>125</v>
      </c>
      <c r="K210" s="115" t="n">
        <v>154.59</v>
      </c>
      <c r="L210" s="116" t="n">
        <v>5678235</v>
      </c>
      <c r="M210" s="116" t="n">
        <v>1000000049175784</v>
      </c>
      <c r="N210" s="115" t="inlineStr">
        <is>
          <t>2026-01-05T15:02:07</t>
        </is>
      </c>
      <c r="O210" s="115" t="inlineStr"/>
    </row>
    <row r="211">
      <c r="A211" s="115" t="inlineStr"/>
      <c r="B211" s="115" t="inlineStr">
        <is>
          <t>CANBK</t>
        </is>
      </c>
      <c r="C211" s="115" t="inlineStr">
        <is>
          <t>INE476A01022</t>
        </is>
      </c>
      <c r="D211" s="115" t="inlineStr">
        <is>
          <t>2026-01-05</t>
        </is>
      </c>
      <c r="E211" s="115" t="inlineStr">
        <is>
          <t>NSE</t>
        </is>
      </c>
      <c r="F211" s="115" t="inlineStr">
        <is>
          <t>EQ</t>
        </is>
      </c>
      <c r="G211" s="115" t="inlineStr">
        <is>
          <t>EQ</t>
        </is>
      </c>
      <c r="H211" s="115" t="inlineStr">
        <is>
          <t>buy</t>
        </is>
      </c>
      <c r="I211" s="115" t="b">
        <v>0</v>
      </c>
      <c r="J211" s="115" t="n">
        <v>136</v>
      </c>
      <c r="K211" s="115" t="n">
        <v>154.59</v>
      </c>
      <c r="L211" s="116" t="n">
        <v>5678236</v>
      </c>
      <c r="M211" s="116" t="n">
        <v>1000000049175784</v>
      </c>
      <c r="N211" s="115" t="inlineStr">
        <is>
          <t>2026-01-05T15:02:07</t>
        </is>
      </c>
      <c r="O211" s="115" t="inlineStr"/>
    </row>
    <row r="212">
      <c r="A212" s="115" t="inlineStr"/>
      <c r="B212" s="115" t="inlineStr">
        <is>
          <t>CANBK</t>
        </is>
      </c>
      <c r="C212" s="115" t="inlineStr">
        <is>
          <t>INE476A01022</t>
        </is>
      </c>
      <c r="D212" s="115" t="inlineStr">
        <is>
          <t>2026-01-05</t>
        </is>
      </c>
      <c r="E212" s="115" t="inlineStr">
        <is>
          <t>NSE</t>
        </is>
      </c>
      <c r="F212" s="115" t="inlineStr">
        <is>
          <t>EQ</t>
        </is>
      </c>
      <c r="G212" s="115" t="inlineStr">
        <is>
          <t>EQ</t>
        </is>
      </c>
      <c r="H212" s="115" t="inlineStr">
        <is>
          <t>buy</t>
        </is>
      </c>
      <c r="I212" s="115" t="b">
        <v>0</v>
      </c>
      <c r="J212" s="115" t="n">
        <v>19</v>
      </c>
      <c r="K212" s="115" t="n">
        <v>154.59</v>
      </c>
      <c r="L212" s="116" t="n">
        <v>5678237</v>
      </c>
      <c r="M212" s="116" t="n">
        <v>1000000049175784</v>
      </c>
      <c r="N212" s="115" t="inlineStr">
        <is>
          <t>2026-01-05T15:02:07</t>
        </is>
      </c>
      <c r="O212" s="115" t="inlineStr"/>
    </row>
    <row r="213">
      <c r="A213" s="115" t="inlineStr"/>
      <c r="B213" s="115" t="inlineStr">
        <is>
          <t>CANBK</t>
        </is>
      </c>
      <c r="C213" s="115" t="inlineStr">
        <is>
          <t>INE476A01022</t>
        </is>
      </c>
      <c r="D213" s="115" t="inlineStr">
        <is>
          <t>2026-01-05</t>
        </is>
      </c>
      <c r="E213" s="115" t="inlineStr">
        <is>
          <t>NSE</t>
        </is>
      </c>
      <c r="F213" s="115" t="inlineStr">
        <is>
          <t>EQ</t>
        </is>
      </c>
      <c r="G213" s="115" t="inlineStr">
        <is>
          <t>EQ</t>
        </is>
      </c>
      <c r="H213" s="115" t="inlineStr">
        <is>
          <t>buy</t>
        </is>
      </c>
      <c r="I213" s="115" t="b">
        <v>0</v>
      </c>
      <c r="J213" s="115" t="n">
        <v>44</v>
      </c>
      <c r="K213" s="115" t="n">
        <v>154.6</v>
      </c>
      <c r="L213" s="116" t="n">
        <v>5678238</v>
      </c>
      <c r="M213" s="116" t="n">
        <v>1000000049175784</v>
      </c>
      <c r="N213" s="115" t="inlineStr">
        <is>
          <t>2026-01-05T15:02:07</t>
        </is>
      </c>
      <c r="O213" s="115" t="inlineStr"/>
    </row>
    <row r="214">
      <c r="A214" s="115" t="inlineStr"/>
      <c r="B214" s="115" t="inlineStr">
        <is>
          <t>GMDCLTD</t>
        </is>
      </c>
      <c r="C214" s="115" t="inlineStr">
        <is>
          <t>INE131A01031</t>
        </is>
      </c>
      <c r="D214" s="115" t="inlineStr">
        <is>
          <t>2026-01-05</t>
        </is>
      </c>
      <c r="E214" s="115" t="inlineStr">
        <is>
          <t>NSE</t>
        </is>
      </c>
      <c r="F214" s="115" t="inlineStr">
        <is>
          <t>EQ</t>
        </is>
      </c>
      <c r="G214" s="115" t="inlineStr">
        <is>
          <t>EQ</t>
        </is>
      </c>
      <c r="H214" s="115" t="inlineStr">
        <is>
          <t>buy</t>
        </is>
      </c>
      <c r="I214" s="115" t="b">
        <v>0</v>
      </c>
      <c r="J214" s="115" t="n">
        <v>41</v>
      </c>
      <c r="K214" s="115" t="n">
        <v>612</v>
      </c>
      <c r="L214" s="116" t="n">
        <v>208704403</v>
      </c>
      <c r="M214" s="116" t="n">
        <v>1100000068344678</v>
      </c>
      <c r="N214" s="115" t="inlineStr">
        <is>
          <t>2026-01-05T15:03:01</t>
        </is>
      </c>
      <c r="O214" s="115" t="inlineStr"/>
    </row>
    <row r="215">
      <c r="A215" s="115" t="inlineStr"/>
      <c r="B215" s="115" t="inlineStr">
        <is>
          <t>AJANTPHARM</t>
        </is>
      </c>
      <c r="C215" s="115" t="inlineStr">
        <is>
          <t>INE031B01049</t>
        </is>
      </c>
      <c r="D215" s="115" t="inlineStr">
        <is>
          <t>2026-01-05</t>
        </is>
      </c>
      <c r="E215" s="115" t="inlineStr">
        <is>
          <t>NSE</t>
        </is>
      </c>
      <c r="F215" s="115" t="inlineStr">
        <is>
          <t>EQ</t>
        </is>
      </c>
      <c r="G215" s="115" t="inlineStr">
        <is>
          <t>EQ</t>
        </is>
      </c>
      <c r="H215" s="115" t="inlineStr">
        <is>
          <t>buy</t>
        </is>
      </c>
      <c r="I215" s="115" t="b">
        <v>0</v>
      </c>
      <c r="J215" s="115" t="n">
        <v>1</v>
      </c>
      <c r="K215" s="115" t="n">
        <v>2936.3</v>
      </c>
      <c r="L215" s="116" t="n">
        <v>5735291</v>
      </c>
      <c r="M215" s="116" t="n">
        <v>1000000049547677</v>
      </c>
      <c r="N215" s="115" t="inlineStr">
        <is>
          <t>2026-01-05T15:04:11</t>
        </is>
      </c>
      <c r="O215" s="115" t="inlineStr"/>
    </row>
    <row r="216">
      <c r="A216" s="115" t="inlineStr"/>
      <c r="B216" s="115" t="inlineStr">
        <is>
          <t>AJANTPHARM</t>
        </is>
      </c>
      <c r="C216" s="115" t="inlineStr">
        <is>
          <t>INE031B01049</t>
        </is>
      </c>
      <c r="D216" s="115" t="inlineStr">
        <is>
          <t>2026-01-05</t>
        </is>
      </c>
      <c r="E216" s="115" t="inlineStr">
        <is>
          <t>NSE</t>
        </is>
      </c>
      <c r="F216" s="115" t="inlineStr">
        <is>
          <t>EQ</t>
        </is>
      </c>
      <c r="G216" s="115" t="inlineStr">
        <is>
          <t>EQ</t>
        </is>
      </c>
      <c r="H216" s="115" t="inlineStr">
        <is>
          <t>buy</t>
        </is>
      </c>
      <c r="I216" s="115" t="b">
        <v>0</v>
      </c>
      <c r="J216" s="115" t="n">
        <v>3</v>
      </c>
      <c r="K216" s="115" t="n">
        <v>2936.3</v>
      </c>
      <c r="L216" s="116" t="n">
        <v>5735290</v>
      </c>
      <c r="M216" s="116" t="n">
        <v>1000000049547677</v>
      </c>
      <c r="N216" s="115" t="inlineStr">
        <is>
          <t>2026-01-05T15:04:11</t>
        </is>
      </c>
      <c r="O216" s="115" t="inlineStr"/>
    </row>
    <row r="217">
      <c r="A217" s="115" t="inlineStr"/>
      <c r="B217" s="115" t="inlineStr">
        <is>
          <t>CUPID</t>
        </is>
      </c>
      <c r="C217" s="115" t="inlineStr">
        <is>
          <t>INE509F01029</t>
        </is>
      </c>
      <c r="D217" s="115" t="inlineStr">
        <is>
          <t>2026-01-06</t>
        </is>
      </c>
      <c r="E217" s="115" t="inlineStr">
        <is>
          <t>NSE</t>
        </is>
      </c>
      <c r="F217" s="115" t="inlineStr">
        <is>
          <t>EQ</t>
        </is>
      </c>
      <c r="G217" s="115" t="inlineStr">
        <is>
          <t>EQ</t>
        </is>
      </c>
      <c r="H217" s="115" t="inlineStr">
        <is>
          <t>buy</t>
        </is>
      </c>
      <c r="I217" s="115" t="b">
        <v>0</v>
      </c>
      <c r="J217" s="115" t="n">
        <v>500</v>
      </c>
      <c r="K217" s="115" t="n">
        <v>84.92</v>
      </c>
      <c r="L217" s="116" t="n">
        <v>277975</v>
      </c>
      <c r="M217" s="116" t="n">
        <v>1000000002320226</v>
      </c>
      <c r="N217" s="115" t="inlineStr">
        <is>
          <t>2026-01-06T09:20:12</t>
        </is>
      </c>
      <c r="O217" s="115" t="inlineStr"/>
    </row>
    <row r="218">
      <c r="A218" s="115" t="inlineStr"/>
      <c r="B218" s="115" t="inlineStr">
        <is>
          <t>TVSSRICHAK</t>
        </is>
      </c>
      <c r="C218" s="115" t="inlineStr">
        <is>
          <t>INE421C01016</t>
        </is>
      </c>
      <c r="D218" s="115" t="inlineStr">
        <is>
          <t>2026-01-16</t>
        </is>
      </c>
      <c r="E218" s="115" t="inlineStr">
        <is>
          <t>NSE</t>
        </is>
      </c>
      <c r="F218" s="115" t="inlineStr">
        <is>
          <t>EQ</t>
        </is>
      </c>
      <c r="G218" s="115" t="inlineStr">
        <is>
          <t>EQ</t>
        </is>
      </c>
      <c r="H218" s="115" t="inlineStr">
        <is>
          <t>sell</t>
        </is>
      </c>
      <c r="I218" s="115" t="b">
        <v>0</v>
      </c>
      <c r="J218" s="115" t="n">
        <v>1</v>
      </c>
      <c r="K218" s="115" t="n">
        <v>4030.5</v>
      </c>
      <c r="L218" s="116" t="n">
        <v>606190475</v>
      </c>
      <c r="M218" s="116" t="n">
        <v>1300000047221509</v>
      </c>
      <c r="N218" s="115" t="inlineStr">
        <is>
          <t>2026-01-16T13:10:12</t>
        </is>
      </c>
      <c r="O218" s="115" t="inlineStr"/>
    </row>
    <row r="219">
      <c r="A219" s="115" t="inlineStr"/>
      <c r="B219" s="115" t="inlineStr">
        <is>
          <t>TVSSRICHAK</t>
        </is>
      </c>
      <c r="C219" s="115" t="inlineStr">
        <is>
          <t>INE421C01016</t>
        </is>
      </c>
      <c r="D219" s="115" t="inlineStr">
        <is>
          <t>2026-01-16</t>
        </is>
      </c>
      <c r="E219" s="115" t="inlineStr">
        <is>
          <t>NSE</t>
        </is>
      </c>
      <c r="F219" s="115" t="inlineStr">
        <is>
          <t>EQ</t>
        </is>
      </c>
      <c r="G219" s="115" t="inlineStr">
        <is>
          <t>EQ</t>
        </is>
      </c>
      <c r="H219" s="115" t="inlineStr">
        <is>
          <t>sell</t>
        </is>
      </c>
      <c r="I219" s="115" t="b">
        <v>0</v>
      </c>
      <c r="J219" s="115" t="n">
        <v>1</v>
      </c>
      <c r="K219" s="115" t="n">
        <v>4030.7</v>
      </c>
      <c r="L219" s="116" t="n">
        <v>606190474</v>
      </c>
      <c r="M219" s="116" t="n">
        <v>1300000047221509</v>
      </c>
      <c r="N219" s="115" t="inlineStr">
        <is>
          <t>2026-01-16T13:10:12</t>
        </is>
      </c>
      <c r="O219" s="115" t="inlineStr"/>
    </row>
    <row r="220">
      <c r="A220" s="115" t="inlineStr"/>
      <c r="B220" s="115" t="inlineStr">
        <is>
          <t>TVSSRICHAK</t>
        </is>
      </c>
      <c r="C220" s="115" t="inlineStr">
        <is>
          <t>INE421C01016</t>
        </is>
      </c>
      <c r="D220" s="115" t="inlineStr">
        <is>
          <t>2026-01-16</t>
        </is>
      </c>
      <c r="E220" s="115" t="inlineStr">
        <is>
          <t>NSE</t>
        </is>
      </c>
      <c r="F220" s="115" t="inlineStr">
        <is>
          <t>EQ</t>
        </is>
      </c>
      <c r="G220" s="115" t="inlineStr">
        <is>
          <t>EQ</t>
        </is>
      </c>
      <c r="H220" s="115" t="inlineStr">
        <is>
          <t>sell</t>
        </is>
      </c>
      <c r="I220" s="115" t="b">
        <v>0</v>
      </c>
      <c r="J220" s="115" t="n">
        <v>20</v>
      </c>
      <c r="K220" s="115" t="n">
        <v>4030.3999</v>
      </c>
      <c r="L220" s="116" t="n">
        <v>606190476</v>
      </c>
      <c r="M220" s="116" t="n">
        <v>1300000047221509</v>
      </c>
      <c r="N220" s="115" t="inlineStr">
        <is>
          <t>2026-01-16T13:10:12</t>
        </is>
      </c>
      <c r="O220" s="115" t="inlineStr"/>
    </row>
    <row r="221">
      <c r="A221" s="115" t="inlineStr"/>
      <c r="B221" s="115" t="inlineStr">
        <is>
          <t>GAEL</t>
        </is>
      </c>
      <c r="C221" s="115" t="inlineStr">
        <is>
          <t>INE036B01030</t>
        </is>
      </c>
      <c r="D221" s="115" t="inlineStr">
        <is>
          <t>2026-01-16</t>
        </is>
      </c>
      <c r="E221" s="115" t="inlineStr">
        <is>
          <t>NSE</t>
        </is>
      </c>
      <c r="F221" s="115" t="inlineStr">
        <is>
          <t>EQ</t>
        </is>
      </c>
      <c r="G221" s="115" t="inlineStr">
        <is>
          <t>EQ</t>
        </is>
      </c>
      <c r="H221" s="115" t="inlineStr">
        <is>
          <t>buy</t>
        </is>
      </c>
      <c r="I221" s="115" t="b">
        <v>0</v>
      </c>
      <c r="J221" s="115" t="n">
        <v>20</v>
      </c>
      <c r="K221" s="115" t="n">
        <v>140.28</v>
      </c>
      <c r="L221" s="116" t="n">
        <v>208258801</v>
      </c>
      <c r="M221" s="116" t="n">
        <v>1100000062498088</v>
      </c>
      <c r="N221" s="115" t="inlineStr">
        <is>
          <t>2026-01-16T13:52:00</t>
        </is>
      </c>
      <c r="O221" s="115" t="inlineStr"/>
    </row>
    <row r="222">
      <c r="A222" s="115" t="inlineStr"/>
      <c r="B222" s="115" t="inlineStr">
        <is>
          <t>GAEL</t>
        </is>
      </c>
      <c r="C222" s="115" t="inlineStr">
        <is>
          <t>INE036B01030</t>
        </is>
      </c>
      <c r="D222" s="115" t="inlineStr">
        <is>
          <t>2026-01-16</t>
        </is>
      </c>
      <c r="E222" s="115" t="inlineStr">
        <is>
          <t>NSE</t>
        </is>
      </c>
      <c r="F222" s="115" t="inlineStr">
        <is>
          <t>EQ</t>
        </is>
      </c>
      <c r="G222" s="115" t="inlineStr">
        <is>
          <t>EQ</t>
        </is>
      </c>
      <c r="H222" s="115" t="inlineStr">
        <is>
          <t>buy</t>
        </is>
      </c>
      <c r="I222" s="115" t="b">
        <v>0</v>
      </c>
      <c r="J222" s="115" t="n">
        <v>40</v>
      </c>
      <c r="K222" s="115" t="n">
        <v>140.28</v>
      </c>
      <c r="L222" s="116" t="n">
        <v>208258799</v>
      </c>
      <c r="M222" s="116" t="n">
        <v>1100000062498088</v>
      </c>
      <c r="N222" s="115" t="inlineStr">
        <is>
          <t>2026-01-16T13:52:00</t>
        </is>
      </c>
      <c r="O222" s="115" t="inlineStr"/>
    </row>
    <row r="223">
      <c r="A223" s="115" t="inlineStr"/>
      <c r="B223" s="115" t="inlineStr">
        <is>
          <t>GAEL</t>
        </is>
      </c>
      <c r="C223" s="115" t="inlineStr">
        <is>
          <t>INE036B01030</t>
        </is>
      </c>
      <c r="D223" s="115" t="inlineStr">
        <is>
          <t>2026-01-16</t>
        </is>
      </c>
      <c r="E223" s="115" t="inlineStr">
        <is>
          <t>NSE</t>
        </is>
      </c>
      <c r="F223" s="115" t="inlineStr">
        <is>
          <t>EQ</t>
        </is>
      </c>
      <c r="G223" s="115" t="inlineStr">
        <is>
          <t>EQ</t>
        </is>
      </c>
      <c r="H223" s="115" t="inlineStr">
        <is>
          <t>buy</t>
        </is>
      </c>
      <c r="I223" s="115" t="b">
        <v>0</v>
      </c>
      <c r="J223" s="115" t="n">
        <v>50</v>
      </c>
      <c r="K223" s="115" t="n">
        <v>140.28</v>
      </c>
      <c r="L223" s="116" t="n">
        <v>208258800</v>
      </c>
      <c r="M223" s="116" t="n">
        <v>1100000062498088</v>
      </c>
      <c r="N223" s="115" t="inlineStr">
        <is>
          <t>2026-01-16T13:52:00</t>
        </is>
      </c>
      <c r="O223" s="115" t="inlineStr"/>
    </row>
    <row r="224">
      <c r="A224" s="115" t="inlineStr"/>
      <c r="B224" s="115" t="inlineStr">
        <is>
          <t>GAEL</t>
        </is>
      </c>
      <c r="C224" s="115" t="inlineStr">
        <is>
          <t>INE036B01030</t>
        </is>
      </c>
      <c r="D224" s="115" t="inlineStr">
        <is>
          <t>2026-01-16</t>
        </is>
      </c>
      <c r="E224" s="115" t="inlineStr">
        <is>
          <t>NSE</t>
        </is>
      </c>
      <c r="F224" s="115" t="inlineStr">
        <is>
          <t>EQ</t>
        </is>
      </c>
      <c r="G224" s="115" t="inlineStr">
        <is>
          <t>EQ</t>
        </is>
      </c>
      <c r="H224" s="115" t="inlineStr">
        <is>
          <t>buy</t>
        </is>
      </c>
      <c r="I224" s="115" t="b">
        <v>0</v>
      </c>
      <c r="J224" s="115" t="n">
        <v>61</v>
      </c>
      <c r="K224" s="115" t="n">
        <v>140.27</v>
      </c>
      <c r="L224" s="116" t="n">
        <v>208258798</v>
      </c>
      <c r="M224" s="116" t="n">
        <v>1100000062498088</v>
      </c>
      <c r="N224" s="115" t="inlineStr">
        <is>
          <t>2026-01-16T13:52:00</t>
        </is>
      </c>
      <c r="O224" s="115" t="inlineStr"/>
    </row>
    <row r="225">
      <c r="A225" s="115" t="inlineStr"/>
      <c r="B225" s="115" t="inlineStr">
        <is>
          <t>GAEL</t>
        </is>
      </c>
      <c r="C225" s="115" t="inlineStr">
        <is>
          <t>INE036B01030</t>
        </is>
      </c>
      <c r="D225" s="115" t="inlineStr">
        <is>
          <t>2026-01-16</t>
        </is>
      </c>
      <c r="E225" s="115" t="inlineStr">
        <is>
          <t>NSE</t>
        </is>
      </c>
      <c r="F225" s="115" t="inlineStr">
        <is>
          <t>EQ</t>
        </is>
      </c>
      <c r="G225" s="115" t="inlineStr">
        <is>
          <t>EQ</t>
        </is>
      </c>
      <c r="H225" s="115" t="inlineStr">
        <is>
          <t>buy</t>
        </is>
      </c>
      <c r="I225" s="115" t="b">
        <v>0</v>
      </c>
      <c r="J225" s="115" t="n">
        <v>9</v>
      </c>
      <c r="K225" s="115" t="n">
        <v>140.28</v>
      </c>
      <c r="L225" s="116" t="n">
        <v>208258802</v>
      </c>
      <c r="M225" s="116" t="n">
        <v>1100000062498088</v>
      </c>
      <c r="N225" s="115" t="inlineStr">
        <is>
          <t>2026-01-16T13:52:00</t>
        </is>
      </c>
      <c r="O225" s="115" t="inlineStr"/>
    </row>
    <row r="226">
      <c r="A226" s="115" t="inlineStr"/>
      <c r="B226" s="115" t="inlineStr">
        <is>
          <t>CUPID</t>
        </is>
      </c>
      <c r="C226" s="115" t="inlineStr">
        <is>
          <t>INE509F01029</t>
        </is>
      </c>
      <c r="D226" s="115" t="inlineStr">
        <is>
          <t>2026-01-16</t>
        </is>
      </c>
      <c r="E226" s="115" t="inlineStr">
        <is>
          <t>BSE</t>
        </is>
      </c>
      <c r="F226" s="115" t="inlineStr">
        <is>
          <t>EQ</t>
        </is>
      </c>
      <c r="G226" s="115" t="inlineStr">
        <is>
          <t>B</t>
        </is>
      </c>
      <c r="H226" s="115" t="inlineStr">
        <is>
          <t>buy</t>
        </is>
      </c>
      <c r="I226" s="115" t="b">
        <v>0</v>
      </c>
      <c r="J226" s="115" t="n">
        <v>525</v>
      </c>
      <c r="K226" s="115" t="n">
        <v>96.34</v>
      </c>
      <c r="L226" s="116" t="n">
        <v>6999200</v>
      </c>
      <c r="M226" s="116" t="n">
        <v>1.768553083055275e+18</v>
      </c>
      <c r="N226" s="115" t="inlineStr">
        <is>
          <t>2026-01-16T14:35:07</t>
        </is>
      </c>
      <c r="O226" s="115" t="inlineStr"/>
    </row>
    <row r="227">
      <c r="A227" s="115" t="inlineStr"/>
      <c r="B227" s="115" t="inlineStr">
        <is>
          <t>SOUTHBANK</t>
        </is>
      </c>
      <c r="C227" s="115" t="inlineStr">
        <is>
          <t>INE683A01023</t>
        </is>
      </c>
      <c r="D227" s="115" t="inlineStr">
        <is>
          <t>2026-01-16</t>
        </is>
      </c>
      <c r="E227" s="115" t="inlineStr">
        <is>
          <t>NSE</t>
        </is>
      </c>
      <c r="F227" s="115" t="inlineStr">
        <is>
          <t>EQ</t>
        </is>
      </c>
      <c r="G227" s="115" t="inlineStr">
        <is>
          <t>EQ</t>
        </is>
      </c>
      <c r="H227" s="115" t="inlineStr">
        <is>
          <t>buy</t>
        </is>
      </c>
      <c r="I227" s="115" t="b">
        <v>0</v>
      </c>
      <c r="J227" s="115" t="n">
        <v>600</v>
      </c>
      <c r="K227" s="115" t="n">
        <v>44.47</v>
      </c>
      <c r="L227" s="116" t="n">
        <v>608076103</v>
      </c>
      <c r="M227" s="116" t="n">
        <v>1300000063866786</v>
      </c>
      <c r="N227" s="115" t="inlineStr">
        <is>
          <t>2026-01-16T14:45:38</t>
        </is>
      </c>
      <c r="O227" s="115" t="inlineStr"/>
    </row>
    <row r="228">
      <c r="A228" s="115" t="inlineStr"/>
      <c r="B228" s="115" t="inlineStr">
        <is>
          <t>PNB</t>
        </is>
      </c>
      <c r="C228" s="115" t="inlineStr">
        <is>
          <t>INE160A01022</t>
        </is>
      </c>
      <c r="D228" s="115" t="inlineStr">
        <is>
          <t>2026-01-16</t>
        </is>
      </c>
      <c r="E228" s="115" t="inlineStr">
        <is>
          <t>NSE</t>
        </is>
      </c>
      <c r="F228" s="115" t="inlineStr">
        <is>
          <t>EQ</t>
        </is>
      </c>
      <c r="G228" s="115" t="inlineStr">
        <is>
          <t>EQ</t>
        </is>
      </c>
      <c r="H228" s="115" t="inlineStr">
        <is>
          <t>buy</t>
        </is>
      </c>
      <c r="I228" s="115" t="b">
        <v>0</v>
      </c>
      <c r="J228" s="115" t="n">
        <v>1</v>
      </c>
      <c r="K228" s="115" t="n">
        <v>131.89</v>
      </c>
      <c r="L228" s="116" t="n">
        <v>406128904</v>
      </c>
      <c r="M228" s="116" t="n">
        <v>1200000061891005</v>
      </c>
      <c r="N228" s="115" t="inlineStr">
        <is>
          <t>2026-01-16T14:47:54</t>
        </is>
      </c>
      <c r="O228" s="115" t="inlineStr"/>
    </row>
    <row r="229">
      <c r="A229" s="115" t="inlineStr"/>
      <c r="B229" s="115" t="inlineStr">
        <is>
          <t>PNB</t>
        </is>
      </c>
      <c r="C229" s="115" t="inlineStr">
        <is>
          <t>INE160A01022</t>
        </is>
      </c>
      <c r="D229" s="115" t="inlineStr">
        <is>
          <t>2026-01-16</t>
        </is>
      </c>
      <c r="E229" s="115" t="inlineStr">
        <is>
          <t>NSE</t>
        </is>
      </c>
      <c r="F229" s="115" t="inlineStr">
        <is>
          <t>EQ</t>
        </is>
      </c>
      <c r="G229" s="115" t="inlineStr">
        <is>
          <t>EQ</t>
        </is>
      </c>
      <c r="H229" s="115" t="inlineStr">
        <is>
          <t>buy</t>
        </is>
      </c>
      <c r="I229" s="115" t="b">
        <v>0</v>
      </c>
      <c r="J229" s="115" t="n">
        <v>9</v>
      </c>
      <c r="K229" s="115" t="n">
        <v>131.89</v>
      </c>
      <c r="L229" s="116" t="n">
        <v>406128905</v>
      </c>
      <c r="M229" s="116" t="n">
        <v>1200000061891005</v>
      </c>
      <c r="N229" s="115" t="inlineStr">
        <is>
          <t>2026-01-16T14:47:54</t>
        </is>
      </c>
      <c r="O229" s="115" t="inlineStr"/>
    </row>
    <row r="230">
      <c r="A230" s="115" t="inlineStr"/>
      <c r="B230" s="115" t="inlineStr">
        <is>
          <t>BANKINDIA</t>
        </is>
      </c>
      <c r="C230" s="115" t="inlineStr">
        <is>
          <t>INE084A01016</t>
        </is>
      </c>
      <c r="D230" s="115" t="inlineStr">
        <is>
          <t>2026-01-16</t>
        </is>
      </c>
      <c r="E230" s="115" t="inlineStr">
        <is>
          <t>NSE</t>
        </is>
      </c>
      <c r="F230" s="115" t="inlineStr">
        <is>
          <t>EQ</t>
        </is>
      </c>
      <c r="G230" s="115" t="inlineStr">
        <is>
          <t>EQ</t>
        </is>
      </c>
      <c r="H230" s="115" t="inlineStr">
        <is>
          <t>buy</t>
        </is>
      </c>
      <c r="I230" s="115" t="b">
        <v>0</v>
      </c>
      <c r="J230" s="115" t="n">
        <v>10</v>
      </c>
      <c r="K230" s="115" t="n">
        <v>156.75</v>
      </c>
      <c r="L230" s="116" t="n">
        <v>5688654</v>
      </c>
      <c r="M230" s="116" t="n">
        <v>1000000056015274</v>
      </c>
      <c r="N230" s="115" t="inlineStr">
        <is>
          <t>2026-01-16T14:48:01</t>
        </is>
      </c>
      <c r="O230" s="115" t="inlineStr"/>
    </row>
    <row r="231">
      <c r="A231" s="115" t="inlineStr"/>
      <c r="B231" s="115" t="inlineStr">
        <is>
          <t>MAHABANK</t>
        </is>
      </c>
      <c r="C231" s="115" t="inlineStr">
        <is>
          <t>INE457A01014</t>
        </is>
      </c>
      <c r="D231" s="115" t="inlineStr">
        <is>
          <t>2026-01-16</t>
        </is>
      </c>
      <c r="E231" s="115" t="inlineStr">
        <is>
          <t>NSE</t>
        </is>
      </c>
      <c r="F231" s="115" t="inlineStr">
        <is>
          <t>EQ</t>
        </is>
      </c>
      <c r="G231" s="115" t="inlineStr">
        <is>
          <t>EQ</t>
        </is>
      </c>
      <c r="H231" s="115" t="inlineStr">
        <is>
          <t>buy</t>
        </is>
      </c>
      <c r="I231" s="115" t="b">
        <v>0</v>
      </c>
      <c r="J231" s="115" t="n">
        <v>20</v>
      </c>
      <c r="K231" s="115" t="n">
        <v>66.84999999999999</v>
      </c>
      <c r="L231" s="116" t="n">
        <v>406134247</v>
      </c>
      <c r="M231" s="116" t="n">
        <v>1200000061948522</v>
      </c>
      <c r="N231" s="115" t="inlineStr">
        <is>
          <t>2026-01-16T14:48:13</t>
        </is>
      </c>
      <c r="O231" s="115" t="inlineStr"/>
    </row>
    <row r="232">
      <c r="A232" s="115" t="inlineStr"/>
      <c r="B232" s="115" t="inlineStr">
        <is>
          <t>FEDERALBNK</t>
        </is>
      </c>
      <c r="C232" s="115" t="inlineStr">
        <is>
          <t>INE171A01029</t>
        </is>
      </c>
      <c r="D232" s="115" t="inlineStr">
        <is>
          <t>2026-01-16</t>
        </is>
      </c>
      <c r="E232" s="115" t="inlineStr">
        <is>
          <t>BSE</t>
        </is>
      </c>
      <c r="F232" s="115" t="inlineStr">
        <is>
          <t>EQ</t>
        </is>
      </c>
      <c r="G232" s="115" t="inlineStr">
        <is>
          <t>A</t>
        </is>
      </c>
      <c r="H232" s="115" t="inlineStr">
        <is>
          <t>buy</t>
        </is>
      </c>
      <c r="I232" s="115" t="b">
        <v>0</v>
      </c>
      <c r="J232" s="115" t="n">
        <v>11</v>
      </c>
      <c r="K232" s="115" t="n">
        <v>270.15</v>
      </c>
      <c r="L232" s="116" t="n">
        <v>15720900</v>
      </c>
      <c r="M232" s="116" t="n">
        <v>1.768554517040546e+18</v>
      </c>
      <c r="N232" s="115" t="inlineStr">
        <is>
          <t>2026-01-16T15:03:27</t>
        </is>
      </c>
      <c r="O232" s="115" t="inlineStr"/>
    </row>
    <row r="233">
      <c r="A233" s="115" t="inlineStr"/>
      <c r="B233" s="115" t="inlineStr">
        <is>
          <t>FEDERALBNK</t>
        </is>
      </c>
      <c r="C233" s="115" t="inlineStr">
        <is>
          <t>INE171A01029</t>
        </is>
      </c>
      <c r="D233" s="115" t="inlineStr">
        <is>
          <t>2026-01-16</t>
        </is>
      </c>
      <c r="E233" s="115" t="inlineStr">
        <is>
          <t>BSE</t>
        </is>
      </c>
      <c r="F233" s="115" t="inlineStr">
        <is>
          <t>EQ</t>
        </is>
      </c>
      <c r="G233" s="115" t="inlineStr">
        <is>
          <t>A</t>
        </is>
      </c>
      <c r="H233" s="115" t="inlineStr">
        <is>
          <t>buy</t>
        </is>
      </c>
      <c r="I233" s="115" t="b">
        <v>0</v>
      </c>
      <c r="J233" s="115" t="n">
        <v>359</v>
      </c>
      <c r="K233" s="115" t="n">
        <v>270.25</v>
      </c>
      <c r="L233" s="116" t="n">
        <v>15721600</v>
      </c>
      <c r="M233" s="116" t="n">
        <v>1.768554517040546e+18</v>
      </c>
      <c r="N233" s="115" t="inlineStr">
        <is>
          <t>2026-01-16T15:03:27</t>
        </is>
      </c>
      <c r="O233" s="115" t="inlineStr"/>
    </row>
    <row r="234">
      <c r="A234" s="115" t="inlineStr"/>
      <c r="B234" s="115" t="inlineStr">
        <is>
          <t>BANKINDIA</t>
        </is>
      </c>
      <c r="C234" s="115" t="inlineStr">
        <is>
          <t>INE084A01016</t>
        </is>
      </c>
      <c r="D234" s="115" t="inlineStr">
        <is>
          <t>2026-01-16</t>
        </is>
      </c>
      <c r="E234" s="115" t="inlineStr">
        <is>
          <t>NSE</t>
        </is>
      </c>
      <c r="F234" s="115" t="inlineStr">
        <is>
          <t>EQ</t>
        </is>
      </c>
      <c r="G234" s="115" t="inlineStr">
        <is>
          <t>EQ</t>
        </is>
      </c>
      <c r="H234" s="115" t="inlineStr">
        <is>
          <t>buy</t>
        </is>
      </c>
      <c r="I234" s="115" t="b">
        <v>0</v>
      </c>
      <c r="J234" s="115" t="n">
        <v>1</v>
      </c>
      <c r="K234" s="115" t="n">
        <v>157.28</v>
      </c>
      <c r="L234" s="116" t="n">
        <v>6113555</v>
      </c>
      <c r="M234" s="116" t="n">
        <v>1000000059176836</v>
      </c>
      <c r="N234" s="115" t="inlineStr">
        <is>
          <t>2026-01-16T15:06:29</t>
        </is>
      </c>
      <c r="O234" s="115" t="inlineStr"/>
    </row>
    <row r="235">
      <c r="A235" s="115" t="inlineStr"/>
      <c r="B235" s="115" t="inlineStr">
        <is>
          <t>BANKINDIA</t>
        </is>
      </c>
      <c r="C235" s="115" t="inlineStr">
        <is>
          <t>INE084A01016</t>
        </is>
      </c>
      <c r="D235" s="115" t="inlineStr">
        <is>
          <t>2026-01-16</t>
        </is>
      </c>
      <c r="E235" s="115" t="inlineStr">
        <is>
          <t>NSE</t>
        </is>
      </c>
      <c r="F235" s="115" t="inlineStr">
        <is>
          <t>EQ</t>
        </is>
      </c>
      <c r="G235" s="115" t="inlineStr">
        <is>
          <t>EQ</t>
        </is>
      </c>
      <c r="H235" s="115" t="inlineStr">
        <is>
          <t>buy</t>
        </is>
      </c>
      <c r="I235" s="115" t="b">
        <v>0</v>
      </c>
      <c r="J235" s="115" t="n">
        <v>149</v>
      </c>
      <c r="K235" s="115" t="n">
        <v>157.3</v>
      </c>
      <c r="L235" s="116" t="n">
        <v>6113556</v>
      </c>
      <c r="M235" s="116" t="n">
        <v>1000000059176836</v>
      </c>
      <c r="N235" s="115" t="inlineStr">
        <is>
          <t>2026-01-16T15:06:29</t>
        </is>
      </c>
      <c r="O235" s="115" t="inlineStr"/>
    </row>
    <row r="236">
      <c r="A236" s="115" t="inlineStr"/>
      <c r="B236" s="115" t="inlineStr">
        <is>
          <t>SBIN</t>
        </is>
      </c>
      <c r="C236" s="115" t="inlineStr">
        <is>
          <t>INE062A01020</t>
        </is>
      </c>
      <c r="D236" s="115" t="inlineStr">
        <is>
          <t>2026-01-16</t>
        </is>
      </c>
      <c r="E236" s="115" t="inlineStr">
        <is>
          <t>NSE</t>
        </is>
      </c>
      <c r="F236" s="115" t="inlineStr">
        <is>
          <t>EQ</t>
        </is>
      </c>
      <c r="G236" s="115" t="inlineStr">
        <is>
          <t>EQ</t>
        </is>
      </c>
      <c r="H236" s="115" t="inlineStr">
        <is>
          <t>buy</t>
        </is>
      </c>
      <c r="I236" s="115" t="b">
        <v>0</v>
      </c>
      <c r="J236" s="115" t="n">
        <v>24</v>
      </c>
      <c r="K236" s="115" t="n">
        <v>1043.1</v>
      </c>
      <c r="L236" s="116" t="n">
        <v>608736445</v>
      </c>
      <c r="M236" s="116" t="n">
        <v>1300000068849574</v>
      </c>
      <c r="N236" s="115" t="inlineStr">
        <is>
          <t>2026-01-16T15:07:23</t>
        </is>
      </c>
      <c r="O236" s="115" t="inlineStr"/>
    </row>
    <row r="237">
      <c r="A237" s="115" t="inlineStr"/>
      <c r="B237" s="115" t="inlineStr">
        <is>
          <t>PNB</t>
        </is>
      </c>
      <c r="C237" s="115" t="inlineStr">
        <is>
          <t>INE160A01022</t>
        </is>
      </c>
      <c r="D237" s="115" t="inlineStr">
        <is>
          <t>2026-01-19</t>
        </is>
      </c>
      <c r="E237" s="115" t="inlineStr">
        <is>
          <t>NSE</t>
        </is>
      </c>
      <c r="F237" s="115" t="inlineStr">
        <is>
          <t>EQ</t>
        </is>
      </c>
      <c r="G237" s="115" t="inlineStr">
        <is>
          <t>EQ</t>
        </is>
      </c>
      <c r="H237" s="115" t="inlineStr">
        <is>
          <t>buy</t>
        </is>
      </c>
      <c r="I237" s="115" t="b">
        <v>0</v>
      </c>
      <c r="J237" s="115" t="n">
        <v>190</v>
      </c>
      <c r="K237" s="115" t="n">
        <v>127.48</v>
      </c>
      <c r="L237" s="116" t="n">
        <v>405751563</v>
      </c>
      <c r="M237" s="116" t="n">
        <v>1200000067042159</v>
      </c>
      <c r="N237" s="115" t="inlineStr">
        <is>
          <t>2026-01-19T15:02:09</t>
        </is>
      </c>
      <c r="O237" s="115" t="inlineStr"/>
    </row>
    <row r="238">
      <c r="A238" s="115" t="inlineStr"/>
      <c r="B238" s="115" t="inlineStr">
        <is>
          <t>MAHABANK</t>
        </is>
      </c>
      <c r="C238" s="115" t="inlineStr">
        <is>
          <t>INE457A01014</t>
        </is>
      </c>
      <c r="D238" s="115" t="inlineStr">
        <is>
          <t>2026-01-19</t>
        </is>
      </c>
      <c r="E238" s="115" t="inlineStr">
        <is>
          <t>BSE</t>
        </is>
      </c>
      <c r="F238" s="115" t="inlineStr">
        <is>
          <t>EQ</t>
        </is>
      </c>
      <c r="G238" s="115" t="inlineStr">
        <is>
          <t>A</t>
        </is>
      </c>
      <c r="H238" s="115" t="inlineStr">
        <is>
          <t>buy</t>
        </is>
      </c>
      <c r="I238" s="115" t="b">
        <v>0</v>
      </c>
      <c r="J238" s="115" t="n">
        <v>29</v>
      </c>
      <c r="K238" s="115" t="n">
        <v>66.84999999999999</v>
      </c>
      <c r="L238" s="116" t="n">
        <v>10398800</v>
      </c>
      <c r="M238" s="116" t="n">
        <v>1.76881369331737e+18</v>
      </c>
      <c r="N238" s="115" t="inlineStr">
        <is>
          <t>2026-01-19T15:02:46</t>
        </is>
      </c>
      <c r="O238" s="115" t="inlineStr"/>
    </row>
    <row r="239">
      <c r="A239" s="115" t="inlineStr"/>
      <c r="B239" s="115" t="inlineStr">
        <is>
          <t>MAHABANK</t>
        </is>
      </c>
      <c r="C239" s="115" t="inlineStr">
        <is>
          <t>INE457A01014</t>
        </is>
      </c>
      <c r="D239" s="115" t="inlineStr">
        <is>
          <t>2026-01-19</t>
        </is>
      </c>
      <c r="E239" s="115" t="inlineStr">
        <is>
          <t>BSE</t>
        </is>
      </c>
      <c r="F239" s="115" t="inlineStr">
        <is>
          <t>EQ</t>
        </is>
      </c>
      <c r="G239" s="115" t="inlineStr">
        <is>
          <t>A</t>
        </is>
      </c>
      <c r="H239" s="115" t="inlineStr">
        <is>
          <t>buy</t>
        </is>
      </c>
      <c r="I239" s="115" t="b">
        <v>0</v>
      </c>
      <c r="J239" s="115" t="n">
        <v>331</v>
      </c>
      <c r="K239" s="115" t="n">
        <v>66.84</v>
      </c>
      <c r="L239" s="116" t="n">
        <v>10398600</v>
      </c>
      <c r="M239" s="116" t="n">
        <v>1.76881369331737e+18</v>
      </c>
      <c r="N239" s="115" t="inlineStr">
        <is>
          <t>2026-01-19T15:02:46</t>
        </is>
      </c>
      <c r="O239" s="115" t="inlineStr"/>
    </row>
    <row r="240">
      <c r="A240" s="115" t="inlineStr"/>
      <c r="B240" s="115" t="inlineStr">
        <is>
          <t>KIRLOSENG</t>
        </is>
      </c>
      <c r="C240" s="115" t="inlineStr">
        <is>
          <t>INE146L01010</t>
        </is>
      </c>
      <c r="D240" s="115" t="inlineStr">
        <is>
          <t>2026-01-19</t>
        </is>
      </c>
      <c r="E240" s="115" t="inlineStr">
        <is>
          <t>BSE</t>
        </is>
      </c>
      <c r="F240" s="115" t="inlineStr">
        <is>
          <t>EQ</t>
        </is>
      </c>
      <c r="G240" s="115" t="inlineStr">
        <is>
          <t>A</t>
        </is>
      </c>
      <c r="H240" s="115" t="inlineStr">
        <is>
          <t>sell</t>
        </is>
      </c>
      <c r="I240" s="115" t="b">
        <v>0</v>
      </c>
      <c r="J240" s="115" t="n">
        <v>19</v>
      </c>
      <c r="K240" s="115" t="n">
        <v>1130.3</v>
      </c>
      <c r="L240" s="116" t="n">
        <v>11141700</v>
      </c>
      <c r="M240" s="116" t="n">
        <v>1.768814260253532e+18</v>
      </c>
      <c r="N240" s="115" t="inlineStr">
        <is>
          <t>2026-01-19T15:13:22</t>
        </is>
      </c>
      <c r="O240" s="115" t="inlineStr"/>
    </row>
    <row r="241">
      <c r="A241" s="115" t="inlineStr"/>
      <c r="B241" s="115" t="inlineStr">
        <is>
          <t>GMRAIRPORT</t>
        </is>
      </c>
      <c r="C241" s="115" t="inlineStr">
        <is>
          <t>INE776C01039</t>
        </is>
      </c>
      <c r="D241" s="115" t="inlineStr">
        <is>
          <t>2026-01-27</t>
        </is>
      </c>
      <c r="E241" s="115" t="inlineStr">
        <is>
          <t>NSE</t>
        </is>
      </c>
      <c r="F241" s="115" t="inlineStr">
        <is>
          <t>EQ</t>
        </is>
      </c>
      <c r="G241" s="115" t="inlineStr">
        <is>
          <t>EQ</t>
        </is>
      </c>
      <c r="H241" s="115" t="inlineStr">
        <is>
          <t>sell</t>
        </is>
      </c>
      <c r="I241" s="115" t="b">
        <v>0</v>
      </c>
      <c r="J241" s="115" t="n">
        <v>920</v>
      </c>
      <c r="K241" s="115" t="n">
        <v>89.75</v>
      </c>
      <c r="L241" s="116" t="n">
        <v>206689184</v>
      </c>
      <c r="M241" s="116" t="n">
        <v>1100000059613610</v>
      </c>
      <c r="N241" s="115" t="inlineStr">
        <is>
          <t>2026-01-27T12:05:51</t>
        </is>
      </c>
      <c r="O241" s="115" t="inlineStr"/>
    </row>
    <row r="242">
      <c r="A242" s="115" t="inlineStr"/>
      <c r="B242" s="115" t="inlineStr">
        <is>
          <t>BSOFT</t>
        </is>
      </c>
      <c r="C242" s="115" t="inlineStr">
        <is>
          <t>INE836A01035</t>
        </is>
      </c>
      <c r="D242" s="115" t="inlineStr">
        <is>
          <t>2026-01-27</t>
        </is>
      </c>
      <c r="E242" s="115" t="inlineStr">
        <is>
          <t>BSE</t>
        </is>
      </c>
      <c r="F242" s="115" t="inlineStr">
        <is>
          <t>EQ</t>
        </is>
      </c>
      <c r="G242" s="115" t="inlineStr">
        <is>
          <t>A</t>
        </is>
      </c>
      <c r="H242" s="115" t="inlineStr">
        <is>
          <t>sell</t>
        </is>
      </c>
      <c r="I242" s="115" t="b">
        <v>0</v>
      </c>
      <c r="J242" s="115" t="n">
        <v>51</v>
      </c>
      <c r="K242" s="115" t="n">
        <v>395.35</v>
      </c>
      <c r="L242" s="116" t="n">
        <v>8397700</v>
      </c>
      <c r="M242" s="116" t="n">
        <v>1.769493701763714e+18</v>
      </c>
      <c r="N242" s="115" t="inlineStr">
        <is>
          <t>2026-01-27T12:06:38</t>
        </is>
      </c>
      <c r="O242" s="115" t="inlineStr"/>
    </row>
    <row r="243">
      <c r="A243" s="115" t="inlineStr"/>
      <c r="B243" s="115" t="inlineStr">
        <is>
          <t>BSOFT</t>
        </is>
      </c>
      <c r="C243" s="115" t="inlineStr">
        <is>
          <t>INE836A01035</t>
        </is>
      </c>
      <c r="D243" s="115" t="inlineStr">
        <is>
          <t>2026-01-27</t>
        </is>
      </c>
      <c r="E243" s="115" t="inlineStr">
        <is>
          <t>BSE</t>
        </is>
      </c>
      <c r="F243" s="115" t="inlineStr">
        <is>
          <t>EQ</t>
        </is>
      </c>
      <c r="G243" s="115" t="inlineStr">
        <is>
          <t>A</t>
        </is>
      </c>
      <c r="H243" s="115" t="inlineStr">
        <is>
          <t>sell</t>
        </is>
      </c>
      <c r="I243" s="115" t="b">
        <v>0</v>
      </c>
      <c r="J243" s="115" t="n">
        <v>53</v>
      </c>
      <c r="K243" s="115" t="n">
        <v>395.55</v>
      </c>
      <c r="L243" s="116" t="n">
        <v>8397200</v>
      </c>
      <c r="M243" s="116" t="n">
        <v>1.769493701763714e+18</v>
      </c>
      <c r="N243" s="115" t="inlineStr">
        <is>
          <t>2026-01-27T12:06:38</t>
        </is>
      </c>
      <c r="O243" s="115" t="inlineStr"/>
    </row>
    <row r="244">
      <c r="A244" s="115" t="inlineStr"/>
      <c r="B244" s="115" t="inlineStr">
        <is>
          <t>BSOFT</t>
        </is>
      </c>
      <c r="C244" s="115" t="inlineStr">
        <is>
          <t>INE836A01035</t>
        </is>
      </c>
      <c r="D244" s="115" t="inlineStr">
        <is>
          <t>2026-01-27</t>
        </is>
      </c>
      <c r="E244" s="115" t="inlineStr">
        <is>
          <t>BSE</t>
        </is>
      </c>
      <c r="F244" s="115" t="inlineStr">
        <is>
          <t>EQ</t>
        </is>
      </c>
      <c r="G244" s="115" t="inlineStr">
        <is>
          <t>A</t>
        </is>
      </c>
      <c r="H244" s="115" t="inlineStr">
        <is>
          <t>sell</t>
        </is>
      </c>
      <c r="I244" s="115" t="b">
        <v>0</v>
      </c>
      <c r="J244" s="115" t="n">
        <v>56</v>
      </c>
      <c r="K244" s="115" t="n">
        <v>395.5</v>
      </c>
      <c r="L244" s="116" t="n">
        <v>8397400</v>
      </c>
      <c r="M244" s="116" t="n">
        <v>1.769493701763714e+18</v>
      </c>
      <c r="N244" s="115" t="inlineStr">
        <is>
          <t>2026-01-27T12:06:38</t>
        </is>
      </c>
      <c r="O244" s="115" t="inlineStr"/>
    </row>
    <row r="245">
      <c r="A245" s="115" t="inlineStr"/>
      <c r="B245" s="115" t="inlineStr">
        <is>
          <t>BSOFT</t>
        </is>
      </c>
      <c r="C245" s="115" t="inlineStr">
        <is>
          <t>INE836A01035</t>
        </is>
      </c>
      <c r="D245" s="115" t="inlineStr">
        <is>
          <t>2026-01-27</t>
        </is>
      </c>
      <c r="E245" s="115" t="inlineStr">
        <is>
          <t>BSE</t>
        </is>
      </c>
      <c r="F245" s="115" t="inlineStr">
        <is>
          <t>EQ</t>
        </is>
      </c>
      <c r="G245" s="115" t="inlineStr">
        <is>
          <t>A</t>
        </is>
      </c>
      <c r="H245" s="115" t="inlineStr">
        <is>
          <t>sell</t>
        </is>
      </c>
      <c r="I245" s="115" t="b">
        <v>0</v>
      </c>
      <c r="J245" s="115" t="n">
        <v>68</v>
      </c>
      <c r="K245" s="115" t="n">
        <v>395.3</v>
      </c>
      <c r="L245" s="116" t="n">
        <v>8397900</v>
      </c>
      <c r="M245" s="116" t="n">
        <v>1.769493701763714e+18</v>
      </c>
      <c r="N245" s="115" t="inlineStr">
        <is>
          <t>2026-01-27T12:06:38</t>
        </is>
      </c>
      <c r="O245" s="115" t="inlineStr"/>
    </row>
    <row r="246">
      <c r="A246" s="115" t="inlineStr"/>
      <c r="B246" s="115" t="inlineStr">
        <is>
          <t>HINDALCO</t>
        </is>
      </c>
      <c r="C246" s="115" t="inlineStr">
        <is>
          <t>INE038A01020</t>
        </is>
      </c>
      <c r="D246" s="115" t="inlineStr">
        <is>
          <t>2026-01-30</t>
        </is>
      </c>
      <c r="E246" s="115" t="inlineStr">
        <is>
          <t>BSE</t>
        </is>
      </c>
      <c r="F246" s="115" t="inlineStr">
        <is>
          <t>EQ</t>
        </is>
      </c>
      <c r="G246" s="115" t="inlineStr">
        <is>
          <t>A</t>
        </is>
      </c>
      <c r="H246" s="115" t="inlineStr">
        <is>
          <t>sell</t>
        </is>
      </c>
      <c r="I246" s="115" t="b">
        <v>0</v>
      </c>
      <c r="J246" s="115" t="n">
        <v>102</v>
      </c>
      <c r="K246" s="115" t="n">
        <v>968.1</v>
      </c>
      <c r="L246" s="116" t="n">
        <v>10133500</v>
      </c>
      <c r="M246" s="116" t="n">
        <v>1.76976105415046e+18</v>
      </c>
      <c r="N246" s="115" t="inlineStr">
        <is>
          <t>2026-01-30T14:07:47</t>
        </is>
      </c>
      <c r="O246" s="115" t="inlineStr"/>
    </row>
    <row r="247">
      <c r="A247" s="115" t="inlineStr"/>
      <c r="B247" s="115" t="inlineStr">
        <is>
          <t>HINDALCO</t>
        </is>
      </c>
      <c r="C247" s="115" t="inlineStr">
        <is>
          <t>INE038A01020</t>
        </is>
      </c>
      <c r="D247" s="115" t="inlineStr">
        <is>
          <t>2026-01-30</t>
        </is>
      </c>
      <c r="E247" s="115" t="inlineStr">
        <is>
          <t>BSE</t>
        </is>
      </c>
      <c r="F247" s="115" t="inlineStr">
        <is>
          <t>EQ</t>
        </is>
      </c>
      <c r="G247" s="115" t="inlineStr">
        <is>
          <t>A</t>
        </is>
      </c>
      <c r="H247" s="115" t="inlineStr">
        <is>
          <t>sell</t>
        </is>
      </c>
      <c r="I247" s="115" t="b">
        <v>0</v>
      </c>
      <c r="J247" s="115" t="n">
        <v>1</v>
      </c>
      <c r="K247" s="115" t="n">
        <v>968.15</v>
      </c>
      <c r="L247" s="116" t="n">
        <v>10132800</v>
      </c>
      <c r="M247" s="116" t="n">
        <v>1.76976105415046e+18</v>
      </c>
      <c r="N247" s="115" t="inlineStr">
        <is>
          <t>2026-01-30T14:07:47</t>
        </is>
      </c>
      <c r="O247" s="115" t="inlineStr"/>
    </row>
    <row r="248">
      <c r="A248" s="115" t="inlineStr"/>
      <c r="B248" s="115" t="inlineStr">
        <is>
          <t>SBIN</t>
        </is>
      </c>
      <c r="C248" s="115" t="inlineStr">
        <is>
          <t>INE062A01020</t>
        </is>
      </c>
      <c r="D248" s="115" t="inlineStr">
        <is>
          <t>2026-01-30</t>
        </is>
      </c>
      <c r="E248" s="115" t="inlineStr">
        <is>
          <t>NSE</t>
        </is>
      </c>
      <c r="F248" s="115" t="inlineStr">
        <is>
          <t>EQ</t>
        </is>
      </c>
      <c r="G248" s="115" t="inlineStr">
        <is>
          <t>EQ</t>
        </is>
      </c>
      <c r="H248" s="115" t="inlineStr">
        <is>
          <t>buy</t>
        </is>
      </c>
      <c r="I248" s="115" t="b">
        <v>0</v>
      </c>
      <c r="J248" s="115" t="n">
        <v>1</v>
      </c>
      <c r="K248" s="115" t="n">
        <v>1078</v>
      </c>
      <c r="L248" s="116" t="n">
        <v>613155382</v>
      </c>
      <c r="M248" s="116" t="n">
        <v>1300000114057798</v>
      </c>
      <c r="N248" s="115" t="inlineStr">
        <is>
          <t>2026-01-30T15:03:50</t>
        </is>
      </c>
      <c r="O248" s="115" t="inlineStr"/>
    </row>
    <row r="249">
      <c r="A249" s="115" t="inlineStr"/>
      <c r="B249" s="115" t="inlineStr">
        <is>
          <t>SBIN</t>
        </is>
      </c>
      <c r="C249" s="115" t="inlineStr">
        <is>
          <t>INE062A01020</t>
        </is>
      </c>
      <c r="D249" s="115" t="inlineStr">
        <is>
          <t>2026-01-30</t>
        </is>
      </c>
      <c r="E249" s="115" t="inlineStr">
        <is>
          <t>NSE</t>
        </is>
      </c>
      <c r="F249" s="115" t="inlineStr">
        <is>
          <t>EQ</t>
        </is>
      </c>
      <c r="G249" s="115" t="inlineStr">
        <is>
          <t>EQ</t>
        </is>
      </c>
      <c r="H249" s="115" t="inlineStr">
        <is>
          <t>buy</t>
        </is>
      </c>
      <c r="I249" s="115" t="b">
        <v>0</v>
      </c>
      <c r="J249" s="115" t="n">
        <v>18</v>
      </c>
      <c r="K249" s="115" t="n">
        <v>1078</v>
      </c>
      <c r="L249" s="116" t="n">
        <v>613155383</v>
      </c>
      <c r="M249" s="116" t="n">
        <v>1300000114057798</v>
      </c>
      <c r="N249" s="115" t="inlineStr">
        <is>
          <t>2026-01-30T15:03:50</t>
        </is>
      </c>
      <c r="O249" s="115" t="inlineStr"/>
    </row>
    <row r="250">
      <c r="A250" s="115" t="inlineStr"/>
      <c r="B250" s="115" t="inlineStr">
        <is>
          <t>SBIN</t>
        </is>
      </c>
      <c r="C250" s="115" t="inlineStr">
        <is>
          <t>INE062A01020</t>
        </is>
      </c>
      <c r="D250" s="115" t="inlineStr">
        <is>
          <t>2026-01-30</t>
        </is>
      </c>
      <c r="E250" s="115" t="inlineStr">
        <is>
          <t>NSE</t>
        </is>
      </c>
      <c r="F250" s="115" t="inlineStr">
        <is>
          <t>EQ</t>
        </is>
      </c>
      <c r="G250" s="115" t="inlineStr">
        <is>
          <t>EQ</t>
        </is>
      </c>
      <c r="H250" s="115" t="inlineStr">
        <is>
          <t>buy</t>
        </is>
      </c>
      <c r="I250" s="115" t="b">
        <v>0</v>
      </c>
      <c r="J250" s="115" t="n">
        <v>74</v>
      </c>
      <c r="K250" s="115" t="n">
        <v>1078</v>
      </c>
      <c r="L250" s="116" t="n">
        <v>613155384</v>
      </c>
      <c r="M250" s="116" t="n">
        <v>1300000114057798</v>
      </c>
      <c r="N250" s="115" t="inlineStr">
        <is>
          <t>2026-01-30T15:03:50</t>
        </is>
      </c>
      <c r="O250" s="115" t="inlineStr"/>
    </row>
    <row r="251">
      <c r="A251" s="115" t="inlineStr"/>
      <c r="B251" s="115" t="inlineStr">
        <is>
          <t>BEL</t>
        </is>
      </c>
      <c r="C251" s="115" t="inlineStr">
        <is>
          <t>INE263A01024</t>
        </is>
      </c>
      <c r="D251" s="115" t="inlineStr">
        <is>
          <t>2026-01-30</t>
        </is>
      </c>
      <c r="E251" s="115" t="inlineStr">
        <is>
          <t>NSE</t>
        </is>
      </c>
      <c r="F251" s="115" t="inlineStr">
        <is>
          <t>EQ</t>
        </is>
      </c>
      <c r="G251" s="115" t="inlineStr">
        <is>
          <t>EQ</t>
        </is>
      </c>
      <c r="H251" s="115" t="inlineStr">
        <is>
          <t>buy</t>
        </is>
      </c>
      <c r="I251" s="115" t="b">
        <v>0</v>
      </c>
      <c r="J251" s="115" t="n">
        <v>41</v>
      </c>
      <c r="K251" s="115" t="n">
        <v>449.45</v>
      </c>
      <c r="L251" s="116" t="n">
        <v>7205709</v>
      </c>
      <c r="M251" s="116" t="n">
        <v>1000000070570871</v>
      </c>
      <c r="N251" s="115" t="inlineStr">
        <is>
          <t>2026-01-30T15:05:10</t>
        </is>
      </c>
      <c r="O251" s="115" t="inlineStr"/>
    </row>
    <row r="252">
      <c r="A252" s="115" t="inlineStr"/>
      <c r="B252" s="115" t="inlineStr">
        <is>
          <t>BEL</t>
        </is>
      </c>
      <c r="C252" s="115" t="inlineStr">
        <is>
          <t>INE263A01024</t>
        </is>
      </c>
      <c r="D252" s="115" t="inlineStr">
        <is>
          <t>2026-01-30</t>
        </is>
      </c>
      <c r="E252" s="115" t="inlineStr">
        <is>
          <t>NSE</t>
        </is>
      </c>
      <c r="F252" s="115" t="inlineStr">
        <is>
          <t>EQ</t>
        </is>
      </c>
      <c r="G252" s="115" t="inlineStr">
        <is>
          <t>EQ</t>
        </is>
      </c>
      <c r="H252" s="115" t="inlineStr">
        <is>
          <t>buy</t>
        </is>
      </c>
      <c r="I252" s="115" t="b">
        <v>0</v>
      </c>
      <c r="J252" s="115" t="n">
        <v>71</v>
      </c>
      <c r="K252" s="115" t="n">
        <v>449.4</v>
      </c>
      <c r="L252" s="116" t="n">
        <v>7205708</v>
      </c>
      <c r="M252" s="116" t="n">
        <v>1000000070570871</v>
      </c>
      <c r="N252" s="115" t="inlineStr">
        <is>
          <t>2026-01-30T15:05:10</t>
        </is>
      </c>
      <c r="O252" s="115" t="inlineStr"/>
    </row>
    <row r="253">
      <c r="A253" s="115" t="inlineStr"/>
      <c r="B253" s="115" t="inlineStr">
        <is>
          <t>SEAMECLTD</t>
        </is>
      </c>
      <c r="C253" s="115" t="inlineStr">
        <is>
          <t>INE497B01018</t>
        </is>
      </c>
      <c r="D253" s="115" t="inlineStr">
        <is>
          <t>2026-01-30</t>
        </is>
      </c>
      <c r="E253" s="115" t="inlineStr">
        <is>
          <t>NSE</t>
        </is>
      </c>
      <c r="F253" s="115" t="inlineStr">
        <is>
          <t>EQ</t>
        </is>
      </c>
      <c r="G253" s="115" t="inlineStr">
        <is>
          <t>EQ</t>
        </is>
      </c>
      <c r="H253" s="115" t="inlineStr">
        <is>
          <t>buy</t>
        </is>
      </c>
      <c r="I253" s="115" t="b">
        <v>0</v>
      </c>
      <c r="J253" s="115" t="n">
        <v>4</v>
      </c>
      <c r="K253" s="115" t="n">
        <v>1282.3</v>
      </c>
      <c r="L253" s="116" t="n">
        <v>613660967</v>
      </c>
      <c r="M253" s="116" t="n">
        <v>1300000116901518</v>
      </c>
      <c r="N253" s="115" t="inlineStr">
        <is>
          <t>2026-01-30T15:11:39</t>
        </is>
      </c>
      <c r="O253" s="115" t="inlineStr"/>
    </row>
    <row r="254">
      <c r="A254" s="115" t="inlineStr"/>
      <c r="B254" s="115" t="inlineStr">
        <is>
          <t>SEAMECLTD</t>
        </is>
      </c>
      <c r="C254" s="115" t="inlineStr">
        <is>
          <t>INE497B01018</t>
        </is>
      </c>
      <c r="D254" s="115" t="inlineStr">
        <is>
          <t>2026-01-30</t>
        </is>
      </c>
      <c r="E254" s="115" t="inlineStr">
        <is>
          <t>NSE</t>
        </is>
      </c>
      <c r="F254" s="115" t="inlineStr">
        <is>
          <t>EQ</t>
        </is>
      </c>
      <c r="G254" s="115" t="inlineStr">
        <is>
          <t>EQ</t>
        </is>
      </c>
      <c r="H254" s="115" t="inlineStr">
        <is>
          <t>buy</t>
        </is>
      </c>
      <c r="I254" s="115" t="b">
        <v>0</v>
      </c>
      <c r="J254" s="115" t="n">
        <v>6</v>
      </c>
      <c r="K254" s="115" t="n">
        <v>1282.4</v>
      </c>
      <c r="L254" s="116" t="n">
        <v>613660968</v>
      </c>
      <c r="M254" s="116" t="n">
        <v>1300000116901518</v>
      </c>
      <c r="N254" s="115" t="inlineStr">
        <is>
          <t>2026-01-30T15:11:39</t>
        </is>
      </c>
      <c r="O254" s="115" t="inlineStr"/>
    </row>
    <row r="255">
      <c r="A255" s="115" t="inlineStr"/>
      <c r="B255" s="115" t="inlineStr">
        <is>
          <t>SOUTHBANK</t>
        </is>
      </c>
      <c r="C255" s="115" t="inlineStr">
        <is>
          <t>INE683A01023</t>
        </is>
      </c>
      <c r="D255" s="115" t="inlineStr">
        <is>
          <t>2026-01-30</t>
        </is>
      </c>
      <c r="E255" s="115" t="inlineStr">
        <is>
          <t>BSE</t>
        </is>
      </c>
      <c r="F255" s="115" t="inlineStr">
        <is>
          <t>EQ</t>
        </is>
      </c>
      <c r="G255" s="115" t="inlineStr">
        <is>
          <t>A</t>
        </is>
      </c>
      <c r="H255" s="115" t="inlineStr">
        <is>
          <t>sell</t>
        </is>
      </c>
      <c r="I255" s="115" t="b">
        <v>0</v>
      </c>
      <c r="J255" s="115" t="n">
        <v>201</v>
      </c>
      <c r="K255" s="115" t="n">
        <v>37.56</v>
      </c>
      <c r="L255" s="116" t="n">
        <v>15336500</v>
      </c>
      <c r="M255" s="116" t="n">
        <v>1.769764304414823e+18</v>
      </c>
      <c r="N255" s="115" t="inlineStr">
        <is>
          <t>2026-01-30T15:15:06</t>
        </is>
      </c>
      <c r="O255" s="115" t="inlineStr"/>
    </row>
    <row r="256">
      <c r="A256" s="115" t="inlineStr"/>
      <c r="B256" s="115" t="inlineStr">
        <is>
          <t>SOUTHBANK</t>
        </is>
      </c>
      <c r="C256" s="115" t="inlineStr">
        <is>
          <t>INE683A01023</t>
        </is>
      </c>
      <c r="D256" s="115" t="inlineStr">
        <is>
          <t>2026-01-30</t>
        </is>
      </c>
      <c r="E256" s="115" t="inlineStr">
        <is>
          <t>BSE</t>
        </is>
      </c>
      <c r="F256" s="115" t="inlineStr">
        <is>
          <t>EQ</t>
        </is>
      </c>
      <c r="G256" s="115" t="inlineStr">
        <is>
          <t>A</t>
        </is>
      </c>
      <c r="H256" s="115" t="inlineStr">
        <is>
          <t>sell</t>
        </is>
      </c>
      <c r="I256" s="115" t="b">
        <v>0</v>
      </c>
      <c r="J256" s="115" t="n">
        <v>399</v>
      </c>
      <c r="K256" s="115" t="n">
        <v>37.55</v>
      </c>
      <c r="L256" s="116" t="n">
        <v>15336900</v>
      </c>
      <c r="M256" s="116" t="n">
        <v>1.769764304414823e+18</v>
      </c>
      <c r="N256" s="115" t="inlineStr">
        <is>
          <t>2026-01-30T15:15:06</t>
        </is>
      </c>
      <c r="O256" s="115" t="inlineStr"/>
    </row>
    <row r="257">
      <c r="A257" s="115" t="inlineStr"/>
      <c r="B257" s="115" t="inlineStr">
        <is>
          <t>BEL</t>
        </is>
      </c>
      <c r="C257" s="115" t="inlineStr">
        <is>
          <t>INE263A01024</t>
        </is>
      </c>
      <c r="D257" s="115" t="inlineStr">
        <is>
          <t>2026-01-30</t>
        </is>
      </c>
      <c r="E257" s="115" t="inlineStr">
        <is>
          <t>NSE</t>
        </is>
      </c>
      <c r="F257" s="115" t="inlineStr">
        <is>
          <t>EQ</t>
        </is>
      </c>
      <c r="G257" s="115" t="inlineStr">
        <is>
          <t>EQ</t>
        </is>
      </c>
      <c r="H257" s="115" t="inlineStr">
        <is>
          <t>buy</t>
        </is>
      </c>
      <c r="I257" s="115" t="b">
        <v>0</v>
      </c>
      <c r="J257" s="115" t="n">
        <v>56</v>
      </c>
      <c r="K257" s="115" t="n">
        <v>449.2</v>
      </c>
      <c r="L257" s="116" t="n">
        <v>7774549</v>
      </c>
      <c r="M257" s="116" t="n">
        <v>1000000073240827</v>
      </c>
      <c r="N257" s="115" t="inlineStr">
        <is>
          <t>2026-01-30T15:17:25</t>
        </is>
      </c>
      <c r="O257" s="115" t="inlineStr"/>
    </row>
    <row r="258">
      <c r="A258" s="115" t="inlineStr"/>
      <c r="B258" s="115" t="inlineStr">
        <is>
          <t>CANBK</t>
        </is>
      </c>
      <c r="C258" s="115" t="inlineStr">
        <is>
          <t>INE476A01022</t>
        </is>
      </c>
      <c r="D258" s="115" t="inlineStr">
        <is>
          <t>2026-02-02</t>
        </is>
      </c>
      <c r="E258" s="115" t="inlineStr">
        <is>
          <t>NSE</t>
        </is>
      </c>
      <c r="F258" s="115" t="inlineStr">
        <is>
          <t>EQ</t>
        </is>
      </c>
      <c r="G258" s="115" t="inlineStr">
        <is>
          <t>EQ</t>
        </is>
      </c>
      <c r="H258" s="115" t="inlineStr">
        <is>
          <t>sell</t>
        </is>
      </c>
      <c r="I258" s="115" t="b">
        <v>0</v>
      </c>
      <c r="J258" s="115" t="n">
        <v>216</v>
      </c>
      <c r="K258" s="115" t="n">
        <v>140.33</v>
      </c>
      <c r="L258" s="116" t="n">
        <v>138516</v>
      </c>
      <c r="M258" s="116" t="n">
        <v>1000000000842622</v>
      </c>
      <c r="N258" s="115" t="inlineStr">
        <is>
          <t>2026-02-02T09:16:02</t>
        </is>
      </c>
      <c r="O258" s="115" t="inlineStr"/>
    </row>
    <row r="259">
      <c r="A259" s="115" t="inlineStr"/>
      <c r="B259" s="115" t="inlineStr">
        <is>
          <t>CANBK</t>
        </is>
      </c>
      <c r="C259" s="115" t="inlineStr">
        <is>
          <t>INE476A01022</t>
        </is>
      </c>
      <c r="D259" s="115" t="inlineStr">
        <is>
          <t>2026-02-02</t>
        </is>
      </c>
      <c r="E259" s="115" t="inlineStr">
        <is>
          <t>NSE</t>
        </is>
      </c>
      <c r="F259" s="115" t="inlineStr">
        <is>
          <t>EQ</t>
        </is>
      </c>
      <c r="G259" s="115" t="inlineStr">
        <is>
          <t>EQ</t>
        </is>
      </c>
      <c r="H259" s="115" t="inlineStr">
        <is>
          <t>sell</t>
        </is>
      </c>
      <c r="I259" s="115" t="b">
        <v>0</v>
      </c>
      <c r="J259" s="115" t="n">
        <v>25</v>
      </c>
      <c r="K259" s="115" t="n">
        <v>140.34</v>
      </c>
      <c r="L259" s="116" t="n">
        <v>138514</v>
      </c>
      <c r="M259" s="116" t="n">
        <v>1000000000842622</v>
      </c>
      <c r="N259" s="115" t="inlineStr">
        <is>
          <t>2026-02-02T09:16:02</t>
        </is>
      </c>
      <c r="O259" s="115" t="inlineStr"/>
    </row>
    <row r="260">
      <c r="A260" s="115" t="inlineStr"/>
      <c r="B260" s="115" t="inlineStr">
        <is>
          <t>CANBK</t>
        </is>
      </c>
      <c r="C260" s="115" t="inlineStr">
        <is>
          <t>INE476A01022</t>
        </is>
      </c>
      <c r="D260" s="115" t="inlineStr">
        <is>
          <t>2026-02-02</t>
        </is>
      </c>
      <c r="E260" s="115" t="inlineStr">
        <is>
          <t>NSE</t>
        </is>
      </c>
      <c r="F260" s="115" t="inlineStr">
        <is>
          <t>EQ</t>
        </is>
      </c>
      <c r="G260" s="115" t="inlineStr">
        <is>
          <t>EQ</t>
        </is>
      </c>
      <c r="H260" s="115" t="inlineStr">
        <is>
          <t>sell</t>
        </is>
      </c>
      <c r="I260" s="115" t="b">
        <v>0</v>
      </c>
      <c r="J260" s="115" t="n">
        <v>83</v>
      </c>
      <c r="K260" s="115" t="n">
        <v>140.34</v>
      </c>
      <c r="L260" s="116" t="n">
        <v>138515</v>
      </c>
      <c r="M260" s="116" t="n">
        <v>1000000000842622</v>
      </c>
      <c r="N260" s="115" t="inlineStr">
        <is>
          <t>2026-02-02T09:16:02</t>
        </is>
      </c>
      <c r="O260" s="115" t="inlineStr"/>
    </row>
    <row r="261">
      <c r="A261" s="115" t="inlineStr"/>
      <c r="B261" s="115" t="inlineStr">
        <is>
          <t>BAJFINANCE</t>
        </is>
      </c>
      <c r="C261" s="115" t="inlineStr">
        <is>
          <t>INE296A01032</t>
        </is>
      </c>
      <c r="D261" s="115" t="inlineStr">
        <is>
          <t>2026-02-02</t>
        </is>
      </c>
      <c r="E261" s="115" t="inlineStr">
        <is>
          <t>BSE</t>
        </is>
      </c>
      <c r="F261" s="115" t="inlineStr">
        <is>
          <t>EQ</t>
        </is>
      </c>
      <c r="G261" s="115" t="inlineStr">
        <is>
          <t>A</t>
        </is>
      </c>
      <c r="H261" s="115" t="inlineStr">
        <is>
          <t>sell</t>
        </is>
      </c>
      <c r="I261" s="115" t="b">
        <v>0</v>
      </c>
      <c r="J261" s="115" t="n">
        <v>94</v>
      </c>
      <c r="K261" s="115" t="n">
        <v>898.15</v>
      </c>
      <c r="L261" s="116" t="n">
        <v>792900</v>
      </c>
      <c r="M261" s="116" t="n">
        <v>1.770003000137212e+18</v>
      </c>
      <c r="N261" s="115" t="inlineStr">
        <is>
          <t>2026-02-02T09:20:16</t>
        </is>
      </c>
      <c r="O261" s="115" t="inlineStr"/>
    </row>
    <row r="262">
      <c r="A262" s="115" t="inlineStr"/>
      <c r="B262" s="115" t="inlineStr">
        <is>
          <t>BANKBARODA</t>
        </is>
      </c>
      <c r="C262" s="115" t="inlineStr">
        <is>
          <t>INE028A01039</t>
        </is>
      </c>
      <c r="D262" s="115" t="inlineStr">
        <is>
          <t>2026-02-02</t>
        </is>
      </c>
      <c r="E262" s="115" t="inlineStr">
        <is>
          <t>NSE</t>
        </is>
      </c>
      <c r="F262" s="115" t="inlineStr">
        <is>
          <t>EQ</t>
        </is>
      </c>
      <c r="G262" s="115" t="inlineStr">
        <is>
          <t>EQ</t>
        </is>
      </c>
      <c r="H262" s="115" t="inlineStr">
        <is>
          <t>sell</t>
        </is>
      </c>
      <c r="I262" s="115" t="b">
        <v>0</v>
      </c>
      <c r="J262" s="115" t="n">
        <v>10</v>
      </c>
      <c r="K262" s="115" t="n">
        <v>271.55</v>
      </c>
      <c r="L262" s="116" t="n">
        <v>3556964</v>
      </c>
      <c r="M262" s="116" t="n">
        <v>1000000039324729</v>
      </c>
      <c r="N262" s="115" t="inlineStr">
        <is>
          <t>2026-02-02T11:20:59</t>
        </is>
      </c>
      <c r="O262" s="115" t="inlineStr"/>
    </row>
    <row r="263">
      <c r="A263" s="115" t="inlineStr"/>
      <c r="B263" s="115" t="inlineStr">
        <is>
          <t>BANKBARODA</t>
        </is>
      </c>
      <c r="C263" s="115" t="inlineStr">
        <is>
          <t>INE028A01039</t>
        </is>
      </c>
      <c r="D263" s="115" t="inlineStr">
        <is>
          <t>2026-02-02</t>
        </is>
      </c>
      <c r="E263" s="115" t="inlineStr">
        <is>
          <t>NSE</t>
        </is>
      </c>
      <c r="F263" s="115" t="inlineStr">
        <is>
          <t>EQ</t>
        </is>
      </c>
      <c r="G263" s="115" t="inlineStr">
        <is>
          <t>EQ</t>
        </is>
      </c>
      <c r="H263" s="115" t="inlineStr">
        <is>
          <t>sell</t>
        </is>
      </c>
      <c r="I263" s="115" t="b">
        <v>0</v>
      </c>
      <c r="J263" s="115" t="n">
        <v>31</v>
      </c>
      <c r="K263" s="115" t="n">
        <v>271.6</v>
      </c>
      <c r="L263" s="116" t="n">
        <v>3556962</v>
      </c>
      <c r="M263" s="116" t="n">
        <v>1000000039324729</v>
      </c>
      <c r="N263" s="115" t="inlineStr">
        <is>
          <t>2026-02-02T11:20:59</t>
        </is>
      </c>
      <c r="O263" s="115" t="inlineStr"/>
    </row>
    <row r="264">
      <c r="A264" s="115" t="inlineStr"/>
      <c r="B264" s="115" t="inlineStr">
        <is>
          <t>BANKBARODA</t>
        </is>
      </c>
      <c r="C264" s="115" t="inlineStr">
        <is>
          <t>INE028A01039</t>
        </is>
      </c>
      <c r="D264" s="115" t="inlineStr">
        <is>
          <t>2026-02-02</t>
        </is>
      </c>
      <c r="E264" s="115" t="inlineStr">
        <is>
          <t>NSE</t>
        </is>
      </c>
      <c r="F264" s="115" t="inlineStr">
        <is>
          <t>EQ</t>
        </is>
      </c>
      <c r="G264" s="115" t="inlineStr">
        <is>
          <t>EQ</t>
        </is>
      </c>
      <c r="H264" s="115" t="inlineStr">
        <is>
          <t>sell</t>
        </is>
      </c>
      <c r="I264" s="115" t="b">
        <v>0</v>
      </c>
      <c r="J264" s="115" t="n">
        <v>59</v>
      </c>
      <c r="K264" s="115" t="n">
        <v>271.55</v>
      </c>
      <c r="L264" s="116" t="n">
        <v>3556968</v>
      </c>
      <c r="M264" s="116" t="n">
        <v>1000000039324729</v>
      </c>
      <c r="N264" s="115" t="inlineStr">
        <is>
          <t>2026-02-02T11:20:59</t>
        </is>
      </c>
      <c r="O264" s="115" t="inlineStr"/>
    </row>
    <row r="265">
      <c r="A265" s="115" t="inlineStr"/>
      <c r="B265" s="115" t="inlineStr">
        <is>
          <t>BANKBARODA</t>
        </is>
      </c>
      <c r="C265" s="115" t="inlineStr">
        <is>
          <t>INE028A01039</t>
        </is>
      </c>
      <c r="D265" s="115" t="inlineStr">
        <is>
          <t>2026-02-02</t>
        </is>
      </c>
      <c r="E265" s="115" t="inlineStr">
        <is>
          <t>NSE</t>
        </is>
      </c>
      <c r="F265" s="115" t="inlineStr">
        <is>
          <t>EQ</t>
        </is>
      </c>
      <c r="G265" s="115" t="inlineStr">
        <is>
          <t>EQ</t>
        </is>
      </c>
      <c r="H265" s="115" t="inlineStr">
        <is>
          <t>sell</t>
        </is>
      </c>
      <c r="I265" s="115" t="b">
        <v>0</v>
      </c>
      <c r="J265" s="115" t="n">
        <v>70</v>
      </c>
      <c r="K265" s="115" t="n">
        <v>271.55</v>
      </c>
      <c r="L265" s="116" t="n">
        <v>3556963</v>
      </c>
      <c r="M265" s="116" t="n">
        <v>1000000039324729</v>
      </c>
      <c r="N265" s="115" t="inlineStr">
        <is>
          <t>2026-02-02T11:20:59</t>
        </is>
      </c>
      <c r="O265" s="115" t="inlineStr"/>
    </row>
    <row r="266">
      <c r="A266" s="115" t="inlineStr"/>
      <c r="B266" s="115" t="inlineStr">
        <is>
          <t>PNB</t>
        </is>
      </c>
      <c r="C266" s="115" t="inlineStr">
        <is>
          <t>INE160A01022</t>
        </is>
      </c>
      <c r="D266" s="115" t="inlineStr">
        <is>
          <t>2026-02-02</t>
        </is>
      </c>
      <c r="E266" s="115" t="inlineStr">
        <is>
          <t>NSE</t>
        </is>
      </c>
      <c r="F266" s="115" t="inlineStr">
        <is>
          <t>EQ</t>
        </is>
      </c>
      <c r="G266" s="115" t="inlineStr">
        <is>
          <t>EQ</t>
        </is>
      </c>
      <c r="H266" s="115" t="inlineStr">
        <is>
          <t>sell</t>
        </is>
      </c>
      <c r="I266" s="115" t="b">
        <v>0</v>
      </c>
      <c r="J266" s="115" t="n">
        <v>200</v>
      </c>
      <c r="K266" s="115" t="n">
        <v>119.56</v>
      </c>
      <c r="L266" s="116" t="n">
        <v>404684795</v>
      </c>
      <c r="M266" s="116" t="n">
        <v>1200000051538381</v>
      </c>
      <c r="N266" s="115" t="inlineStr">
        <is>
          <t>2026-02-02T12:07:44</t>
        </is>
      </c>
      <c r="O266" s="115" t="inlineStr"/>
    </row>
    <row r="267">
      <c r="A267" s="115" t="inlineStr"/>
      <c r="B267" s="115" t="inlineStr">
        <is>
          <t>CIPLA</t>
        </is>
      </c>
      <c r="C267" s="115" t="inlineStr">
        <is>
          <t>INE059A01026</t>
        </is>
      </c>
      <c r="D267" s="115" t="inlineStr">
        <is>
          <t>2026-02-02</t>
        </is>
      </c>
      <c r="E267" s="115" t="inlineStr">
        <is>
          <t>NSE</t>
        </is>
      </c>
      <c r="F267" s="115" t="inlineStr">
        <is>
          <t>EQ</t>
        </is>
      </c>
      <c r="G267" s="115" t="inlineStr">
        <is>
          <t>EQ</t>
        </is>
      </c>
      <c r="H267" s="115" t="inlineStr">
        <is>
          <t>sell</t>
        </is>
      </c>
      <c r="I267" s="115" t="b">
        <v>0</v>
      </c>
      <c r="J267" s="115" t="n">
        <v>1</v>
      </c>
      <c r="K267" s="115" t="n">
        <v>1299.4</v>
      </c>
      <c r="L267" s="116" t="n">
        <v>4407181</v>
      </c>
      <c r="M267" s="116" t="n">
        <v>1000000050030745</v>
      </c>
      <c r="N267" s="115" t="inlineStr">
        <is>
          <t>2026-02-02T12:08:58</t>
        </is>
      </c>
      <c r="O267" s="115" t="inlineStr"/>
    </row>
    <row r="268">
      <c r="A268" s="115" t="inlineStr"/>
      <c r="B268" s="115" t="inlineStr">
        <is>
          <t>CIPLA</t>
        </is>
      </c>
      <c r="C268" s="115" t="inlineStr">
        <is>
          <t>INE059A01026</t>
        </is>
      </c>
      <c r="D268" s="115" t="inlineStr">
        <is>
          <t>2026-02-02</t>
        </is>
      </c>
      <c r="E268" s="115" t="inlineStr">
        <is>
          <t>NSE</t>
        </is>
      </c>
      <c r="F268" s="115" t="inlineStr">
        <is>
          <t>EQ</t>
        </is>
      </c>
      <c r="G268" s="115" t="inlineStr">
        <is>
          <t>EQ</t>
        </is>
      </c>
      <c r="H268" s="115" t="inlineStr">
        <is>
          <t>sell</t>
        </is>
      </c>
      <c r="I268" s="115" t="b">
        <v>0</v>
      </c>
      <c r="J268" s="115" t="n">
        <v>12</v>
      </c>
      <c r="K268" s="115" t="n">
        <v>1299.4</v>
      </c>
      <c r="L268" s="116" t="n">
        <v>4407183</v>
      </c>
      <c r="M268" s="116" t="n">
        <v>1000000050030745</v>
      </c>
      <c r="N268" s="115" t="inlineStr">
        <is>
          <t>2026-02-02T12:08:58</t>
        </is>
      </c>
      <c r="O268" s="115" t="inlineStr"/>
    </row>
    <row r="269">
      <c r="A269" s="115" t="inlineStr"/>
      <c r="B269" s="115" t="inlineStr">
        <is>
          <t>CIPLA</t>
        </is>
      </c>
      <c r="C269" s="115" t="inlineStr">
        <is>
          <t>INE059A01026</t>
        </is>
      </c>
      <c r="D269" s="115" t="inlineStr">
        <is>
          <t>2026-02-02</t>
        </is>
      </c>
      <c r="E269" s="115" t="inlineStr">
        <is>
          <t>NSE</t>
        </is>
      </c>
      <c r="F269" s="115" t="inlineStr">
        <is>
          <t>EQ</t>
        </is>
      </c>
      <c r="G269" s="115" t="inlineStr">
        <is>
          <t>EQ</t>
        </is>
      </c>
      <c r="H269" s="115" t="inlineStr">
        <is>
          <t>sell</t>
        </is>
      </c>
      <c r="I269" s="115" t="b">
        <v>0</v>
      </c>
      <c r="J269" s="115" t="n">
        <v>15</v>
      </c>
      <c r="K269" s="115" t="n">
        <v>1299.4</v>
      </c>
      <c r="L269" s="116" t="n">
        <v>4407180</v>
      </c>
      <c r="M269" s="116" t="n">
        <v>1000000050030745</v>
      </c>
      <c r="N269" s="115" t="inlineStr">
        <is>
          <t>2026-02-02T12:08:58</t>
        </is>
      </c>
      <c r="O269" s="115" t="inlineStr"/>
    </row>
    <row r="270">
      <c r="A270" s="115" t="inlineStr"/>
      <c r="B270" s="115" t="inlineStr">
        <is>
          <t>CIPLA</t>
        </is>
      </c>
      <c r="C270" s="115" t="inlineStr">
        <is>
          <t>INE059A01026</t>
        </is>
      </c>
      <c r="D270" s="115" t="inlineStr">
        <is>
          <t>2026-02-02</t>
        </is>
      </c>
      <c r="E270" s="115" t="inlineStr">
        <is>
          <t>NSE</t>
        </is>
      </c>
      <c r="F270" s="115" t="inlineStr">
        <is>
          <t>EQ</t>
        </is>
      </c>
      <c r="G270" s="115" t="inlineStr">
        <is>
          <t>EQ</t>
        </is>
      </c>
      <c r="H270" s="115" t="inlineStr">
        <is>
          <t>sell</t>
        </is>
      </c>
      <c r="I270" s="115" t="b">
        <v>0</v>
      </c>
      <c r="J270" s="115" t="n">
        <v>2</v>
      </c>
      <c r="K270" s="115" t="n">
        <v>1299.4</v>
      </c>
      <c r="L270" s="116" t="n">
        <v>4407179</v>
      </c>
      <c r="M270" s="116" t="n">
        <v>1000000050030745</v>
      </c>
      <c r="N270" s="115" t="inlineStr">
        <is>
          <t>2026-02-02T12:08:58</t>
        </is>
      </c>
      <c r="O270" s="115" t="inlineStr"/>
    </row>
    <row r="271">
      <c r="A271" s="115" t="inlineStr"/>
      <c r="B271" s="115" t="inlineStr">
        <is>
          <t>CIPLA</t>
        </is>
      </c>
      <c r="C271" s="115" t="inlineStr">
        <is>
          <t>INE059A01026</t>
        </is>
      </c>
      <c r="D271" s="115" t="inlineStr">
        <is>
          <t>2026-02-02</t>
        </is>
      </c>
      <c r="E271" s="115" t="inlineStr">
        <is>
          <t>NSE</t>
        </is>
      </c>
      <c r="F271" s="115" t="inlineStr">
        <is>
          <t>EQ</t>
        </is>
      </c>
      <c r="G271" s="115" t="inlineStr">
        <is>
          <t>EQ</t>
        </is>
      </c>
      <c r="H271" s="115" t="inlineStr">
        <is>
          <t>sell</t>
        </is>
      </c>
      <c r="I271" s="115" t="b">
        <v>0</v>
      </c>
      <c r="J271" s="115" t="n">
        <v>28</v>
      </c>
      <c r="K271" s="115" t="n">
        <v>1299.4</v>
      </c>
      <c r="L271" s="116" t="n">
        <v>4407182</v>
      </c>
      <c r="M271" s="116" t="n">
        <v>1000000050030745</v>
      </c>
      <c r="N271" s="115" t="inlineStr">
        <is>
          <t>2026-02-02T12:08:58</t>
        </is>
      </c>
      <c r="O271" s="115" t="inlineStr"/>
    </row>
    <row r="272">
      <c r="A272" s="115" t="inlineStr"/>
      <c r="B272" s="115" t="inlineStr">
        <is>
          <t>CIPLA</t>
        </is>
      </c>
      <c r="C272" s="115" t="inlineStr">
        <is>
          <t>INE059A01026</t>
        </is>
      </c>
      <c r="D272" s="115" t="inlineStr">
        <is>
          <t>2026-02-02</t>
        </is>
      </c>
      <c r="E272" s="115" t="inlineStr">
        <is>
          <t>NSE</t>
        </is>
      </c>
      <c r="F272" s="115" t="inlineStr">
        <is>
          <t>EQ</t>
        </is>
      </c>
      <c r="G272" s="115" t="inlineStr">
        <is>
          <t>EQ</t>
        </is>
      </c>
      <c r="H272" s="115" t="inlineStr">
        <is>
          <t>sell</t>
        </is>
      </c>
      <c r="I272" s="115" t="b">
        <v>0</v>
      </c>
      <c r="J272" s="115" t="n">
        <v>5</v>
      </c>
      <c r="K272" s="115" t="n">
        <v>1299.4</v>
      </c>
      <c r="L272" s="116" t="n">
        <v>4407185</v>
      </c>
      <c r="M272" s="116" t="n">
        <v>1000000050030745</v>
      </c>
      <c r="N272" s="115" t="inlineStr">
        <is>
          <t>2026-02-02T12:08:58</t>
        </is>
      </c>
      <c r="O272" s="115" t="inlineStr"/>
    </row>
    <row r="273">
      <c r="A273" s="115" t="inlineStr"/>
      <c r="B273" s="115" t="inlineStr">
        <is>
          <t>BHARATFORG</t>
        </is>
      </c>
      <c r="C273" s="115" t="inlineStr">
        <is>
          <t>INE465A01025</t>
        </is>
      </c>
      <c r="D273" s="115" t="inlineStr">
        <is>
          <t>2026-02-02</t>
        </is>
      </c>
      <c r="E273" s="115" t="inlineStr">
        <is>
          <t>NSE</t>
        </is>
      </c>
      <c r="F273" s="115" t="inlineStr">
        <is>
          <t>EQ</t>
        </is>
      </c>
      <c r="G273" s="115" t="inlineStr">
        <is>
          <t>EQ</t>
        </is>
      </c>
      <c r="H273" s="115" t="inlineStr">
        <is>
          <t>sell</t>
        </is>
      </c>
      <c r="I273" s="115" t="b">
        <v>0</v>
      </c>
      <c r="J273" s="115" t="n">
        <v>32</v>
      </c>
      <c r="K273" s="115" t="n">
        <v>1416.6</v>
      </c>
      <c r="L273" s="116" t="n">
        <v>5956220</v>
      </c>
      <c r="M273" s="116" t="n">
        <v>1000000069738672</v>
      </c>
      <c r="N273" s="115" t="inlineStr">
        <is>
          <t>2026-02-02T13:47:52</t>
        </is>
      </c>
      <c r="O273" s="115" t="inlineStr"/>
    </row>
    <row r="274">
      <c r="A274" s="115" t="inlineStr"/>
      <c r="B274" s="115" t="inlineStr">
        <is>
          <t>BHARATFORG</t>
        </is>
      </c>
      <c r="C274" s="115" t="inlineStr">
        <is>
          <t>INE465A01025</t>
        </is>
      </c>
      <c r="D274" s="115" t="inlineStr">
        <is>
          <t>2026-02-02</t>
        </is>
      </c>
      <c r="E274" s="115" t="inlineStr">
        <is>
          <t>NSE</t>
        </is>
      </c>
      <c r="F274" s="115" t="inlineStr">
        <is>
          <t>EQ</t>
        </is>
      </c>
      <c r="G274" s="115" t="inlineStr">
        <is>
          <t>EQ</t>
        </is>
      </c>
      <c r="H274" s="115" t="inlineStr">
        <is>
          <t>sell</t>
        </is>
      </c>
      <c r="I274" s="115" t="b">
        <v>0</v>
      </c>
      <c r="J274" s="115" t="n">
        <v>4</v>
      </c>
      <c r="K274" s="115" t="n">
        <v>1416.6</v>
      </c>
      <c r="L274" s="116" t="n">
        <v>5956219</v>
      </c>
      <c r="M274" s="116" t="n">
        <v>1000000069738672</v>
      </c>
      <c r="N274" s="115" t="inlineStr">
        <is>
          <t>2026-02-02T13:47:52</t>
        </is>
      </c>
      <c r="O274" s="115" t="inlineStr"/>
    </row>
    <row r="275">
      <c r="A275" s="115" t="inlineStr"/>
      <c r="B275" s="115" t="inlineStr">
        <is>
          <t>BANKINDIA</t>
        </is>
      </c>
      <c r="C275" s="115" t="inlineStr">
        <is>
          <t>INE084A01016</t>
        </is>
      </c>
      <c r="D275" s="115" t="inlineStr">
        <is>
          <t>2026-02-06</t>
        </is>
      </c>
      <c r="E275" s="115" t="inlineStr">
        <is>
          <t>NSE</t>
        </is>
      </c>
      <c r="F275" s="115" t="inlineStr">
        <is>
          <t>EQ</t>
        </is>
      </c>
      <c r="G275" s="115" t="inlineStr">
        <is>
          <t>EQ</t>
        </is>
      </c>
      <c r="H275" s="115" t="inlineStr">
        <is>
          <t>buy</t>
        </is>
      </c>
      <c r="I275" s="115" t="b">
        <v>0</v>
      </c>
      <c r="J275" s="115" t="n">
        <v>305</v>
      </c>
      <c r="K275" s="115" t="n">
        <v>163.99</v>
      </c>
      <c r="L275" s="116" t="n">
        <v>5395551</v>
      </c>
      <c r="M275" s="116" t="n">
        <v>1000000062502140</v>
      </c>
      <c r="N275" s="115" t="inlineStr">
        <is>
          <t>2026-02-06T15:05:00</t>
        </is>
      </c>
      <c r="O275" s="115" t="inlineStr"/>
    </row>
    <row r="276">
      <c r="A276" s="115" t="inlineStr"/>
      <c r="B276" s="115" t="inlineStr">
        <is>
          <t>APLAPOLLO</t>
        </is>
      </c>
      <c r="C276" s="115" t="inlineStr">
        <is>
          <t>INE702C01027</t>
        </is>
      </c>
      <c r="D276" s="115" t="inlineStr">
        <is>
          <t>2026-02-09</t>
        </is>
      </c>
      <c r="E276" s="115" t="inlineStr">
        <is>
          <t>NSE</t>
        </is>
      </c>
      <c r="F276" s="115" t="inlineStr">
        <is>
          <t>EQ</t>
        </is>
      </c>
      <c r="G276" s="115" t="inlineStr">
        <is>
          <t>EQ</t>
        </is>
      </c>
      <c r="H276" s="115" t="inlineStr">
        <is>
          <t>buy</t>
        </is>
      </c>
      <c r="I276" s="115" t="b">
        <v>0</v>
      </c>
      <c r="J276" s="115" t="n">
        <v>45</v>
      </c>
      <c r="K276" s="115" t="n">
        <v>2237.6001</v>
      </c>
      <c r="L276" s="116" t="n">
        <v>5804977</v>
      </c>
      <c r="M276" s="116" t="n">
        <v>1000000059786587</v>
      </c>
      <c r="N276" s="115" t="inlineStr">
        <is>
          <t>2026-02-09T15:07:12</t>
        </is>
      </c>
      <c r="O276" s="115" t="inlineStr"/>
    </row>
    <row r="277">
      <c r="A277" s="115" t="inlineStr"/>
      <c r="B277" s="115" t="inlineStr">
        <is>
          <t>TDPOWERSYS</t>
        </is>
      </c>
      <c r="C277" s="115" t="inlineStr">
        <is>
          <t>INE419M01027</t>
        </is>
      </c>
      <c r="D277" s="115" t="inlineStr">
        <is>
          <t>2026-02-12</t>
        </is>
      </c>
      <c r="E277" s="115" t="inlineStr">
        <is>
          <t>NSE</t>
        </is>
      </c>
      <c r="F277" s="115" t="inlineStr">
        <is>
          <t>EQ</t>
        </is>
      </c>
      <c r="G277" s="115" t="inlineStr">
        <is>
          <t>EQ</t>
        </is>
      </c>
      <c r="H277" s="115" t="inlineStr">
        <is>
          <t>buy</t>
        </is>
      </c>
      <c r="I277" s="115" t="b">
        <v>0</v>
      </c>
      <c r="J277" s="115" t="n">
        <v>10</v>
      </c>
      <c r="K277" s="115" t="n">
        <v>853.85</v>
      </c>
      <c r="L277" s="116" t="n">
        <v>606300119</v>
      </c>
      <c r="M277" s="116" t="n">
        <v>1300000062934832</v>
      </c>
      <c r="N277" s="115" t="inlineStr">
        <is>
          <t>2026-02-12T13:37:04</t>
        </is>
      </c>
      <c r="O277" s="115" t="inlineStr"/>
    </row>
    <row r="278">
      <c r="A278" s="115" t="inlineStr"/>
      <c r="B278" s="115" t="inlineStr">
        <is>
          <t>CGPOWER</t>
        </is>
      </c>
      <c r="C278" s="115" t="inlineStr">
        <is>
          <t>INE067A01029</t>
        </is>
      </c>
      <c r="D278" s="115" t="inlineStr">
        <is>
          <t>2026-02-12</t>
        </is>
      </c>
      <c r="E278" s="115" t="inlineStr">
        <is>
          <t>NSE</t>
        </is>
      </c>
      <c r="F278" s="115" t="inlineStr">
        <is>
          <t>EQ</t>
        </is>
      </c>
      <c r="G278" s="115" t="inlineStr">
        <is>
          <t>EQ</t>
        </is>
      </c>
      <c r="H278" s="115" t="inlineStr">
        <is>
          <t>buy</t>
        </is>
      </c>
      <c r="I278" s="115" t="b">
        <v>0</v>
      </c>
      <c r="J278" s="115" t="n">
        <v>10</v>
      </c>
      <c r="K278" s="115" t="n">
        <v>684</v>
      </c>
      <c r="L278" s="116" t="n">
        <v>4236742</v>
      </c>
      <c r="M278" s="116" t="n">
        <v>1000000047242522</v>
      </c>
      <c r="N278" s="115" t="inlineStr">
        <is>
          <t>2026-02-12T13:37:37</t>
        </is>
      </c>
      <c r="O278" s="115" t="inlineStr"/>
    </row>
    <row r="279">
      <c r="A279" s="115" t="inlineStr"/>
      <c r="B279" s="115" t="inlineStr">
        <is>
          <t>RAJRATAN</t>
        </is>
      </c>
      <c r="C279" s="115" t="inlineStr">
        <is>
          <t>INE451D01029</t>
        </is>
      </c>
      <c r="D279" s="115" t="inlineStr">
        <is>
          <t>2026-02-12</t>
        </is>
      </c>
      <c r="E279" s="115" t="inlineStr">
        <is>
          <t>NSE</t>
        </is>
      </c>
      <c r="F279" s="115" t="inlineStr">
        <is>
          <t>EQ</t>
        </is>
      </c>
      <c r="G279" s="115" t="inlineStr">
        <is>
          <t>EQ</t>
        </is>
      </c>
      <c r="H279" s="115" t="inlineStr">
        <is>
          <t>buy</t>
        </is>
      </c>
      <c r="I279" s="115" t="b">
        <v>0</v>
      </c>
      <c r="J279" s="115" t="n">
        <v>10</v>
      </c>
      <c r="K279" s="115" t="n">
        <v>483.55</v>
      </c>
      <c r="L279" s="116" t="n">
        <v>606313822</v>
      </c>
      <c r="M279" s="116" t="n">
        <v>1300000063069924</v>
      </c>
      <c r="N279" s="115" t="inlineStr">
        <is>
          <t>2026-02-12T13:37:49</t>
        </is>
      </c>
      <c r="O279" s="115" t="inlineStr"/>
    </row>
    <row r="280">
      <c r="A280" s="115" t="inlineStr"/>
      <c r="B280" s="115" t="inlineStr">
        <is>
          <t>SEAMECLTD</t>
        </is>
      </c>
      <c r="C280" s="115" t="inlineStr">
        <is>
          <t>INE497B01018</t>
        </is>
      </c>
      <c r="D280" s="115" t="inlineStr">
        <is>
          <t>2026-02-12</t>
        </is>
      </c>
      <c r="E280" s="115" t="inlineStr">
        <is>
          <t>NSE</t>
        </is>
      </c>
      <c r="F280" s="115" t="inlineStr">
        <is>
          <t>EQ</t>
        </is>
      </c>
      <c r="G280" s="115" t="inlineStr">
        <is>
          <t>EQ</t>
        </is>
      </c>
      <c r="H280" s="115" t="inlineStr">
        <is>
          <t>buy</t>
        </is>
      </c>
      <c r="I280" s="115" t="b">
        <v>0</v>
      </c>
      <c r="J280" s="115" t="n">
        <v>10</v>
      </c>
      <c r="K280" s="115" t="n">
        <v>1368</v>
      </c>
      <c r="L280" s="116" t="n">
        <v>608157505</v>
      </c>
      <c r="M280" s="116" t="n">
        <v>1300000081645901</v>
      </c>
      <c r="N280" s="115" t="inlineStr">
        <is>
          <t>2026-02-12T15:00:09</t>
        </is>
      </c>
      <c r="O280" s="115" t="inlineStr"/>
    </row>
    <row r="281">
      <c r="A281" s="115" t="inlineStr"/>
      <c r="B281" s="115" t="inlineStr">
        <is>
          <t>SEAMECLTD</t>
        </is>
      </c>
      <c r="C281" s="115" t="inlineStr">
        <is>
          <t>INE497B01018</t>
        </is>
      </c>
      <c r="D281" s="115" t="inlineStr">
        <is>
          <t>2026-02-13</t>
        </is>
      </c>
      <c r="E281" s="115" t="inlineStr">
        <is>
          <t>NSE</t>
        </is>
      </c>
      <c r="F281" s="115" t="inlineStr">
        <is>
          <t>EQ</t>
        </is>
      </c>
      <c r="G281" s="115" t="inlineStr">
        <is>
          <t>EQ</t>
        </is>
      </c>
      <c r="H281" s="115" t="inlineStr">
        <is>
          <t>buy</t>
        </is>
      </c>
      <c r="I281" s="115" t="b">
        <v>0</v>
      </c>
      <c r="J281" s="115" t="n">
        <v>2</v>
      </c>
      <c r="K281" s="115" t="n">
        <v>1380.6</v>
      </c>
      <c r="L281" s="116" t="n">
        <v>608658740</v>
      </c>
      <c r="M281" s="116" t="n">
        <v>1300000087615108</v>
      </c>
      <c r="N281" s="115" t="inlineStr">
        <is>
          <t>2026-02-13T15:13:06</t>
        </is>
      </c>
      <c r="O281" s="115" t="inlineStr"/>
    </row>
    <row r="282">
      <c r="A282" s="115" t="inlineStr"/>
      <c r="B282" s="115" t="inlineStr">
        <is>
          <t>SEAMECLTD</t>
        </is>
      </c>
      <c r="C282" s="115" t="inlineStr">
        <is>
          <t>INE497B01018</t>
        </is>
      </c>
      <c r="D282" s="115" t="inlineStr">
        <is>
          <t>2026-02-13</t>
        </is>
      </c>
      <c r="E282" s="115" t="inlineStr">
        <is>
          <t>NSE</t>
        </is>
      </c>
      <c r="F282" s="115" t="inlineStr">
        <is>
          <t>EQ</t>
        </is>
      </c>
      <c r="G282" s="115" t="inlineStr">
        <is>
          <t>EQ</t>
        </is>
      </c>
      <c r="H282" s="115" t="inlineStr">
        <is>
          <t>buy</t>
        </is>
      </c>
      <c r="I282" s="115" t="b">
        <v>0</v>
      </c>
      <c r="J282" s="115" t="n">
        <v>3</v>
      </c>
      <c r="K282" s="115" t="n">
        <v>1380.6</v>
      </c>
      <c r="L282" s="116" t="n">
        <v>608658741</v>
      </c>
      <c r="M282" s="116" t="n">
        <v>1300000087615108</v>
      </c>
      <c r="N282" s="115" t="inlineStr">
        <is>
          <t>2026-02-13T15:13:06</t>
        </is>
      </c>
      <c r="O282" s="115" t="inlineStr"/>
    </row>
    <row r="283">
      <c r="A283" s="115" t="inlineStr"/>
      <c r="B283" s="115" t="inlineStr">
        <is>
          <t>SEAMECLTD</t>
        </is>
      </c>
      <c r="C283" s="115" t="inlineStr">
        <is>
          <t>INE497B01018</t>
        </is>
      </c>
      <c r="D283" s="115" t="inlineStr">
        <is>
          <t>2026-02-13</t>
        </is>
      </c>
      <c r="E283" s="115" t="inlineStr">
        <is>
          <t>NSE</t>
        </is>
      </c>
      <c r="F283" s="115" t="inlineStr">
        <is>
          <t>EQ</t>
        </is>
      </c>
      <c r="G283" s="115" t="inlineStr">
        <is>
          <t>EQ</t>
        </is>
      </c>
      <c r="H283" s="115" t="inlineStr">
        <is>
          <t>buy</t>
        </is>
      </c>
      <c r="I283" s="115" t="b">
        <v>0</v>
      </c>
      <c r="J283" s="115" t="n">
        <v>4</v>
      </c>
      <c r="K283" s="115" t="n">
        <v>1380.7</v>
      </c>
      <c r="L283" s="116" t="n">
        <v>608658742</v>
      </c>
      <c r="M283" s="116" t="n">
        <v>1300000087615108</v>
      </c>
      <c r="N283" s="115" t="inlineStr">
        <is>
          <t>2026-02-13T15:13:06</t>
        </is>
      </c>
      <c r="O283" s="115" t="inlineStr"/>
    </row>
    <row r="284">
      <c r="A284" s="115" t="inlineStr"/>
      <c r="B284" s="115" t="inlineStr">
        <is>
          <t>SEAMECLTD</t>
        </is>
      </c>
      <c r="C284" s="115" t="inlineStr">
        <is>
          <t>INE497B01018</t>
        </is>
      </c>
      <c r="D284" s="115" t="inlineStr">
        <is>
          <t>2026-02-13</t>
        </is>
      </c>
      <c r="E284" s="115" t="inlineStr">
        <is>
          <t>NSE</t>
        </is>
      </c>
      <c r="F284" s="115" t="inlineStr">
        <is>
          <t>EQ</t>
        </is>
      </c>
      <c r="G284" s="115" t="inlineStr">
        <is>
          <t>EQ</t>
        </is>
      </c>
      <c r="H284" s="115" t="inlineStr">
        <is>
          <t>buy</t>
        </is>
      </c>
      <c r="I284" s="115" t="b">
        <v>0</v>
      </c>
      <c r="J284" s="115" t="n">
        <v>5</v>
      </c>
      <c r="K284" s="115" t="n">
        <v>1380.7</v>
      </c>
      <c r="L284" s="116" t="n">
        <v>608658743</v>
      </c>
      <c r="M284" s="116" t="n">
        <v>1300000087615108</v>
      </c>
      <c r="N284" s="115" t="inlineStr">
        <is>
          <t>2026-02-13T15:13:06</t>
        </is>
      </c>
      <c r="O284" s="115" t="inlineStr"/>
    </row>
    <row r="285">
      <c r="A285" s="115" t="inlineStr"/>
      <c r="B285" s="115" t="inlineStr">
        <is>
          <t>CGPOWER</t>
        </is>
      </c>
      <c r="C285" s="115" t="inlineStr">
        <is>
          <t>INE067A01029</t>
        </is>
      </c>
      <c r="D285" s="115" t="inlineStr">
        <is>
          <t>2026-02-20</t>
        </is>
      </c>
      <c r="E285" s="115" t="inlineStr">
        <is>
          <t>NSE</t>
        </is>
      </c>
      <c r="F285" s="115" t="inlineStr">
        <is>
          <t>EQ</t>
        </is>
      </c>
      <c r="G285" s="115" t="inlineStr">
        <is>
          <t>EQ</t>
        </is>
      </c>
      <c r="H285" s="115" t="inlineStr">
        <is>
          <t>buy</t>
        </is>
      </c>
      <c r="I285" s="115" t="b">
        <v>0</v>
      </c>
      <c r="J285" s="115" t="n">
        <v>12</v>
      </c>
      <c r="K285" s="115" t="n">
        <v>714.9</v>
      </c>
      <c r="L285" s="116" t="n">
        <v>4580522</v>
      </c>
      <c r="M285" s="116" t="n">
        <v>1000000061460854</v>
      </c>
      <c r="N285" s="115" t="inlineStr">
        <is>
          <t>2026-02-20T14:54:17</t>
        </is>
      </c>
      <c r="O285" s="115" t="inlineStr"/>
    </row>
    <row r="286">
      <c r="A286" s="115" t="inlineStr"/>
      <c r="B286" s="115" t="inlineStr">
        <is>
          <t>CGPOWER</t>
        </is>
      </c>
      <c r="C286" s="115" t="inlineStr">
        <is>
          <t>INE067A01029</t>
        </is>
      </c>
      <c r="D286" s="115" t="inlineStr">
        <is>
          <t>2026-02-20</t>
        </is>
      </c>
      <c r="E286" s="115" t="inlineStr">
        <is>
          <t>NSE</t>
        </is>
      </c>
      <c r="F286" s="115" t="inlineStr">
        <is>
          <t>EQ</t>
        </is>
      </c>
      <c r="G286" s="115" t="inlineStr">
        <is>
          <t>EQ</t>
        </is>
      </c>
      <c r="H286" s="115" t="inlineStr">
        <is>
          <t>buy</t>
        </is>
      </c>
      <c r="I286" s="115" t="b">
        <v>0</v>
      </c>
      <c r="J286" s="115" t="n">
        <v>15</v>
      </c>
      <c r="K286" s="115" t="n">
        <v>714.9</v>
      </c>
      <c r="L286" s="116" t="n">
        <v>4580523</v>
      </c>
      <c r="M286" s="116" t="n">
        <v>1000000061460854</v>
      </c>
      <c r="N286" s="115" t="inlineStr">
        <is>
          <t>2026-02-20T14:54:17</t>
        </is>
      </c>
      <c r="O286" s="115" t="inlineStr"/>
    </row>
    <row r="287">
      <c r="A287" s="115" t="inlineStr"/>
      <c r="B287" s="115" t="inlineStr">
        <is>
          <t>SBIN</t>
        </is>
      </c>
      <c r="C287" s="115" t="inlineStr">
        <is>
          <t>INE062A01020</t>
        </is>
      </c>
      <c r="D287" s="115" t="inlineStr">
        <is>
          <t>2026-02-20</t>
        </is>
      </c>
      <c r="E287" s="115" t="inlineStr">
        <is>
          <t>BSE</t>
        </is>
      </c>
      <c r="F287" s="115" t="inlineStr">
        <is>
          <t>EQ</t>
        </is>
      </c>
      <c r="G287" s="115" t="inlineStr">
        <is>
          <t>A</t>
        </is>
      </c>
      <c r="H287" s="115" t="inlineStr">
        <is>
          <t>buy</t>
        </is>
      </c>
      <c r="I287" s="115" t="b">
        <v>0</v>
      </c>
      <c r="J287" s="115" t="n">
        <v>28</v>
      </c>
      <c r="K287" s="115" t="n">
        <v>1213.95</v>
      </c>
      <c r="L287" s="116" t="n">
        <v>13253100</v>
      </c>
      <c r="M287" s="116" t="n">
        <v>1.771577768926583e+18</v>
      </c>
      <c r="N287" s="115" t="inlineStr">
        <is>
          <t>2026-02-20T14:55:29</t>
        </is>
      </c>
      <c r="O287" s="115" t="inlineStr"/>
    </row>
    <row r="288">
      <c r="A288" s="115" t="inlineStr"/>
      <c r="B288" s="115" t="inlineStr">
        <is>
          <t>SBIN</t>
        </is>
      </c>
      <c r="C288" s="115" t="inlineStr">
        <is>
          <t>INE062A01020</t>
        </is>
      </c>
      <c r="D288" s="115" t="inlineStr">
        <is>
          <t>2026-02-20</t>
        </is>
      </c>
      <c r="E288" s="115" t="inlineStr">
        <is>
          <t>BSE</t>
        </is>
      </c>
      <c r="F288" s="115" t="inlineStr">
        <is>
          <t>EQ</t>
        </is>
      </c>
      <c r="G288" s="115" t="inlineStr">
        <is>
          <t>A</t>
        </is>
      </c>
      <c r="H288" s="115" t="inlineStr">
        <is>
          <t>buy</t>
        </is>
      </c>
      <c r="I288" s="115" t="b">
        <v>0</v>
      </c>
      <c r="J288" s="115" t="n">
        <v>49</v>
      </c>
      <c r="K288" s="115" t="n">
        <v>1213.6</v>
      </c>
      <c r="L288" s="116" t="n">
        <v>13252800</v>
      </c>
      <c r="M288" s="116" t="n">
        <v>1.771577768926583e+18</v>
      </c>
      <c r="N288" s="115" t="inlineStr">
        <is>
          <t>2026-02-20T14:55:29</t>
        </is>
      </c>
      <c r="O288" s="115" t="inlineStr"/>
    </row>
    <row r="289">
      <c r="A289" s="115" t="inlineStr"/>
      <c r="B289" s="115" t="inlineStr">
        <is>
          <t>SBIN</t>
        </is>
      </c>
      <c r="C289" s="115" t="inlineStr">
        <is>
          <t>INE062A01020</t>
        </is>
      </c>
      <c r="D289" s="115" t="inlineStr">
        <is>
          <t>2026-02-20</t>
        </is>
      </c>
      <c r="E289" s="115" t="inlineStr">
        <is>
          <t>BSE</t>
        </is>
      </c>
      <c r="F289" s="115" t="inlineStr">
        <is>
          <t>EQ</t>
        </is>
      </c>
      <c r="G289" s="115" t="inlineStr">
        <is>
          <t>A</t>
        </is>
      </c>
      <c r="H289" s="115" t="inlineStr">
        <is>
          <t>buy</t>
        </is>
      </c>
      <c r="I289" s="115" t="b">
        <v>0</v>
      </c>
      <c r="J289" s="115" t="n">
        <v>5</v>
      </c>
      <c r="K289" s="115" t="n">
        <v>1214</v>
      </c>
      <c r="L289" s="116" t="n">
        <v>13253400</v>
      </c>
      <c r="M289" s="116" t="n">
        <v>1.771577768926583e+18</v>
      </c>
      <c r="N289" s="115" t="inlineStr">
        <is>
          <t>2026-02-20T14:55:29</t>
        </is>
      </c>
      <c r="O289" s="115" t="inlineStr"/>
    </row>
    <row r="290">
      <c r="A290" s="115" t="inlineStr"/>
      <c r="B290" s="115" t="inlineStr">
        <is>
          <t>JKTYRE</t>
        </is>
      </c>
      <c r="C290" s="115" t="inlineStr">
        <is>
          <t>INE573A01042</t>
        </is>
      </c>
      <c r="D290" s="115" t="inlineStr">
        <is>
          <t>2026-02-20</t>
        </is>
      </c>
      <c r="E290" s="115" t="inlineStr">
        <is>
          <t>BSE</t>
        </is>
      </c>
      <c r="F290" s="115" t="inlineStr">
        <is>
          <t>EQ</t>
        </is>
      </c>
      <c r="G290" s="115" t="inlineStr">
        <is>
          <t>A</t>
        </is>
      </c>
      <c r="H290" s="115" t="inlineStr">
        <is>
          <t>buy</t>
        </is>
      </c>
      <c r="I290" s="115" t="b">
        <v>0</v>
      </c>
      <c r="J290" s="115" t="n">
        <v>14</v>
      </c>
      <c r="K290" s="115" t="n">
        <v>538.9</v>
      </c>
      <c r="L290" s="116" t="n">
        <v>11077300</v>
      </c>
      <c r="M290" s="116" t="n">
        <v>1.77157744033997e+18</v>
      </c>
      <c r="N290" s="115" t="inlineStr">
        <is>
          <t>2026-02-20T14:57:35</t>
        </is>
      </c>
      <c r="O290" s="115" t="inlineStr"/>
    </row>
    <row r="291">
      <c r="A291" s="115" t="inlineStr"/>
      <c r="B291" s="115" t="inlineStr">
        <is>
          <t>JKTYRE</t>
        </is>
      </c>
      <c r="C291" s="115" t="inlineStr">
        <is>
          <t>INE573A01042</t>
        </is>
      </c>
      <c r="D291" s="115" t="inlineStr">
        <is>
          <t>2026-02-20</t>
        </is>
      </c>
      <c r="E291" s="115" t="inlineStr">
        <is>
          <t>BSE</t>
        </is>
      </c>
      <c r="F291" s="115" t="inlineStr">
        <is>
          <t>EQ</t>
        </is>
      </c>
      <c r="G291" s="115" t="inlineStr">
        <is>
          <t>A</t>
        </is>
      </c>
      <c r="H291" s="115" t="inlineStr">
        <is>
          <t>buy</t>
        </is>
      </c>
      <c r="I291" s="115" t="b">
        <v>0</v>
      </c>
      <c r="J291" s="115" t="n">
        <v>23</v>
      </c>
      <c r="K291" s="115" t="n">
        <v>538.85</v>
      </c>
      <c r="L291" s="116" t="n">
        <v>11077100</v>
      </c>
      <c r="M291" s="116" t="n">
        <v>1.77157744033997e+18</v>
      </c>
      <c r="N291" s="115" t="inlineStr">
        <is>
          <t>2026-02-20T14:57:35</t>
        </is>
      </c>
      <c r="O291" s="115" t="inlineStr"/>
    </row>
    <row r="292">
      <c r="A292" s="115" t="inlineStr"/>
      <c r="B292" s="115" t="inlineStr">
        <is>
          <t>JKTYRE</t>
        </is>
      </c>
      <c r="C292" s="115" t="inlineStr">
        <is>
          <t>INE573A01042</t>
        </is>
      </c>
      <c r="D292" s="115" t="inlineStr">
        <is>
          <t>2026-02-20</t>
        </is>
      </c>
      <c r="E292" s="115" t="inlineStr">
        <is>
          <t>BSE</t>
        </is>
      </c>
      <c r="F292" s="115" t="inlineStr">
        <is>
          <t>EQ</t>
        </is>
      </c>
      <c r="G292" s="115" t="inlineStr">
        <is>
          <t>A</t>
        </is>
      </c>
      <c r="H292" s="115" t="inlineStr">
        <is>
          <t>buy</t>
        </is>
      </c>
      <c r="I292" s="115" t="b">
        <v>0</v>
      </c>
      <c r="J292" s="115" t="n">
        <v>56</v>
      </c>
      <c r="K292" s="115" t="n">
        <v>538.95</v>
      </c>
      <c r="L292" s="116" t="n">
        <v>11077500</v>
      </c>
      <c r="M292" s="116" t="n">
        <v>1.77157744033997e+18</v>
      </c>
      <c r="N292" s="115" t="inlineStr">
        <is>
          <t>2026-02-20T14:57:35</t>
        </is>
      </c>
      <c r="O292" s="115" t="inlineStr"/>
    </row>
    <row r="293">
      <c r="A293" s="115" t="inlineStr"/>
      <c r="B293" s="115" t="inlineStr">
        <is>
          <t>TARIL</t>
        </is>
      </c>
      <c r="C293" s="115" t="inlineStr">
        <is>
          <t>INE763I01026</t>
        </is>
      </c>
      <c r="D293" s="115" t="inlineStr">
        <is>
          <t>2026-02-20</t>
        </is>
      </c>
      <c r="E293" s="115" t="inlineStr">
        <is>
          <t>NSE</t>
        </is>
      </c>
      <c r="F293" s="115" t="inlineStr">
        <is>
          <t>EQ</t>
        </is>
      </c>
      <c r="G293" s="115" t="inlineStr">
        <is>
          <t>EQ</t>
        </is>
      </c>
      <c r="H293" s="115" t="inlineStr">
        <is>
          <t>buy</t>
        </is>
      </c>
      <c r="I293" s="115" t="b">
        <v>0</v>
      </c>
      <c r="J293" s="115" t="n">
        <v>2</v>
      </c>
      <c r="K293" s="115" t="n">
        <v>314.69</v>
      </c>
      <c r="L293" s="116" t="n">
        <v>606311000</v>
      </c>
      <c r="M293" s="116" t="n">
        <v>1300000076352903</v>
      </c>
      <c r="N293" s="115" t="inlineStr">
        <is>
          <t>2026-02-20T15:09:31</t>
        </is>
      </c>
      <c r="O293" s="115" t="inlineStr"/>
    </row>
    <row r="294">
      <c r="A294" s="115" t="inlineStr"/>
      <c r="B294" s="115" t="inlineStr">
        <is>
          <t>TARIL</t>
        </is>
      </c>
      <c r="C294" s="115" t="inlineStr">
        <is>
          <t>INE763I01026</t>
        </is>
      </c>
      <c r="D294" s="115" t="inlineStr">
        <is>
          <t>2026-02-20</t>
        </is>
      </c>
      <c r="E294" s="115" t="inlineStr">
        <is>
          <t>NSE</t>
        </is>
      </c>
      <c r="F294" s="115" t="inlineStr">
        <is>
          <t>EQ</t>
        </is>
      </c>
      <c r="G294" s="115" t="inlineStr">
        <is>
          <t>EQ</t>
        </is>
      </c>
      <c r="H294" s="115" t="inlineStr">
        <is>
          <t>buy</t>
        </is>
      </c>
      <c r="I294" s="115" t="b">
        <v>0</v>
      </c>
      <c r="J294" s="115" t="n">
        <v>78</v>
      </c>
      <c r="K294" s="115" t="n">
        <v>314.7</v>
      </c>
      <c r="L294" s="116" t="n">
        <v>606311001</v>
      </c>
      <c r="M294" s="116" t="n">
        <v>1300000076352903</v>
      </c>
      <c r="N294" s="115" t="inlineStr">
        <is>
          <t>2026-02-20T15:09:31</t>
        </is>
      </c>
      <c r="O294" s="115" t="inlineStr"/>
    </row>
    <row r="295">
      <c r="A295" s="115" t="inlineStr"/>
      <c r="B295" s="115" t="inlineStr">
        <is>
          <t>IOC</t>
        </is>
      </c>
      <c r="C295" s="115" t="inlineStr">
        <is>
          <t>INE242A01010</t>
        </is>
      </c>
      <c r="D295" s="115" t="inlineStr">
        <is>
          <t>2026-02-27</t>
        </is>
      </c>
      <c r="E295" s="115" t="inlineStr">
        <is>
          <t>BSE</t>
        </is>
      </c>
      <c r="F295" s="115" t="inlineStr">
        <is>
          <t>EQ</t>
        </is>
      </c>
      <c r="G295" s="115" t="inlineStr">
        <is>
          <t>A</t>
        </is>
      </c>
      <c r="H295" s="115" t="inlineStr">
        <is>
          <t>buy</t>
        </is>
      </c>
      <c r="I295" s="115" t="b">
        <v>0</v>
      </c>
      <c r="J295" s="115" t="n">
        <v>266</v>
      </c>
      <c r="K295" s="115" t="n">
        <v>188.15</v>
      </c>
      <c r="L295" s="116" t="n">
        <v>22055000</v>
      </c>
      <c r="M295" s="116" t="n">
        <v>1.772179817893634e+18</v>
      </c>
      <c r="N295" s="115" t="inlineStr">
        <is>
          <t>2026-02-27T14:12:27</t>
        </is>
      </c>
      <c r="O295" s="115" t="inlineStr"/>
    </row>
    <row r="296">
      <c r="A296" s="115" t="inlineStr"/>
      <c r="B296" s="115" t="inlineStr">
        <is>
          <t>TDPOWERSYS</t>
        </is>
      </c>
      <c r="C296" s="115" t="inlineStr">
        <is>
          <t>INE419M01027</t>
        </is>
      </c>
      <c r="D296" s="115" t="inlineStr">
        <is>
          <t>2026-02-27</t>
        </is>
      </c>
      <c r="E296" s="115" t="inlineStr">
        <is>
          <t>BSE</t>
        </is>
      </c>
      <c r="F296" s="115" t="inlineStr">
        <is>
          <t>EQ</t>
        </is>
      </c>
      <c r="G296" s="115" t="inlineStr">
        <is>
          <t>A</t>
        </is>
      </c>
      <c r="H296" s="115" t="inlineStr">
        <is>
          <t>buy</t>
        </is>
      </c>
      <c r="I296" s="115" t="b">
        <v>0</v>
      </c>
      <c r="J296" s="115" t="n">
        <v>45</v>
      </c>
      <c r="K296" s="115" t="n">
        <v>908</v>
      </c>
      <c r="L296" s="116" t="n">
        <v>6795400</v>
      </c>
      <c r="M296" s="116" t="n">
        <v>1.772177663956602e+18</v>
      </c>
      <c r="N296" s="115" t="inlineStr">
        <is>
          <t>2026-02-27T14:16:17</t>
        </is>
      </c>
      <c r="O296" s="115" t="inlineStr"/>
    </row>
    <row r="297">
      <c r="A297" s="115" t="inlineStr"/>
      <c r="B297" s="115" t="inlineStr">
        <is>
          <t>RAJRATAN</t>
        </is>
      </c>
      <c r="C297" s="115" t="inlineStr">
        <is>
          <t>INE451D01029</t>
        </is>
      </c>
      <c r="D297" s="115" t="inlineStr">
        <is>
          <t>2026-02-27</t>
        </is>
      </c>
      <c r="E297" s="115" t="inlineStr">
        <is>
          <t>BSE</t>
        </is>
      </c>
      <c r="F297" s="115" t="inlineStr">
        <is>
          <t>EQ</t>
        </is>
      </c>
      <c r="G297" s="115" t="inlineStr">
        <is>
          <t>B</t>
        </is>
      </c>
      <c r="H297" s="115" t="inlineStr">
        <is>
          <t>sell</t>
        </is>
      </c>
      <c r="I297" s="115" t="b">
        <v>0</v>
      </c>
      <c r="J297" s="115" t="n">
        <v>10</v>
      </c>
      <c r="K297" s="115" t="n">
        <v>419.3</v>
      </c>
      <c r="L297" s="116" t="n">
        <v>4846000</v>
      </c>
      <c r="M297" s="116" t="n">
        <v>1.772179653217511e+18</v>
      </c>
      <c r="N297" s="115" t="inlineStr">
        <is>
          <t>2026-02-27T14:24:28</t>
        </is>
      </c>
      <c r="O297" s="115" t="inlineStr"/>
    </row>
    <row r="298">
      <c r="A298" s="115" t="inlineStr"/>
      <c r="B298" s="115" t="inlineStr">
        <is>
          <t>MAHABANK</t>
        </is>
      </c>
      <c r="C298" s="115" t="inlineStr">
        <is>
          <t>INE457A01014</t>
        </is>
      </c>
      <c r="D298" s="115" t="inlineStr">
        <is>
          <t>2026-02-27</t>
        </is>
      </c>
      <c r="E298" s="115" t="inlineStr">
        <is>
          <t>NSE</t>
        </is>
      </c>
      <c r="F298" s="115" t="inlineStr">
        <is>
          <t>EQ</t>
        </is>
      </c>
      <c r="G298" s="115" t="inlineStr">
        <is>
          <t>EQ</t>
        </is>
      </c>
      <c r="H298" s="115" t="inlineStr">
        <is>
          <t>buy</t>
        </is>
      </c>
      <c r="I298" s="115" t="b">
        <v>0</v>
      </c>
      <c r="J298" s="115" t="n">
        <v>340</v>
      </c>
      <c r="K298" s="115" t="n">
        <v>75</v>
      </c>
      <c r="L298" s="116" t="n">
        <v>406697576</v>
      </c>
      <c r="M298" s="116" t="n">
        <v>1200000075865702</v>
      </c>
      <c r="N298" s="115" t="inlineStr">
        <is>
          <t>2026-02-27T15:13:26</t>
        </is>
      </c>
      <c r="O298" s="115" t="inlineStr"/>
    </row>
    <row r="299">
      <c r="A299" s="115" t="inlineStr"/>
      <c r="B299" s="115" t="inlineStr">
        <is>
          <t>JKTYRE</t>
        </is>
      </c>
      <c r="C299" s="115" t="inlineStr">
        <is>
          <t>INE573A01042</t>
        </is>
      </c>
      <c r="D299" s="115" t="inlineStr">
        <is>
          <t>2026-03-02</t>
        </is>
      </c>
      <c r="E299" s="115" t="inlineStr">
        <is>
          <t>BSE</t>
        </is>
      </c>
      <c r="F299" s="115" t="inlineStr">
        <is>
          <t>EQ</t>
        </is>
      </c>
      <c r="G299" s="115" t="inlineStr">
        <is>
          <t>A</t>
        </is>
      </c>
      <c r="H299" s="115" t="inlineStr">
        <is>
          <t>sell</t>
        </is>
      </c>
      <c r="I299" s="115" t="b">
        <v>0</v>
      </c>
      <c r="J299" s="115" t="n">
        <v>196</v>
      </c>
      <c r="K299" s="115" t="n">
        <v>420.4</v>
      </c>
      <c r="L299" s="116" t="n">
        <v>81200</v>
      </c>
      <c r="M299" s="116" t="n">
        <v>1.772422200326002e+18</v>
      </c>
      <c r="N299" s="115" t="inlineStr">
        <is>
          <t>2026-03-02T09:00:08</t>
        </is>
      </c>
      <c r="O299" s="115" t="inlineStr"/>
    </row>
    <row r="300">
      <c r="A300" s="115" t="inlineStr"/>
      <c r="B300" s="115" t="inlineStr">
        <is>
          <t>BEL</t>
        </is>
      </c>
      <c r="C300" s="115" t="inlineStr">
        <is>
          <t>INE263A01024</t>
        </is>
      </c>
      <c r="D300" s="115" t="inlineStr">
        <is>
          <t>2026-03-06</t>
        </is>
      </c>
      <c r="E300" s="115" t="inlineStr">
        <is>
          <t>BSE</t>
        </is>
      </c>
      <c r="F300" s="115" t="inlineStr">
        <is>
          <t>EQ</t>
        </is>
      </c>
      <c r="G300" s="115" t="inlineStr">
        <is>
          <t>A</t>
        </is>
      </c>
      <c r="H300" s="115" t="inlineStr">
        <is>
          <t>buy</t>
        </is>
      </c>
      <c r="I300" s="115" t="b">
        <v>0</v>
      </c>
      <c r="J300" s="115" t="n">
        <v>54</v>
      </c>
      <c r="K300" s="115" t="n">
        <v>468.3</v>
      </c>
      <c r="L300" s="116" t="n">
        <v>12056500</v>
      </c>
      <c r="M300" s="116" t="n">
        <v>1.772786628145884e+18</v>
      </c>
      <c r="N300" s="115" t="inlineStr">
        <is>
          <t>2026-03-06T15:06:07</t>
        </is>
      </c>
      <c r="O300" s="115" t="inlineStr"/>
    </row>
    <row r="301">
      <c r="A301" s="115" t="inlineStr"/>
      <c r="B301" s="115" t="inlineStr">
        <is>
          <t>MRPL</t>
        </is>
      </c>
      <c r="C301" s="115" t="inlineStr">
        <is>
          <t>INE103A01014</t>
        </is>
      </c>
      <c r="D301" s="115" t="inlineStr">
        <is>
          <t>2026-03-06</t>
        </is>
      </c>
      <c r="E301" s="115" t="inlineStr">
        <is>
          <t>NSE</t>
        </is>
      </c>
      <c r="F301" s="115" t="inlineStr">
        <is>
          <t>EQ</t>
        </is>
      </c>
      <c r="G301" s="115" t="inlineStr">
        <is>
          <t>EQ</t>
        </is>
      </c>
      <c r="H301" s="115" t="inlineStr">
        <is>
          <t>buy</t>
        </is>
      </c>
      <c r="I301" s="115" t="b">
        <v>0</v>
      </c>
      <c r="J301" s="115" t="n">
        <v>42</v>
      </c>
      <c r="K301" s="115" t="n">
        <v>206.6</v>
      </c>
      <c r="L301" s="116" t="n">
        <v>408247693</v>
      </c>
      <c r="M301" s="116" t="n">
        <v>1200000077068736</v>
      </c>
      <c r="N301" s="115" t="inlineStr">
        <is>
          <t>2026-03-06T15:29:10</t>
        </is>
      </c>
      <c r="O301" s="115" t="inlineStr"/>
    </row>
    <row r="302">
      <c r="A302" s="115" t="inlineStr"/>
      <c r="B302" s="115" t="inlineStr">
        <is>
          <t>MRPL</t>
        </is>
      </c>
      <c r="C302" s="115" t="inlineStr">
        <is>
          <t>INE103A01014</t>
        </is>
      </c>
      <c r="D302" s="115" t="inlineStr">
        <is>
          <t>2026-03-06</t>
        </is>
      </c>
      <c r="E302" s="115" t="inlineStr">
        <is>
          <t>NSE</t>
        </is>
      </c>
      <c r="F302" s="115" t="inlineStr">
        <is>
          <t>EQ</t>
        </is>
      </c>
      <c r="G302" s="115" t="inlineStr">
        <is>
          <t>EQ</t>
        </is>
      </c>
      <c r="H302" s="115" t="inlineStr">
        <is>
          <t>buy</t>
        </is>
      </c>
      <c r="I302" s="115" t="b">
        <v>0</v>
      </c>
      <c r="J302" s="115" t="n">
        <v>79</v>
      </c>
      <c r="K302" s="115" t="n">
        <v>206.6</v>
      </c>
      <c r="L302" s="116" t="n">
        <v>408247694</v>
      </c>
      <c r="M302" s="116" t="n">
        <v>1200000077068736</v>
      </c>
      <c r="N302" s="115" t="inlineStr">
        <is>
          <t>2026-03-06T15:29:10</t>
        </is>
      </c>
      <c r="O302" s="115" t="inlineStr"/>
    </row>
    <row r="303">
      <c r="A303" s="115" t="inlineStr"/>
      <c r="B303" s="115" t="inlineStr">
        <is>
          <t>SUPREMEIND</t>
        </is>
      </c>
      <c r="C303" s="115" t="inlineStr">
        <is>
          <t>INE195A01028</t>
        </is>
      </c>
      <c r="D303" s="115" t="inlineStr">
        <is>
          <t>2025-10-03</t>
        </is>
      </c>
      <c r="E303" s="115" t="inlineStr">
        <is>
          <t>NSE</t>
        </is>
      </c>
      <c r="F303" s="115" t="inlineStr">
        <is>
          <t>EQ</t>
        </is>
      </c>
      <c r="G303" s="115" t="inlineStr">
        <is>
          <t>EQ</t>
        </is>
      </c>
      <c r="H303" s="115" t="inlineStr">
        <is>
          <t>sell</t>
        </is>
      </c>
      <c r="I303" s="115" t="b">
        <v>0</v>
      </c>
      <c r="J303" s="115" t="n">
        <v>2</v>
      </c>
      <c r="K303" s="115" t="n">
        <v>4180.2002</v>
      </c>
      <c r="L303" s="116" t="n">
        <v>602393096</v>
      </c>
      <c r="M303" s="116" t="n">
        <v>1300000019368715</v>
      </c>
      <c r="N303" s="115" t="inlineStr">
        <is>
          <t>2025-10-03T10:12:04</t>
        </is>
      </c>
      <c r="O303" s="115" t="inlineStr"/>
    </row>
    <row r="304">
      <c r="A304" s="115" t="inlineStr"/>
      <c r="B304" s="115" t="inlineStr">
        <is>
          <t>SUPREMEIND</t>
        </is>
      </c>
      <c r="C304" s="115" t="inlineStr">
        <is>
          <t>INE195A01028</t>
        </is>
      </c>
      <c r="D304" s="115" t="inlineStr">
        <is>
          <t>2025-10-03</t>
        </is>
      </c>
      <c r="E304" s="115" t="inlineStr">
        <is>
          <t>NSE</t>
        </is>
      </c>
      <c r="F304" s="115" t="inlineStr">
        <is>
          <t>EQ</t>
        </is>
      </c>
      <c r="G304" s="115" t="inlineStr">
        <is>
          <t>EQ</t>
        </is>
      </c>
      <c r="H304" s="115" t="inlineStr">
        <is>
          <t>sell</t>
        </is>
      </c>
      <c r="I304" s="115" t="b">
        <v>0</v>
      </c>
      <c r="J304" s="115" t="n">
        <v>1</v>
      </c>
      <c r="K304" s="115" t="n">
        <v>4180.2002</v>
      </c>
      <c r="L304" s="116" t="n">
        <v>602393097</v>
      </c>
      <c r="M304" s="116" t="n">
        <v>1300000019368715</v>
      </c>
      <c r="N304" s="115" t="inlineStr">
        <is>
          <t>2025-10-03T10:12:04</t>
        </is>
      </c>
      <c r="O304" s="115" t="inlineStr"/>
    </row>
    <row r="305">
      <c r="A305" s="115" t="inlineStr"/>
      <c r="B305" s="115" t="inlineStr">
        <is>
          <t>SUPREMEIND</t>
        </is>
      </c>
      <c r="C305" s="115" t="inlineStr">
        <is>
          <t>INE195A01028</t>
        </is>
      </c>
      <c r="D305" s="115" t="inlineStr">
        <is>
          <t>2025-10-03</t>
        </is>
      </c>
      <c r="E305" s="115" t="inlineStr">
        <is>
          <t>NSE</t>
        </is>
      </c>
      <c r="F305" s="115" t="inlineStr">
        <is>
          <t>EQ</t>
        </is>
      </c>
      <c r="G305" s="115" t="inlineStr">
        <is>
          <t>EQ</t>
        </is>
      </c>
      <c r="H305" s="115" t="inlineStr">
        <is>
          <t>sell</t>
        </is>
      </c>
      <c r="I305" s="115" t="b">
        <v>0</v>
      </c>
      <c r="J305" s="115" t="n">
        <v>1</v>
      </c>
      <c r="K305" s="115" t="n">
        <v>4180.2002</v>
      </c>
      <c r="L305" s="116" t="n">
        <v>602393094</v>
      </c>
      <c r="M305" s="116" t="n">
        <v>1300000019368715</v>
      </c>
      <c r="N305" s="115" t="inlineStr">
        <is>
          <t>2025-10-03T10:12:04</t>
        </is>
      </c>
      <c r="O305" s="115" t="inlineStr"/>
    </row>
    <row r="306">
      <c r="A306" s="115" t="inlineStr"/>
      <c r="B306" s="115" t="inlineStr">
        <is>
          <t>CIPLA</t>
        </is>
      </c>
      <c r="C306" s="115" t="inlineStr">
        <is>
          <t>INE059A01026</t>
        </is>
      </c>
      <c r="D306" s="115" t="inlineStr">
        <is>
          <t>2026-02-02</t>
        </is>
      </c>
      <c r="E306" s="115" t="inlineStr">
        <is>
          <t>NSE</t>
        </is>
      </c>
      <c r="F306" s="115" t="inlineStr">
        <is>
          <t>EQ</t>
        </is>
      </c>
      <c r="G306" s="115" t="inlineStr">
        <is>
          <t>EQ</t>
        </is>
      </c>
      <c r="H306" s="115" t="inlineStr">
        <is>
          <t>sell</t>
        </is>
      </c>
      <c r="I306" s="115" t="b">
        <v>0</v>
      </c>
      <c r="J306" s="115" t="n">
        <v>1</v>
      </c>
      <c r="K306" s="115" t="n">
        <v>1299.4</v>
      </c>
      <c r="L306" s="116" t="n">
        <v>4407184</v>
      </c>
      <c r="M306" s="116" t="n">
        <v>1000000050030745</v>
      </c>
      <c r="N306" s="115" t="inlineStr">
        <is>
          <t>2026-02-02T12:08:58</t>
        </is>
      </c>
      <c r="O306" s="115" t="inlineStr"/>
    </row>
    <row r="307">
      <c r="A307" s="115" t="inlineStr"/>
      <c r="B307" s="115" t="inlineStr">
        <is>
          <t>POONAWALLA</t>
        </is>
      </c>
      <c r="C307" s="115" t="inlineStr">
        <is>
          <t>INE511C01022</t>
        </is>
      </c>
      <c r="D307" s="115" t="inlineStr">
        <is>
          <t>2025-10-27</t>
        </is>
      </c>
      <c r="E307" s="115" t="inlineStr">
        <is>
          <t>NSE</t>
        </is>
      </c>
      <c r="F307" s="115" t="inlineStr">
        <is>
          <t>EQ</t>
        </is>
      </c>
      <c r="G307" s="115" t="inlineStr">
        <is>
          <t>EQ</t>
        </is>
      </c>
      <c r="H307" s="115" t="inlineStr">
        <is>
          <t>sell</t>
        </is>
      </c>
      <c r="I307" s="115" t="b">
        <v>0</v>
      </c>
      <c r="J307" s="115" t="n">
        <v>2</v>
      </c>
      <c r="K307" s="115" t="n">
        <v>482.05</v>
      </c>
      <c r="L307" s="116" t="n">
        <v>400073760</v>
      </c>
      <c r="M307" s="116" t="n">
        <v>1200000000472402</v>
      </c>
      <c r="N307" s="115" t="inlineStr">
        <is>
          <t>2025-10-27T09:15:24</t>
        </is>
      </c>
      <c r="O307" s="115" t="inlineStr"/>
    </row>
    <row r="308">
      <c r="A308" s="115" t="inlineStr"/>
      <c r="B308" s="115" t="inlineStr">
        <is>
          <t>POONAWALLA</t>
        </is>
      </c>
      <c r="C308" s="115" t="inlineStr">
        <is>
          <t>INE511C01022</t>
        </is>
      </c>
      <c r="D308" s="115" t="inlineStr">
        <is>
          <t>2025-10-27</t>
        </is>
      </c>
      <c r="E308" s="115" t="inlineStr">
        <is>
          <t>NSE</t>
        </is>
      </c>
      <c r="F308" s="115" t="inlineStr">
        <is>
          <t>EQ</t>
        </is>
      </c>
      <c r="G308" s="115" t="inlineStr">
        <is>
          <t>EQ</t>
        </is>
      </c>
      <c r="H308" s="115" t="inlineStr">
        <is>
          <t>sell</t>
        </is>
      </c>
      <c r="I308" s="115" t="b">
        <v>0</v>
      </c>
      <c r="J308" s="115" t="n">
        <v>2</v>
      </c>
      <c r="K308" s="115" t="n">
        <v>482</v>
      </c>
      <c r="L308" s="116" t="n">
        <v>400073765</v>
      </c>
      <c r="M308" s="116" t="n">
        <v>1200000000472402</v>
      </c>
      <c r="N308" s="115" t="inlineStr">
        <is>
          <t>2025-10-27T09:15:24</t>
        </is>
      </c>
      <c r="O308" s="115" t="inlineStr"/>
    </row>
    <row r="309">
      <c r="A309" s="115" t="inlineStr"/>
      <c r="B309" s="115" t="inlineStr">
        <is>
          <t>POONAWALLA</t>
        </is>
      </c>
      <c r="C309" s="115" t="inlineStr">
        <is>
          <t>INE511C01022</t>
        </is>
      </c>
      <c r="D309" s="115" t="inlineStr">
        <is>
          <t>2025-10-27</t>
        </is>
      </c>
      <c r="E309" s="115" t="inlineStr">
        <is>
          <t>NSE</t>
        </is>
      </c>
      <c r="F309" s="115" t="inlineStr">
        <is>
          <t>EQ</t>
        </is>
      </c>
      <c r="G309" s="115" t="inlineStr">
        <is>
          <t>EQ</t>
        </is>
      </c>
      <c r="H309" s="115" t="inlineStr">
        <is>
          <t>sell</t>
        </is>
      </c>
      <c r="I309" s="115" t="b">
        <v>0</v>
      </c>
      <c r="J309" s="115" t="n">
        <v>2</v>
      </c>
      <c r="K309" s="115" t="n">
        <v>482.05</v>
      </c>
      <c r="L309" s="116" t="n">
        <v>400073754</v>
      </c>
      <c r="M309" s="116" t="n">
        <v>1200000000472402</v>
      </c>
      <c r="N309" s="115" t="inlineStr">
        <is>
          <t>2025-10-27T09:15:24</t>
        </is>
      </c>
      <c r="O309" s="115" t="inlineStr"/>
    </row>
    <row r="310">
      <c r="A310" s="115" t="inlineStr"/>
      <c r="B310" s="115" t="inlineStr">
        <is>
          <t>POONAWALLA</t>
        </is>
      </c>
      <c r="C310" s="115" t="inlineStr">
        <is>
          <t>INE511C01022</t>
        </is>
      </c>
      <c r="D310" s="115" t="inlineStr">
        <is>
          <t>2025-10-27</t>
        </is>
      </c>
      <c r="E310" s="115" t="inlineStr">
        <is>
          <t>NSE</t>
        </is>
      </c>
      <c r="F310" s="115" t="inlineStr">
        <is>
          <t>EQ</t>
        </is>
      </c>
      <c r="G310" s="115" t="inlineStr">
        <is>
          <t>EQ</t>
        </is>
      </c>
      <c r="H310" s="115" t="inlineStr">
        <is>
          <t>sell</t>
        </is>
      </c>
      <c r="I310" s="115" t="b">
        <v>0</v>
      </c>
      <c r="J310" s="115" t="n">
        <v>17</v>
      </c>
      <c r="K310" s="115" t="n">
        <v>482.05</v>
      </c>
      <c r="L310" s="116" t="n">
        <v>400073757</v>
      </c>
      <c r="M310" s="116" t="n">
        <v>1200000000472402</v>
      </c>
      <c r="N310" s="115" t="inlineStr">
        <is>
          <t>2025-10-27T09:15:24</t>
        </is>
      </c>
      <c r="O310" s="115" t="inlineStr"/>
    </row>
    <row r="311">
      <c r="A311" s="115" t="inlineStr"/>
      <c r="B311" s="115" t="inlineStr">
        <is>
          <t>POONAWALLA</t>
        </is>
      </c>
      <c r="C311" s="115" t="inlineStr">
        <is>
          <t>INE511C01022</t>
        </is>
      </c>
      <c r="D311" s="115" t="inlineStr">
        <is>
          <t>2025-10-27</t>
        </is>
      </c>
      <c r="E311" s="115" t="inlineStr">
        <is>
          <t>NSE</t>
        </is>
      </c>
      <c r="F311" s="115" t="inlineStr">
        <is>
          <t>EQ</t>
        </is>
      </c>
      <c r="G311" s="115" t="inlineStr">
        <is>
          <t>EQ</t>
        </is>
      </c>
      <c r="H311" s="115" t="inlineStr">
        <is>
          <t>sell</t>
        </is>
      </c>
      <c r="I311" s="115" t="b">
        <v>0</v>
      </c>
      <c r="J311" s="115" t="n">
        <v>2</v>
      </c>
      <c r="K311" s="115" t="n">
        <v>482.05</v>
      </c>
      <c r="L311" s="116" t="n">
        <v>400073758</v>
      </c>
      <c r="M311" s="116" t="n">
        <v>1200000000472402</v>
      </c>
      <c r="N311" s="115" t="inlineStr">
        <is>
          <t>2025-10-27T09:15:24</t>
        </is>
      </c>
      <c r="O311" s="115" t="inlineStr"/>
    </row>
    <row r="312">
      <c r="A312" s="115" t="inlineStr"/>
      <c r="B312" s="115" t="inlineStr">
        <is>
          <t>TDPOWERSYS</t>
        </is>
      </c>
      <c r="C312" s="115" t="inlineStr">
        <is>
          <t>INE419M01027</t>
        </is>
      </c>
      <c r="D312" s="115" t="inlineStr">
        <is>
          <t>2026-03-09</t>
        </is>
      </c>
      <c r="E312" s="115" t="inlineStr">
        <is>
          <t>BSE</t>
        </is>
      </c>
      <c r="F312" s="115" t="inlineStr">
        <is>
          <t>EQ</t>
        </is>
      </c>
      <c r="G312" s="115" t="inlineStr">
        <is>
          <t>A</t>
        </is>
      </c>
      <c r="H312" s="115" t="inlineStr">
        <is>
          <t>buy</t>
        </is>
      </c>
      <c r="I312" s="115" t="b">
        <v>0</v>
      </c>
      <c r="J312" s="115" t="n">
        <v>14</v>
      </c>
      <c r="K312" s="115" t="n">
        <v>846.65</v>
      </c>
      <c r="L312" s="116" t="n">
        <v>12948500</v>
      </c>
      <c r="M312" s="116" t="n">
        <v>1.773048415174157e+18</v>
      </c>
      <c r="N312" s="115" t="inlineStr">
        <is>
          <t>2026-03-09T15:08:32</t>
        </is>
      </c>
      <c r="O312" s="115" t="inlineStr"/>
    </row>
    <row r="313">
      <c r="A313" s="115" t="inlineStr"/>
      <c r="B313" s="115" t="inlineStr">
        <is>
          <t>TDPOWERSYS</t>
        </is>
      </c>
      <c r="C313" s="115" t="inlineStr">
        <is>
          <t>INE419M01027</t>
        </is>
      </c>
      <c r="D313" s="115" t="inlineStr">
        <is>
          <t>2026-03-09</t>
        </is>
      </c>
      <c r="E313" s="115" t="inlineStr">
        <is>
          <t>BSE</t>
        </is>
      </c>
      <c r="F313" s="115" t="inlineStr">
        <is>
          <t>EQ</t>
        </is>
      </c>
      <c r="G313" s="115" t="inlineStr">
        <is>
          <t>A</t>
        </is>
      </c>
      <c r="H313" s="115" t="inlineStr">
        <is>
          <t>buy</t>
        </is>
      </c>
      <c r="I313" s="115" t="b">
        <v>0</v>
      </c>
      <c r="J313" s="115" t="n">
        <v>14</v>
      </c>
      <c r="K313" s="115" t="n">
        <v>847.3</v>
      </c>
      <c r="L313" s="116" t="n">
        <v>12949700</v>
      </c>
      <c r="M313" s="116" t="n">
        <v>1.773048415174157e+18</v>
      </c>
      <c r="N313" s="115" t="inlineStr">
        <is>
          <t>2026-03-09T15:08:32</t>
        </is>
      </c>
      <c r="O313" s="115" t="inlineStr"/>
    </row>
    <row r="314">
      <c r="A314" s="115" t="inlineStr"/>
      <c r="B314" s="115" t="inlineStr">
        <is>
          <t>TDPOWERSYS</t>
        </is>
      </c>
      <c r="C314" s="115" t="inlineStr">
        <is>
          <t>INE419M01027</t>
        </is>
      </c>
      <c r="D314" s="115" t="inlineStr">
        <is>
          <t>2026-03-09</t>
        </is>
      </c>
      <c r="E314" s="115" t="inlineStr">
        <is>
          <t>BSE</t>
        </is>
      </c>
      <c r="F314" s="115" t="inlineStr">
        <is>
          <t>EQ</t>
        </is>
      </c>
      <c r="G314" s="115" t="inlineStr">
        <is>
          <t>A</t>
        </is>
      </c>
      <c r="H314" s="115" t="inlineStr">
        <is>
          <t>buy</t>
        </is>
      </c>
      <c r="I314" s="115" t="b">
        <v>0</v>
      </c>
      <c r="J314" s="115" t="n">
        <v>20</v>
      </c>
      <c r="K314" s="115" t="n">
        <v>847.15</v>
      </c>
      <c r="L314" s="116" t="n">
        <v>12949500</v>
      </c>
      <c r="M314" s="116" t="n">
        <v>1.773048415174157e+18</v>
      </c>
      <c r="N314" s="115" t="inlineStr">
        <is>
          <t>2026-03-09T15:08:32</t>
        </is>
      </c>
      <c r="O314" s="115" t="inlineStr"/>
    </row>
    <row r="315">
      <c r="A315" s="115" t="inlineStr"/>
      <c r="B315" s="115" t="inlineStr">
        <is>
          <t>TDPOWERSYS</t>
        </is>
      </c>
      <c r="C315" s="115" t="inlineStr">
        <is>
          <t>INE419M01027</t>
        </is>
      </c>
      <c r="D315" s="115" t="inlineStr">
        <is>
          <t>2026-03-09</t>
        </is>
      </c>
      <c r="E315" s="115" t="inlineStr">
        <is>
          <t>BSE</t>
        </is>
      </c>
      <c r="F315" s="115" t="inlineStr">
        <is>
          <t>EQ</t>
        </is>
      </c>
      <c r="G315" s="115" t="inlineStr">
        <is>
          <t>A</t>
        </is>
      </c>
      <c r="H315" s="115" t="inlineStr">
        <is>
          <t>buy</t>
        </is>
      </c>
      <c r="I315" s="115" t="b">
        <v>0</v>
      </c>
      <c r="J315" s="115" t="n">
        <v>27</v>
      </c>
      <c r="K315" s="115" t="n">
        <v>846.75</v>
      </c>
      <c r="L315" s="116" t="n">
        <v>12948800</v>
      </c>
      <c r="M315" s="116" t="n">
        <v>1.773048415174157e+18</v>
      </c>
      <c r="N315" s="115" t="inlineStr">
        <is>
          <t>2026-03-09T15:08:32</t>
        </is>
      </c>
      <c r="O315" s="115" t="inlineStr"/>
    </row>
    <row r="316">
      <c r="A316" s="115" t="inlineStr"/>
      <c r="B316" s="115" t="inlineStr">
        <is>
          <t>TDPOWERSYS</t>
        </is>
      </c>
      <c r="C316" s="115" t="inlineStr">
        <is>
          <t>INE419M01027</t>
        </is>
      </c>
      <c r="D316" s="115" t="inlineStr">
        <is>
          <t>2026-03-09</t>
        </is>
      </c>
      <c r="E316" s="115" t="inlineStr">
        <is>
          <t>BSE</t>
        </is>
      </c>
      <c r="F316" s="115" t="inlineStr">
        <is>
          <t>EQ</t>
        </is>
      </c>
      <c r="G316" s="115" t="inlineStr">
        <is>
          <t>A</t>
        </is>
      </c>
      <c r="H316" s="115" t="inlineStr">
        <is>
          <t>buy</t>
        </is>
      </c>
      <c r="I316" s="115" t="b">
        <v>0</v>
      </c>
      <c r="J316" s="115" t="n">
        <v>28</v>
      </c>
      <c r="K316" s="115" t="n">
        <v>846.9</v>
      </c>
      <c r="L316" s="116" t="n">
        <v>12949300</v>
      </c>
      <c r="M316" s="116" t="n">
        <v>1.773048415174157e+18</v>
      </c>
      <c r="N316" s="115" t="inlineStr">
        <is>
          <t>2026-03-09T15:08:32</t>
        </is>
      </c>
      <c r="O316" s="115" t="inlineStr"/>
    </row>
    <row r="317">
      <c r="A317" s="115" t="inlineStr"/>
      <c r="B317" s="115" t="inlineStr">
        <is>
          <t>TDPOWERSYS</t>
        </is>
      </c>
      <c r="C317" s="115" t="inlineStr">
        <is>
          <t>INE419M01027</t>
        </is>
      </c>
      <c r="D317" s="115" t="inlineStr">
        <is>
          <t>2026-03-09</t>
        </is>
      </c>
      <c r="E317" s="115" t="inlineStr">
        <is>
          <t>BSE</t>
        </is>
      </c>
      <c r="F317" s="115" t="inlineStr">
        <is>
          <t>EQ</t>
        </is>
      </c>
      <c r="G317" s="115" t="inlineStr">
        <is>
          <t>A</t>
        </is>
      </c>
      <c r="H317" s="115" t="inlineStr">
        <is>
          <t>buy</t>
        </is>
      </c>
      <c r="I317" s="115" t="b">
        <v>0</v>
      </c>
      <c r="J317" s="115" t="n">
        <v>6</v>
      </c>
      <c r="K317" s="115" t="n">
        <v>846.85</v>
      </c>
      <c r="L317" s="116" t="n">
        <v>12949000</v>
      </c>
      <c r="M317" s="116" t="n">
        <v>1.773048415174157e+18</v>
      </c>
      <c r="N317" s="115" t="inlineStr">
        <is>
          <t>2026-03-09T15:08:32</t>
        </is>
      </c>
      <c r="O317" s="115" t="inlineStr"/>
    </row>
    <row r="318">
      <c r="A318" s="115" t="inlineStr"/>
      <c r="B318" s="115" t="inlineStr">
        <is>
          <t>TDPOWERSYS</t>
        </is>
      </c>
      <c r="C318" s="115" t="inlineStr">
        <is>
          <t>INE419M01027</t>
        </is>
      </c>
      <c r="D318" s="115" t="inlineStr">
        <is>
          <t>2026-03-09</t>
        </is>
      </c>
      <c r="E318" s="115" t="inlineStr">
        <is>
          <t>BSE</t>
        </is>
      </c>
      <c r="F318" s="115" t="inlineStr">
        <is>
          <t>EQ</t>
        </is>
      </c>
      <c r="G318" s="115" t="inlineStr">
        <is>
          <t>A</t>
        </is>
      </c>
      <c r="H318" s="115" t="inlineStr">
        <is>
          <t>buy</t>
        </is>
      </c>
      <c r="I318" s="115" t="b">
        <v>0</v>
      </c>
      <c r="J318" s="115" t="n">
        <v>9</v>
      </c>
      <c r="K318" s="115" t="n">
        <v>847.35</v>
      </c>
      <c r="L318" s="116" t="n">
        <v>12949900</v>
      </c>
      <c r="M318" s="116" t="n">
        <v>1.773048415174157e+18</v>
      </c>
      <c r="N318" s="115" t="inlineStr">
        <is>
          <t>2026-03-09T15:08:32</t>
        </is>
      </c>
      <c r="O318" s="115" t="inlineStr"/>
    </row>
    <row r="319">
      <c r="A319" s="115" t="inlineStr"/>
      <c r="B319" s="115" t="inlineStr">
        <is>
          <t>NIFTYBEES</t>
        </is>
      </c>
      <c r="C319" s="115" t="inlineStr">
        <is>
          <t>INF204KB14I2</t>
        </is>
      </c>
      <c r="D319" s="115" t="inlineStr">
        <is>
          <t>2026-03-09</t>
        </is>
      </c>
      <c r="E319" s="115" t="inlineStr">
        <is>
          <t>NSE</t>
        </is>
      </c>
      <c r="F319" s="115" t="inlineStr">
        <is>
          <t>EQ</t>
        </is>
      </c>
      <c r="G319" s="115" t="inlineStr">
        <is>
          <t>EQ</t>
        </is>
      </c>
      <c r="H319" s="115" t="inlineStr">
        <is>
          <t>buy</t>
        </is>
      </c>
      <c r="I319" s="115" t="b">
        <v>0</v>
      </c>
      <c r="J319" s="115" t="n">
        <v>92</v>
      </c>
      <c r="K319" s="115" t="n">
        <v>272.59</v>
      </c>
      <c r="L319" s="116" t="n">
        <v>408679913</v>
      </c>
      <c r="M319" s="116" t="n">
        <v>1200000090521780</v>
      </c>
      <c r="N319" s="115" t="inlineStr">
        <is>
          <t>2026-03-09T15:10:00</t>
        </is>
      </c>
      <c r="O319" s="115" t="inlineStr"/>
    </row>
    <row r="320">
      <c r="A320" s="115" t="inlineStr"/>
      <c r="B320" s="115" t="inlineStr">
        <is>
          <t>POLYCAB</t>
        </is>
      </c>
      <c r="C320" s="115" t="inlineStr">
        <is>
          <t>INE455K01017</t>
        </is>
      </c>
      <c r="D320" s="115" t="inlineStr">
        <is>
          <t>2026-03-09</t>
        </is>
      </c>
      <c r="E320" s="115" t="inlineStr">
        <is>
          <t>NSE</t>
        </is>
      </c>
      <c r="F320" s="115" t="inlineStr">
        <is>
          <t>EQ</t>
        </is>
      </c>
      <c r="G320" s="115" t="inlineStr">
        <is>
          <t>EQ</t>
        </is>
      </c>
      <c r="H320" s="115" t="inlineStr">
        <is>
          <t>buy</t>
        </is>
      </c>
      <c r="I320" s="115" t="b">
        <v>0</v>
      </c>
      <c r="J320" s="115" t="n">
        <v>12</v>
      </c>
      <c r="K320" s="115" t="n">
        <v>8230.5</v>
      </c>
      <c r="L320" s="116" t="n">
        <v>409007482</v>
      </c>
      <c r="M320" s="116" t="n">
        <v>1200000092616711</v>
      </c>
      <c r="N320" s="115" t="inlineStr">
        <is>
          <t>2026-03-09T15:18:40</t>
        </is>
      </c>
      <c r="O320" s="115" t="inlineStr"/>
    </row>
    <row r="321">
      <c r="A321" s="115" t="inlineStr"/>
      <c r="B321" s="115" t="inlineStr">
        <is>
          <t>CCL</t>
        </is>
      </c>
      <c r="C321" s="115" t="inlineStr">
        <is>
          <t>INE421D01022</t>
        </is>
      </c>
      <c r="D321" s="115" t="inlineStr">
        <is>
          <t>2026-03-09</t>
        </is>
      </c>
      <c r="E321" s="115" t="inlineStr">
        <is>
          <t>NSE</t>
        </is>
      </c>
      <c r="F321" s="115" t="inlineStr">
        <is>
          <t>EQ</t>
        </is>
      </c>
      <c r="G321" s="115" t="inlineStr">
        <is>
          <t>EQ</t>
        </is>
      </c>
      <c r="H321" s="115" t="inlineStr">
        <is>
          <t>buy</t>
        </is>
      </c>
      <c r="I321" s="115" t="b">
        <v>0</v>
      </c>
      <c r="J321" s="115" t="n">
        <v>20</v>
      </c>
      <c r="K321" s="115" t="n">
        <v>1033.1</v>
      </c>
      <c r="L321" s="116" t="n">
        <v>8272775</v>
      </c>
      <c r="M321" s="116" t="n">
        <v>1000000076102617</v>
      </c>
      <c r="N321" s="115" t="inlineStr">
        <is>
          <t>2026-03-09T15:22:29</t>
        </is>
      </c>
      <c r="O321" s="115" t="inlineStr"/>
    </row>
    <row r="322">
      <c r="A322" s="115" t="inlineStr"/>
      <c r="B322" s="115" t="inlineStr">
        <is>
          <t>CCL</t>
        </is>
      </c>
      <c r="C322" s="115" t="inlineStr">
        <is>
          <t>INE421D01022</t>
        </is>
      </c>
      <c r="D322" s="115" t="inlineStr">
        <is>
          <t>2026-03-09</t>
        </is>
      </c>
      <c r="E322" s="115" t="inlineStr">
        <is>
          <t>NSE</t>
        </is>
      </c>
      <c r="F322" s="115" t="inlineStr">
        <is>
          <t>EQ</t>
        </is>
      </c>
      <c r="G322" s="115" t="inlineStr">
        <is>
          <t>EQ</t>
        </is>
      </c>
      <c r="H322" s="115" t="inlineStr">
        <is>
          <t>buy</t>
        </is>
      </c>
      <c r="I322" s="115" t="b">
        <v>0</v>
      </c>
      <c r="J322" s="115" t="n">
        <v>2</v>
      </c>
      <c r="K322" s="115" t="n">
        <v>1033.1</v>
      </c>
      <c r="L322" s="116" t="n">
        <v>8272774</v>
      </c>
      <c r="M322" s="116" t="n">
        <v>1000000076102617</v>
      </c>
      <c r="N322" s="115" t="inlineStr">
        <is>
          <t>2026-03-09T15:22:29</t>
        </is>
      </c>
      <c r="O322" s="115" t="inlineStr"/>
    </row>
    <row r="323">
      <c r="A323" s="115" t="inlineStr"/>
      <c r="B323" s="115" t="inlineStr">
        <is>
          <t>CCL</t>
        </is>
      </c>
      <c r="C323" s="115" t="inlineStr">
        <is>
          <t>INE421D01022</t>
        </is>
      </c>
      <c r="D323" s="115" t="inlineStr">
        <is>
          <t>2026-03-09</t>
        </is>
      </c>
      <c r="E323" s="115" t="inlineStr">
        <is>
          <t>NSE</t>
        </is>
      </c>
      <c r="F323" s="115" t="inlineStr">
        <is>
          <t>EQ</t>
        </is>
      </c>
      <c r="G323" s="115" t="inlineStr">
        <is>
          <t>EQ</t>
        </is>
      </c>
      <c r="H323" s="115" t="inlineStr">
        <is>
          <t>buy</t>
        </is>
      </c>
      <c r="I323" s="115" t="b">
        <v>0</v>
      </c>
      <c r="J323" s="115" t="n">
        <v>27</v>
      </c>
      <c r="K323" s="115" t="n">
        <v>1033.2</v>
      </c>
      <c r="L323" s="116" t="n">
        <v>8272776</v>
      </c>
      <c r="M323" s="116" t="n">
        <v>1000000076102617</v>
      </c>
      <c r="N323" s="115" t="inlineStr">
        <is>
          <t>2026-03-09T15:22:29</t>
        </is>
      </c>
      <c r="O323" s="115" t="inlineStr"/>
    </row>
    <row r="324">
      <c r="A324" s="115" t="inlineStr"/>
      <c r="B324" s="115" t="inlineStr">
        <is>
          <t>GVT&amp;D</t>
        </is>
      </c>
      <c r="C324" s="115" t="inlineStr">
        <is>
          <t>INE200A01026</t>
        </is>
      </c>
      <c r="D324" s="115" t="inlineStr">
        <is>
          <t>2026-03-09</t>
        </is>
      </c>
      <c r="E324" s="115" t="inlineStr">
        <is>
          <t>NSE</t>
        </is>
      </c>
      <c r="F324" s="115" t="inlineStr">
        <is>
          <t>EQ</t>
        </is>
      </c>
      <c r="G324" s="115" t="inlineStr">
        <is>
          <t>EQ</t>
        </is>
      </c>
      <c r="H324" s="115" t="inlineStr">
        <is>
          <t>buy</t>
        </is>
      </c>
      <c r="I324" s="115" t="b">
        <v>0</v>
      </c>
      <c r="J324" s="115" t="n">
        <v>1</v>
      </c>
      <c r="K324" s="115" t="n">
        <v>3775.7</v>
      </c>
      <c r="L324" s="116" t="n">
        <v>211697566</v>
      </c>
      <c r="M324" s="116" t="n">
        <v>1100000104870322</v>
      </c>
      <c r="N324" s="115" t="inlineStr">
        <is>
          <t>2026-03-09T15:26:29</t>
        </is>
      </c>
      <c r="O324" s="115" t="inlineStr"/>
    </row>
    <row r="325">
      <c r="A325" s="115" t="inlineStr"/>
      <c r="B325" s="115" t="inlineStr">
        <is>
          <t>GVT&amp;D</t>
        </is>
      </c>
      <c r="C325" s="115" t="inlineStr">
        <is>
          <t>INE200A01026</t>
        </is>
      </c>
      <c r="D325" s="115" t="inlineStr">
        <is>
          <t>2026-03-09</t>
        </is>
      </c>
      <c r="E325" s="115" t="inlineStr">
        <is>
          <t>NSE</t>
        </is>
      </c>
      <c r="F325" s="115" t="inlineStr">
        <is>
          <t>EQ</t>
        </is>
      </c>
      <c r="G325" s="115" t="inlineStr">
        <is>
          <t>EQ</t>
        </is>
      </c>
      <c r="H325" s="115" t="inlineStr">
        <is>
          <t>buy</t>
        </is>
      </c>
      <c r="I325" s="115" t="b">
        <v>0</v>
      </c>
      <c r="J325" s="115" t="n">
        <v>3</v>
      </c>
      <c r="K325" s="115" t="n">
        <v>3775.7</v>
      </c>
      <c r="L325" s="116" t="n">
        <v>211697563</v>
      </c>
      <c r="M325" s="116" t="n">
        <v>1100000104870322</v>
      </c>
      <c r="N325" s="115" t="inlineStr">
        <is>
          <t>2026-03-09T15:26:29</t>
        </is>
      </c>
      <c r="O325" s="115" t="inlineStr"/>
    </row>
    <row r="326">
      <c r="A326" s="115" t="inlineStr"/>
      <c r="B326" s="115" t="inlineStr">
        <is>
          <t>GVT&amp;D</t>
        </is>
      </c>
      <c r="C326" s="115" t="inlineStr">
        <is>
          <t>INE200A01026</t>
        </is>
      </c>
      <c r="D326" s="115" t="inlineStr">
        <is>
          <t>2026-03-09</t>
        </is>
      </c>
      <c r="E326" s="115" t="inlineStr">
        <is>
          <t>NSE</t>
        </is>
      </c>
      <c r="F326" s="115" t="inlineStr">
        <is>
          <t>EQ</t>
        </is>
      </c>
      <c r="G326" s="115" t="inlineStr">
        <is>
          <t>EQ</t>
        </is>
      </c>
      <c r="H326" s="115" t="inlineStr">
        <is>
          <t>buy</t>
        </is>
      </c>
      <c r="I326" s="115" t="b">
        <v>0</v>
      </c>
      <c r="J326" s="115" t="n">
        <v>4</v>
      </c>
      <c r="K326" s="115" t="n">
        <v>3775.7</v>
      </c>
      <c r="L326" s="116" t="n">
        <v>211697565</v>
      </c>
      <c r="M326" s="116" t="n">
        <v>1100000104870322</v>
      </c>
      <c r="N326" s="115" t="inlineStr">
        <is>
          <t>2026-03-09T15:26:29</t>
        </is>
      </c>
      <c r="O326" s="115" t="inlineStr"/>
    </row>
    <row r="327">
      <c r="A327" s="115" t="inlineStr"/>
      <c r="B327" s="115" t="inlineStr">
        <is>
          <t>GVT&amp;D</t>
        </is>
      </c>
      <c r="C327" s="115" t="inlineStr">
        <is>
          <t>INE200A01026</t>
        </is>
      </c>
      <c r="D327" s="115" t="inlineStr">
        <is>
          <t>2026-03-09</t>
        </is>
      </c>
      <c r="E327" s="115" t="inlineStr">
        <is>
          <t>NSE</t>
        </is>
      </c>
      <c r="F327" s="115" t="inlineStr">
        <is>
          <t>EQ</t>
        </is>
      </c>
      <c r="G327" s="115" t="inlineStr">
        <is>
          <t>EQ</t>
        </is>
      </c>
      <c r="H327" s="115" t="inlineStr">
        <is>
          <t>buy</t>
        </is>
      </c>
      <c r="I327" s="115" t="b">
        <v>0</v>
      </c>
      <c r="J327" s="115" t="n">
        <v>5</v>
      </c>
      <c r="K327" s="115" t="n">
        <v>3775.7</v>
      </c>
      <c r="L327" s="116" t="n">
        <v>211697564</v>
      </c>
      <c r="M327" s="116" t="n">
        <v>1100000104870322</v>
      </c>
      <c r="N327" s="115" t="inlineStr">
        <is>
          <t>2026-03-09T15:26:29</t>
        </is>
      </c>
      <c r="O327" s="115" t="inlineStr"/>
    </row>
    <row r="328">
      <c r="A328" s="115" t="inlineStr"/>
      <c r="B328" s="115" t="inlineStr">
        <is>
          <t>PIDILITIND</t>
        </is>
      </c>
      <c r="C328" s="115" t="inlineStr">
        <is>
          <t>INE318A01026</t>
        </is>
      </c>
      <c r="D328" s="115" t="inlineStr">
        <is>
          <t>2025-10-03</t>
        </is>
      </c>
      <c r="E328" s="115" t="inlineStr">
        <is>
          <t>NSE</t>
        </is>
      </c>
      <c r="F328" s="115" t="inlineStr">
        <is>
          <t>EQ</t>
        </is>
      </c>
      <c r="G328" s="115" t="inlineStr">
        <is>
          <t>EQ</t>
        </is>
      </c>
      <c r="H328" s="115" t="inlineStr">
        <is>
          <t>sell</t>
        </is>
      </c>
      <c r="I328" s="115" t="b">
        <v>0</v>
      </c>
      <c r="J328" s="115" t="n">
        <v>4</v>
      </c>
      <c r="K328" s="115" t="n">
        <v>1477.1</v>
      </c>
      <c r="L328" s="116" t="n">
        <v>402016993</v>
      </c>
      <c r="M328" s="116" t="n">
        <v>1200000018561473</v>
      </c>
      <c r="N328" s="115" t="inlineStr">
        <is>
          <t>2025-10-03T10:12:36</t>
        </is>
      </c>
      <c r="O328" s="115" t="inlineStr"/>
    </row>
    <row r="329">
      <c r="A329" s="115" t="inlineStr"/>
      <c r="B329" s="115" t="inlineStr">
        <is>
          <t>PIDILITIND</t>
        </is>
      </c>
      <c r="C329" s="115" t="inlineStr">
        <is>
          <t>INE318A01026</t>
        </is>
      </c>
      <c r="D329" s="115" t="inlineStr">
        <is>
          <t>2025-10-03</t>
        </is>
      </c>
      <c r="E329" s="115" t="inlineStr">
        <is>
          <t>NSE</t>
        </is>
      </c>
      <c r="F329" s="115" t="inlineStr">
        <is>
          <t>EQ</t>
        </is>
      </c>
      <c r="G329" s="115" t="inlineStr">
        <is>
          <t>EQ</t>
        </is>
      </c>
      <c r="H329" s="115" t="inlineStr">
        <is>
          <t>sell</t>
        </is>
      </c>
      <c r="I329" s="115" t="b">
        <v>0</v>
      </c>
      <c r="J329" s="115" t="n">
        <v>4</v>
      </c>
      <c r="K329" s="115" t="n">
        <v>1477.1</v>
      </c>
      <c r="L329" s="116" t="n">
        <v>402016995</v>
      </c>
      <c r="M329" s="116" t="n">
        <v>1200000018561473</v>
      </c>
      <c r="N329" s="115" t="inlineStr">
        <is>
          <t>2025-10-03T10:12:36</t>
        </is>
      </c>
      <c r="O329" s="115" t="inlineStr"/>
    </row>
    <row r="330">
      <c r="A330" s="115" t="inlineStr"/>
      <c r="B330" s="115" t="inlineStr">
        <is>
          <t>BANKINDIA</t>
        </is>
      </c>
      <c r="C330" s="115" t="inlineStr">
        <is>
          <t>INE084A01016</t>
        </is>
      </c>
      <c r="D330" s="115" t="inlineStr">
        <is>
          <t>2026-03-18</t>
        </is>
      </c>
      <c r="E330" s="115" t="inlineStr">
        <is>
          <t>BSE</t>
        </is>
      </c>
      <c r="F330" s="115" t="inlineStr">
        <is>
          <t>EQ</t>
        </is>
      </c>
      <c r="G330" s="115" t="inlineStr">
        <is>
          <t>A</t>
        </is>
      </c>
      <c r="H330" s="115" t="inlineStr">
        <is>
          <t>sell</t>
        </is>
      </c>
      <c r="I330" s="115" t="b">
        <v>0</v>
      </c>
      <c r="J330" s="115" t="n">
        <v>368</v>
      </c>
      <c r="K330" s="115" t="n">
        <v>152.8</v>
      </c>
      <c r="L330" s="116" t="n">
        <v>1999700</v>
      </c>
      <c r="M330" s="116" t="n">
        <v>1.773804600014877e+18</v>
      </c>
      <c r="N330" s="115" t="inlineStr">
        <is>
          <t>2026-03-18T10:02:29</t>
        </is>
      </c>
      <c r="O330" s="115" t="inlineStr"/>
    </row>
    <row r="331">
      <c r="A331" s="115" t="inlineStr"/>
      <c r="B331" s="115" t="inlineStr">
        <is>
          <t>BANKINDIA</t>
        </is>
      </c>
      <c r="C331" s="115" t="inlineStr">
        <is>
          <t>INE084A01016</t>
        </is>
      </c>
      <c r="D331" s="115" t="inlineStr">
        <is>
          <t>2026-03-18</t>
        </is>
      </c>
      <c r="E331" s="115" t="inlineStr">
        <is>
          <t>BSE</t>
        </is>
      </c>
      <c r="F331" s="115" t="inlineStr">
        <is>
          <t>EQ</t>
        </is>
      </c>
      <c r="G331" s="115" t="inlineStr">
        <is>
          <t>A</t>
        </is>
      </c>
      <c r="H331" s="115" t="inlineStr">
        <is>
          <t>sell</t>
        </is>
      </c>
      <c r="I331" s="115" t="b">
        <v>0</v>
      </c>
      <c r="J331" s="115" t="n">
        <v>97</v>
      </c>
      <c r="K331" s="115" t="n">
        <v>152.85</v>
      </c>
      <c r="L331" s="116" t="n">
        <v>1999000</v>
      </c>
      <c r="M331" s="116" t="n">
        <v>1.773804600014877e+18</v>
      </c>
      <c r="N331" s="115" t="inlineStr">
        <is>
          <t>2026-03-18T10:02:29</t>
        </is>
      </c>
      <c r="O331" s="115" t="inlineStr"/>
    </row>
    <row r="332">
      <c r="A332" s="115" t="inlineStr"/>
      <c r="B332" s="115" t="inlineStr">
        <is>
          <t>TDPOWERSYS</t>
        </is>
      </c>
      <c r="C332" s="115" t="inlineStr">
        <is>
          <t>INE419M01027</t>
        </is>
      </c>
      <c r="D332" s="115" t="inlineStr">
        <is>
          <t>2026-03-20</t>
        </is>
      </c>
      <c r="E332" s="115" t="inlineStr">
        <is>
          <t>NSE</t>
        </is>
      </c>
      <c r="F332" s="115" t="inlineStr">
        <is>
          <t>EQ</t>
        </is>
      </c>
      <c r="G332" s="115" t="inlineStr">
        <is>
          <t>EQ</t>
        </is>
      </c>
      <c r="H332" s="115" t="inlineStr">
        <is>
          <t>buy</t>
        </is>
      </c>
      <c r="I332" s="115" t="b">
        <v>0</v>
      </c>
      <c r="J332" s="115" t="n">
        <v>12</v>
      </c>
      <c r="K332" s="115" t="n">
        <v>862.95</v>
      </c>
      <c r="L332" s="116" t="n">
        <v>606850025</v>
      </c>
      <c r="M332" s="116" t="n">
        <v>1300000087261603</v>
      </c>
      <c r="N332" s="115" t="inlineStr">
        <is>
          <t>2026-03-20T14:34:29</t>
        </is>
      </c>
      <c r="O332" s="115" t="inlineStr"/>
    </row>
    <row r="333">
      <c r="A333" s="115" t="inlineStr"/>
      <c r="B333" s="115" t="inlineStr">
        <is>
          <t>TDPOWERSYS</t>
        </is>
      </c>
      <c r="C333" s="115" t="inlineStr">
        <is>
          <t>INE419M01027</t>
        </is>
      </c>
      <c r="D333" s="115" t="inlineStr">
        <is>
          <t>2026-03-20</t>
        </is>
      </c>
      <c r="E333" s="115" t="inlineStr">
        <is>
          <t>NSE</t>
        </is>
      </c>
      <c r="F333" s="115" t="inlineStr">
        <is>
          <t>EQ</t>
        </is>
      </c>
      <c r="G333" s="115" t="inlineStr">
        <is>
          <t>EQ</t>
        </is>
      </c>
      <c r="H333" s="115" t="inlineStr">
        <is>
          <t>buy</t>
        </is>
      </c>
      <c r="I333" s="115" t="b">
        <v>0</v>
      </c>
      <c r="J333" s="115" t="n">
        <v>2</v>
      </c>
      <c r="K333" s="115" t="n">
        <v>862.95</v>
      </c>
      <c r="L333" s="116" t="n">
        <v>606850024</v>
      </c>
      <c r="M333" s="116" t="n">
        <v>1300000087261603</v>
      </c>
      <c r="N333" s="115" t="inlineStr">
        <is>
          <t>2026-03-20T14:34:29</t>
        </is>
      </c>
      <c r="O333" s="115" t="inlineStr"/>
    </row>
    <row r="334">
      <c r="A334" s="115" t="inlineStr"/>
      <c r="B334" s="115" t="inlineStr">
        <is>
          <t>TDPOWERSYS</t>
        </is>
      </c>
      <c r="C334" s="115" t="inlineStr">
        <is>
          <t>INE419M01027</t>
        </is>
      </c>
      <c r="D334" s="115" t="inlineStr">
        <is>
          <t>2026-03-20</t>
        </is>
      </c>
      <c r="E334" s="115" t="inlineStr">
        <is>
          <t>NSE</t>
        </is>
      </c>
      <c r="F334" s="115" t="inlineStr">
        <is>
          <t>EQ</t>
        </is>
      </c>
      <c r="G334" s="115" t="inlineStr">
        <is>
          <t>EQ</t>
        </is>
      </c>
      <c r="H334" s="115" t="inlineStr">
        <is>
          <t>buy</t>
        </is>
      </c>
      <c r="I334" s="115" t="b">
        <v>0</v>
      </c>
      <c r="J334" s="115" t="n">
        <v>26</v>
      </c>
      <c r="K334" s="115" t="n">
        <v>862.95</v>
      </c>
      <c r="L334" s="116" t="n">
        <v>606850023</v>
      </c>
      <c r="M334" s="116" t="n">
        <v>1300000087261603</v>
      </c>
      <c r="N334" s="115" t="inlineStr">
        <is>
          <t>2026-03-20T14:34:29</t>
        </is>
      </c>
      <c r="O334" s="115" t="inlineStr"/>
    </row>
    <row r="335">
      <c r="A335" s="115" t="inlineStr"/>
      <c r="B335" s="115" t="inlineStr">
        <is>
          <t>TDPOWERSYS</t>
        </is>
      </c>
      <c r="C335" s="115" t="inlineStr">
        <is>
          <t>INE419M01027</t>
        </is>
      </c>
      <c r="D335" s="115" t="inlineStr">
        <is>
          <t>2026-03-20</t>
        </is>
      </c>
      <c r="E335" s="115" t="inlineStr">
        <is>
          <t>NSE</t>
        </is>
      </c>
      <c r="F335" s="115" t="inlineStr">
        <is>
          <t>EQ</t>
        </is>
      </c>
      <c r="G335" s="115" t="inlineStr">
        <is>
          <t>EQ</t>
        </is>
      </c>
      <c r="H335" s="115" t="inlineStr">
        <is>
          <t>buy</t>
        </is>
      </c>
      <c r="I335" s="115" t="b">
        <v>0</v>
      </c>
      <c r="J335" s="115" t="n">
        <v>9</v>
      </c>
      <c r="K335" s="115" t="n">
        <v>862.95</v>
      </c>
      <c r="L335" s="116" t="n">
        <v>606850022</v>
      </c>
      <c r="M335" s="116" t="n">
        <v>1300000087261603</v>
      </c>
      <c r="N335" s="115" t="inlineStr">
        <is>
          <t>2026-03-20T14:34:29</t>
        </is>
      </c>
      <c r="O335" s="115" t="inlineStr"/>
    </row>
    <row r="336">
      <c r="A336" s="115" t="inlineStr"/>
      <c r="B336" s="115" t="inlineStr">
        <is>
          <t>TDPOWERSYS</t>
        </is>
      </c>
      <c r="C336" s="115" t="inlineStr">
        <is>
          <t>INE419M01027</t>
        </is>
      </c>
      <c r="D336" s="115" t="inlineStr">
        <is>
          <t>2026-03-20</t>
        </is>
      </c>
      <c r="E336" s="115" t="inlineStr">
        <is>
          <t>NSE</t>
        </is>
      </c>
      <c r="F336" s="115" t="inlineStr">
        <is>
          <t>EQ</t>
        </is>
      </c>
      <c r="G336" s="115" t="inlineStr">
        <is>
          <t>EQ</t>
        </is>
      </c>
      <c r="H336" s="115" t="inlineStr">
        <is>
          <t>buy</t>
        </is>
      </c>
      <c r="I336" s="115" t="b">
        <v>0</v>
      </c>
      <c r="J336" s="115" t="n">
        <v>9</v>
      </c>
      <c r="K336" s="115" t="n">
        <v>862.95</v>
      </c>
      <c r="L336" s="116" t="n">
        <v>606850026</v>
      </c>
      <c r="M336" s="116" t="n">
        <v>1300000087261603</v>
      </c>
      <c r="N336" s="115" t="inlineStr">
        <is>
          <t>2026-03-20T14:34:29</t>
        </is>
      </c>
      <c r="O336" s="115" t="inlineStr"/>
    </row>
    <row r="337">
      <c r="A337" s="115" t="inlineStr"/>
      <c r="B337" s="115" t="inlineStr">
        <is>
          <t>HBLENGINE</t>
        </is>
      </c>
      <c r="C337" s="115" t="inlineStr">
        <is>
          <t>INE292B01021</t>
        </is>
      </c>
      <c r="D337" s="115" t="inlineStr">
        <is>
          <t>2026-03-20</t>
        </is>
      </c>
      <c r="E337" s="115" t="inlineStr">
        <is>
          <t>NSE</t>
        </is>
      </c>
      <c r="F337" s="115" t="inlineStr">
        <is>
          <t>EQ</t>
        </is>
      </c>
      <c r="G337" s="115" t="inlineStr">
        <is>
          <t>EQ</t>
        </is>
      </c>
      <c r="H337" s="115" t="inlineStr">
        <is>
          <t>sell</t>
        </is>
      </c>
      <c r="I337" s="115" t="b">
        <v>0</v>
      </c>
      <c r="J337" s="115" t="n">
        <v>3</v>
      </c>
      <c r="K337" s="115" t="n">
        <v>661.7</v>
      </c>
      <c r="L337" s="116" t="n">
        <v>209509049</v>
      </c>
      <c r="M337" s="116" t="n">
        <v>1100000108860545</v>
      </c>
      <c r="N337" s="115" t="inlineStr">
        <is>
          <t>2026-03-20T14:37:00</t>
        </is>
      </c>
      <c r="O337" s="115" t="inlineStr"/>
    </row>
    <row r="338">
      <c r="A338" s="115" t="inlineStr"/>
      <c r="B338" s="115" t="inlineStr">
        <is>
          <t>HBLENGINE</t>
        </is>
      </c>
      <c r="C338" s="115" t="inlineStr">
        <is>
          <t>INE292B01021</t>
        </is>
      </c>
      <c r="D338" s="115" t="inlineStr">
        <is>
          <t>2026-03-20</t>
        </is>
      </c>
      <c r="E338" s="115" t="inlineStr">
        <is>
          <t>NSE</t>
        </is>
      </c>
      <c r="F338" s="115" t="inlineStr">
        <is>
          <t>EQ</t>
        </is>
      </c>
      <c r="G338" s="115" t="inlineStr">
        <is>
          <t>EQ</t>
        </is>
      </c>
      <c r="H338" s="115" t="inlineStr">
        <is>
          <t>sell</t>
        </is>
      </c>
      <c r="I338" s="115" t="b">
        <v>0</v>
      </c>
      <c r="J338" s="115" t="n">
        <v>10</v>
      </c>
      <c r="K338" s="115" t="n">
        <v>661.7</v>
      </c>
      <c r="L338" s="116" t="n">
        <v>209509052</v>
      </c>
      <c r="M338" s="116" t="n">
        <v>1100000108860545</v>
      </c>
      <c r="N338" s="115" t="inlineStr">
        <is>
          <t>2026-03-20T14:37:00</t>
        </is>
      </c>
      <c r="O338" s="115" t="inlineStr"/>
    </row>
    <row r="339">
      <c r="A339" s="115" t="inlineStr"/>
      <c r="B339" s="115" t="inlineStr">
        <is>
          <t>HBLENGINE</t>
        </is>
      </c>
      <c r="C339" s="115" t="inlineStr">
        <is>
          <t>INE292B01021</t>
        </is>
      </c>
      <c r="D339" s="115" t="inlineStr">
        <is>
          <t>2026-03-20</t>
        </is>
      </c>
      <c r="E339" s="115" t="inlineStr">
        <is>
          <t>NSE</t>
        </is>
      </c>
      <c r="F339" s="115" t="inlineStr">
        <is>
          <t>EQ</t>
        </is>
      </c>
      <c r="G339" s="115" t="inlineStr">
        <is>
          <t>EQ</t>
        </is>
      </c>
      <c r="H339" s="115" t="inlineStr">
        <is>
          <t>sell</t>
        </is>
      </c>
      <c r="I339" s="115" t="b">
        <v>0</v>
      </c>
      <c r="J339" s="115" t="n">
        <v>11</v>
      </c>
      <c r="K339" s="115" t="n">
        <v>662</v>
      </c>
      <c r="L339" s="116" t="n">
        <v>209509041</v>
      </c>
      <c r="M339" s="116" t="n">
        <v>1100000108860545</v>
      </c>
      <c r="N339" s="115" t="inlineStr">
        <is>
          <t>2026-03-20T14:37:00</t>
        </is>
      </c>
      <c r="O339" s="115" t="inlineStr"/>
    </row>
    <row r="340">
      <c r="A340" s="115" t="inlineStr"/>
      <c r="B340" s="115" t="inlineStr">
        <is>
          <t>HBLENGINE</t>
        </is>
      </c>
      <c r="C340" s="115" t="inlineStr">
        <is>
          <t>INE292B01021</t>
        </is>
      </c>
      <c r="D340" s="115" t="inlineStr">
        <is>
          <t>2026-03-20</t>
        </is>
      </c>
      <c r="E340" s="115" t="inlineStr">
        <is>
          <t>NSE</t>
        </is>
      </c>
      <c r="F340" s="115" t="inlineStr">
        <is>
          <t>EQ</t>
        </is>
      </c>
      <c r="G340" s="115" t="inlineStr">
        <is>
          <t>EQ</t>
        </is>
      </c>
      <c r="H340" s="115" t="inlineStr">
        <is>
          <t>sell</t>
        </is>
      </c>
      <c r="I340" s="115" t="b">
        <v>0</v>
      </c>
      <c r="J340" s="115" t="n">
        <v>1</v>
      </c>
      <c r="K340" s="115" t="n">
        <v>661.7</v>
      </c>
      <c r="L340" s="116" t="n">
        <v>209509053</v>
      </c>
      <c r="M340" s="116" t="n">
        <v>1100000108860545</v>
      </c>
      <c r="N340" s="115" t="inlineStr">
        <is>
          <t>2026-03-20T14:37:00</t>
        </is>
      </c>
      <c r="O340" s="115" t="inlineStr"/>
    </row>
    <row r="341">
      <c r="A341" s="115" t="inlineStr"/>
      <c r="B341" s="115" t="inlineStr">
        <is>
          <t>HBLENGINE</t>
        </is>
      </c>
      <c r="C341" s="115" t="inlineStr">
        <is>
          <t>INE292B01021</t>
        </is>
      </c>
      <c r="D341" s="115" t="inlineStr">
        <is>
          <t>2026-03-20</t>
        </is>
      </c>
      <c r="E341" s="115" t="inlineStr">
        <is>
          <t>NSE</t>
        </is>
      </c>
      <c r="F341" s="115" t="inlineStr">
        <is>
          <t>EQ</t>
        </is>
      </c>
      <c r="G341" s="115" t="inlineStr">
        <is>
          <t>EQ</t>
        </is>
      </c>
      <c r="H341" s="115" t="inlineStr">
        <is>
          <t>sell</t>
        </is>
      </c>
      <c r="I341" s="115" t="b">
        <v>0</v>
      </c>
      <c r="J341" s="115" t="n">
        <v>1</v>
      </c>
      <c r="K341" s="115" t="n">
        <v>662.1</v>
      </c>
      <c r="L341" s="116" t="n">
        <v>209509040</v>
      </c>
      <c r="M341" s="116" t="n">
        <v>1100000108860545</v>
      </c>
      <c r="N341" s="115" t="inlineStr">
        <is>
          <t>2026-03-20T14:37:00</t>
        </is>
      </c>
      <c r="O341" s="115" t="inlineStr"/>
    </row>
    <row r="342">
      <c r="A342" s="115" t="inlineStr"/>
      <c r="B342" s="115" t="inlineStr">
        <is>
          <t>HBLENGINE</t>
        </is>
      </c>
      <c r="C342" s="115" t="inlineStr">
        <is>
          <t>INE292B01021</t>
        </is>
      </c>
      <c r="D342" s="115" t="inlineStr">
        <is>
          <t>2026-03-20</t>
        </is>
      </c>
      <c r="E342" s="115" t="inlineStr">
        <is>
          <t>NSE</t>
        </is>
      </c>
      <c r="F342" s="115" t="inlineStr">
        <is>
          <t>EQ</t>
        </is>
      </c>
      <c r="G342" s="115" t="inlineStr">
        <is>
          <t>EQ</t>
        </is>
      </c>
      <c r="H342" s="115" t="inlineStr">
        <is>
          <t>sell</t>
        </is>
      </c>
      <c r="I342" s="115" t="b">
        <v>0</v>
      </c>
      <c r="J342" s="115" t="n">
        <v>21</v>
      </c>
      <c r="K342" s="115" t="n">
        <v>661.75</v>
      </c>
      <c r="L342" s="116" t="n">
        <v>209509047</v>
      </c>
      <c r="M342" s="116" t="n">
        <v>1100000108860545</v>
      </c>
      <c r="N342" s="115" t="inlineStr">
        <is>
          <t>2026-03-20T14:37:00</t>
        </is>
      </c>
      <c r="O342" s="115" t="inlineStr"/>
    </row>
    <row r="343">
      <c r="A343" s="115" t="inlineStr"/>
      <c r="B343" s="115" t="inlineStr">
        <is>
          <t>HBLENGINE</t>
        </is>
      </c>
      <c r="C343" s="115" t="inlineStr">
        <is>
          <t>INE292B01021</t>
        </is>
      </c>
      <c r="D343" s="115" t="inlineStr">
        <is>
          <t>2026-03-20</t>
        </is>
      </c>
      <c r="E343" s="115" t="inlineStr">
        <is>
          <t>NSE</t>
        </is>
      </c>
      <c r="F343" s="115" t="inlineStr">
        <is>
          <t>EQ</t>
        </is>
      </c>
      <c r="G343" s="115" t="inlineStr">
        <is>
          <t>EQ</t>
        </is>
      </c>
      <c r="H343" s="115" t="inlineStr">
        <is>
          <t>sell</t>
        </is>
      </c>
      <c r="I343" s="115" t="b">
        <v>0</v>
      </c>
      <c r="J343" s="115" t="n">
        <v>22</v>
      </c>
      <c r="K343" s="115" t="n">
        <v>661.8</v>
      </c>
      <c r="L343" s="116" t="n">
        <v>209509043</v>
      </c>
      <c r="M343" s="116" t="n">
        <v>1100000108860545</v>
      </c>
      <c r="N343" s="115" t="inlineStr">
        <is>
          <t>2026-03-20T14:37:00</t>
        </is>
      </c>
      <c r="O343" s="115" t="inlineStr"/>
    </row>
    <row r="344">
      <c r="A344" s="115" t="inlineStr"/>
      <c r="B344" s="115" t="inlineStr">
        <is>
          <t>HBLENGINE</t>
        </is>
      </c>
      <c r="C344" s="115" t="inlineStr">
        <is>
          <t>INE292B01021</t>
        </is>
      </c>
      <c r="D344" s="115" t="inlineStr">
        <is>
          <t>2026-03-20</t>
        </is>
      </c>
      <c r="E344" s="115" t="inlineStr">
        <is>
          <t>NSE</t>
        </is>
      </c>
      <c r="F344" s="115" t="inlineStr">
        <is>
          <t>EQ</t>
        </is>
      </c>
      <c r="G344" s="115" t="inlineStr">
        <is>
          <t>EQ</t>
        </is>
      </c>
      <c r="H344" s="115" t="inlineStr">
        <is>
          <t>sell</t>
        </is>
      </c>
      <c r="I344" s="115" t="b">
        <v>0</v>
      </c>
      <c r="J344" s="115" t="n">
        <v>10</v>
      </c>
      <c r="K344" s="115" t="n">
        <v>661.7</v>
      </c>
      <c r="L344" s="116" t="n">
        <v>209509050</v>
      </c>
      <c r="M344" s="116" t="n">
        <v>1100000108860545</v>
      </c>
      <c r="N344" s="115" t="inlineStr">
        <is>
          <t>2026-03-20T14:37:00</t>
        </is>
      </c>
      <c r="O344" s="115" t="inlineStr"/>
    </row>
    <row r="345">
      <c r="A345" s="115" t="inlineStr"/>
      <c r="B345" s="115" t="inlineStr">
        <is>
          <t>HBLENGINE</t>
        </is>
      </c>
      <c r="C345" s="115" t="inlineStr">
        <is>
          <t>INE292B01021</t>
        </is>
      </c>
      <c r="D345" s="115" t="inlineStr">
        <is>
          <t>2026-03-20</t>
        </is>
      </c>
      <c r="E345" s="115" t="inlineStr">
        <is>
          <t>NSE</t>
        </is>
      </c>
      <c r="F345" s="115" t="inlineStr">
        <is>
          <t>EQ</t>
        </is>
      </c>
      <c r="G345" s="115" t="inlineStr">
        <is>
          <t>EQ</t>
        </is>
      </c>
      <c r="H345" s="115" t="inlineStr">
        <is>
          <t>sell</t>
        </is>
      </c>
      <c r="I345" s="115" t="b">
        <v>0</v>
      </c>
      <c r="J345" s="115" t="n">
        <v>3</v>
      </c>
      <c r="K345" s="115" t="n">
        <v>661.7</v>
      </c>
      <c r="L345" s="116" t="n">
        <v>209509051</v>
      </c>
      <c r="M345" s="116" t="n">
        <v>1100000108860545</v>
      </c>
      <c r="N345" s="115" t="inlineStr">
        <is>
          <t>2026-03-20T14:37:00</t>
        </is>
      </c>
      <c r="O345" s="115" t="inlineStr"/>
    </row>
    <row r="346">
      <c r="A346" s="115" t="inlineStr"/>
      <c r="B346" s="115" t="inlineStr">
        <is>
          <t>HBLENGINE</t>
        </is>
      </c>
      <c r="C346" s="115" t="inlineStr">
        <is>
          <t>INE292B01021</t>
        </is>
      </c>
      <c r="D346" s="115" t="inlineStr">
        <is>
          <t>2026-03-20</t>
        </is>
      </c>
      <c r="E346" s="115" t="inlineStr">
        <is>
          <t>NSE</t>
        </is>
      </c>
      <c r="F346" s="115" t="inlineStr">
        <is>
          <t>EQ</t>
        </is>
      </c>
      <c r="G346" s="115" t="inlineStr">
        <is>
          <t>EQ</t>
        </is>
      </c>
      <c r="H346" s="115" t="inlineStr">
        <is>
          <t>sell</t>
        </is>
      </c>
      <c r="I346" s="115" t="b">
        <v>0</v>
      </c>
      <c r="J346" s="115" t="n">
        <v>3</v>
      </c>
      <c r="K346" s="115" t="n">
        <v>661.75</v>
      </c>
      <c r="L346" s="116" t="n">
        <v>209509045</v>
      </c>
      <c r="M346" s="116" t="n">
        <v>1100000108860545</v>
      </c>
      <c r="N346" s="115" t="inlineStr">
        <is>
          <t>2026-03-20T14:37:00</t>
        </is>
      </c>
      <c r="O346" s="115" t="inlineStr"/>
    </row>
    <row r="347">
      <c r="A347" s="115" t="inlineStr"/>
      <c r="B347" s="115" t="inlineStr">
        <is>
          <t>HBLENGINE</t>
        </is>
      </c>
      <c r="C347" s="115" t="inlineStr">
        <is>
          <t>INE292B01021</t>
        </is>
      </c>
      <c r="D347" s="115" t="inlineStr">
        <is>
          <t>2026-03-20</t>
        </is>
      </c>
      <c r="E347" s="115" t="inlineStr">
        <is>
          <t>NSE</t>
        </is>
      </c>
      <c r="F347" s="115" t="inlineStr">
        <is>
          <t>EQ</t>
        </is>
      </c>
      <c r="G347" s="115" t="inlineStr">
        <is>
          <t>EQ</t>
        </is>
      </c>
      <c r="H347" s="115" t="inlineStr">
        <is>
          <t>sell</t>
        </is>
      </c>
      <c r="I347" s="115" t="b">
        <v>0</v>
      </c>
      <c r="J347" s="115" t="n">
        <v>60</v>
      </c>
      <c r="K347" s="115" t="n">
        <v>661.75</v>
      </c>
      <c r="L347" s="116" t="n">
        <v>209509046</v>
      </c>
      <c r="M347" s="116" t="n">
        <v>1100000108860545</v>
      </c>
      <c r="N347" s="115" t="inlineStr">
        <is>
          <t>2026-03-20T14:37:00</t>
        </is>
      </c>
      <c r="O347" s="115" t="inlineStr"/>
    </row>
    <row r="348">
      <c r="A348" s="115" t="inlineStr"/>
      <c r="B348" s="115" t="inlineStr">
        <is>
          <t>HBLENGINE</t>
        </is>
      </c>
      <c r="C348" s="115" t="inlineStr">
        <is>
          <t>INE292B01021</t>
        </is>
      </c>
      <c r="D348" s="115" t="inlineStr">
        <is>
          <t>2026-03-20</t>
        </is>
      </c>
      <c r="E348" s="115" t="inlineStr">
        <is>
          <t>NSE</t>
        </is>
      </c>
      <c r="F348" s="115" t="inlineStr">
        <is>
          <t>EQ</t>
        </is>
      </c>
      <c r="G348" s="115" t="inlineStr">
        <is>
          <t>EQ</t>
        </is>
      </c>
      <c r="H348" s="115" t="inlineStr">
        <is>
          <t>sell</t>
        </is>
      </c>
      <c r="I348" s="115" t="b">
        <v>0</v>
      </c>
      <c r="J348" s="115" t="n">
        <v>64</v>
      </c>
      <c r="K348" s="115" t="n">
        <v>661.8</v>
      </c>
      <c r="L348" s="116" t="n">
        <v>209509044</v>
      </c>
      <c r="M348" s="116" t="n">
        <v>1100000108860545</v>
      </c>
      <c r="N348" s="115" t="inlineStr">
        <is>
          <t>2026-03-20T14:37:00</t>
        </is>
      </c>
      <c r="O348" s="115" t="inlineStr"/>
    </row>
    <row r="349">
      <c r="A349" s="115" t="inlineStr"/>
      <c r="B349" s="115" t="inlineStr">
        <is>
          <t>HBLENGINE</t>
        </is>
      </c>
      <c r="C349" s="115" t="inlineStr">
        <is>
          <t>INE292B01021</t>
        </is>
      </c>
      <c r="D349" s="115" t="inlineStr">
        <is>
          <t>2026-03-20</t>
        </is>
      </c>
      <c r="E349" s="115" t="inlineStr">
        <is>
          <t>NSE</t>
        </is>
      </c>
      <c r="F349" s="115" t="inlineStr">
        <is>
          <t>EQ</t>
        </is>
      </c>
      <c r="G349" s="115" t="inlineStr">
        <is>
          <t>EQ</t>
        </is>
      </c>
      <c r="H349" s="115" t="inlineStr">
        <is>
          <t>sell</t>
        </is>
      </c>
      <c r="I349" s="115" t="b">
        <v>0</v>
      </c>
      <c r="J349" s="115" t="n">
        <v>8</v>
      </c>
      <c r="K349" s="115" t="n">
        <v>661.75</v>
      </c>
      <c r="L349" s="116" t="n">
        <v>209509048</v>
      </c>
      <c r="M349" s="116" t="n">
        <v>1100000108860545</v>
      </c>
      <c r="N349" s="115" t="inlineStr">
        <is>
          <t>2026-03-20T14:37:00</t>
        </is>
      </c>
      <c r="O349" s="115" t="inlineStr"/>
    </row>
    <row r="350">
      <c r="A350" s="115" t="inlineStr"/>
      <c r="B350" s="115" t="inlineStr">
        <is>
          <t>HBLENGINE</t>
        </is>
      </c>
      <c r="C350" s="115" t="inlineStr">
        <is>
          <t>INE292B01021</t>
        </is>
      </c>
      <c r="D350" s="115" t="inlineStr">
        <is>
          <t>2026-03-20</t>
        </is>
      </c>
      <c r="E350" s="115" t="inlineStr">
        <is>
          <t>NSE</t>
        </is>
      </c>
      <c r="F350" s="115" t="inlineStr">
        <is>
          <t>EQ</t>
        </is>
      </c>
      <c r="G350" s="115" t="inlineStr">
        <is>
          <t>EQ</t>
        </is>
      </c>
      <c r="H350" s="115" t="inlineStr">
        <is>
          <t>sell</t>
        </is>
      </c>
      <c r="I350" s="115" t="b">
        <v>0</v>
      </c>
      <c r="J350" s="115" t="n">
        <v>9</v>
      </c>
      <c r="K350" s="115" t="n">
        <v>661.85</v>
      </c>
      <c r="L350" s="116" t="n">
        <v>209509042</v>
      </c>
      <c r="M350" s="116" t="n">
        <v>1100000108860545</v>
      </c>
      <c r="N350" s="115" t="inlineStr">
        <is>
          <t>2026-03-20T14:37:00</t>
        </is>
      </c>
      <c r="O350" s="115" t="inlineStr"/>
    </row>
    <row r="351">
      <c r="A351" s="115" t="inlineStr"/>
      <c r="B351" s="115" t="inlineStr">
        <is>
          <t>GVT&amp;D</t>
        </is>
      </c>
      <c r="C351" s="115" t="inlineStr">
        <is>
          <t>INE200A01026</t>
        </is>
      </c>
      <c r="D351" s="115" t="inlineStr">
        <is>
          <t>2026-03-20</t>
        </is>
      </c>
      <c r="E351" s="115" t="inlineStr">
        <is>
          <t>NSE</t>
        </is>
      </c>
      <c r="F351" s="115" t="inlineStr">
        <is>
          <t>EQ</t>
        </is>
      </c>
      <c r="G351" s="115" t="inlineStr">
        <is>
          <t>EQ</t>
        </is>
      </c>
      <c r="H351" s="115" t="inlineStr">
        <is>
          <t>buy</t>
        </is>
      </c>
      <c r="I351" s="115" t="b">
        <v>0</v>
      </c>
      <c r="J351" s="115" t="n">
        <v>14</v>
      </c>
      <c r="K351" s="115" t="n">
        <v>3676.8</v>
      </c>
      <c r="L351" s="116" t="n">
        <v>209534085</v>
      </c>
      <c r="M351" s="116" t="n">
        <v>1100000109127675</v>
      </c>
      <c r="N351" s="115" t="inlineStr">
        <is>
          <t>2026-03-20T14:37:36</t>
        </is>
      </c>
      <c r="O351" s="115" t="inlineStr"/>
    </row>
    <row r="352">
      <c r="A352" s="115" t="inlineStr"/>
      <c r="B352" s="115" t="inlineStr">
        <is>
          <t>APLAPOLLO</t>
        </is>
      </c>
      <c r="C352" s="115" t="inlineStr">
        <is>
          <t>INE702C01027</t>
        </is>
      </c>
      <c r="D352" s="115" t="inlineStr">
        <is>
          <t>2026-03-20</t>
        </is>
      </c>
      <c r="E352" s="115" t="inlineStr">
        <is>
          <t>NSE</t>
        </is>
      </c>
      <c r="F352" s="115" t="inlineStr">
        <is>
          <t>EQ</t>
        </is>
      </c>
      <c r="G352" s="115" t="inlineStr">
        <is>
          <t>EQ</t>
        </is>
      </c>
      <c r="H352" s="115" t="inlineStr">
        <is>
          <t>buy</t>
        </is>
      </c>
      <c r="I352" s="115" t="b">
        <v>0</v>
      </c>
      <c r="J352" s="115" t="n">
        <v>15</v>
      </c>
      <c r="K352" s="115" t="n">
        <v>1980.1</v>
      </c>
      <c r="L352" s="116" t="n">
        <v>5422345</v>
      </c>
      <c r="M352" s="116" t="n">
        <v>1000000073661560</v>
      </c>
      <c r="N352" s="115" t="inlineStr">
        <is>
          <t>2026-03-20T14:44:09</t>
        </is>
      </c>
      <c r="O352" s="115" t="inlineStr"/>
    </row>
    <row r="353">
      <c r="A353" s="115" t="inlineStr"/>
      <c r="B353" s="115" t="inlineStr">
        <is>
          <t>APLAPOLLO</t>
        </is>
      </c>
      <c r="C353" s="115" t="inlineStr">
        <is>
          <t>INE702C01027</t>
        </is>
      </c>
      <c r="D353" s="115" t="inlineStr">
        <is>
          <t>2026-03-20</t>
        </is>
      </c>
      <c r="E353" s="115" t="inlineStr">
        <is>
          <t>NSE</t>
        </is>
      </c>
      <c r="F353" s="115" t="inlineStr">
        <is>
          <t>EQ</t>
        </is>
      </c>
      <c r="G353" s="115" t="inlineStr">
        <is>
          <t>EQ</t>
        </is>
      </c>
      <c r="H353" s="115" t="inlineStr">
        <is>
          <t>buy</t>
        </is>
      </c>
      <c r="I353" s="115" t="b">
        <v>0</v>
      </c>
      <c r="J353" s="115" t="n">
        <v>31</v>
      </c>
      <c r="K353" s="115" t="n">
        <v>1980.1</v>
      </c>
      <c r="L353" s="116" t="n">
        <v>5422346</v>
      </c>
      <c r="M353" s="116" t="n">
        <v>1000000073661560</v>
      </c>
      <c r="N353" s="115" t="inlineStr">
        <is>
          <t>2026-03-20T14:44:09</t>
        </is>
      </c>
      <c r="O353" s="115" t="inlineStr"/>
    </row>
    <row r="354">
      <c r="A354" s="115" t="inlineStr"/>
      <c r="B354" s="115" t="inlineStr">
        <is>
          <t>APLAPOLLO</t>
        </is>
      </c>
      <c r="C354" s="115" t="inlineStr">
        <is>
          <t>INE702C01027</t>
        </is>
      </c>
      <c r="D354" s="115" t="inlineStr">
        <is>
          <t>2026-03-20</t>
        </is>
      </c>
      <c r="E354" s="115" t="inlineStr">
        <is>
          <t>NSE</t>
        </is>
      </c>
      <c r="F354" s="115" t="inlineStr">
        <is>
          <t>EQ</t>
        </is>
      </c>
      <c r="G354" s="115" t="inlineStr">
        <is>
          <t>EQ</t>
        </is>
      </c>
      <c r="H354" s="115" t="inlineStr">
        <is>
          <t>buy</t>
        </is>
      </c>
      <c r="I354" s="115" t="b">
        <v>0</v>
      </c>
      <c r="J354" s="115" t="n">
        <v>5</v>
      </c>
      <c r="K354" s="115" t="n">
        <v>1980.1</v>
      </c>
      <c r="L354" s="116" t="n">
        <v>5422347</v>
      </c>
      <c r="M354" s="116" t="n">
        <v>1000000073661560</v>
      </c>
      <c r="N354" s="115" t="inlineStr">
        <is>
          <t>2026-03-20T14:44:09</t>
        </is>
      </c>
      <c r="O354" s="115" t="inlineStr"/>
    </row>
    <row r="355">
      <c r="A355" s="115" t="inlineStr"/>
      <c r="B355" s="115" t="inlineStr">
        <is>
          <t>SOLARINDS</t>
        </is>
      </c>
      <c r="C355" s="115" t="inlineStr">
        <is>
          <t>INE343H01029</t>
        </is>
      </c>
      <c r="D355" s="115" t="inlineStr">
        <is>
          <t>2026-03-20</t>
        </is>
      </c>
      <c r="E355" s="115" t="inlineStr">
        <is>
          <t>NSE</t>
        </is>
      </c>
      <c r="F355" s="115" t="inlineStr">
        <is>
          <t>EQ</t>
        </is>
      </c>
      <c r="G355" s="115" t="inlineStr">
        <is>
          <t>EQ</t>
        </is>
      </c>
      <c r="H355" s="115" t="inlineStr">
        <is>
          <t>buy</t>
        </is>
      </c>
      <c r="I355" s="115" t="b">
        <v>0</v>
      </c>
      <c r="J355" s="115" t="n">
        <v>1</v>
      </c>
      <c r="K355" s="115" t="n">
        <v>13020</v>
      </c>
      <c r="L355" s="116" t="n">
        <v>607146405</v>
      </c>
      <c r="M355" s="116" t="n">
        <v>1300000090848577</v>
      </c>
      <c r="N355" s="115" t="inlineStr">
        <is>
          <t>2026-03-20T14:47:54</t>
        </is>
      </c>
      <c r="O355" s="115" t="inlineStr"/>
    </row>
    <row r="356">
      <c r="A356" s="115" t="inlineStr"/>
      <c r="B356" s="115" t="inlineStr">
        <is>
          <t>SOLARINDS</t>
        </is>
      </c>
      <c r="C356" s="115" t="inlineStr">
        <is>
          <t>INE343H01029</t>
        </is>
      </c>
      <c r="D356" s="115" t="inlineStr">
        <is>
          <t>2026-03-20</t>
        </is>
      </c>
      <c r="E356" s="115" t="inlineStr">
        <is>
          <t>NSE</t>
        </is>
      </c>
      <c r="F356" s="115" t="inlineStr">
        <is>
          <t>EQ</t>
        </is>
      </c>
      <c r="G356" s="115" t="inlineStr">
        <is>
          <t>EQ</t>
        </is>
      </c>
      <c r="H356" s="115" t="inlineStr">
        <is>
          <t>buy</t>
        </is>
      </c>
      <c r="I356" s="115" t="b">
        <v>0</v>
      </c>
      <c r="J356" s="115" t="n">
        <v>1</v>
      </c>
      <c r="K356" s="115" t="n">
        <v>13022</v>
      </c>
      <c r="L356" s="116" t="n">
        <v>607146406</v>
      </c>
      <c r="M356" s="116" t="n">
        <v>1300000090848577</v>
      </c>
      <c r="N356" s="115" t="inlineStr">
        <is>
          <t>2026-03-20T14:47:54</t>
        </is>
      </c>
      <c r="O356" s="115" t="inlineStr"/>
    </row>
    <row r="357">
      <c r="A357" s="115" t="inlineStr"/>
      <c r="B357" s="115" t="inlineStr">
        <is>
          <t>SEAMECLTD</t>
        </is>
      </c>
      <c r="C357" s="115" t="inlineStr">
        <is>
          <t>INE497B01018</t>
        </is>
      </c>
      <c r="D357" s="115" t="inlineStr">
        <is>
          <t>2026-03-20</t>
        </is>
      </c>
      <c r="E357" s="115" t="inlineStr">
        <is>
          <t>NSE</t>
        </is>
      </c>
      <c r="F357" s="115" t="inlineStr">
        <is>
          <t>EQ</t>
        </is>
      </c>
      <c r="G357" s="115" t="inlineStr">
        <is>
          <t>EQ</t>
        </is>
      </c>
      <c r="H357" s="115" t="inlineStr">
        <is>
          <t>buy</t>
        </is>
      </c>
      <c r="I357" s="115" t="b">
        <v>0</v>
      </c>
      <c r="J357" s="115" t="n">
        <v>8</v>
      </c>
      <c r="K357" s="115" t="n">
        <v>1378.7</v>
      </c>
      <c r="L357" s="116" t="n">
        <v>608752169</v>
      </c>
      <c r="M357" s="116" t="n">
        <v>1300000102008239</v>
      </c>
      <c r="N357" s="115" t="inlineStr">
        <is>
          <t>2026-03-20T15:22:03</t>
        </is>
      </c>
      <c r="O357" s="115" t="inlineStr"/>
    </row>
    <row r="358">
      <c r="A358" s="115" t="inlineStr"/>
      <c r="B358" s="115" t="inlineStr">
        <is>
          <t>MAZDOCK</t>
        </is>
      </c>
      <c r="C358" s="115" t="inlineStr">
        <is>
          <t>INE249Z01020</t>
        </is>
      </c>
      <c r="D358" s="115" t="inlineStr">
        <is>
          <t>2026-04-27</t>
        </is>
      </c>
      <c r="E358" s="115" t="inlineStr">
        <is>
          <t>NSE</t>
        </is>
      </c>
      <c r="F358" s="115" t="inlineStr">
        <is>
          <t>EQ</t>
        </is>
      </c>
      <c r="G358" s="115" t="inlineStr">
        <is>
          <t>EQ</t>
        </is>
      </c>
      <c r="H358" s="115" t="inlineStr">
        <is>
          <t>buy</t>
        </is>
      </c>
      <c r="I358" s="115" t="b">
        <v>0</v>
      </c>
      <c r="J358" s="115" t="n">
        <v>19</v>
      </c>
      <c r="K358" s="115" t="n">
        <v>2683</v>
      </c>
      <c r="L358" s="116" t="n">
        <v>406774172</v>
      </c>
      <c r="M358" s="116" t="n">
        <v>1200000087322430</v>
      </c>
      <c r="N358" s="115" t="inlineStr">
        <is>
          <t>2026-04-27T14:56:01</t>
        </is>
      </c>
      <c r="O358" s="115" t="inlineStr"/>
    </row>
    <row r="359">
      <c r="A359" s="115" t="inlineStr"/>
      <c r="B359" s="115" t="inlineStr">
        <is>
          <t>ASTRAMICRO</t>
        </is>
      </c>
      <c r="C359" s="115" t="inlineStr">
        <is>
          <t>INE386C01029</t>
        </is>
      </c>
      <c r="D359" s="115" t="inlineStr">
        <is>
          <t>2026-04-27</t>
        </is>
      </c>
      <c r="E359" s="115" t="inlineStr">
        <is>
          <t>NSE</t>
        </is>
      </c>
      <c r="F359" s="115" t="inlineStr">
        <is>
          <t>EQ</t>
        </is>
      </c>
      <c r="G359" s="115" t="inlineStr">
        <is>
          <t>EQ</t>
        </is>
      </c>
      <c r="H359" s="115" t="inlineStr">
        <is>
          <t>buy</t>
        </is>
      </c>
      <c r="I359" s="115" t="b">
        <v>0</v>
      </c>
      <c r="J359" s="115" t="n">
        <v>44</v>
      </c>
      <c r="K359" s="115" t="n">
        <v>1141.55</v>
      </c>
      <c r="L359" s="116" t="n">
        <v>6545076</v>
      </c>
      <c r="M359" s="116" t="n">
        <v>1000000074468622</v>
      </c>
      <c r="N359" s="115" t="inlineStr">
        <is>
          <t>2026-04-27T14:56:23</t>
        </is>
      </c>
      <c r="O359" s="115" t="inlineStr"/>
    </row>
    <row r="360">
      <c r="A360" s="115" t="inlineStr"/>
      <c r="B360" s="115" t="inlineStr">
        <is>
          <t>BPCL</t>
        </is>
      </c>
      <c r="C360" s="115" t="inlineStr">
        <is>
          <t>INE029A01011</t>
        </is>
      </c>
      <c r="D360" s="115" t="inlineStr">
        <is>
          <t>2026-05-04</t>
        </is>
      </c>
      <c r="E360" s="115" t="inlineStr">
        <is>
          <t>NSE</t>
        </is>
      </c>
      <c r="F360" s="115" t="inlineStr">
        <is>
          <t>EQ</t>
        </is>
      </c>
      <c r="G360" s="115" t="inlineStr">
        <is>
          <t>EQ</t>
        </is>
      </c>
      <c r="H360" s="115" t="inlineStr">
        <is>
          <t>sell</t>
        </is>
      </c>
      <c r="I360" s="115" t="b">
        <v>0</v>
      </c>
      <c r="J360" s="115" t="n">
        <v>6</v>
      </c>
      <c r="K360" s="115" t="n">
        <v>301.65</v>
      </c>
      <c r="L360" s="116" t="n">
        <v>8430924</v>
      </c>
      <c r="M360" s="116" t="n">
        <v>1000000084813264</v>
      </c>
      <c r="N360" s="115" t="inlineStr">
        <is>
          <t>2026-05-04T14:57:16</t>
        </is>
      </c>
      <c r="O360" s="115" t="inlineStr"/>
    </row>
    <row r="361">
      <c r="A361" s="115" t="inlineStr"/>
      <c r="B361" s="115" t="inlineStr">
        <is>
          <t>BPCL</t>
        </is>
      </c>
      <c r="C361" s="115" t="inlineStr">
        <is>
          <t>INE029A01011</t>
        </is>
      </c>
      <c r="D361" s="115" t="inlineStr">
        <is>
          <t>2026-05-04</t>
        </is>
      </c>
      <c r="E361" s="115" t="inlineStr">
        <is>
          <t>NSE</t>
        </is>
      </c>
      <c r="F361" s="115" t="inlineStr">
        <is>
          <t>EQ</t>
        </is>
      </c>
      <c r="G361" s="115" t="inlineStr">
        <is>
          <t>EQ</t>
        </is>
      </c>
      <c r="H361" s="115" t="inlineStr">
        <is>
          <t>sell</t>
        </is>
      </c>
      <c r="I361" s="115" t="b">
        <v>0</v>
      </c>
      <c r="J361" s="115" t="n">
        <v>76</v>
      </c>
      <c r="K361" s="115" t="n">
        <v>301.65</v>
      </c>
      <c r="L361" s="116" t="n">
        <v>8430923</v>
      </c>
      <c r="M361" s="116" t="n">
        <v>1000000084813264</v>
      </c>
      <c r="N361" s="115" t="inlineStr">
        <is>
          <t>2026-05-04T14:57:16</t>
        </is>
      </c>
      <c r="O361" s="115" t="inlineStr"/>
    </row>
    <row r="362">
      <c r="A362" s="115" t="inlineStr"/>
      <c r="B362" s="115" t="inlineStr">
        <is>
          <t>MRPL</t>
        </is>
      </c>
      <c r="C362" s="115" t="inlineStr">
        <is>
          <t>INE103A01014</t>
        </is>
      </c>
      <c r="D362" s="115" t="inlineStr">
        <is>
          <t>2026-05-04</t>
        </is>
      </c>
      <c r="E362" s="115" t="inlineStr">
        <is>
          <t>BSE</t>
        </is>
      </c>
      <c r="F362" s="115" t="inlineStr">
        <is>
          <t>EQ</t>
        </is>
      </c>
      <c r="G362" s="115" t="inlineStr">
        <is>
          <t>A</t>
        </is>
      </c>
      <c r="H362" s="115" t="inlineStr">
        <is>
          <t>sell</t>
        </is>
      </c>
      <c r="I362" s="115" t="b">
        <v>0</v>
      </c>
      <c r="J362" s="115" t="n">
        <v>23</v>
      </c>
      <c r="K362" s="115" t="n">
        <v>159.5</v>
      </c>
      <c r="L362" s="116" t="n">
        <v>5853700</v>
      </c>
      <c r="M362" s="116" t="n">
        <v>1.777882835281353e+18</v>
      </c>
      <c r="N362" s="115" t="inlineStr">
        <is>
          <t>2026-05-04T14:58:14</t>
        </is>
      </c>
      <c r="O362" s="115" t="inlineStr"/>
    </row>
    <row r="363">
      <c r="A363" s="115" t="inlineStr"/>
      <c r="B363" s="115" t="inlineStr">
        <is>
          <t>MRPL</t>
        </is>
      </c>
      <c r="C363" s="115" t="inlineStr">
        <is>
          <t>INE103A01014</t>
        </is>
      </c>
      <c r="D363" s="115" t="inlineStr">
        <is>
          <t>2026-05-04</t>
        </is>
      </c>
      <c r="E363" s="115" t="inlineStr">
        <is>
          <t>BSE</t>
        </is>
      </c>
      <c r="F363" s="115" t="inlineStr">
        <is>
          <t>EQ</t>
        </is>
      </c>
      <c r="G363" s="115" t="inlineStr">
        <is>
          <t>A</t>
        </is>
      </c>
      <c r="H363" s="115" t="inlineStr">
        <is>
          <t>sell</t>
        </is>
      </c>
      <c r="I363" s="115" t="b">
        <v>0</v>
      </c>
      <c r="J363" s="115" t="n">
        <v>98</v>
      </c>
      <c r="K363" s="115" t="n">
        <v>159.45</v>
      </c>
      <c r="L363" s="116" t="n">
        <v>5854000</v>
      </c>
      <c r="M363" s="116" t="n">
        <v>1.777882835281353e+18</v>
      </c>
      <c r="N363" s="115" t="inlineStr">
        <is>
          <t>2026-05-04T14:58:14</t>
        </is>
      </c>
      <c r="O363" s="115" t="inlineStr"/>
    </row>
    <row r="364">
      <c r="A364" s="115" t="inlineStr"/>
      <c r="B364" s="115" t="inlineStr">
        <is>
          <t>POCL</t>
        </is>
      </c>
      <c r="C364" s="115" t="inlineStr">
        <is>
          <t>INE063E01053</t>
        </is>
      </c>
      <c r="D364" s="115" t="inlineStr">
        <is>
          <t>2026-05-04</t>
        </is>
      </c>
      <c r="E364" s="115" t="inlineStr">
        <is>
          <t>NSE</t>
        </is>
      </c>
      <c r="F364" s="115" t="inlineStr">
        <is>
          <t>EQ</t>
        </is>
      </c>
      <c r="G364" s="115" t="inlineStr">
        <is>
          <t>EQ</t>
        </is>
      </c>
      <c r="H364" s="115" t="inlineStr">
        <is>
          <t>buy</t>
        </is>
      </c>
      <c r="I364" s="115" t="b">
        <v>0</v>
      </c>
      <c r="J364" s="115" t="n">
        <v>17</v>
      </c>
      <c r="K364" s="115" t="n">
        <v>1375</v>
      </c>
      <c r="L364" s="116" t="n">
        <v>408376134</v>
      </c>
      <c r="M364" s="116" t="n">
        <v>1200000088766497</v>
      </c>
      <c r="N364" s="115" t="inlineStr">
        <is>
          <t>2026-05-04T15:00:15</t>
        </is>
      </c>
      <c r="O364" s="115" t="inlineStr"/>
    </row>
    <row r="365">
      <c r="A365" s="115" t="inlineStr"/>
      <c r="B365" s="115" t="inlineStr">
        <is>
          <t>POCL</t>
        </is>
      </c>
      <c r="C365" s="115" t="inlineStr">
        <is>
          <t>INE063E01053</t>
        </is>
      </c>
      <c r="D365" s="115" t="inlineStr">
        <is>
          <t>2026-05-04</t>
        </is>
      </c>
      <c r="E365" s="115" t="inlineStr">
        <is>
          <t>NSE</t>
        </is>
      </c>
      <c r="F365" s="115" t="inlineStr">
        <is>
          <t>EQ</t>
        </is>
      </c>
      <c r="G365" s="115" t="inlineStr">
        <is>
          <t>EQ</t>
        </is>
      </c>
      <c r="H365" s="115" t="inlineStr">
        <is>
          <t>buy</t>
        </is>
      </c>
      <c r="I365" s="115" t="b">
        <v>0</v>
      </c>
      <c r="J365" s="115" t="n">
        <v>37</v>
      </c>
      <c r="K365" s="115" t="n">
        <v>1375</v>
      </c>
      <c r="L365" s="116" t="n">
        <v>408376133</v>
      </c>
      <c r="M365" s="116" t="n">
        <v>1200000088766497</v>
      </c>
      <c r="N365" s="115" t="inlineStr">
        <is>
          <t>2026-05-04T15:00:15</t>
        </is>
      </c>
      <c r="O365" s="115" t="inlineStr"/>
    </row>
    <row r="366">
      <c r="A366" s="115" t="inlineStr"/>
      <c r="B366" s="115" t="inlineStr">
        <is>
          <t>APOLLO</t>
        </is>
      </c>
      <c r="C366" s="115" t="inlineStr">
        <is>
          <t>INE713T01028</t>
        </is>
      </c>
      <c r="D366" s="115" t="inlineStr">
        <is>
          <t>2026-05-04</t>
        </is>
      </c>
      <c r="E366" s="115" t="inlineStr">
        <is>
          <t>NSE</t>
        </is>
      </c>
      <c r="F366" s="115" t="inlineStr">
        <is>
          <t>EQ</t>
        </is>
      </c>
      <c r="G366" s="115" t="inlineStr">
        <is>
          <t>EQ</t>
        </is>
      </c>
      <c r="H366" s="115" t="inlineStr">
        <is>
          <t>buy</t>
        </is>
      </c>
      <c r="I366" s="115" t="b">
        <v>0</v>
      </c>
      <c r="J366" s="115" t="n">
        <v>3</v>
      </c>
      <c r="K366" s="115" t="n">
        <v>293.85</v>
      </c>
      <c r="L366" s="116" t="n">
        <v>8522751</v>
      </c>
      <c r="M366" s="116" t="n">
        <v>1000000085710219</v>
      </c>
      <c r="N366" s="115" t="inlineStr">
        <is>
          <t>2026-05-04T15:00:40</t>
        </is>
      </c>
      <c r="O366" s="115" t="inlineStr"/>
    </row>
    <row r="367">
      <c r="A367" s="115" t="inlineStr"/>
      <c r="B367" s="115" t="inlineStr">
        <is>
          <t>APOLLO</t>
        </is>
      </c>
      <c r="C367" s="115" t="inlineStr">
        <is>
          <t>INE713T01028</t>
        </is>
      </c>
      <c r="D367" s="115" t="inlineStr">
        <is>
          <t>2026-05-04</t>
        </is>
      </c>
      <c r="E367" s="115" t="inlineStr">
        <is>
          <t>NSE</t>
        </is>
      </c>
      <c r="F367" s="115" t="inlineStr">
        <is>
          <t>EQ</t>
        </is>
      </c>
      <c r="G367" s="115" t="inlineStr">
        <is>
          <t>EQ</t>
        </is>
      </c>
      <c r="H367" s="115" t="inlineStr">
        <is>
          <t>buy</t>
        </is>
      </c>
      <c r="I367" s="115" t="b">
        <v>0</v>
      </c>
      <c r="J367" s="115" t="n">
        <v>72</v>
      </c>
      <c r="K367" s="115" t="n">
        <v>293.85</v>
      </c>
      <c r="L367" s="116" t="n">
        <v>8522752</v>
      </c>
      <c r="M367" s="116" t="n">
        <v>1000000085710219</v>
      </c>
      <c r="N367" s="115" t="inlineStr">
        <is>
          <t>2026-05-04T15:00:40</t>
        </is>
      </c>
      <c r="O367" s="115" t="inlineStr"/>
    </row>
    <row r="368">
      <c r="A368" s="115" t="inlineStr"/>
      <c r="B368" s="115" t="inlineStr">
        <is>
          <t>APOLLO</t>
        </is>
      </c>
      <c r="C368" s="115" t="inlineStr">
        <is>
          <t>INE713T01028</t>
        </is>
      </c>
      <c r="D368" s="115" t="inlineStr">
        <is>
          <t>2026-05-04</t>
        </is>
      </c>
      <c r="E368" s="115" t="inlineStr">
        <is>
          <t>NSE</t>
        </is>
      </c>
      <c r="F368" s="115" t="inlineStr">
        <is>
          <t>EQ</t>
        </is>
      </c>
      <c r="G368" s="115" t="inlineStr">
        <is>
          <t>EQ</t>
        </is>
      </c>
      <c r="H368" s="115" t="inlineStr">
        <is>
          <t>buy</t>
        </is>
      </c>
      <c r="I368" s="115" t="b">
        <v>0</v>
      </c>
      <c r="J368" s="115" t="n">
        <v>96</v>
      </c>
      <c r="K368" s="115" t="n">
        <v>293.85</v>
      </c>
      <c r="L368" s="116" t="n">
        <v>8522750</v>
      </c>
      <c r="M368" s="116" t="n">
        <v>1000000085710219</v>
      </c>
      <c r="N368" s="115" t="inlineStr">
        <is>
          <t>2026-05-04T15:00:40</t>
        </is>
      </c>
      <c r="O368" s="115" t="inlineStr"/>
    </row>
    <row r="369">
      <c r="A369" s="115" t="inlineStr"/>
      <c r="B369" s="115" t="inlineStr">
        <is>
          <t>VOLTAMP</t>
        </is>
      </c>
      <c r="C369" s="115" t="inlineStr">
        <is>
          <t>INE540H01012</t>
        </is>
      </c>
      <c r="D369" s="115" t="inlineStr">
        <is>
          <t>2026-05-05</t>
        </is>
      </c>
      <c r="E369" s="115" t="inlineStr">
        <is>
          <t>NSE</t>
        </is>
      </c>
      <c r="F369" s="115" t="inlineStr">
        <is>
          <t>EQ</t>
        </is>
      </c>
      <c r="G369" s="115" t="inlineStr">
        <is>
          <t>EQ</t>
        </is>
      </c>
      <c r="H369" s="115" t="inlineStr">
        <is>
          <t>buy</t>
        </is>
      </c>
      <c r="I369" s="115" t="b">
        <v>0</v>
      </c>
      <c r="J369" s="115" t="n">
        <v>10</v>
      </c>
      <c r="K369" s="115" t="n">
        <v>10033</v>
      </c>
      <c r="L369" s="116" t="n">
        <v>607637537</v>
      </c>
      <c r="M369" s="116" t="n">
        <v>1300000082781863</v>
      </c>
      <c r="N369" s="115" t="inlineStr">
        <is>
          <t>2026-05-05T13:54:18</t>
        </is>
      </c>
      <c r="O369" s="115" t="inlineStr"/>
    </row>
    <row r="370">
      <c r="A370" s="115" t="inlineStr"/>
      <c r="B370" s="115" t="inlineStr">
        <is>
          <t>VOLTAMP</t>
        </is>
      </c>
      <c r="C370" s="115" t="inlineStr">
        <is>
          <t>INE540H01012</t>
        </is>
      </c>
      <c r="D370" s="115" t="inlineStr">
        <is>
          <t>2026-05-06</t>
        </is>
      </c>
      <c r="E370" s="115" t="inlineStr">
        <is>
          <t>NSE</t>
        </is>
      </c>
      <c r="F370" s="115" t="inlineStr">
        <is>
          <t>EQ</t>
        </is>
      </c>
      <c r="G370" s="115" t="inlineStr">
        <is>
          <t>EQ</t>
        </is>
      </c>
      <c r="H370" s="115" t="inlineStr">
        <is>
          <t>sell</t>
        </is>
      </c>
      <c r="I370" s="115" t="b">
        <v>0</v>
      </c>
      <c r="J370" s="115" t="n">
        <v>10</v>
      </c>
      <c r="K370" s="115" t="n">
        <v>9901</v>
      </c>
      <c r="L370" s="116" t="n">
        <v>600356889</v>
      </c>
      <c r="M370" s="116" t="n">
        <v>1300000002487452</v>
      </c>
      <c r="N370" s="115" t="inlineStr">
        <is>
          <t>2026-05-06T09:18:16</t>
        </is>
      </c>
      <c r="O370" s="115" t="inlineStr"/>
    </row>
    <row r="371">
      <c r="A371" s="115" t="inlineStr"/>
      <c r="B371" s="115" t="inlineStr">
        <is>
          <t>UNOMINDA</t>
        </is>
      </c>
      <c r="C371" s="115" t="inlineStr">
        <is>
          <t>INE405E01023</t>
        </is>
      </c>
      <c r="D371" s="115" t="inlineStr">
        <is>
          <t>2026-05-06</t>
        </is>
      </c>
      <c r="E371" s="115" t="inlineStr">
        <is>
          <t>NSE</t>
        </is>
      </c>
      <c r="F371" s="115" t="inlineStr">
        <is>
          <t>EQ</t>
        </is>
      </c>
      <c r="G371" s="115" t="inlineStr">
        <is>
          <t>EQ</t>
        </is>
      </c>
      <c r="H371" s="115" t="inlineStr">
        <is>
          <t>sell</t>
        </is>
      </c>
      <c r="I371" s="115" t="b">
        <v>0</v>
      </c>
      <c r="J371" s="115" t="n">
        <v>71</v>
      </c>
      <c r="K371" s="115" t="n">
        <v>1091.8</v>
      </c>
      <c r="L371" s="116" t="n">
        <v>601225185</v>
      </c>
      <c r="M371" s="116" t="n">
        <v>1300000010227980</v>
      </c>
      <c r="N371" s="115" t="inlineStr">
        <is>
          <t>2026-05-06T09:34:29</t>
        </is>
      </c>
      <c r="O371" s="115" t="inlineStr"/>
    </row>
    <row r="372">
      <c r="A372" s="115" t="inlineStr"/>
      <c r="B372" s="115" t="inlineStr">
        <is>
          <t>TDPOWERSYS</t>
        </is>
      </c>
      <c r="C372" s="115" t="inlineStr">
        <is>
          <t>INE419M01027</t>
        </is>
      </c>
      <c r="D372" s="115" t="inlineStr">
        <is>
          <t>2026-05-06</t>
        </is>
      </c>
      <c r="E372" s="115" t="inlineStr">
        <is>
          <t>BSE</t>
        </is>
      </c>
      <c r="F372" s="115" t="inlineStr">
        <is>
          <t>EQ</t>
        </is>
      </c>
      <c r="G372" s="115" t="inlineStr">
        <is>
          <t>A</t>
        </is>
      </c>
      <c r="H372" s="115" t="inlineStr">
        <is>
          <t>buy</t>
        </is>
      </c>
      <c r="I372" s="115" t="b">
        <v>0</v>
      </c>
      <c r="J372" s="115" t="n">
        <v>1</v>
      </c>
      <c r="K372" s="115" t="n">
        <v>1159.9</v>
      </c>
      <c r="L372" s="116" t="n">
        <v>2757900</v>
      </c>
      <c r="M372" s="116" t="n">
        <v>1.778038200015847e+18</v>
      </c>
      <c r="N372" s="115" t="inlineStr">
        <is>
          <t>2026-05-06T09:38:07</t>
        </is>
      </c>
      <c r="O372" s="115" t="inlineStr"/>
    </row>
    <row r="373">
      <c r="A373" s="115" t="inlineStr"/>
      <c r="B373" s="115" t="inlineStr">
        <is>
          <t>TDPOWERSYS</t>
        </is>
      </c>
      <c r="C373" s="115" t="inlineStr">
        <is>
          <t>INE419M01027</t>
        </is>
      </c>
      <c r="D373" s="115" t="inlineStr">
        <is>
          <t>2026-05-06</t>
        </is>
      </c>
      <c r="E373" s="115" t="inlineStr">
        <is>
          <t>BSE</t>
        </is>
      </c>
      <c r="F373" s="115" t="inlineStr">
        <is>
          <t>EQ</t>
        </is>
      </c>
      <c r="G373" s="115" t="inlineStr">
        <is>
          <t>A</t>
        </is>
      </c>
      <c r="H373" s="115" t="inlineStr">
        <is>
          <t>buy</t>
        </is>
      </c>
      <c r="I373" s="115" t="b">
        <v>0</v>
      </c>
      <c r="J373" s="115" t="n">
        <v>12</v>
      </c>
      <c r="K373" s="115" t="n">
        <v>1160</v>
      </c>
      <c r="L373" s="116" t="n">
        <v>2758100</v>
      </c>
      <c r="M373" s="116" t="n">
        <v>1.778038200015847e+18</v>
      </c>
      <c r="N373" s="115" t="inlineStr">
        <is>
          <t>2026-05-06T09:38:07</t>
        </is>
      </c>
      <c r="O373" s="115" t="inlineStr"/>
    </row>
    <row r="374">
      <c r="A374" s="115" t="inlineStr"/>
      <c r="B374" s="115" t="inlineStr">
        <is>
          <t>TDPOWERSYS</t>
        </is>
      </c>
      <c r="C374" s="115" t="inlineStr">
        <is>
          <t>INE419M01027</t>
        </is>
      </c>
      <c r="D374" s="115" t="inlineStr">
        <is>
          <t>2026-05-06</t>
        </is>
      </c>
      <c r="E374" s="115" t="inlineStr">
        <is>
          <t>BSE</t>
        </is>
      </c>
      <c r="F374" s="115" t="inlineStr">
        <is>
          <t>EQ</t>
        </is>
      </c>
      <c r="G374" s="115" t="inlineStr">
        <is>
          <t>A</t>
        </is>
      </c>
      <c r="H374" s="115" t="inlineStr">
        <is>
          <t>buy</t>
        </is>
      </c>
      <c r="I374" s="115" t="b">
        <v>0</v>
      </c>
      <c r="J374" s="115" t="n">
        <v>3</v>
      </c>
      <c r="K374" s="115" t="n">
        <v>1159.65</v>
      </c>
      <c r="L374" s="116" t="n">
        <v>2757400</v>
      </c>
      <c r="M374" s="116" t="n">
        <v>1.778038200015847e+18</v>
      </c>
      <c r="N374" s="115" t="inlineStr">
        <is>
          <t>2026-05-06T09:38:07</t>
        </is>
      </c>
      <c r="O374" s="115" t="inlineStr"/>
    </row>
    <row r="375">
      <c r="A375" s="115" t="inlineStr"/>
      <c r="B375" s="115" t="inlineStr">
        <is>
          <t>TDPOWERSYS</t>
        </is>
      </c>
      <c r="C375" s="115" t="inlineStr">
        <is>
          <t>INE419M01027</t>
        </is>
      </c>
      <c r="D375" s="115" t="inlineStr">
        <is>
          <t>2026-05-06</t>
        </is>
      </c>
      <c r="E375" s="115" t="inlineStr">
        <is>
          <t>BSE</t>
        </is>
      </c>
      <c r="F375" s="115" t="inlineStr">
        <is>
          <t>EQ</t>
        </is>
      </c>
      <c r="G375" s="115" t="inlineStr">
        <is>
          <t>A</t>
        </is>
      </c>
      <c r="H375" s="115" t="inlineStr">
        <is>
          <t>buy</t>
        </is>
      </c>
      <c r="I375" s="115" t="b">
        <v>0</v>
      </c>
      <c r="J375" s="115" t="n">
        <v>49</v>
      </c>
      <c r="K375" s="115" t="n">
        <v>1159.7</v>
      </c>
      <c r="L375" s="116" t="n">
        <v>2757700</v>
      </c>
      <c r="M375" s="116" t="n">
        <v>1.778038200015847e+18</v>
      </c>
      <c r="N375" s="115" t="inlineStr">
        <is>
          <t>2026-05-06T09:38:07</t>
        </is>
      </c>
      <c r="O375" s="115" t="inlineStr"/>
    </row>
    <row r="376">
      <c r="A376" s="115" t="inlineStr"/>
      <c r="B376" s="115" t="inlineStr">
        <is>
          <t>MAHABANK</t>
        </is>
      </c>
      <c r="C376" s="115" t="inlineStr">
        <is>
          <t>INE457A01014</t>
        </is>
      </c>
      <c r="D376" s="115" t="inlineStr">
        <is>
          <t>2026-05-08</t>
        </is>
      </c>
      <c r="E376" s="115" t="inlineStr">
        <is>
          <t>BSE</t>
        </is>
      </c>
      <c r="F376" s="115" t="inlineStr">
        <is>
          <t>EQ</t>
        </is>
      </c>
      <c r="G376" s="115" t="inlineStr">
        <is>
          <t>A</t>
        </is>
      </c>
      <c r="H376" s="115" t="inlineStr">
        <is>
          <t>buy</t>
        </is>
      </c>
      <c r="I376" s="115" t="b">
        <v>0</v>
      </c>
      <c r="J376" s="115" t="n">
        <v>204</v>
      </c>
      <c r="K376" s="115" t="n">
        <v>84.04000000000001</v>
      </c>
      <c r="L376" s="116" t="n">
        <v>16785300</v>
      </c>
      <c r="M376" s="116" t="n">
        <v>1.778230090151448e+18</v>
      </c>
      <c r="N376" s="115" t="inlineStr">
        <is>
          <t>2026-05-08T14:53:19</t>
        </is>
      </c>
      <c r="O376" s="115" t="inlineStr"/>
    </row>
    <row r="377">
      <c r="A377" s="115" t="inlineStr"/>
      <c r="B377" s="115" t="inlineStr">
        <is>
          <t>MAHABANK</t>
        </is>
      </c>
      <c r="C377" s="115" t="inlineStr">
        <is>
          <t>INE457A01014</t>
        </is>
      </c>
      <c r="D377" s="115" t="inlineStr">
        <is>
          <t>2026-05-08</t>
        </is>
      </c>
      <c r="E377" s="115" t="inlineStr">
        <is>
          <t>BSE</t>
        </is>
      </c>
      <c r="F377" s="115" t="inlineStr">
        <is>
          <t>EQ</t>
        </is>
      </c>
      <c r="G377" s="115" t="inlineStr">
        <is>
          <t>A</t>
        </is>
      </c>
      <c r="H377" s="115" t="inlineStr">
        <is>
          <t>buy</t>
        </is>
      </c>
      <c r="I377" s="115" t="b">
        <v>0</v>
      </c>
      <c r="J377" s="115" t="n">
        <v>391</v>
      </c>
      <c r="K377" s="115" t="n">
        <v>84.05</v>
      </c>
      <c r="L377" s="116" t="n">
        <v>16785600</v>
      </c>
      <c r="M377" s="116" t="n">
        <v>1.778230090151448e+18</v>
      </c>
      <c r="N377" s="115" t="inlineStr">
        <is>
          <t>2026-05-08T14:53:19</t>
        </is>
      </c>
      <c r="O377" s="115" t="inlineStr"/>
    </row>
    <row r="378">
      <c r="A378" s="115" t="inlineStr"/>
      <c r="B378" s="115" t="inlineStr">
        <is>
          <t>CGPOWER</t>
        </is>
      </c>
      <c r="C378" s="115" t="inlineStr">
        <is>
          <t>INE067A01029</t>
        </is>
      </c>
      <c r="D378" s="115" t="inlineStr">
        <is>
          <t>2026-05-08</t>
        </is>
      </c>
      <c r="E378" s="115" t="inlineStr">
        <is>
          <t>NSE</t>
        </is>
      </c>
      <c r="F378" s="115" t="inlineStr">
        <is>
          <t>EQ</t>
        </is>
      </c>
      <c r="G378" s="115" t="inlineStr">
        <is>
          <t>EQ</t>
        </is>
      </c>
      <c r="H378" s="115" t="inlineStr">
        <is>
          <t>buy</t>
        </is>
      </c>
      <c r="I378" s="115" t="b">
        <v>0</v>
      </c>
      <c r="J378" s="115" t="n">
        <v>17</v>
      </c>
      <c r="K378" s="115" t="n">
        <v>870.95</v>
      </c>
      <c r="L378" s="116" t="n">
        <v>7993096</v>
      </c>
      <c r="M378" s="116" t="n">
        <v>1000000080642240</v>
      </c>
      <c r="N378" s="115" t="inlineStr">
        <is>
          <t>2026-05-08T14:55:01</t>
        </is>
      </c>
      <c r="O378" s="115" t="inlineStr"/>
    </row>
    <row r="379">
      <c r="A379" s="115" t="inlineStr"/>
      <c r="B379" s="115" t="inlineStr">
        <is>
          <t>CGPOWER</t>
        </is>
      </c>
      <c r="C379" s="115" t="inlineStr">
        <is>
          <t>INE067A01029</t>
        </is>
      </c>
      <c r="D379" s="115" t="inlineStr">
        <is>
          <t>2026-05-08</t>
        </is>
      </c>
      <c r="E379" s="115" t="inlineStr">
        <is>
          <t>NSE</t>
        </is>
      </c>
      <c r="F379" s="115" t="inlineStr">
        <is>
          <t>EQ</t>
        </is>
      </c>
      <c r="G379" s="115" t="inlineStr">
        <is>
          <t>EQ</t>
        </is>
      </c>
      <c r="H379" s="115" t="inlineStr">
        <is>
          <t>buy</t>
        </is>
      </c>
      <c r="I379" s="115" t="b">
        <v>0</v>
      </c>
      <c r="J379" s="115" t="n">
        <v>18</v>
      </c>
      <c r="K379" s="115" t="n">
        <v>870.95</v>
      </c>
      <c r="L379" s="116" t="n">
        <v>7993097</v>
      </c>
      <c r="M379" s="116" t="n">
        <v>1000000080642240</v>
      </c>
      <c r="N379" s="115" t="inlineStr">
        <is>
          <t>2026-05-08T14:55:01</t>
        </is>
      </c>
      <c r="O379" s="115" t="inlineStr"/>
    </row>
    <row r="380">
      <c r="A380" s="115" t="inlineStr"/>
      <c r="B380" s="115" t="inlineStr">
        <is>
          <t>CGPOWER</t>
        </is>
      </c>
      <c r="C380" s="115" t="inlineStr">
        <is>
          <t>INE067A01029</t>
        </is>
      </c>
      <c r="D380" s="115" t="inlineStr">
        <is>
          <t>2026-05-08</t>
        </is>
      </c>
      <c r="E380" s="115" t="inlineStr">
        <is>
          <t>NSE</t>
        </is>
      </c>
      <c r="F380" s="115" t="inlineStr">
        <is>
          <t>EQ</t>
        </is>
      </c>
      <c r="G380" s="115" t="inlineStr">
        <is>
          <t>EQ</t>
        </is>
      </c>
      <c r="H380" s="115" t="inlineStr">
        <is>
          <t>buy</t>
        </is>
      </c>
      <c r="I380" s="115" t="b">
        <v>0</v>
      </c>
      <c r="J380" s="115" t="n">
        <v>22</v>
      </c>
      <c r="K380" s="115" t="n">
        <v>870.95</v>
      </c>
      <c r="L380" s="116" t="n">
        <v>7993098</v>
      </c>
      <c r="M380" s="116" t="n">
        <v>1000000080642240</v>
      </c>
      <c r="N380" s="115" t="inlineStr">
        <is>
          <t>2026-05-08T14:55:01</t>
        </is>
      </c>
      <c r="O380" s="115" t="inlineStr"/>
    </row>
    <row r="381">
      <c r="A381" s="115" t="inlineStr"/>
      <c r="B381" s="115" t="inlineStr">
        <is>
          <t>MAHABANK</t>
        </is>
      </c>
      <c r="C381" s="115" t="inlineStr">
        <is>
          <t>INE457A01014</t>
        </is>
      </c>
      <c r="D381" s="115" t="inlineStr">
        <is>
          <t>2026-05-08</t>
        </is>
      </c>
      <c r="E381" s="115" t="inlineStr">
        <is>
          <t>BSE</t>
        </is>
      </c>
      <c r="F381" s="115" t="inlineStr">
        <is>
          <t>EQ</t>
        </is>
      </c>
      <c r="G381" s="115" t="inlineStr">
        <is>
          <t>A</t>
        </is>
      </c>
      <c r="H381" s="115" t="inlineStr">
        <is>
          <t>sell</t>
        </is>
      </c>
      <c r="I381" s="115" t="b">
        <v>0</v>
      </c>
      <c r="J381" s="115" t="n">
        <v>535</v>
      </c>
      <c r="K381" s="115" t="n">
        <v>83.95</v>
      </c>
      <c r="L381" s="116" t="n">
        <v>16855200</v>
      </c>
      <c r="M381" s="116" t="n">
        <v>1.77823009015145e+18</v>
      </c>
      <c r="N381" s="115" t="inlineStr">
        <is>
          <t>2026-05-08T14:56:21</t>
        </is>
      </c>
      <c r="O381" s="115" t="inlineStr"/>
    </row>
    <row r="382">
      <c r="A382" s="115" t="inlineStr"/>
      <c r="B382" s="115" t="inlineStr">
        <is>
          <t>MAHABANK</t>
        </is>
      </c>
      <c r="C382" s="115" t="inlineStr">
        <is>
          <t>INE457A01014</t>
        </is>
      </c>
      <c r="D382" s="115" t="inlineStr">
        <is>
          <t>2026-05-08</t>
        </is>
      </c>
      <c r="E382" s="115" t="inlineStr">
        <is>
          <t>BSE</t>
        </is>
      </c>
      <c r="F382" s="115" t="inlineStr">
        <is>
          <t>EQ</t>
        </is>
      </c>
      <c r="G382" s="115" t="inlineStr">
        <is>
          <t>A</t>
        </is>
      </c>
      <c r="H382" s="115" t="inlineStr">
        <is>
          <t>sell</t>
        </is>
      </c>
      <c r="I382" s="115" t="b">
        <v>0</v>
      </c>
      <c r="J382" s="115" t="n">
        <v>60</v>
      </c>
      <c r="K382" s="115" t="n">
        <v>83.95999999999999</v>
      </c>
      <c r="L382" s="116" t="n">
        <v>16854900</v>
      </c>
      <c r="M382" s="116" t="n">
        <v>1.77823009015145e+18</v>
      </c>
      <c r="N382" s="115" t="inlineStr">
        <is>
          <t>2026-05-08T14:56:21</t>
        </is>
      </c>
      <c r="O382" s="115" t="inlineStr"/>
    </row>
    <row r="383">
      <c r="A383" s="115" t="inlineStr"/>
      <c r="B383" s="115" t="inlineStr">
        <is>
          <t>GVT&amp;D</t>
        </is>
      </c>
      <c r="C383" s="115" t="inlineStr">
        <is>
          <t>INE200A01026</t>
        </is>
      </c>
      <c r="D383" s="115" t="inlineStr">
        <is>
          <t>2026-05-06</t>
        </is>
      </c>
      <c r="E383" s="115" t="inlineStr">
        <is>
          <t>BSE</t>
        </is>
      </c>
      <c r="F383" s="115" t="inlineStr">
        <is>
          <t>EQ</t>
        </is>
      </c>
      <c r="G383" s="115" t="inlineStr">
        <is>
          <t>A</t>
        </is>
      </c>
      <c r="H383" s="115" t="inlineStr">
        <is>
          <t>buy</t>
        </is>
      </c>
      <c r="I383" s="115" t="b">
        <v>0</v>
      </c>
      <c r="J383" s="115" t="n">
        <v>1</v>
      </c>
      <c r="K383" s="115" t="n">
        <v>4534.5</v>
      </c>
      <c r="L383" s="116" t="n">
        <v>2301600</v>
      </c>
      <c r="M383" s="116" t="n">
        <v>1.778038200012592e+18</v>
      </c>
      <c r="N383" s="115" t="inlineStr">
        <is>
          <t>2026-05-06T09:43:13</t>
        </is>
      </c>
      <c r="O383" s="115" t="inlineStr"/>
    </row>
    <row r="384">
      <c r="A384" s="115" t="inlineStr"/>
      <c r="B384" s="115" t="inlineStr">
        <is>
          <t>GVT&amp;D</t>
        </is>
      </c>
      <c r="C384" s="115" t="inlineStr">
        <is>
          <t>INE200A01026</t>
        </is>
      </c>
      <c r="D384" s="115" t="inlineStr">
        <is>
          <t>2026-05-06</t>
        </is>
      </c>
      <c r="E384" s="115" t="inlineStr">
        <is>
          <t>BSE</t>
        </is>
      </c>
      <c r="F384" s="115" t="inlineStr">
        <is>
          <t>EQ</t>
        </is>
      </c>
      <c r="G384" s="115" t="inlineStr">
        <is>
          <t>A</t>
        </is>
      </c>
      <c r="H384" s="115" t="inlineStr">
        <is>
          <t>buy</t>
        </is>
      </c>
      <c r="I384" s="115" t="b">
        <v>0</v>
      </c>
      <c r="J384" s="115" t="n">
        <v>1</v>
      </c>
      <c r="K384" s="115" t="n">
        <v>4534.7998</v>
      </c>
      <c r="L384" s="116" t="n">
        <v>2302000</v>
      </c>
      <c r="M384" s="116" t="n">
        <v>1.778038200012592e+18</v>
      </c>
      <c r="N384" s="115" t="inlineStr">
        <is>
          <t>2026-05-06T09:43:13</t>
        </is>
      </c>
      <c r="O384" s="115" t="inlineStr"/>
    </row>
    <row r="385">
      <c r="A385" s="115" t="inlineStr"/>
      <c r="B385" s="115" t="inlineStr">
        <is>
          <t>GVT&amp;D</t>
        </is>
      </c>
      <c r="C385" s="115" t="inlineStr">
        <is>
          <t>INE200A01026</t>
        </is>
      </c>
      <c r="D385" s="115" t="inlineStr">
        <is>
          <t>2026-05-06</t>
        </is>
      </c>
      <c r="E385" s="115" t="inlineStr">
        <is>
          <t>BSE</t>
        </is>
      </c>
      <c r="F385" s="115" t="inlineStr">
        <is>
          <t>EQ</t>
        </is>
      </c>
      <c r="G385" s="115" t="inlineStr">
        <is>
          <t>A</t>
        </is>
      </c>
      <c r="H385" s="115" t="inlineStr">
        <is>
          <t>buy</t>
        </is>
      </c>
      <c r="I385" s="115" t="b">
        <v>0</v>
      </c>
      <c r="J385" s="115" t="n">
        <v>5</v>
      </c>
      <c r="K385" s="115" t="n">
        <v>4534.7002</v>
      </c>
      <c r="L385" s="116" t="n">
        <v>2301800</v>
      </c>
      <c r="M385" s="116" t="n">
        <v>1.778038200012592e+18</v>
      </c>
      <c r="N385" s="115" t="inlineStr">
        <is>
          <t>2026-05-06T09:43:13</t>
        </is>
      </c>
      <c r="O385" s="115" t="inlineStr"/>
    </row>
    <row r="386">
      <c r="A386" s="115" t="inlineStr"/>
      <c r="B386" s="115" t="inlineStr">
        <is>
          <t>GVT&amp;D</t>
        </is>
      </c>
      <c r="C386" s="115" t="inlineStr">
        <is>
          <t>INE200A01026</t>
        </is>
      </c>
      <c r="D386" s="115" t="inlineStr">
        <is>
          <t>2026-05-06</t>
        </is>
      </c>
      <c r="E386" s="115" t="inlineStr">
        <is>
          <t>BSE</t>
        </is>
      </c>
      <c r="F386" s="115" t="inlineStr">
        <is>
          <t>EQ</t>
        </is>
      </c>
      <c r="G386" s="115" t="inlineStr">
        <is>
          <t>A</t>
        </is>
      </c>
      <c r="H386" s="115" t="inlineStr">
        <is>
          <t>buy</t>
        </is>
      </c>
      <c r="I386" s="115" t="b">
        <v>0</v>
      </c>
      <c r="J386" s="115" t="n">
        <v>6</v>
      </c>
      <c r="K386" s="115" t="n">
        <v>4534.4502</v>
      </c>
      <c r="L386" s="116" t="n">
        <v>2301400</v>
      </c>
      <c r="M386" s="116" t="n">
        <v>1.778038200012592e+18</v>
      </c>
      <c r="N386" s="115" t="inlineStr">
        <is>
          <t>2026-05-06T09:43:13</t>
        </is>
      </c>
      <c r="O386" s="115" t="inlineStr"/>
    </row>
    <row r="387">
      <c r="A387" s="115" t="inlineStr"/>
      <c r="B387" s="115" t="inlineStr">
        <is>
          <t>GVT&amp;D</t>
        </is>
      </c>
      <c r="C387" s="115" t="inlineStr">
        <is>
          <t>INE200A01026</t>
        </is>
      </c>
      <c r="D387" s="115" t="inlineStr">
        <is>
          <t>2026-05-06</t>
        </is>
      </c>
      <c r="E387" s="115" t="inlineStr">
        <is>
          <t>BSE</t>
        </is>
      </c>
      <c r="F387" s="115" t="inlineStr">
        <is>
          <t>EQ</t>
        </is>
      </c>
      <c r="G387" s="115" t="inlineStr">
        <is>
          <t>A</t>
        </is>
      </c>
      <c r="H387" s="115" t="inlineStr">
        <is>
          <t>buy</t>
        </is>
      </c>
      <c r="I387" s="115" t="b">
        <v>0</v>
      </c>
      <c r="J387" s="115" t="n">
        <v>9</v>
      </c>
      <c r="K387" s="115" t="n">
        <v>4535</v>
      </c>
      <c r="L387" s="116" t="n">
        <v>2302200</v>
      </c>
      <c r="M387" s="116" t="n">
        <v>1.778038200012592e+18</v>
      </c>
      <c r="N387" s="115" t="inlineStr">
        <is>
          <t>2026-05-06T09:43:13</t>
        </is>
      </c>
      <c r="O387" s="115" t="inlineStr"/>
    </row>
    <row r="388">
      <c r="A388" s="115" t="inlineStr"/>
      <c r="B388" s="115" t="inlineStr">
        <is>
          <t>BEL</t>
        </is>
      </c>
      <c r="C388" s="115" t="inlineStr">
        <is>
          <t>INE263A01024</t>
        </is>
      </c>
      <c r="D388" s="115" t="inlineStr">
        <is>
          <t>2026-05-15</t>
        </is>
      </c>
      <c r="E388" s="115" t="inlineStr">
        <is>
          <t>BSE</t>
        </is>
      </c>
      <c r="F388" s="115" t="inlineStr">
        <is>
          <t>EQ</t>
        </is>
      </c>
      <c r="G388" s="115" t="inlineStr">
        <is>
          <t>A</t>
        </is>
      </c>
      <c r="H388" s="115" t="inlineStr">
        <is>
          <t>sell</t>
        </is>
      </c>
      <c r="I388" s="115" t="b">
        <v>0</v>
      </c>
      <c r="J388" s="115" t="n">
        <v>222</v>
      </c>
      <c r="K388" s="115" t="n">
        <v>425.25</v>
      </c>
      <c r="L388" s="116" t="n">
        <v>19706700</v>
      </c>
      <c r="M388" s="116" t="n">
        <v>1.77882930535559e+18</v>
      </c>
      <c r="N388" s="115" t="inlineStr">
        <is>
          <t>2026-05-15T13:23:52</t>
        </is>
      </c>
      <c r="O388" s="115" t="inlineStr"/>
    </row>
    <row r="389">
      <c r="A389" s="115" t="inlineStr"/>
      <c r="B389" s="115" t="inlineStr">
        <is>
          <t>MAZDOCK</t>
        </is>
      </c>
      <c r="C389" s="115" t="inlineStr">
        <is>
          <t>INE249Z01020</t>
        </is>
      </c>
      <c r="D389" s="115" t="inlineStr">
        <is>
          <t>2026-05-15</t>
        </is>
      </c>
      <c r="E389" s="115" t="inlineStr">
        <is>
          <t>BSE</t>
        </is>
      </c>
      <c r="F389" s="115" t="inlineStr">
        <is>
          <t>EQ</t>
        </is>
      </c>
      <c r="G389" s="115" t="inlineStr">
        <is>
          <t>A</t>
        </is>
      </c>
      <c r="H389" s="115" t="inlineStr">
        <is>
          <t>sell</t>
        </is>
      </c>
      <c r="I389" s="115" t="b">
        <v>0</v>
      </c>
      <c r="J389" s="115" t="n">
        <v>1</v>
      </c>
      <c r="K389" s="115" t="n">
        <v>2505.8501</v>
      </c>
      <c r="L389" s="116" t="n">
        <v>8437100</v>
      </c>
      <c r="M389" s="116" t="n">
        <v>1.77882917526555e+18</v>
      </c>
      <c r="N389" s="115" t="inlineStr">
        <is>
          <t>2026-05-15T13:32:35</t>
        </is>
      </c>
      <c r="O389" s="115" t="inlineStr"/>
    </row>
    <row r="390">
      <c r="A390" s="115" t="inlineStr"/>
      <c r="B390" s="115" t="inlineStr">
        <is>
          <t>MAZDOCK</t>
        </is>
      </c>
      <c r="C390" s="115" t="inlineStr">
        <is>
          <t>INE249Z01020</t>
        </is>
      </c>
      <c r="D390" s="115" t="inlineStr">
        <is>
          <t>2026-05-15</t>
        </is>
      </c>
      <c r="E390" s="115" t="inlineStr">
        <is>
          <t>BSE</t>
        </is>
      </c>
      <c r="F390" s="115" t="inlineStr">
        <is>
          <t>EQ</t>
        </is>
      </c>
      <c r="G390" s="115" t="inlineStr">
        <is>
          <t>A</t>
        </is>
      </c>
      <c r="H390" s="115" t="inlineStr">
        <is>
          <t>sell</t>
        </is>
      </c>
      <c r="I390" s="115" t="b">
        <v>0</v>
      </c>
      <c r="J390" s="115" t="n">
        <v>18</v>
      </c>
      <c r="K390" s="115" t="n">
        <v>2505.8999</v>
      </c>
      <c r="L390" s="116" t="n">
        <v>8436900</v>
      </c>
      <c r="M390" s="116" t="n">
        <v>1.77882917526555e+18</v>
      </c>
      <c r="N390" s="115" t="inlineStr">
        <is>
          <t>2026-05-15T13:32:35</t>
        </is>
      </c>
      <c r="O390" s="115" t="inlineStr"/>
    </row>
    <row r="391">
      <c r="A391" s="115" t="inlineStr"/>
      <c r="B391" s="115" t="inlineStr">
        <is>
          <t>SBIN</t>
        </is>
      </c>
      <c r="C391" s="115" t="inlineStr">
        <is>
          <t>INE062A01020</t>
        </is>
      </c>
      <c r="D391" s="115" t="inlineStr">
        <is>
          <t>2026-05-15</t>
        </is>
      </c>
      <c r="E391" s="115" t="inlineStr">
        <is>
          <t>NSE</t>
        </is>
      </c>
      <c r="F391" s="115" t="inlineStr">
        <is>
          <t>EQ</t>
        </is>
      </c>
      <c r="G391" s="115" t="inlineStr">
        <is>
          <t>EQ</t>
        </is>
      </c>
      <c r="H391" s="115" t="inlineStr">
        <is>
          <t>sell</t>
        </is>
      </c>
      <c r="I391" s="115" t="b">
        <v>0</v>
      </c>
      <c r="J391" s="115" t="n">
        <v>139</v>
      </c>
      <c r="K391" s="115" t="n">
        <v>970.2</v>
      </c>
      <c r="L391" s="116" t="n">
        <v>607127058</v>
      </c>
      <c r="M391" s="116" t="n">
        <v>1300000075009446</v>
      </c>
      <c r="N391" s="115" t="inlineStr">
        <is>
          <t>2026-05-15T13:33:48</t>
        </is>
      </c>
      <c r="O391" s="115" t="inlineStr"/>
    </row>
    <row r="392">
      <c r="A392" s="115" t="inlineStr"/>
      <c r="B392" s="115" t="inlineStr">
        <is>
          <t>SBIN</t>
        </is>
      </c>
      <c r="C392" s="115" t="inlineStr">
        <is>
          <t>INE062A01020</t>
        </is>
      </c>
      <c r="D392" s="115" t="inlineStr">
        <is>
          <t>2026-05-15</t>
        </is>
      </c>
      <c r="E392" s="115" t="inlineStr">
        <is>
          <t>NSE</t>
        </is>
      </c>
      <c r="F392" s="115" t="inlineStr">
        <is>
          <t>EQ</t>
        </is>
      </c>
      <c r="G392" s="115" t="inlineStr">
        <is>
          <t>EQ</t>
        </is>
      </c>
      <c r="H392" s="115" t="inlineStr">
        <is>
          <t>sell</t>
        </is>
      </c>
      <c r="I392" s="115" t="b">
        <v>0</v>
      </c>
      <c r="J392" s="115" t="n">
        <v>139</v>
      </c>
      <c r="K392" s="115" t="n">
        <v>970.4</v>
      </c>
      <c r="L392" s="116" t="n">
        <v>607127057</v>
      </c>
      <c r="M392" s="116" t="n">
        <v>1300000075009446</v>
      </c>
      <c r="N392" s="115" t="inlineStr">
        <is>
          <t>2026-05-15T13:33:48</t>
        </is>
      </c>
      <c r="O392" s="115" t="inlineStr"/>
    </row>
    <row r="393">
      <c r="A393" s="115" t="inlineStr"/>
      <c r="B393" s="115" t="inlineStr">
        <is>
          <t>TARIL</t>
        </is>
      </c>
      <c r="C393" s="115" t="inlineStr">
        <is>
          <t>INE763I01026</t>
        </is>
      </c>
      <c r="D393" s="115" t="inlineStr">
        <is>
          <t>2026-05-15</t>
        </is>
      </c>
      <c r="E393" s="115" t="inlineStr">
        <is>
          <t>NSE</t>
        </is>
      </c>
      <c r="F393" s="115" t="inlineStr">
        <is>
          <t>EQ</t>
        </is>
      </c>
      <c r="G393" s="115" t="inlineStr">
        <is>
          <t>EQ</t>
        </is>
      </c>
      <c r="H393" s="115" t="inlineStr">
        <is>
          <t>sell</t>
        </is>
      </c>
      <c r="I393" s="115" t="b">
        <v>0</v>
      </c>
      <c r="J393" s="115" t="n">
        <v>80</v>
      </c>
      <c r="K393" s="115" t="n">
        <v>304.1</v>
      </c>
      <c r="L393" s="116" t="n">
        <v>607151187</v>
      </c>
      <c r="M393" s="116" t="n">
        <v>1300000075257931</v>
      </c>
      <c r="N393" s="115" t="inlineStr">
        <is>
          <t>2026-05-15T13:34:47</t>
        </is>
      </c>
      <c r="O393" s="115" t="inlineStr"/>
    </row>
    <row r="394">
      <c r="A394" s="115" t="inlineStr"/>
      <c r="B394" s="115" t="inlineStr">
        <is>
          <t>HINDPETRO</t>
        </is>
      </c>
      <c r="C394" s="115" t="inlineStr">
        <is>
          <t>INE094A01015</t>
        </is>
      </c>
      <c r="D394" s="115" t="inlineStr">
        <is>
          <t>2026-05-15</t>
        </is>
      </c>
      <c r="E394" s="115" t="inlineStr">
        <is>
          <t>NSE</t>
        </is>
      </c>
      <c r="F394" s="115" t="inlineStr">
        <is>
          <t>EQ</t>
        </is>
      </c>
      <c r="G394" s="115" t="inlineStr">
        <is>
          <t>EQ</t>
        </is>
      </c>
      <c r="H394" s="115" t="inlineStr">
        <is>
          <t>sell</t>
        </is>
      </c>
      <c r="I394" s="115" t="b">
        <v>0</v>
      </c>
      <c r="J394" s="115" t="n">
        <v>100</v>
      </c>
      <c r="K394" s="115" t="n">
        <v>367</v>
      </c>
      <c r="L394" s="116" t="n">
        <v>206749723</v>
      </c>
      <c r="M394" s="116" t="n">
        <v>1100000069714916</v>
      </c>
      <c r="N394" s="115" t="inlineStr">
        <is>
          <t>2026-05-15T13:35:53</t>
        </is>
      </c>
      <c r="O394" s="115" t="inlineStr"/>
    </row>
    <row r="395">
      <c r="A395" s="115" t="inlineStr"/>
      <c r="B395" s="115" t="inlineStr">
        <is>
          <t>HINDPETRO</t>
        </is>
      </c>
      <c r="C395" s="115" t="inlineStr">
        <is>
          <t>INE094A01015</t>
        </is>
      </c>
      <c r="D395" s="115" t="inlineStr">
        <is>
          <t>2026-05-15</t>
        </is>
      </c>
      <c r="E395" s="115" t="inlineStr">
        <is>
          <t>NSE</t>
        </is>
      </c>
      <c r="F395" s="115" t="inlineStr">
        <is>
          <t>EQ</t>
        </is>
      </c>
      <c r="G395" s="115" t="inlineStr">
        <is>
          <t>EQ</t>
        </is>
      </c>
      <c r="H395" s="115" t="inlineStr">
        <is>
          <t>sell</t>
        </is>
      </c>
      <c r="I395" s="115" t="b">
        <v>0</v>
      </c>
      <c r="J395" s="115" t="n">
        <v>41</v>
      </c>
      <c r="K395" s="115" t="n">
        <v>367</v>
      </c>
      <c r="L395" s="116" t="n">
        <v>206749724</v>
      </c>
      <c r="M395" s="116" t="n">
        <v>1100000069714916</v>
      </c>
      <c r="N395" s="115" t="inlineStr">
        <is>
          <t>2026-05-15T13:35:53</t>
        </is>
      </c>
      <c r="O395" s="115" t="inlineStr"/>
    </row>
    <row r="396">
      <c r="A396" s="115" t="inlineStr"/>
      <c r="B396" s="115" t="inlineStr">
        <is>
          <t>HINDPETRO</t>
        </is>
      </c>
      <c r="C396" s="115" t="inlineStr">
        <is>
          <t>INE094A01015</t>
        </is>
      </c>
      <c r="D396" s="115" t="inlineStr">
        <is>
          <t>2026-05-15</t>
        </is>
      </c>
      <c r="E396" s="115" t="inlineStr">
        <is>
          <t>NSE</t>
        </is>
      </c>
      <c r="F396" s="115" t="inlineStr">
        <is>
          <t>EQ</t>
        </is>
      </c>
      <c r="G396" s="115" t="inlineStr">
        <is>
          <t>EQ</t>
        </is>
      </c>
      <c r="H396" s="115" t="inlineStr">
        <is>
          <t>sell</t>
        </is>
      </c>
      <c r="I396" s="115" t="b">
        <v>0</v>
      </c>
      <c r="J396" s="115" t="n">
        <v>64</v>
      </c>
      <c r="K396" s="115" t="n">
        <v>367</v>
      </c>
      <c r="L396" s="116" t="n">
        <v>206749722</v>
      </c>
      <c r="M396" s="116" t="n">
        <v>1100000069714916</v>
      </c>
      <c r="N396" s="115" t="inlineStr">
        <is>
          <t>2026-05-15T13:35:53</t>
        </is>
      </c>
      <c r="O396" s="115" t="inlineStr"/>
    </row>
    <row r="397">
      <c r="A397" s="115" t="inlineStr"/>
      <c r="B397" s="115" t="inlineStr">
        <is>
          <t>IOC</t>
        </is>
      </c>
      <c r="C397" s="115" t="inlineStr">
        <is>
          <t>INE242A01010</t>
        </is>
      </c>
      <c r="D397" s="115" t="inlineStr">
        <is>
          <t>2026-05-15</t>
        </is>
      </c>
      <c r="E397" s="115" t="inlineStr">
        <is>
          <t>NSE</t>
        </is>
      </c>
      <c r="F397" s="115" t="inlineStr">
        <is>
          <t>EQ</t>
        </is>
      </c>
      <c r="G397" s="115" t="inlineStr">
        <is>
          <t>EQ</t>
        </is>
      </c>
      <c r="H397" s="115" t="inlineStr">
        <is>
          <t>sell</t>
        </is>
      </c>
      <c r="I397" s="115" t="b">
        <v>0</v>
      </c>
      <c r="J397" s="115" t="n">
        <v>49</v>
      </c>
      <c r="K397" s="115" t="n">
        <v>136.25</v>
      </c>
      <c r="L397" s="116" t="n">
        <v>206751108</v>
      </c>
      <c r="M397" s="116" t="n">
        <v>1100000069734612</v>
      </c>
      <c r="N397" s="115" t="inlineStr">
        <is>
          <t>2026-05-15T13:35:59</t>
        </is>
      </c>
      <c r="O397" s="115" t="inlineStr"/>
    </row>
    <row r="398">
      <c r="A398" s="115" t="inlineStr"/>
      <c r="B398" s="115" t="inlineStr">
        <is>
          <t>IOC</t>
        </is>
      </c>
      <c r="C398" s="115" t="inlineStr">
        <is>
          <t>INE242A01010</t>
        </is>
      </c>
      <c r="D398" s="115" t="inlineStr">
        <is>
          <t>2026-05-15</t>
        </is>
      </c>
      <c r="E398" s="115" t="inlineStr">
        <is>
          <t>NSE</t>
        </is>
      </c>
      <c r="F398" s="115" t="inlineStr">
        <is>
          <t>EQ</t>
        </is>
      </c>
      <c r="G398" s="115" t="inlineStr">
        <is>
          <t>EQ</t>
        </is>
      </c>
      <c r="H398" s="115" t="inlineStr">
        <is>
          <t>sell</t>
        </is>
      </c>
      <c r="I398" s="115" t="b">
        <v>0</v>
      </c>
      <c r="J398" s="115" t="n">
        <v>201</v>
      </c>
      <c r="K398" s="115" t="n">
        <v>136.25</v>
      </c>
      <c r="L398" s="116" t="n">
        <v>206751110</v>
      </c>
      <c r="M398" s="116" t="n">
        <v>1100000069734612</v>
      </c>
      <c r="N398" s="115" t="inlineStr">
        <is>
          <t>2026-05-15T13:35:59</t>
        </is>
      </c>
      <c r="O398" s="115" t="inlineStr"/>
    </row>
    <row r="399">
      <c r="A399" s="115" t="inlineStr"/>
      <c r="B399" s="115" t="inlineStr">
        <is>
          <t>IOC</t>
        </is>
      </c>
      <c r="C399" s="115" t="inlineStr">
        <is>
          <t>INE242A01010</t>
        </is>
      </c>
      <c r="D399" s="115" t="inlineStr">
        <is>
          <t>2026-05-15</t>
        </is>
      </c>
      <c r="E399" s="115" t="inlineStr">
        <is>
          <t>NSE</t>
        </is>
      </c>
      <c r="F399" s="115" t="inlineStr">
        <is>
          <t>EQ</t>
        </is>
      </c>
      <c r="G399" s="115" t="inlineStr">
        <is>
          <t>EQ</t>
        </is>
      </c>
      <c r="H399" s="115" t="inlineStr">
        <is>
          <t>sell</t>
        </is>
      </c>
      <c r="I399" s="115" t="b">
        <v>0</v>
      </c>
      <c r="J399" s="115" t="n">
        <v>33</v>
      </c>
      <c r="K399" s="115" t="n">
        <v>136.25</v>
      </c>
      <c r="L399" s="116" t="n">
        <v>206751111</v>
      </c>
      <c r="M399" s="116" t="n">
        <v>1100000069734612</v>
      </c>
      <c r="N399" s="115" t="inlineStr">
        <is>
          <t>2026-05-15T13:35:59</t>
        </is>
      </c>
      <c r="O399" s="115" t="inlineStr"/>
    </row>
    <row r="400">
      <c r="A400" s="115" t="inlineStr"/>
      <c r="B400" s="115" t="inlineStr">
        <is>
          <t>IOC</t>
        </is>
      </c>
      <c r="C400" s="115" t="inlineStr">
        <is>
          <t>INE242A01010</t>
        </is>
      </c>
      <c r="D400" s="115" t="inlineStr">
        <is>
          <t>2026-05-15</t>
        </is>
      </c>
      <c r="E400" s="115" t="inlineStr">
        <is>
          <t>NSE</t>
        </is>
      </c>
      <c r="F400" s="115" t="inlineStr">
        <is>
          <t>EQ</t>
        </is>
      </c>
      <c r="G400" s="115" t="inlineStr">
        <is>
          <t>EQ</t>
        </is>
      </c>
      <c r="H400" s="115" t="inlineStr">
        <is>
          <t>sell</t>
        </is>
      </c>
      <c r="I400" s="115" t="b">
        <v>0</v>
      </c>
      <c r="J400" s="115" t="n">
        <v>103</v>
      </c>
      <c r="K400" s="115" t="n">
        <v>136.25</v>
      </c>
      <c r="L400" s="116" t="n">
        <v>206751109</v>
      </c>
      <c r="M400" s="116" t="n">
        <v>1100000069734612</v>
      </c>
      <c r="N400" s="115" t="inlineStr">
        <is>
          <t>2026-05-15T13:35:59</t>
        </is>
      </c>
      <c r="O400" s="115" t="inlineStr"/>
    </row>
    <row r="401">
      <c r="A401" s="115" t="inlineStr"/>
      <c r="B401" s="115" t="inlineStr">
        <is>
          <t>POCL</t>
        </is>
      </c>
      <c r="C401" s="115" t="inlineStr">
        <is>
          <t>INE063E01053</t>
        </is>
      </c>
      <c r="D401" s="115" t="inlineStr">
        <is>
          <t>2026-05-15</t>
        </is>
      </c>
      <c r="E401" s="115" t="inlineStr">
        <is>
          <t>NSE</t>
        </is>
      </c>
      <c r="F401" s="115" t="inlineStr">
        <is>
          <t>EQ</t>
        </is>
      </c>
      <c r="G401" s="115" t="inlineStr">
        <is>
          <t>EQ</t>
        </is>
      </c>
      <c r="H401" s="115" t="inlineStr">
        <is>
          <t>buy</t>
        </is>
      </c>
      <c r="I401" s="115" t="b">
        <v>0</v>
      </c>
      <c r="J401" s="115" t="n">
        <v>1</v>
      </c>
      <c r="K401" s="115" t="n">
        <v>1583.5</v>
      </c>
      <c r="L401" s="116" t="n">
        <v>406658173</v>
      </c>
      <c r="M401" s="116" t="n">
        <v>1200000075614562</v>
      </c>
      <c r="N401" s="115" t="inlineStr">
        <is>
          <t>2026-05-15T14:04:50</t>
        </is>
      </c>
      <c r="O401" s="115" t="inlineStr"/>
    </row>
    <row r="402">
      <c r="A402" s="115" t="inlineStr"/>
      <c r="B402" s="115" t="inlineStr">
        <is>
          <t>POCL</t>
        </is>
      </c>
      <c r="C402" s="115" t="inlineStr">
        <is>
          <t>INE063E01053</t>
        </is>
      </c>
      <c r="D402" s="115" t="inlineStr">
        <is>
          <t>2026-05-15</t>
        </is>
      </c>
      <c r="E402" s="115" t="inlineStr">
        <is>
          <t>NSE</t>
        </is>
      </c>
      <c r="F402" s="115" t="inlineStr">
        <is>
          <t>EQ</t>
        </is>
      </c>
      <c r="G402" s="115" t="inlineStr">
        <is>
          <t>EQ</t>
        </is>
      </c>
      <c r="H402" s="115" t="inlineStr">
        <is>
          <t>buy</t>
        </is>
      </c>
      <c r="I402" s="115" t="b">
        <v>0</v>
      </c>
      <c r="J402" s="115" t="n">
        <v>3</v>
      </c>
      <c r="K402" s="115" t="n">
        <v>1583.3</v>
      </c>
      <c r="L402" s="116" t="n">
        <v>406658171</v>
      </c>
      <c r="M402" s="116" t="n">
        <v>1200000075614562</v>
      </c>
      <c r="N402" s="115" t="inlineStr">
        <is>
          <t>2026-05-15T14:04:50</t>
        </is>
      </c>
      <c r="O402" s="115" t="inlineStr"/>
    </row>
    <row r="403">
      <c r="A403" s="115" t="inlineStr"/>
      <c r="B403" s="115" t="inlineStr">
        <is>
          <t>POCL</t>
        </is>
      </c>
      <c r="C403" s="115" t="inlineStr">
        <is>
          <t>INE063E01053</t>
        </is>
      </c>
      <c r="D403" s="115" t="inlineStr">
        <is>
          <t>2026-05-15</t>
        </is>
      </c>
      <c r="E403" s="115" t="inlineStr">
        <is>
          <t>NSE</t>
        </is>
      </c>
      <c r="F403" s="115" t="inlineStr">
        <is>
          <t>EQ</t>
        </is>
      </c>
      <c r="G403" s="115" t="inlineStr">
        <is>
          <t>EQ</t>
        </is>
      </c>
      <c r="H403" s="115" t="inlineStr">
        <is>
          <t>buy</t>
        </is>
      </c>
      <c r="I403" s="115" t="b">
        <v>0</v>
      </c>
      <c r="J403" s="115" t="n">
        <v>4</v>
      </c>
      <c r="K403" s="115" t="n">
        <v>1583.1</v>
      </c>
      <c r="L403" s="116" t="n">
        <v>406658169</v>
      </c>
      <c r="M403" s="116" t="n">
        <v>1200000075614562</v>
      </c>
      <c r="N403" s="115" t="inlineStr">
        <is>
          <t>2026-05-15T14:04:50</t>
        </is>
      </c>
      <c r="O403" s="115" t="inlineStr"/>
    </row>
    <row r="404">
      <c r="A404" s="115" t="inlineStr"/>
      <c r="B404" s="115" t="inlineStr">
        <is>
          <t>POCL</t>
        </is>
      </c>
      <c r="C404" s="115" t="inlineStr">
        <is>
          <t>INE063E01053</t>
        </is>
      </c>
      <c r="D404" s="115" t="inlineStr">
        <is>
          <t>2026-05-15</t>
        </is>
      </c>
      <c r="E404" s="115" t="inlineStr">
        <is>
          <t>NSE</t>
        </is>
      </c>
      <c r="F404" s="115" t="inlineStr">
        <is>
          <t>EQ</t>
        </is>
      </c>
      <c r="G404" s="115" t="inlineStr">
        <is>
          <t>EQ</t>
        </is>
      </c>
      <c r="H404" s="115" t="inlineStr">
        <is>
          <t>buy</t>
        </is>
      </c>
      <c r="I404" s="115" t="b">
        <v>0</v>
      </c>
      <c r="J404" s="115" t="n">
        <v>4</v>
      </c>
      <c r="K404" s="115" t="n">
        <v>1583.3</v>
      </c>
      <c r="L404" s="116" t="n">
        <v>406658170</v>
      </c>
      <c r="M404" s="116" t="n">
        <v>1200000075614562</v>
      </c>
      <c r="N404" s="115" t="inlineStr">
        <is>
          <t>2026-05-15T14:04:50</t>
        </is>
      </c>
      <c r="O404" s="115" t="inlineStr"/>
    </row>
    <row r="405">
      <c r="A405" s="115" t="inlineStr"/>
      <c r="B405" s="115" t="inlineStr">
        <is>
          <t>POCL</t>
        </is>
      </c>
      <c r="C405" s="115" t="inlineStr">
        <is>
          <t>INE063E01053</t>
        </is>
      </c>
      <c r="D405" s="115" t="inlineStr">
        <is>
          <t>2026-05-15</t>
        </is>
      </c>
      <c r="E405" s="115" t="inlineStr">
        <is>
          <t>NSE</t>
        </is>
      </c>
      <c r="F405" s="115" t="inlineStr">
        <is>
          <t>EQ</t>
        </is>
      </c>
      <c r="G405" s="115" t="inlineStr">
        <is>
          <t>EQ</t>
        </is>
      </c>
      <c r="H405" s="115" t="inlineStr">
        <is>
          <t>buy</t>
        </is>
      </c>
      <c r="I405" s="115" t="b">
        <v>0</v>
      </c>
      <c r="J405" s="115" t="n">
        <v>4</v>
      </c>
      <c r="K405" s="115" t="n">
        <v>1583.4</v>
      </c>
      <c r="L405" s="116" t="n">
        <v>406658172</v>
      </c>
      <c r="M405" s="116" t="n">
        <v>1200000075614562</v>
      </c>
      <c r="N405" s="115" t="inlineStr">
        <is>
          <t>2026-05-15T14:04:50</t>
        </is>
      </c>
      <c r="O405" s="115" t="inlineStr"/>
    </row>
    <row r="406">
      <c r="A406" s="115" t="inlineStr"/>
      <c r="B406" s="115" t="inlineStr">
        <is>
          <t>LAURUSLABS</t>
        </is>
      </c>
      <c r="C406" s="115" t="inlineStr">
        <is>
          <t>INE947Q01028</t>
        </is>
      </c>
      <c r="D406" s="115" t="inlineStr">
        <is>
          <t>2026-05-15</t>
        </is>
      </c>
      <c r="E406" s="115" t="inlineStr">
        <is>
          <t>NSE</t>
        </is>
      </c>
      <c r="F406" s="115" t="inlineStr">
        <is>
          <t>EQ</t>
        </is>
      </c>
      <c r="G406" s="115" t="inlineStr">
        <is>
          <t>EQ</t>
        </is>
      </c>
      <c r="H406" s="115" t="inlineStr">
        <is>
          <t>buy</t>
        </is>
      </c>
      <c r="I406" s="115" t="b">
        <v>0</v>
      </c>
      <c r="J406" s="115" t="n">
        <v>38</v>
      </c>
      <c r="K406" s="115" t="n">
        <v>1325.5</v>
      </c>
      <c r="L406" s="116" t="n">
        <v>408006404</v>
      </c>
      <c r="M406" s="116" t="n">
        <v>1200000088607726</v>
      </c>
      <c r="N406" s="115" t="inlineStr">
        <is>
          <t>2026-05-15T15:04:11</t>
        </is>
      </c>
      <c r="O406" s="115" t="inlineStr"/>
    </row>
    <row r="407">
      <c r="A407" s="115" t="inlineStr"/>
      <c r="B407" s="115" t="inlineStr">
        <is>
          <t>ADANIENT</t>
        </is>
      </c>
      <c r="C407" s="115" t="inlineStr">
        <is>
          <t>INE423A01024</t>
        </is>
      </c>
      <c r="D407" s="115" t="inlineStr">
        <is>
          <t>2026-05-15</t>
        </is>
      </c>
      <c r="E407" s="115" t="inlineStr">
        <is>
          <t>NSE</t>
        </is>
      </c>
      <c r="F407" s="115" t="inlineStr">
        <is>
          <t>EQ</t>
        </is>
      </c>
      <c r="G407" s="115" t="inlineStr">
        <is>
          <t>EQ</t>
        </is>
      </c>
      <c r="H407" s="115" t="inlineStr">
        <is>
          <t>buy</t>
        </is>
      </c>
      <c r="I407" s="115" t="b">
        <v>0</v>
      </c>
      <c r="J407" s="115" t="n">
        <v>15</v>
      </c>
      <c r="K407" s="115" t="n">
        <v>2727.2</v>
      </c>
      <c r="L407" s="116" t="n">
        <v>7218708</v>
      </c>
      <c r="M407" s="116" t="n">
        <v>1000000079349236</v>
      </c>
      <c r="N407" s="115" t="inlineStr">
        <is>
          <t>2026-05-15T15:06:02</t>
        </is>
      </c>
      <c r="O407" s="115" t="inlineStr"/>
    </row>
    <row r="408">
      <c r="A408" s="115" t="inlineStr"/>
      <c r="B408" s="115" t="inlineStr">
        <is>
          <t>ADANIENT</t>
        </is>
      </c>
      <c r="C408" s="115" t="inlineStr">
        <is>
          <t>INE423A01024</t>
        </is>
      </c>
      <c r="D408" s="115" t="inlineStr">
        <is>
          <t>2026-05-15</t>
        </is>
      </c>
      <c r="E408" s="115" t="inlineStr">
        <is>
          <t>NSE</t>
        </is>
      </c>
      <c r="F408" s="115" t="inlineStr">
        <is>
          <t>EQ</t>
        </is>
      </c>
      <c r="G408" s="115" t="inlineStr">
        <is>
          <t>EQ</t>
        </is>
      </c>
      <c r="H408" s="115" t="inlineStr">
        <is>
          <t>buy</t>
        </is>
      </c>
      <c r="I408" s="115" t="b">
        <v>0</v>
      </c>
      <c r="J408" s="115" t="n">
        <v>4</v>
      </c>
      <c r="K408" s="115" t="n">
        <v>2727.2</v>
      </c>
      <c r="L408" s="116" t="n">
        <v>7218709</v>
      </c>
      <c r="M408" s="116" t="n">
        <v>1000000079349236</v>
      </c>
      <c r="N408" s="115" t="inlineStr">
        <is>
          <t>2026-05-15T15:06:02</t>
        </is>
      </c>
      <c r="O408" s="115" t="inlineStr"/>
    </row>
    <row r="409">
      <c r="A409" s="115" t="inlineStr"/>
      <c r="B409" s="115" t="inlineStr">
        <is>
          <t>ACUTAAS</t>
        </is>
      </c>
      <c r="C409" s="115" t="inlineStr">
        <is>
          <t>INE00FF01025</t>
        </is>
      </c>
      <c r="D409" s="115" t="inlineStr">
        <is>
          <t>2026-05-15</t>
        </is>
      </c>
      <c r="E409" s="115" t="inlineStr">
        <is>
          <t>NSE</t>
        </is>
      </c>
      <c r="F409" s="115" t="inlineStr">
        <is>
          <t>EQ</t>
        </is>
      </c>
      <c r="G409" s="115" t="inlineStr">
        <is>
          <t>EQ</t>
        </is>
      </c>
      <c r="H409" s="115" t="inlineStr">
        <is>
          <t>buy</t>
        </is>
      </c>
      <c r="I409" s="115" t="b">
        <v>0</v>
      </c>
      <c r="J409" s="115" t="n">
        <v>1</v>
      </c>
      <c r="K409" s="115" t="n">
        <v>2730</v>
      </c>
      <c r="L409" s="116" t="n">
        <v>7769815</v>
      </c>
      <c r="M409" s="116" t="n">
        <v>1000000082794405</v>
      </c>
      <c r="N409" s="115" t="inlineStr">
        <is>
          <t>2026-05-15T15:21:39</t>
        </is>
      </c>
      <c r="O409" s="115" t="inlineStr"/>
    </row>
    <row r="410">
      <c r="A410" s="115" t="inlineStr"/>
      <c r="B410" s="115" t="inlineStr">
        <is>
          <t>ACUTAAS</t>
        </is>
      </c>
      <c r="C410" s="115" t="inlineStr">
        <is>
          <t>INE00FF01025</t>
        </is>
      </c>
      <c r="D410" s="115" t="inlineStr">
        <is>
          <t>2026-05-15</t>
        </is>
      </c>
      <c r="E410" s="115" t="inlineStr">
        <is>
          <t>NSE</t>
        </is>
      </c>
      <c r="F410" s="115" t="inlineStr">
        <is>
          <t>EQ</t>
        </is>
      </c>
      <c r="G410" s="115" t="inlineStr">
        <is>
          <t>EQ</t>
        </is>
      </c>
      <c r="H410" s="115" t="inlineStr">
        <is>
          <t>buy</t>
        </is>
      </c>
      <c r="I410" s="115" t="b">
        <v>0</v>
      </c>
      <c r="J410" s="115" t="n">
        <v>17</v>
      </c>
      <c r="K410" s="115" t="n">
        <v>2730</v>
      </c>
      <c r="L410" s="116" t="n">
        <v>7769814</v>
      </c>
      <c r="M410" s="116" t="n">
        <v>1000000082794405</v>
      </c>
      <c r="N410" s="115" t="inlineStr">
        <is>
          <t>2026-05-15T15:21:39</t>
        </is>
      </c>
      <c r="O410" s="115" t="inlineStr"/>
    </row>
    <row r="411">
      <c r="A411" s="115" t="inlineStr"/>
      <c r="B411" s="115" t="inlineStr">
        <is>
          <t>M&amp;M</t>
        </is>
      </c>
      <c r="C411" s="115" t="inlineStr">
        <is>
          <t>INE101A01026</t>
        </is>
      </c>
      <c r="D411" s="115" t="inlineStr">
        <is>
          <t>2026-05-15</t>
        </is>
      </c>
      <c r="E411" s="115" t="inlineStr">
        <is>
          <t>NSE</t>
        </is>
      </c>
      <c r="F411" s="115" t="inlineStr">
        <is>
          <t>EQ</t>
        </is>
      </c>
      <c r="G411" s="115" t="inlineStr">
        <is>
          <t>EQ</t>
        </is>
      </c>
      <c r="H411" s="115" t="inlineStr">
        <is>
          <t>buy</t>
        </is>
      </c>
      <c r="I411" s="115" t="b">
        <v>0</v>
      </c>
      <c r="J411" s="115" t="n">
        <v>16</v>
      </c>
      <c r="K411" s="115" t="n">
        <v>3127</v>
      </c>
      <c r="L411" s="116" t="n">
        <v>408659311</v>
      </c>
      <c r="M411" s="116" t="n">
        <v>1200000092419234</v>
      </c>
      <c r="N411" s="115" t="inlineStr">
        <is>
          <t>2026-05-15T15:22:04</t>
        </is>
      </c>
      <c r="O411" s="115" t="inlineStr"/>
    </row>
    <row r="412">
      <c r="A412" s="115" t="inlineStr"/>
      <c r="B412" s="115" t="inlineStr">
        <is>
          <t>AUROPHARMA</t>
        </is>
      </c>
      <c r="C412" s="115" t="inlineStr">
        <is>
          <t>INE406A01037</t>
        </is>
      </c>
      <c r="D412" s="115" t="inlineStr">
        <is>
          <t>2026-05-18</t>
        </is>
      </c>
      <c r="E412" s="115" t="inlineStr">
        <is>
          <t>NSE</t>
        </is>
      </c>
      <c r="F412" s="115" t="inlineStr">
        <is>
          <t>EQ</t>
        </is>
      </c>
      <c r="G412" s="115" t="inlineStr">
        <is>
          <t>EQ</t>
        </is>
      </c>
      <c r="H412" s="115" t="inlineStr">
        <is>
          <t>buy</t>
        </is>
      </c>
      <c r="I412" s="115" t="b">
        <v>0</v>
      </c>
      <c r="J412" s="115" t="n">
        <v>10</v>
      </c>
      <c r="K412" s="115" t="n">
        <v>1505.6</v>
      </c>
      <c r="L412" s="116" t="n">
        <v>6180298</v>
      </c>
      <c r="M412" s="116" t="n">
        <v>1000000066826705</v>
      </c>
      <c r="N412" s="115" t="inlineStr">
        <is>
          <t>2026-05-18T14:02:54</t>
        </is>
      </c>
      <c r="O412" s="115" t="inlineStr"/>
    </row>
    <row r="413">
      <c r="A413" s="115" t="inlineStr"/>
      <c r="B413" s="115" t="inlineStr">
        <is>
          <t>AUROPHARMA</t>
        </is>
      </c>
      <c r="C413" s="115" t="inlineStr">
        <is>
          <t>INE406A01037</t>
        </is>
      </c>
      <c r="D413" s="115" t="inlineStr">
        <is>
          <t>2026-05-18</t>
        </is>
      </c>
      <c r="E413" s="115" t="inlineStr">
        <is>
          <t>NSE</t>
        </is>
      </c>
      <c r="F413" s="115" t="inlineStr">
        <is>
          <t>EQ</t>
        </is>
      </c>
      <c r="G413" s="115" t="inlineStr">
        <is>
          <t>EQ</t>
        </is>
      </c>
      <c r="H413" s="115" t="inlineStr">
        <is>
          <t>buy</t>
        </is>
      </c>
      <c r="I413" s="115" t="b">
        <v>0</v>
      </c>
      <c r="J413" s="115" t="n">
        <v>10</v>
      </c>
      <c r="K413" s="115" t="n">
        <v>1505.6</v>
      </c>
      <c r="L413" s="116" t="n">
        <v>6180301</v>
      </c>
      <c r="M413" s="116" t="n">
        <v>1000000066826705</v>
      </c>
      <c r="N413" s="115" t="inlineStr">
        <is>
          <t>2026-05-18T14:02:54</t>
        </is>
      </c>
      <c r="O413" s="115" t="inlineStr"/>
    </row>
    <row r="414">
      <c r="A414" s="115" t="inlineStr"/>
      <c r="B414" s="115" t="inlineStr">
        <is>
          <t>AUROPHARMA</t>
        </is>
      </c>
      <c r="C414" s="115" t="inlineStr">
        <is>
          <t>INE406A01037</t>
        </is>
      </c>
      <c r="D414" s="115" t="inlineStr">
        <is>
          <t>2026-05-18</t>
        </is>
      </c>
      <c r="E414" s="115" t="inlineStr">
        <is>
          <t>NSE</t>
        </is>
      </c>
      <c r="F414" s="115" t="inlineStr">
        <is>
          <t>EQ</t>
        </is>
      </c>
      <c r="G414" s="115" t="inlineStr">
        <is>
          <t>EQ</t>
        </is>
      </c>
      <c r="H414" s="115" t="inlineStr">
        <is>
          <t>buy</t>
        </is>
      </c>
      <c r="I414" s="115" t="b">
        <v>0</v>
      </c>
      <c r="J414" s="115" t="n">
        <v>1</v>
      </c>
      <c r="K414" s="115" t="n">
        <v>1505.6</v>
      </c>
      <c r="L414" s="116" t="n">
        <v>6180299</v>
      </c>
      <c r="M414" s="116" t="n">
        <v>1000000066826705</v>
      </c>
      <c r="N414" s="115" t="inlineStr">
        <is>
          <t>2026-05-18T14:02:54</t>
        </is>
      </c>
      <c r="O414" s="115" t="inlineStr"/>
    </row>
    <row r="415">
      <c r="A415" s="115" t="inlineStr"/>
      <c r="B415" s="115" t="inlineStr">
        <is>
          <t>AUROPHARMA</t>
        </is>
      </c>
      <c r="C415" s="115" t="inlineStr">
        <is>
          <t>INE406A01037</t>
        </is>
      </c>
      <c r="D415" s="115" t="inlineStr">
        <is>
          <t>2026-05-18</t>
        </is>
      </c>
      <c r="E415" s="115" t="inlineStr">
        <is>
          <t>NSE</t>
        </is>
      </c>
      <c r="F415" s="115" t="inlineStr">
        <is>
          <t>EQ</t>
        </is>
      </c>
      <c r="G415" s="115" t="inlineStr">
        <is>
          <t>EQ</t>
        </is>
      </c>
      <c r="H415" s="115" t="inlineStr">
        <is>
          <t>buy</t>
        </is>
      </c>
      <c r="I415" s="115" t="b">
        <v>0</v>
      </c>
      <c r="J415" s="115" t="n">
        <v>12</v>
      </c>
      <c r="K415" s="115" t="n">
        <v>1505.6</v>
      </c>
      <c r="L415" s="116" t="n">
        <v>6180300</v>
      </c>
      <c r="M415" s="116" t="n">
        <v>1000000066826705</v>
      </c>
      <c r="N415" s="115" t="inlineStr">
        <is>
          <t>2026-05-18T14:02:54</t>
        </is>
      </c>
      <c r="O415" s="115" t="inlineStr"/>
    </row>
    <row r="416">
      <c r="A416" s="115" t="inlineStr"/>
      <c r="B416" s="115" t="inlineStr">
        <is>
          <t>BALAMINES</t>
        </is>
      </c>
      <c r="C416" s="115" t="inlineStr">
        <is>
          <t>INE050E01027</t>
        </is>
      </c>
      <c r="D416" s="115" t="inlineStr">
        <is>
          <t>2026-05-18</t>
        </is>
      </c>
      <c r="E416" s="115" t="inlineStr">
        <is>
          <t>NSE</t>
        </is>
      </c>
      <c r="F416" s="115" t="inlineStr">
        <is>
          <t>EQ</t>
        </is>
      </c>
      <c r="G416" s="115" t="inlineStr">
        <is>
          <t>EQ</t>
        </is>
      </c>
      <c r="H416" s="115" t="inlineStr">
        <is>
          <t>buy</t>
        </is>
      </c>
      <c r="I416" s="115" t="b">
        <v>0</v>
      </c>
      <c r="J416" s="115" t="n">
        <v>10</v>
      </c>
      <c r="K416" s="115" t="n">
        <v>1713.2</v>
      </c>
      <c r="L416" s="116" t="n">
        <v>6186275</v>
      </c>
      <c r="M416" s="116" t="n">
        <v>1000000066876330</v>
      </c>
      <c r="N416" s="115" t="inlineStr">
        <is>
          <t>2026-05-18T14:03:13</t>
        </is>
      </c>
      <c r="O416" s="115" t="inlineStr"/>
    </row>
    <row r="417">
      <c r="A417" s="115" t="inlineStr"/>
      <c r="B417" s="115" t="inlineStr">
        <is>
          <t>BALAMINES</t>
        </is>
      </c>
      <c r="C417" s="115" t="inlineStr">
        <is>
          <t>INE050E01027</t>
        </is>
      </c>
      <c r="D417" s="115" t="inlineStr">
        <is>
          <t>2026-05-18</t>
        </is>
      </c>
      <c r="E417" s="115" t="inlineStr">
        <is>
          <t>NSE</t>
        </is>
      </c>
      <c r="F417" s="115" t="inlineStr">
        <is>
          <t>EQ</t>
        </is>
      </c>
      <c r="G417" s="115" t="inlineStr">
        <is>
          <t>EQ</t>
        </is>
      </c>
      <c r="H417" s="115" t="inlineStr">
        <is>
          <t>buy</t>
        </is>
      </c>
      <c r="I417" s="115" t="b">
        <v>0</v>
      </c>
      <c r="J417" s="115" t="n">
        <v>10</v>
      </c>
      <c r="K417" s="115" t="n">
        <v>1713.8</v>
      </c>
      <c r="L417" s="116" t="n">
        <v>6186277</v>
      </c>
      <c r="M417" s="116" t="n">
        <v>1000000066876330</v>
      </c>
      <c r="N417" s="115" t="inlineStr">
        <is>
          <t>2026-05-18T14:03:13</t>
        </is>
      </c>
      <c r="O417" s="115" t="inlineStr"/>
    </row>
    <row r="418">
      <c r="A418" s="115" t="inlineStr"/>
      <c r="B418" s="115" t="inlineStr">
        <is>
          <t>BALAMINES</t>
        </is>
      </c>
      <c r="C418" s="115" t="inlineStr">
        <is>
          <t>INE050E01027</t>
        </is>
      </c>
      <c r="D418" s="115" t="inlineStr">
        <is>
          <t>2026-05-18</t>
        </is>
      </c>
      <c r="E418" s="115" t="inlineStr">
        <is>
          <t>NSE</t>
        </is>
      </c>
      <c r="F418" s="115" t="inlineStr">
        <is>
          <t>EQ</t>
        </is>
      </c>
      <c r="G418" s="115" t="inlineStr">
        <is>
          <t>EQ</t>
        </is>
      </c>
      <c r="H418" s="115" t="inlineStr">
        <is>
          <t>buy</t>
        </is>
      </c>
      <c r="I418" s="115" t="b">
        <v>0</v>
      </c>
      <c r="J418" s="115" t="n">
        <v>1</v>
      </c>
      <c r="K418" s="115" t="n">
        <v>1712.9</v>
      </c>
      <c r="L418" s="116" t="n">
        <v>6186273</v>
      </c>
      <c r="M418" s="116" t="n">
        <v>1000000066876330</v>
      </c>
      <c r="N418" s="115" t="inlineStr">
        <is>
          <t>2026-05-18T14:03:13</t>
        </is>
      </c>
      <c r="O418" s="115" t="inlineStr"/>
    </row>
    <row r="419">
      <c r="A419" s="115" t="inlineStr"/>
      <c r="B419" s="115" t="inlineStr">
        <is>
          <t>BALAMINES</t>
        </is>
      </c>
      <c r="C419" s="115" t="inlineStr">
        <is>
          <t>INE050E01027</t>
        </is>
      </c>
      <c r="D419" s="115" t="inlineStr">
        <is>
          <t>2026-05-18</t>
        </is>
      </c>
      <c r="E419" s="115" t="inlineStr">
        <is>
          <t>NSE</t>
        </is>
      </c>
      <c r="F419" s="115" t="inlineStr">
        <is>
          <t>EQ</t>
        </is>
      </c>
      <c r="G419" s="115" t="inlineStr">
        <is>
          <t>EQ</t>
        </is>
      </c>
      <c r="H419" s="115" t="inlineStr">
        <is>
          <t>buy</t>
        </is>
      </c>
      <c r="I419" s="115" t="b">
        <v>0</v>
      </c>
      <c r="J419" s="115" t="n">
        <v>4</v>
      </c>
      <c r="K419" s="115" t="n">
        <v>1713</v>
      </c>
      <c r="L419" s="116" t="n">
        <v>6186274</v>
      </c>
      <c r="M419" s="116" t="n">
        <v>1000000066876330</v>
      </c>
      <c r="N419" s="115" t="inlineStr">
        <is>
          <t>2026-05-18T14:03:13</t>
        </is>
      </c>
      <c r="O419" s="115" t="inlineStr"/>
    </row>
    <row r="420">
      <c r="A420" s="115" t="inlineStr"/>
      <c r="B420" s="115" t="inlineStr">
        <is>
          <t>BALAMINES</t>
        </is>
      </c>
      <c r="C420" s="115" t="inlineStr">
        <is>
          <t>INE050E01027</t>
        </is>
      </c>
      <c r="D420" s="115" t="inlineStr">
        <is>
          <t>2026-05-18</t>
        </is>
      </c>
      <c r="E420" s="115" t="inlineStr">
        <is>
          <t>NSE</t>
        </is>
      </c>
      <c r="F420" s="115" t="inlineStr">
        <is>
          <t>EQ</t>
        </is>
      </c>
      <c r="G420" s="115" t="inlineStr">
        <is>
          <t>EQ</t>
        </is>
      </c>
      <c r="H420" s="115" t="inlineStr">
        <is>
          <t>buy</t>
        </is>
      </c>
      <c r="I420" s="115" t="b">
        <v>0</v>
      </c>
      <c r="J420" s="115" t="n">
        <v>4</v>
      </c>
      <c r="K420" s="115" t="n">
        <v>1713.6</v>
      </c>
      <c r="L420" s="116" t="n">
        <v>6186276</v>
      </c>
      <c r="M420" s="116" t="n">
        <v>1000000066876330</v>
      </c>
      <c r="N420" s="115" t="inlineStr">
        <is>
          <t>2026-05-18T14:03:13</t>
        </is>
      </c>
      <c r="O420" s="115" t="inlineStr"/>
    </row>
    <row r="421">
      <c r="A421" s="115" t="inlineStr"/>
      <c r="B421" s="115" t="inlineStr">
        <is>
          <t>CUPID</t>
        </is>
      </c>
      <c r="C421" s="115" t="inlineStr">
        <is>
          <t>INE509F01029</t>
        </is>
      </c>
      <c r="D421" s="115" t="inlineStr">
        <is>
          <t>2026-05-18</t>
        </is>
      </c>
      <c r="E421" s="115" t="inlineStr">
        <is>
          <t>BSE</t>
        </is>
      </c>
      <c r="F421" s="115" t="inlineStr">
        <is>
          <t>EQ</t>
        </is>
      </c>
      <c r="G421" s="115" t="inlineStr">
        <is>
          <t>B</t>
        </is>
      </c>
      <c r="H421" s="115" t="inlineStr">
        <is>
          <t>buy</t>
        </is>
      </c>
      <c r="I421" s="115" t="b">
        <v>0</v>
      </c>
      <c r="J421" s="115" t="n">
        <v>411</v>
      </c>
      <c r="K421" s="115" t="n">
        <v>121.7</v>
      </c>
      <c r="L421" s="116" t="n">
        <v>10509600</v>
      </c>
      <c r="M421" s="116" t="n">
        <v>1.779092633285091e+18</v>
      </c>
      <c r="N421" s="115" t="inlineStr">
        <is>
          <t>2026-05-18T14:04:56</t>
        </is>
      </c>
      <c r="O421" s="115" t="inlineStr"/>
    </row>
    <row r="422">
      <c r="A422" s="115" t="inlineStr"/>
      <c r="B422" s="115" t="inlineStr">
        <is>
          <t>AJANTPHARM</t>
        </is>
      </c>
      <c r="C422" s="115" t="inlineStr">
        <is>
          <t>INE031B01049</t>
        </is>
      </c>
      <c r="D422" s="115" t="inlineStr">
        <is>
          <t>2026-05-18</t>
        </is>
      </c>
      <c r="E422" s="115" t="inlineStr">
        <is>
          <t>NSE</t>
        </is>
      </c>
      <c r="F422" s="115" t="inlineStr">
        <is>
          <t>EQ</t>
        </is>
      </c>
      <c r="G422" s="115" t="inlineStr">
        <is>
          <t>EQ</t>
        </is>
      </c>
      <c r="H422" s="115" t="inlineStr">
        <is>
          <t>buy</t>
        </is>
      </c>
      <c r="I422" s="115" t="b">
        <v>0</v>
      </c>
      <c r="J422" s="115" t="n">
        <v>10</v>
      </c>
      <c r="K422" s="115" t="n">
        <v>3214</v>
      </c>
      <c r="L422" s="116" t="n">
        <v>6654262</v>
      </c>
      <c r="M422" s="116" t="n">
        <v>1000000071638445</v>
      </c>
      <c r="N422" s="115" t="inlineStr">
        <is>
          <t>2026-05-18T14:30:58</t>
        </is>
      </c>
      <c r="O422" s="115" t="inlineStr"/>
    </row>
    <row r="423">
      <c r="A423" s="115" t="inlineStr"/>
      <c r="B423" s="115" t="inlineStr">
        <is>
          <t>SUNPHARMA</t>
        </is>
      </c>
      <c r="C423" s="115" t="inlineStr">
        <is>
          <t>INE044A01036</t>
        </is>
      </c>
      <c r="D423" s="115" t="inlineStr">
        <is>
          <t>2026-05-18</t>
        </is>
      </c>
      <c r="E423" s="115" t="inlineStr">
        <is>
          <t>NSE</t>
        </is>
      </c>
      <c r="F423" s="115" t="inlineStr">
        <is>
          <t>EQ</t>
        </is>
      </c>
      <c r="G423" s="115" t="inlineStr">
        <is>
          <t>EQ</t>
        </is>
      </c>
      <c r="H423" s="115" t="inlineStr">
        <is>
          <t>buy</t>
        </is>
      </c>
      <c r="I423" s="115" t="b">
        <v>0</v>
      </c>
      <c r="J423" s="115" t="n">
        <v>26</v>
      </c>
      <c r="K423" s="115" t="n">
        <v>1899.2</v>
      </c>
      <c r="L423" s="116" t="n">
        <v>609084122</v>
      </c>
      <c r="M423" s="116" t="n">
        <v>1300000096080231</v>
      </c>
      <c r="N423" s="115" t="inlineStr">
        <is>
          <t>2026-05-18T14:31:39</t>
        </is>
      </c>
      <c r="O423" s="115" t="inlineStr"/>
    </row>
    <row r="424">
      <c r="A424" s="115" t="inlineStr"/>
      <c r="B424" s="115" t="inlineStr">
        <is>
          <t>BANKBARODA</t>
        </is>
      </c>
      <c r="C424" s="115" t="inlineStr">
        <is>
          <t>INE028A01039</t>
        </is>
      </c>
      <c r="D424" s="115" t="inlineStr">
        <is>
          <t>2026-02-02</t>
        </is>
      </c>
      <c r="E424" s="115" t="inlineStr">
        <is>
          <t>NSE</t>
        </is>
      </c>
      <c r="F424" s="115" t="inlineStr">
        <is>
          <t>EQ</t>
        </is>
      </c>
      <c r="G424" s="115" t="inlineStr">
        <is>
          <t>EQ</t>
        </is>
      </c>
      <c r="H424" s="115" t="inlineStr">
        <is>
          <t>sell</t>
        </is>
      </c>
      <c r="I424" s="115" t="b">
        <v>0</v>
      </c>
      <c r="J424" s="115" t="n">
        <v>10</v>
      </c>
      <c r="K424" s="115" t="n">
        <v>271.55</v>
      </c>
      <c r="L424" s="116" t="n">
        <v>3556965</v>
      </c>
      <c r="M424" s="116" t="n">
        <v>1000000039324729</v>
      </c>
      <c r="N424" s="115" t="inlineStr">
        <is>
          <t>2026-02-02T11:20:59</t>
        </is>
      </c>
      <c r="O424" s="115" t="inlineStr"/>
    </row>
    <row r="425">
      <c r="A425" s="115" t="inlineStr"/>
      <c r="B425" s="115" t="inlineStr">
        <is>
          <t>BANKBARODA</t>
        </is>
      </c>
      <c r="C425" s="115" t="inlineStr">
        <is>
          <t>INE028A01039</t>
        </is>
      </c>
      <c r="D425" s="115" t="inlineStr">
        <is>
          <t>2026-02-02</t>
        </is>
      </c>
      <c r="E425" s="115" t="inlineStr">
        <is>
          <t>NSE</t>
        </is>
      </c>
      <c r="F425" s="115" t="inlineStr">
        <is>
          <t>EQ</t>
        </is>
      </c>
      <c r="G425" s="115" t="inlineStr">
        <is>
          <t>EQ</t>
        </is>
      </c>
      <c r="H425" s="115" t="inlineStr">
        <is>
          <t>sell</t>
        </is>
      </c>
      <c r="I425" s="115" t="b">
        <v>0</v>
      </c>
      <c r="J425" s="115" t="n">
        <v>10</v>
      </c>
      <c r="K425" s="115" t="n">
        <v>271.55</v>
      </c>
      <c r="L425" s="116" t="n">
        <v>3556967</v>
      </c>
      <c r="M425" s="116" t="n">
        <v>1000000039324729</v>
      </c>
      <c r="N425" s="115" t="inlineStr">
        <is>
          <t>2026-02-02T11:20:59</t>
        </is>
      </c>
      <c r="O425" s="115" t="inlineStr"/>
    </row>
    <row r="426">
      <c r="A426" s="115" t="inlineStr"/>
      <c r="B426" s="115" t="inlineStr">
        <is>
          <t>BANKBARODA</t>
        </is>
      </c>
      <c r="C426" s="115" t="inlineStr">
        <is>
          <t>INE028A01039</t>
        </is>
      </c>
      <c r="D426" s="115" t="inlineStr">
        <is>
          <t>2026-02-02</t>
        </is>
      </c>
      <c r="E426" s="115" t="inlineStr">
        <is>
          <t>NSE</t>
        </is>
      </c>
      <c r="F426" s="115" t="inlineStr">
        <is>
          <t>EQ</t>
        </is>
      </c>
      <c r="G426" s="115" t="inlineStr">
        <is>
          <t>EQ</t>
        </is>
      </c>
      <c r="H426" s="115" t="inlineStr">
        <is>
          <t>sell</t>
        </is>
      </c>
      <c r="I426" s="115" t="b">
        <v>0</v>
      </c>
      <c r="J426" s="115" t="n">
        <v>70</v>
      </c>
      <c r="K426" s="115" t="n">
        <v>271.55</v>
      </c>
      <c r="L426" s="116" t="n">
        <v>3556966</v>
      </c>
      <c r="M426" s="116" t="n">
        <v>1000000039324729</v>
      </c>
      <c r="N426" s="115" t="inlineStr">
        <is>
          <t>2026-02-02T11:20:59</t>
        </is>
      </c>
      <c r="O426" s="115" t="inlineStr"/>
    </row>
    <row r="427">
      <c r="A427" s="115" t="inlineStr"/>
      <c r="B427" s="115" t="inlineStr">
        <is>
          <t>TATATECH</t>
        </is>
      </c>
      <c r="C427" s="115" t="inlineStr">
        <is>
          <t>INE142M01025</t>
        </is>
      </c>
      <c r="D427" s="115" t="inlineStr">
        <is>
          <t>2026-05-19</t>
        </is>
      </c>
      <c r="E427" s="115" t="inlineStr">
        <is>
          <t>NSE</t>
        </is>
      </c>
      <c r="F427" s="115" t="inlineStr">
        <is>
          <t>EQ</t>
        </is>
      </c>
      <c r="G427" s="115" t="inlineStr">
        <is>
          <t>EQ</t>
        </is>
      </c>
      <c r="H427" s="115" t="inlineStr">
        <is>
          <t>buy</t>
        </is>
      </c>
      <c r="I427" s="115" t="b">
        <v>0</v>
      </c>
      <c r="J427" s="115" t="n">
        <v>16</v>
      </c>
      <c r="K427" s="115" t="n">
        <v>670.55</v>
      </c>
      <c r="L427" s="116" t="n">
        <v>610264981</v>
      </c>
      <c r="M427" s="116" t="n">
        <v>1300000103548770</v>
      </c>
      <c r="N427" s="115" t="inlineStr">
        <is>
          <t>2026-05-19T15:18:13</t>
        </is>
      </c>
      <c r="O427" s="115" t="inlineStr"/>
    </row>
    <row r="428">
      <c r="A428" s="115" t="inlineStr"/>
      <c r="B428" s="115" t="inlineStr">
        <is>
          <t>TATATECH</t>
        </is>
      </c>
      <c r="C428" s="115" t="inlineStr">
        <is>
          <t>INE142M01025</t>
        </is>
      </c>
      <c r="D428" s="115" t="inlineStr">
        <is>
          <t>2026-05-19</t>
        </is>
      </c>
      <c r="E428" s="115" t="inlineStr">
        <is>
          <t>NSE</t>
        </is>
      </c>
      <c r="F428" s="115" t="inlineStr">
        <is>
          <t>EQ</t>
        </is>
      </c>
      <c r="G428" s="115" t="inlineStr">
        <is>
          <t>EQ</t>
        </is>
      </c>
      <c r="H428" s="115" t="inlineStr">
        <is>
          <t>buy</t>
        </is>
      </c>
      <c r="I428" s="115" t="b">
        <v>0</v>
      </c>
      <c r="J428" s="115" t="n">
        <v>59</v>
      </c>
      <c r="K428" s="115" t="n">
        <v>670.55</v>
      </c>
      <c r="L428" s="116" t="n">
        <v>610264982</v>
      </c>
      <c r="M428" s="116" t="n">
        <v>1300000103548770</v>
      </c>
      <c r="N428" s="115" t="inlineStr">
        <is>
          <t>2026-05-19T15:18:13</t>
        </is>
      </c>
      <c r="O428" s="115" t="inlineStr"/>
    </row>
    <row r="429">
      <c r="A429" s="115" t="inlineStr"/>
      <c r="B429" s="115" t="inlineStr">
        <is>
          <t>GMDCLTD</t>
        </is>
      </c>
      <c r="C429" s="115" t="inlineStr">
        <is>
          <t>INE131A01031</t>
        </is>
      </c>
      <c r="D429" s="115" t="inlineStr">
        <is>
          <t>2026-05-20</t>
        </is>
      </c>
      <c r="E429" s="115" t="inlineStr">
        <is>
          <t>BSE</t>
        </is>
      </c>
      <c r="F429" s="115" t="inlineStr">
        <is>
          <t>EQ</t>
        </is>
      </c>
      <c r="G429" s="115" t="inlineStr">
        <is>
          <t>A</t>
        </is>
      </c>
      <c r="H429" s="115" t="inlineStr">
        <is>
          <t>sell</t>
        </is>
      </c>
      <c r="I429" s="115" t="b">
        <v>0</v>
      </c>
      <c r="J429" s="115" t="n">
        <v>17</v>
      </c>
      <c r="K429" s="115" t="n">
        <v>633.6</v>
      </c>
      <c r="L429" s="116" t="n">
        <v>5746000</v>
      </c>
      <c r="M429" s="116" t="n">
        <v>1.779250787181351e+18</v>
      </c>
      <c r="N429" s="115" t="inlineStr">
        <is>
          <t>2026-05-20T10:11:52</t>
        </is>
      </c>
      <c r="O429" s="115" t="inlineStr"/>
    </row>
    <row r="430">
      <c r="A430" s="115" t="inlineStr"/>
      <c r="B430" s="115" t="inlineStr">
        <is>
          <t>GMDCLTD</t>
        </is>
      </c>
      <c r="C430" s="115" t="inlineStr">
        <is>
          <t>INE131A01031</t>
        </is>
      </c>
      <c r="D430" s="115" t="inlineStr">
        <is>
          <t>2026-05-20</t>
        </is>
      </c>
      <c r="E430" s="115" t="inlineStr">
        <is>
          <t>BSE</t>
        </is>
      </c>
      <c r="F430" s="115" t="inlineStr">
        <is>
          <t>EQ</t>
        </is>
      </c>
      <c r="G430" s="115" t="inlineStr">
        <is>
          <t>A</t>
        </is>
      </c>
      <c r="H430" s="115" t="inlineStr">
        <is>
          <t>sell</t>
        </is>
      </c>
      <c r="I430" s="115" t="b">
        <v>0</v>
      </c>
      <c r="J430" s="115" t="n">
        <v>24</v>
      </c>
      <c r="K430" s="115" t="n">
        <v>633.55</v>
      </c>
      <c r="L430" s="116" t="n">
        <v>5746200</v>
      </c>
      <c r="M430" s="116" t="n">
        <v>1.779250787181351e+18</v>
      </c>
      <c r="N430" s="115" t="inlineStr">
        <is>
          <t>2026-05-20T10:11:52</t>
        </is>
      </c>
      <c r="O430" s="115" t="inlineStr"/>
    </row>
    <row r="431">
      <c r="A431" s="115" t="inlineStr"/>
      <c r="B431" s="115" t="inlineStr">
        <is>
          <t>MAHABANK</t>
        </is>
      </c>
      <c r="C431" s="115" t="inlineStr">
        <is>
          <t>INE457A01014</t>
        </is>
      </c>
      <c r="D431" s="115" t="inlineStr">
        <is>
          <t>2026-05-20</t>
        </is>
      </c>
      <c r="E431" s="115" t="inlineStr">
        <is>
          <t>BSE</t>
        </is>
      </c>
      <c r="F431" s="115" t="inlineStr">
        <is>
          <t>EQ</t>
        </is>
      </c>
      <c r="G431" s="115" t="inlineStr">
        <is>
          <t>A</t>
        </is>
      </c>
      <c r="H431" s="115" t="inlineStr">
        <is>
          <t>sell</t>
        </is>
      </c>
      <c r="I431" s="115" t="b">
        <v>0</v>
      </c>
      <c r="J431" s="115" t="n">
        <v>720</v>
      </c>
      <c r="K431" s="115" t="n">
        <v>77.70999999999999</v>
      </c>
      <c r="L431" s="116" t="n">
        <v>8419700</v>
      </c>
      <c r="M431" s="116" t="n">
        <v>1.779251488030295e+18</v>
      </c>
      <c r="N431" s="115" t="inlineStr">
        <is>
          <t>2026-05-20T10:13:15</t>
        </is>
      </c>
      <c r="O431" s="115" t="inlineStr"/>
    </row>
    <row r="432">
      <c r="A432" s="115" t="inlineStr"/>
      <c r="B432" s="115" t="inlineStr">
        <is>
          <t>NIFTYBEES</t>
        </is>
      </c>
      <c r="C432" s="115" t="inlineStr">
        <is>
          <t>INF204KB14I2</t>
        </is>
      </c>
      <c r="D432" s="115" t="inlineStr">
        <is>
          <t>2026-05-20</t>
        </is>
      </c>
      <c r="E432" s="115" t="inlineStr">
        <is>
          <t>NSE</t>
        </is>
      </c>
      <c r="F432" s="115" t="inlineStr">
        <is>
          <t>EQ</t>
        </is>
      </c>
      <c r="G432" s="115" t="inlineStr">
        <is>
          <t>EQ</t>
        </is>
      </c>
      <c r="H432" s="115" t="inlineStr">
        <is>
          <t>sell</t>
        </is>
      </c>
      <c r="I432" s="115" t="b">
        <v>0</v>
      </c>
      <c r="J432" s="115" t="n">
        <v>92</v>
      </c>
      <c r="K432" s="115" t="n">
        <v>266.3</v>
      </c>
      <c r="L432" s="116" t="n">
        <v>402043589</v>
      </c>
      <c r="M432" s="116" t="n">
        <v>1200000022573549</v>
      </c>
      <c r="N432" s="115" t="inlineStr">
        <is>
          <t>2026-05-20T10:13:22</t>
        </is>
      </c>
      <c r="O432" s="115" t="inlineStr"/>
    </row>
    <row r="433">
      <c r="A433" s="115" t="inlineStr"/>
      <c r="B433" s="115" t="inlineStr">
        <is>
          <t>APOLLO</t>
        </is>
      </c>
      <c r="C433" s="115" t="inlineStr">
        <is>
          <t>INE713T01028</t>
        </is>
      </c>
      <c r="D433" s="115" t="inlineStr">
        <is>
          <t>2026-05-22</t>
        </is>
      </c>
      <c r="E433" s="115" t="inlineStr">
        <is>
          <t>NSE</t>
        </is>
      </c>
      <c r="F433" s="115" t="inlineStr">
        <is>
          <t>EQ</t>
        </is>
      </c>
      <c r="G433" s="115" t="inlineStr">
        <is>
          <t>EQ</t>
        </is>
      </c>
      <c r="H433" s="115" t="inlineStr">
        <is>
          <t>buy</t>
        </is>
      </c>
      <c r="I433" s="115" t="b">
        <v>0</v>
      </c>
      <c r="J433" s="115" t="n">
        <v>141</v>
      </c>
      <c r="K433" s="115" t="n">
        <v>355.5</v>
      </c>
      <c r="L433" s="116" t="n">
        <v>5129327</v>
      </c>
      <c r="M433" s="116" t="n">
        <v>1000000063206223</v>
      </c>
      <c r="N433" s="115" t="inlineStr">
        <is>
          <t>2026-05-22T14:53:53</t>
        </is>
      </c>
      <c r="O433" s="115" t="inlineStr"/>
    </row>
    <row r="434">
      <c r="A434" s="115" t="inlineStr"/>
      <c r="B434" s="115" t="inlineStr">
        <is>
          <t>BALAMINES</t>
        </is>
      </c>
      <c r="C434" s="115" t="inlineStr">
        <is>
          <t>INE050E01027</t>
        </is>
      </c>
      <c r="D434" s="115" t="inlineStr">
        <is>
          <t>2026-05-22</t>
        </is>
      </c>
      <c r="E434" s="115" t="inlineStr">
        <is>
          <t>NSE</t>
        </is>
      </c>
      <c r="F434" s="115" t="inlineStr">
        <is>
          <t>EQ</t>
        </is>
      </c>
      <c r="G434" s="115" t="inlineStr">
        <is>
          <t>EQ</t>
        </is>
      </c>
      <c r="H434" s="115" t="inlineStr">
        <is>
          <t>buy</t>
        </is>
      </c>
      <c r="I434" s="115" t="b">
        <v>0</v>
      </c>
      <c r="J434" s="115" t="n">
        <v>1</v>
      </c>
      <c r="K434" s="115" t="n">
        <v>1814.3</v>
      </c>
      <c r="L434" s="116" t="n">
        <v>5140759</v>
      </c>
      <c r="M434" s="116" t="n">
        <v>1000000063330323</v>
      </c>
      <c r="N434" s="115" t="inlineStr">
        <is>
          <t>2026-05-22T14:54:36</t>
        </is>
      </c>
      <c r="O434" s="115" t="inlineStr"/>
    </row>
    <row r="435">
      <c r="A435" s="115" t="inlineStr"/>
      <c r="B435" s="115" t="inlineStr">
        <is>
          <t>BALAMINES</t>
        </is>
      </c>
      <c r="C435" s="115" t="inlineStr">
        <is>
          <t>INE050E01027</t>
        </is>
      </c>
      <c r="D435" s="115" t="inlineStr">
        <is>
          <t>2026-05-22</t>
        </is>
      </c>
      <c r="E435" s="115" t="inlineStr">
        <is>
          <t>NSE</t>
        </is>
      </c>
      <c r="F435" s="115" t="inlineStr">
        <is>
          <t>EQ</t>
        </is>
      </c>
      <c r="G435" s="115" t="inlineStr">
        <is>
          <t>EQ</t>
        </is>
      </c>
      <c r="H435" s="115" t="inlineStr">
        <is>
          <t>buy</t>
        </is>
      </c>
      <c r="I435" s="115" t="b">
        <v>0</v>
      </c>
      <c r="J435" s="115" t="n">
        <v>2</v>
      </c>
      <c r="K435" s="115" t="n">
        <v>1814.5</v>
      </c>
      <c r="L435" s="116" t="n">
        <v>5140760</v>
      </c>
      <c r="M435" s="116" t="n">
        <v>1000000063330323</v>
      </c>
      <c r="N435" s="115" t="inlineStr">
        <is>
          <t>2026-05-22T14:54:36</t>
        </is>
      </c>
      <c r="O435" s="115" t="inlineStr"/>
    </row>
    <row r="436">
      <c r="A436" s="115" t="inlineStr"/>
      <c r="B436" s="115" t="inlineStr">
        <is>
          <t>BALAMINES</t>
        </is>
      </c>
      <c r="C436" s="115" t="inlineStr">
        <is>
          <t>INE050E01027</t>
        </is>
      </c>
      <c r="D436" s="115" t="inlineStr">
        <is>
          <t>2026-05-22</t>
        </is>
      </c>
      <c r="E436" s="115" t="inlineStr">
        <is>
          <t>NSE</t>
        </is>
      </c>
      <c r="F436" s="115" t="inlineStr">
        <is>
          <t>EQ</t>
        </is>
      </c>
      <c r="G436" s="115" t="inlineStr">
        <is>
          <t>EQ</t>
        </is>
      </c>
      <c r="H436" s="115" t="inlineStr">
        <is>
          <t>buy</t>
        </is>
      </c>
      <c r="I436" s="115" t="b">
        <v>0</v>
      </c>
      <c r="J436" s="115" t="n">
        <v>2</v>
      </c>
      <c r="K436" s="115" t="n">
        <v>1815</v>
      </c>
      <c r="L436" s="116" t="n">
        <v>5140764</v>
      </c>
      <c r="M436" s="116" t="n">
        <v>1000000063330323</v>
      </c>
      <c r="N436" s="115" t="inlineStr">
        <is>
          <t>2026-05-22T14:54:36</t>
        </is>
      </c>
      <c r="O436" s="115" t="inlineStr"/>
    </row>
    <row r="437">
      <c r="A437" s="115" t="inlineStr"/>
      <c r="B437" s="115" t="inlineStr">
        <is>
          <t>BALAMINES</t>
        </is>
      </c>
      <c r="C437" s="115" t="inlineStr">
        <is>
          <t>INE050E01027</t>
        </is>
      </c>
      <c r="D437" s="115" t="inlineStr">
        <is>
          <t>2026-05-22</t>
        </is>
      </c>
      <c r="E437" s="115" t="inlineStr">
        <is>
          <t>NSE</t>
        </is>
      </c>
      <c r="F437" s="115" t="inlineStr">
        <is>
          <t>EQ</t>
        </is>
      </c>
      <c r="G437" s="115" t="inlineStr">
        <is>
          <t>EQ</t>
        </is>
      </c>
      <c r="H437" s="115" t="inlineStr">
        <is>
          <t>buy</t>
        </is>
      </c>
      <c r="I437" s="115" t="b">
        <v>0</v>
      </c>
      <c r="J437" s="115" t="n">
        <v>5</v>
      </c>
      <c r="K437" s="115" t="n">
        <v>1814.9</v>
      </c>
      <c r="L437" s="116" t="n">
        <v>5140762</v>
      </c>
      <c r="M437" s="116" t="n">
        <v>1000000063330323</v>
      </c>
      <c r="N437" s="115" t="inlineStr">
        <is>
          <t>2026-05-22T14:54:36</t>
        </is>
      </c>
      <c r="O437" s="115" t="inlineStr"/>
    </row>
    <row r="438">
      <c r="A438" s="115" t="inlineStr"/>
      <c r="B438" s="115" t="inlineStr">
        <is>
          <t>BALAMINES</t>
        </is>
      </c>
      <c r="C438" s="115" t="inlineStr">
        <is>
          <t>INE050E01027</t>
        </is>
      </c>
      <c r="D438" s="115" t="inlineStr">
        <is>
          <t>2026-05-22</t>
        </is>
      </c>
      <c r="E438" s="115" t="inlineStr">
        <is>
          <t>NSE</t>
        </is>
      </c>
      <c r="F438" s="115" t="inlineStr">
        <is>
          <t>EQ</t>
        </is>
      </c>
      <c r="G438" s="115" t="inlineStr">
        <is>
          <t>EQ</t>
        </is>
      </c>
      <c r="H438" s="115" t="inlineStr">
        <is>
          <t>buy</t>
        </is>
      </c>
      <c r="I438" s="115" t="b">
        <v>0</v>
      </c>
      <c r="J438" s="115" t="n">
        <v>8</v>
      </c>
      <c r="K438" s="115" t="n">
        <v>1814.9</v>
      </c>
      <c r="L438" s="116" t="n">
        <v>5140763</v>
      </c>
      <c r="M438" s="116" t="n">
        <v>1000000063330323</v>
      </c>
      <c r="N438" s="115" t="inlineStr">
        <is>
          <t>2026-05-22T14:54:36</t>
        </is>
      </c>
      <c r="O438" s="115" t="inlineStr"/>
    </row>
    <row r="439">
      <c r="A439" s="115" t="inlineStr"/>
      <c r="B439" s="115" t="inlineStr">
        <is>
          <t>BALAMINES</t>
        </is>
      </c>
      <c r="C439" s="115" t="inlineStr">
        <is>
          <t>INE050E01027</t>
        </is>
      </c>
      <c r="D439" s="115" t="inlineStr">
        <is>
          <t>2026-05-22</t>
        </is>
      </c>
      <c r="E439" s="115" t="inlineStr">
        <is>
          <t>NSE</t>
        </is>
      </c>
      <c r="F439" s="115" t="inlineStr">
        <is>
          <t>EQ</t>
        </is>
      </c>
      <c r="G439" s="115" t="inlineStr">
        <is>
          <t>EQ</t>
        </is>
      </c>
      <c r="H439" s="115" t="inlineStr">
        <is>
          <t>buy</t>
        </is>
      </c>
      <c r="I439" s="115" t="b">
        <v>0</v>
      </c>
      <c r="J439" s="115" t="n">
        <v>9</v>
      </c>
      <c r="K439" s="115" t="n">
        <v>1814.6</v>
      </c>
      <c r="L439" s="116" t="n">
        <v>5140761</v>
      </c>
      <c r="M439" s="116" t="n">
        <v>1000000063330323</v>
      </c>
      <c r="N439" s="115" t="inlineStr">
        <is>
          <t>2026-05-22T14:54:36</t>
        </is>
      </c>
      <c r="O439" s="115" t="inlineStr"/>
    </row>
    <row r="440">
      <c r="A440" s="115" t="inlineStr"/>
      <c r="B440" s="115" t="inlineStr">
        <is>
          <t>SFL</t>
        </is>
      </c>
      <c r="C440" s="115" t="inlineStr">
        <is>
          <t>INE916U01025</t>
        </is>
      </c>
      <c r="D440" s="115" t="inlineStr">
        <is>
          <t>2026-05-22</t>
        </is>
      </c>
      <c r="E440" s="115" t="inlineStr">
        <is>
          <t>BSE</t>
        </is>
      </c>
      <c r="F440" s="115" t="inlineStr">
        <is>
          <t>EQ</t>
        </is>
      </c>
      <c r="G440" s="115" t="inlineStr">
        <is>
          <t>A</t>
        </is>
      </c>
      <c r="H440" s="115" t="inlineStr">
        <is>
          <t>buy</t>
        </is>
      </c>
      <c r="I440" s="115" t="b">
        <v>0</v>
      </c>
      <c r="J440" s="115" t="n">
        <v>40</v>
      </c>
      <c r="K440" s="115" t="n">
        <v>639.2</v>
      </c>
      <c r="L440" s="116" t="n">
        <v>15380500</v>
      </c>
      <c r="M440" s="116" t="n">
        <v>1.779441421446138e+18</v>
      </c>
      <c r="N440" s="115" t="inlineStr">
        <is>
          <t>2026-05-22T15:04:15</t>
        </is>
      </c>
      <c r="O440" s="115" t="inlineStr"/>
    </row>
    <row r="441">
      <c r="A441" s="115" t="inlineStr"/>
      <c r="B441" s="115" t="inlineStr">
        <is>
          <t>BSE</t>
        </is>
      </c>
      <c r="C441" s="115" t="inlineStr">
        <is>
          <t>INE118H01025</t>
        </is>
      </c>
      <c r="D441" s="115" t="inlineStr">
        <is>
          <t>2026-05-22</t>
        </is>
      </c>
      <c r="E441" s="115" t="inlineStr">
        <is>
          <t>NSE</t>
        </is>
      </c>
      <c r="F441" s="115" t="inlineStr">
        <is>
          <t>EQ</t>
        </is>
      </c>
      <c r="G441" s="115" t="inlineStr">
        <is>
          <t>EQ</t>
        </is>
      </c>
      <c r="H441" s="115" t="inlineStr">
        <is>
          <t>buy</t>
        </is>
      </c>
      <c r="I441" s="115" t="b">
        <v>0</v>
      </c>
      <c r="J441" s="115" t="n">
        <v>11</v>
      </c>
      <c r="K441" s="115" t="n">
        <v>4195.1001</v>
      </c>
      <c r="L441" s="116" t="n">
        <v>5529778</v>
      </c>
      <c r="M441" s="116" t="n">
        <v>1000000066683597</v>
      </c>
      <c r="N441" s="115" t="inlineStr">
        <is>
          <t>2026-05-22T15:10:58</t>
        </is>
      </c>
      <c r="O441" s="115" t="inlineStr"/>
    </row>
    <row r="442">
      <c r="A442" s="115" t="inlineStr"/>
      <c r="B442" s="115" t="inlineStr">
        <is>
          <t>BSE</t>
        </is>
      </c>
      <c r="C442" s="115" t="inlineStr">
        <is>
          <t>INE118H01025</t>
        </is>
      </c>
      <c r="D442" s="115" t="inlineStr">
        <is>
          <t>2026-05-22</t>
        </is>
      </c>
      <c r="E442" s="115" t="inlineStr">
        <is>
          <t>NSE</t>
        </is>
      </c>
      <c r="F442" s="115" t="inlineStr">
        <is>
          <t>EQ</t>
        </is>
      </c>
      <c r="G442" s="115" t="inlineStr">
        <is>
          <t>EQ</t>
        </is>
      </c>
      <c r="H442" s="115" t="inlineStr">
        <is>
          <t>buy</t>
        </is>
      </c>
      <c r="I442" s="115" t="b">
        <v>0</v>
      </c>
      <c r="J442" s="115" t="n">
        <v>1</v>
      </c>
      <c r="K442" s="115" t="n">
        <v>4195.1001</v>
      </c>
      <c r="L442" s="116" t="n">
        <v>5529777</v>
      </c>
      <c r="M442" s="116" t="n">
        <v>1000000066683597</v>
      </c>
      <c r="N442" s="115" t="inlineStr">
        <is>
          <t>2026-05-22T15:10:58</t>
        </is>
      </c>
      <c r="O442" s="115" t="inlineStr"/>
    </row>
    <row r="443">
      <c r="A443" s="115" t="inlineStr"/>
      <c r="B443" s="115" t="inlineStr">
        <is>
          <t>NRBBEARING</t>
        </is>
      </c>
      <c r="C443" s="115" t="inlineStr">
        <is>
          <t>INE349A01021</t>
        </is>
      </c>
      <c r="D443" s="115" t="inlineStr">
        <is>
          <t>2026-05-22</t>
        </is>
      </c>
      <c r="E443" s="115" t="inlineStr">
        <is>
          <t>NSE</t>
        </is>
      </c>
      <c r="F443" s="115" t="inlineStr">
        <is>
          <t>EQ</t>
        </is>
      </c>
      <c r="G443" s="115" t="inlineStr">
        <is>
          <t>EQ</t>
        </is>
      </c>
      <c r="H443" s="115" t="inlineStr">
        <is>
          <t>buy</t>
        </is>
      </c>
      <c r="I443" s="115" t="b">
        <v>0</v>
      </c>
      <c r="J443" s="115" t="n">
        <v>67</v>
      </c>
      <c r="K443" s="115" t="n">
        <v>374</v>
      </c>
      <c r="L443" s="116" t="n">
        <v>407839702</v>
      </c>
      <c r="M443" s="116" t="n">
        <v>1200000094144267</v>
      </c>
      <c r="N443" s="115" t="inlineStr">
        <is>
          <t>2026-05-22T15:25:21</t>
        </is>
      </c>
      <c r="O443" s="115" t="inlineStr"/>
    </row>
    <row r="444">
      <c r="A444" s="115" t="inlineStr"/>
      <c r="B444" s="115" t="inlineStr">
        <is>
          <t>NRBBEARING</t>
        </is>
      </c>
      <c r="C444" s="115" t="inlineStr">
        <is>
          <t>INE349A01021</t>
        </is>
      </c>
      <c r="D444" s="115" t="inlineStr">
        <is>
          <t>2026-05-25</t>
        </is>
      </c>
      <c r="E444" s="115" t="inlineStr">
        <is>
          <t>NSE</t>
        </is>
      </c>
      <c r="F444" s="115" t="inlineStr">
        <is>
          <t>EQ</t>
        </is>
      </c>
      <c r="G444" s="115" t="inlineStr">
        <is>
          <t>EQ</t>
        </is>
      </c>
      <c r="H444" s="115" t="inlineStr">
        <is>
          <t>buy</t>
        </is>
      </c>
      <c r="I444" s="115" t="b">
        <v>0</v>
      </c>
      <c r="J444" s="115" t="n">
        <v>66</v>
      </c>
      <c r="K444" s="115" t="n">
        <v>382</v>
      </c>
      <c r="L444" s="116" t="n">
        <v>406411588</v>
      </c>
      <c r="M444" s="116" t="n">
        <v>1200000073397345</v>
      </c>
      <c r="N444" s="115" t="inlineStr">
        <is>
          <t>2026-05-25T14:40:02</t>
        </is>
      </c>
      <c r="O444" s="115" t="inlineStr"/>
    </row>
    <row r="445">
      <c r="A445" s="115" t="inlineStr"/>
      <c r="B445" s="115" t="inlineStr">
        <is>
          <t>CUPID</t>
        </is>
      </c>
      <c r="C445" s="115" t="inlineStr">
        <is>
          <t>INE509F01029</t>
        </is>
      </c>
      <c r="D445" s="115" t="inlineStr">
        <is>
          <t>2026-05-26</t>
        </is>
      </c>
      <c r="E445" s="115" t="inlineStr">
        <is>
          <t>NSE</t>
        </is>
      </c>
      <c r="F445" s="115" t="inlineStr">
        <is>
          <t>EQ</t>
        </is>
      </c>
      <c r="G445" s="115" t="inlineStr">
        <is>
          <t>EQ</t>
        </is>
      </c>
      <c r="H445" s="115" t="inlineStr">
        <is>
          <t>buy</t>
        </is>
      </c>
      <c r="I445" s="115" t="b">
        <v>0</v>
      </c>
      <c r="J445" s="115" t="n">
        <v>389</v>
      </c>
      <c r="K445" s="115" t="n">
        <v>128.84</v>
      </c>
      <c r="L445" s="116" t="n">
        <v>2098313</v>
      </c>
      <c r="M445" s="116" t="n">
        <v>1000000020034216</v>
      </c>
      <c r="N445" s="115" t="inlineStr">
        <is>
          <t>2026-05-26T10:12:23</t>
        </is>
      </c>
      <c r="O445" s="115" t="inlineStr"/>
    </row>
    <row r="446">
      <c r="A446" s="115" t="inlineStr"/>
      <c r="B446" s="115" t="inlineStr">
        <is>
          <t>CGPOWER</t>
        </is>
      </c>
      <c r="C446" s="115" t="inlineStr">
        <is>
          <t>INE067A01029</t>
        </is>
      </c>
      <c r="D446" s="115" t="inlineStr">
        <is>
          <t>2026-05-27</t>
        </is>
      </c>
      <c r="E446" s="115" t="inlineStr">
        <is>
          <t>BSE</t>
        </is>
      </c>
      <c r="F446" s="115" t="inlineStr">
        <is>
          <t>EQ</t>
        </is>
      </c>
      <c r="G446" s="115" t="inlineStr">
        <is>
          <t>A</t>
        </is>
      </c>
      <c r="H446" s="115" t="inlineStr">
        <is>
          <t>buy</t>
        </is>
      </c>
      <c r="I446" s="115" t="b">
        <v>0</v>
      </c>
      <c r="J446" s="115" t="n">
        <v>28</v>
      </c>
      <c r="K446" s="115" t="n">
        <v>918.55</v>
      </c>
      <c r="L446" s="116" t="n">
        <v>12609700</v>
      </c>
      <c r="M446" s="116" t="n">
        <v>1.779860305140964e+18</v>
      </c>
      <c r="N446" s="115" t="inlineStr">
        <is>
          <t>2026-05-27T12:06:35</t>
        </is>
      </c>
      <c r="O446" s="115" t="inlineStr"/>
    </row>
    <row r="447">
      <c r="A447" s="115" t="inlineStr"/>
      <c r="B447" s="115" t="inlineStr">
        <is>
          <t>ASTRAMICRO</t>
        </is>
      </c>
      <c r="C447" s="115" t="inlineStr">
        <is>
          <t>INE386C01029</t>
        </is>
      </c>
      <c r="D447" s="115" t="inlineStr">
        <is>
          <t>2026-05-29</t>
        </is>
      </c>
      <c r="E447" s="115" t="inlineStr">
        <is>
          <t>NSE</t>
        </is>
      </c>
      <c r="F447" s="115" t="inlineStr">
        <is>
          <t>EQ</t>
        </is>
      </c>
      <c r="G447" s="115" t="inlineStr">
        <is>
          <t>EQ</t>
        </is>
      </c>
      <c r="H447" s="115" t="inlineStr">
        <is>
          <t>buy</t>
        </is>
      </c>
      <c r="I447" s="115" t="b">
        <v>0</v>
      </c>
      <c r="J447" s="115" t="n">
        <v>16</v>
      </c>
      <c r="K447" s="115" t="n">
        <v>1403.6</v>
      </c>
      <c r="L447" s="116" t="n">
        <v>6199973</v>
      </c>
      <c r="M447" s="116" t="n">
        <v>1000000057926996</v>
      </c>
      <c r="N447" s="115" t="inlineStr">
        <is>
          <t>2026-05-29T13:19:09</t>
        </is>
      </c>
      <c r="O447" s="115" t="inlineStr"/>
    </row>
    <row r="448">
      <c r="A448" s="115" t="inlineStr"/>
      <c r="B448" s="115" t="inlineStr">
        <is>
          <t>ASTRAMICRO</t>
        </is>
      </c>
      <c r="C448" s="115" t="inlineStr">
        <is>
          <t>INE386C01029</t>
        </is>
      </c>
      <c r="D448" s="115" t="inlineStr">
        <is>
          <t>2026-05-29</t>
        </is>
      </c>
      <c r="E448" s="115" t="inlineStr">
        <is>
          <t>NSE</t>
        </is>
      </c>
      <c r="F448" s="115" t="inlineStr">
        <is>
          <t>EQ</t>
        </is>
      </c>
      <c r="G448" s="115" t="inlineStr">
        <is>
          <t>EQ</t>
        </is>
      </c>
      <c r="H448" s="115" t="inlineStr">
        <is>
          <t>buy</t>
        </is>
      </c>
      <c r="I448" s="115" t="b">
        <v>0</v>
      </c>
      <c r="J448" s="115" t="n">
        <v>17</v>
      </c>
      <c r="K448" s="115" t="n">
        <v>1403.5</v>
      </c>
      <c r="L448" s="116" t="n">
        <v>6199972</v>
      </c>
      <c r="M448" s="116" t="n">
        <v>1000000057926996</v>
      </c>
      <c r="N448" s="115" t="inlineStr">
        <is>
          <t>2026-05-29T13:19:09</t>
        </is>
      </c>
      <c r="O448" s="115" t="inlineStr"/>
    </row>
    <row r="449">
      <c r="A449" s="115" t="inlineStr"/>
      <c r="B449" s="115" t="inlineStr">
        <is>
          <t>ASTRAMICRO</t>
        </is>
      </c>
      <c r="C449" s="115" t="inlineStr">
        <is>
          <t>INE386C01029</t>
        </is>
      </c>
      <c r="D449" s="115" t="inlineStr">
        <is>
          <t>2026-05-29</t>
        </is>
      </c>
      <c r="E449" s="115" t="inlineStr">
        <is>
          <t>NSE</t>
        </is>
      </c>
      <c r="F449" s="115" t="inlineStr">
        <is>
          <t>EQ</t>
        </is>
      </c>
      <c r="G449" s="115" t="inlineStr">
        <is>
          <t>EQ</t>
        </is>
      </c>
      <c r="H449" s="115" t="inlineStr">
        <is>
          <t>buy</t>
        </is>
      </c>
      <c r="I449" s="115" t="b">
        <v>0</v>
      </c>
      <c r="J449" s="115" t="n">
        <v>3</v>
      </c>
      <c r="K449" s="115" t="n">
        <v>1403.7</v>
      </c>
      <c r="L449" s="116" t="n">
        <v>6199974</v>
      </c>
      <c r="M449" s="116" t="n">
        <v>1000000057926996</v>
      </c>
      <c r="N449" s="115" t="inlineStr">
        <is>
          <t>2026-05-29T13:19:09</t>
        </is>
      </c>
      <c r="O449" s="115" t="inlineStr"/>
    </row>
    <row r="450">
      <c r="A450" s="115" t="inlineStr"/>
      <c r="B450" s="115" t="inlineStr">
        <is>
          <t>ADANIENT</t>
        </is>
      </c>
      <c r="C450" s="115" t="inlineStr">
        <is>
          <t>INE423A01024</t>
        </is>
      </c>
      <c r="D450" s="115" t="inlineStr">
        <is>
          <t>2026-05-29</t>
        </is>
      </c>
      <c r="E450" s="115" t="inlineStr">
        <is>
          <t>NSE</t>
        </is>
      </c>
      <c r="F450" s="115" t="inlineStr">
        <is>
          <t>EQ</t>
        </is>
      </c>
      <c r="G450" s="115" t="inlineStr">
        <is>
          <t>EQ</t>
        </is>
      </c>
      <c r="H450" s="115" t="inlineStr">
        <is>
          <t>buy</t>
        </is>
      </c>
      <c r="I450" s="115" t="b">
        <v>0</v>
      </c>
      <c r="J450" s="115" t="n">
        <v>11</v>
      </c>
      <c r="K450" s="115" t="n">
        <v>2954.2</v>
      </c>
      <c r="L450" s="116" t="n">
        <v>6227790</v>
      </c>
      <c r="M450" s="116" t="n">
        <v>1000000058217452</v>
      </c>
      <c r="N450" s="115" t="inlineStr">
        <is>
          <t>2026-05-29T13:20:46</t>
        </is>
      </c>
      <c r="O450" s="115" t="inlineStr"/>
    </row>
    <row r="451">
      <c r="A451" s="115" t="inlineStr"/>
      <c r="B451" s="115" t="inlineStr">
        <is>
          <t>ADANIENT</t>
        </is>
      </c>
      <c r="C451" s="115" t="inlineStr">
        <is>
          <t>INE423A01024</t>
        </is>
      </c>
      <c r="D451" s="115" t="inlineStr">
        <is>
          <t>2026-05-29</t>
        </is>
      </c>
      <c r="E451" s="115" t="inlineStr">
        <is>
          <t>NSE</t>
        </is>
      </c>
      <c r="F451" s="115" t="inlineStr">
        <is>
          <t>EQ</t>
        </is>
      </c>
      <c r="G451" s="115" t="inlineStr">
        <is>
          <t>EQ</t>
        </is>
      </c>
      <c r="H451" s="115" t="inlineStr">
        <is>
          <t>buy</t>
        </is>
      </c>
      <c r="I451" s="115" t="b">
        <v>0</v>
      </c>
      <c r="J451" s="115" t="n">
        <v>6</v>
      </c>
      <c r="K451" s="115" t="n">
        <v>2954.3999</v>
      </c>
      <c r="L451" s="116" t="n">
        <v>6227791</v>
      </c>
      <c r="M451" s="116" t="n">
        <v>1000000058217452</v>
      </c>
      <c r="N451" s="115" t="inlineStr">
        <is>
          <t>2026-05-29T13:20:46</t>
        </is>
      </c>
      <c r="O451" s="115" t="inlineStr"/>
    </row>
    <row r="452">
      <c r="A452" s="115" t="inlineStr"/>
      <c r="B452" s="115" t="inlineStr">
        <is>
          <t>POCL</t>
        </is>
      </c>
      <c r="C452" s="115" t="inlineStr">
        <is>
          <t>INE063E01053</t>
        </is>
      </c>
      <c r="D452" s="115" t="inlineStr">
        <is>
          <t>2026-05-29</t>
        </is>
      </c>
      <c r="E452" s="115" t="inlineStr">
        <is>
          <t>NSE</t>
        </is>
      </c>
      <c r="F452" s="115" t="inlineStr">
        <is>
          <t>EQ</t>
        </is>
      </c>
      <c r="G452" s="115" t="inlineStr">
        <is>
          <t>EQ</t>
        </is>
      </c>
      <c r="H452" s="115" t="inlineStr">
        <is>
          <t>sell</t>
        </is>
      </c>
      <c r="I452" s="115" t="b">
        <v>0</v>
      </c>
      <c r="J452" s="115" t="n">
        <v>5</v>
      </c>
      <c r="K452" s="115" t="n">
        <v>1292.8</v>
      </c>
      <c r="L452" s="116" t="n">
        <v>407699801</v>
      </c>
      <c r="M452" s="116" t="n">
        <v>1200000079624074</v>
      </c>
      <c r="N452" s="115" t="inlineStr">
        <is>
          <t>2026-05-29T14:08:14</t>
        </is>
      </c>
      <c r="O452" s="115" t="inlineStr"/>
    </row>
    <row r="453">
      <c r="A453" s="115" t="inlineStr"/>
      <c r="B453" s="115" t="inlineStr">
        <is>
          <t>POCL</t>
        </is>
      </c>
      <c r="C453" s="115" t="inlineStr">
        <is>
          <t>INE063E01053</t>
        </is>
      </c>
      <c r="D453" s="115" t="inlineStr">
        <is>
          <t>2026-05-29</t>
        </is>
      </c>
      <c r="E453" s="115" t="inlineStr">
        <is>
          <t>NSE</t>
        </is>
      </c>
      <c r="F453" s="115" t="inlineStr">
        <is>
          <t>EQ</t>
        </is>
      </c>
      <c r="G453" s="115" t="inlineStr">
        <is>
          <t>EQ</t>
        </is>
      </c>
      <c r="H453" s="115" t="inlineStr">
        <is>
          <t>sell</t>
        </is>
      </c>
      <c r="I453" s="115" t="b">
        <v>0</v>
      </c>
      <c r="J453" s="115" t="n">
        <v>1</v>
      </c>
      <c r="K453" s="115" t="n">
        <v>1293.1</v>
      </c>
      <c r="L453" s="116" t="n">
        <v>407699795</v>
      </c>
      <c r="M453" s="116" t="n">
        <v>1200000079624074</v>
      </c>
      <c r="N453" s="115" t="inlineStr">
        <is>
          <t>2026-05-29T14:08:14</t>
        </is>
      </c>
      <c r="O453" s="115" t="inlineStr"/>
    </row>
    <row r="454">
      <c r="A454" s="115" t="inlineStr"/>
      <c r="B454" s="115" t="inlineStr">
        <is>
          <t>POCL</t>
        </is>
      </c>
      <c r="C454" s="115" t="inlineStr">
        <is>
          <t>INE063E01053</t>
        </is>
      </c>
      <c r="D454" s="115" t="inlineStr">
        <is>
          <t>2026-05-29</t>
        </is>
      </c>
      <c r="E454" s="115" t="inlineStr">
        <is>
          <t>NSE</t>
        </is>
      </c>
      <c r="F454" s="115" t="inlineStr">
        <is>
          <t>EQ</t>
        </is>
      </c>
      <c r="G454" s="115" t="inlineStr">
        <is>
          <t>EQ</t>
        </is>
      </c>
      <c r="H454" s="115" t="inlineStr">
        <is>
          <t>sell</t>
        </is>
      </c>
      <c r="I454" s="115" t="b">
        <v>0</v>
      </c>
      <c r="J454" s="115" t="n">
        <v>13</v>
      </c>
      <c r="K454" s="115" t="n">
        <v>1293.2</v>
      </c>
      <c r="L454" s="116" t="n">
        <v>407699794</v>
      </c>
      <c r="M454" s="116" t="n">
        <v>1200000079624074</v>
      </c>
      <c r="N454" s="115" t="inlineStr">
        <is>
          <t>2026-05-29T14:08:14</t>
        </is>
      </c>
      <c r="O454" s="115" t="inlineStr"/>
    </row>
    <row r="455">
      <c r="A455" s="115" t="inlineStr"/>
      <c r="B455" s="115" t="inlineStr">
        <is>
          <t>POCL</t>
        </is>
      </c>
      <c r="C455" s="115" t="inlineStr">
        <is>
          <t>INE063E01053</t>
        </is>
      </c>
      <c r="D455" s="115" t="inlineStr">
        <is>
          <t>2026-05-29</t>
        </is>
      </c>
      <c r="E455" s="115" t="inlineStr">
        <is>
          <t>NSE</t>
        </is>
      </c>
      <c r="F455" s="115" t="inlineStr">
        <is>
          <t>EQ</t>
        </is>
      </c>
      <c r="G455" s="115" t="inlineStr">
        <is>
          <t>EQ</t>
        </is>
      </c>
      <c r="H455" s="115" t="inlineStr">
        <is>
          <t>sell</t>
        </is>
      </c>
      <c r="I455" s="115" t="b">
        <v>0</v>
      </c>
      <c r="J455" s="115" t="n">
        <v>3</v>
      </c>
      <c r="K455" s="115" t="n">
        <v>1292.5</v>
      </c>
      <c r="L455" s="116" t="n">
        <v>407699804</v>
      </c>
      <c r="M455" s="116" t="n">
        <v>1200000079624074</v>
      </c>
      <c r="N455" s="115" t="inlineStr">
        <is>
          <t>2026-05-29T14:08:14</t>
        </is>
      </c>
      <c r="O455" s="115" t="inlineStr"/>
    </row>
    <row r="456">
      <c r="A456" s="115" t="inlineStr"/>
      <c r="B456" s="115" t="inlineStr">
        <is>
          <t>POCL</t>
        </is>
      </c>
      <c r="C456" s="115" t="inlineStr">
        <is>
          <t>INE063E01053</t>
        </is>
      </c>
      <c r="D456" s="115" t="inlineStr">
        <is>
          <t>2026-05-29</t>
        </is>
      </c>
      <c r="E456" s="115" t="inlineStr">
        <is>
          <t>NSE</t>
        </is>
      </c>
      <c r="F456" s="115" t="inlineStr">
        <is>
          <t>EQ</t>
        </is>
      </c>
      <c r="G456" s="115" t="inlineStr">
        <is>
          <t>EQ</t>
        </is>
      </c>
      <c r="H456" s="115" t="inlineStr">
        <is>
          <t>sell</t>
        </is>
      </c>
      <c r="I456" s="115" t="b">
        <v>0</v>
      </c>
      <c r="J456" s="115" t="n">
        <v>3</v>
      </c>
      <c r="K456" s="115" t="n">
        <v>1292.5</v>
      </c>
      <c r="L456" s="116" t="n">
        <v>407699805</v>
      </c>
      <c r="M456" s="116" t="n">
        <v>1200000079624074</v>
      </c>
      <c r="N456" s="115" t="inlineStr">
        <is>
          <t>2026-05-29T14:08:14</t>
        </is>
      </c>
      <c r="O456" s="115" t="inlineStr"/>
    </row>
    <row r="457">
      <c r="A457" s="115" t="inlineStr"/>
      <c r="B457" s="115" t="inlineStr">
        <is>
          <t>POCL</t>
        </is>
      </c>
      <c r="C457" s="115" t="inlineStr">
        <is>
          <t>INE063E01053</t>
        </is>
      </c>
      <c r="D457" s="115" t="inlineStr">
        <is>
          <t>2026-05-29</t>
        </is>
      </c>
      <c r="E457" s="115" t="inlineStr">
        <is>
          <t>NSE</t>
        </is>
      </c>
      <c r="F457" s="115" t="inlineStr">
        <is>
          <t>EQ</t>
        </is>
      </c>
      <c r="G457" s="115" t="inlineStr">
        <is>
          <t>EQ</t>
        </is>
      </c>
      <c r="H457" s="115" t="inlineStr">
        <is>
          <t>sell</t>
        </is>
      </c>
      <c r="I457" s="115" t="b">
        <v>0</v>
      </c>
      <c r="J457" s="115" t="n">
        <v>4</v>
      </c>
      <c r="K457" s="115" t="n">
        <v>1292.7</v>
      </c>
      <c r="L457" s="116" t="n">
        <v>407699802</v>
      </c>
      <c r="M457" s="116" t="n">
        <v>1200000079624074</v>
      </c>
      <c r="N457" s="115" t="inlineStr">
        <is>
          <t>2026-05-29T14:08:14</t>
        </is>
      </c>
      <c r="O457" s="115" t="inlineStr"/>
    </row>
    <row r="458">
      <c r="A458" s="115" t="inlineStr"/>
      <c r="B458" s="115" t="inlineStr">
        <is>
          <t>POCL</t>
        </is>
      </c>
      <c r="C458" s="115" t="inlineStr">
        <is>
          <t>INE063E01053</t>
        </is>
      </c>
      <c r="D458" s="115" t="inlineStr">
        <is>
          <t>2026-05-29</t>
        </is>
      </c>
      <c r="E458" s="115" t="inlineStr">
        <is>
          <t>NSE</t>
        </is>
      </c>
      <c r="F458" s="115" t="inlineStr">
        <is>
          <t>EQ</t>
        </is>
      </c>
      <c r="G458" s="115" t="inlineStr">
        <is>
          <t>EQ</t>
        </is>
      </c>
      <c r="H458" s="115" t="inlineStr">
        <is>
          <t>sell</t>
        </is>
      </c>
      <c r="I458" s="115" t="b">
        <v>0</v>
      </c>
      <c r="J458" s="115" t="n">
        <v>4</v>
      </c>
      <c r="K458" s="115" t="n">
        <v>1292.8</v>
      </c>
      <c r="L458" s="116" t="n">
        <v>407699799</v>
      </c>
      <c r="M458" s="116" t="n">
        <v>1200000079624074</v>
      </c>
      <c r="N458" s="115" t="inlineStr">
        <is>
          <t>2026-05-29T14:08:14</t>
        </is>
      </c>
      <c r="O458" s="115" t="inlineStr"/>
    </row>
    <row r="459">
      <c r="A459" s="115" t="inlineStr"/>
      <c r="B459" s="115" t="inlineStr">
        <is>
          <t>POCL</t>
        </is>
      </c>
      <c r="C459" s="115" t="inlineStr">
        <is>
          <t>INE063E01053</t>
        </is>
      </c>
      <c r="D459" s="115" t="inlineStr">
        <is>
          <t>2026-05-29</t>
        </is>
      </c>
      <c r="E459" s="115" t="inlineStr">
        <is>
          <t>NSE</t>
        </is>
      </c>
      <c r="F459" s="115" t="inlineStr">
        <is>
          <t>EQ</t>
        </is>
      </c>
      <c r="G459" s="115" t="inlineStr">
        <is>
          <t>EQ</t>
        </is>
      </c>
      <c r="H459" s="115" t="inlineStr">
        <is>
          <t>sell</t>
        </is>
      </c>
      <c r="I459" s="115" t="b">
        <v>0</v>
      </c>
      <c r="J459" s="115" t="n">
        <v>4</v>
      </c>
      <c r="K459" s="115" t="n">
        <v>1292.8</v>
      </c>
      <c r="L459" s="116" t="n">
        <v>407699800</v>
      </c>
      <c r="M459" s="116" t="n">
        <v>1200000079624074</v>
      </c>
      <c r="N459" s="115" t="inlineStr">
        <is>
          <t>2026-05-29T14:08:14</t>
        </is>
      </c>
      <c r="O459" s="115" t="inlineStr"/>
    </row>
    <row r="460">
      <c r="A460" s="115" t="inlineStr"/>
      <c r="B460" s="115" t="inlineStr">
        <is>
          <t>POCL</t>
        </is>
      </c>
      <c r="C460" s="115" t="inlineStr">
        <is>
          <t>INE063E01053</t>
        </is>
      </c>
      <c r="D460" s="115" t="inlineStr">
        <is>
          <t>2026-05-29</t>
        </is>
      </c>
      <c r="E460" s="115" t="inlineStr">
        <is>
          <t>NSE</t>
        </is>
      </c>
      <c r="F460" s="115" t="inlineStr">
        <is>
          <t>EQ</t>
        </is>
      </c>
      <c r="G460" s="115" t="inlineStr">
        <is>
          <t>EQ</t>
        </is>
      </c>
      <c r="H460" s="115" t="inlineStr">
        <is>
          <t>sell</t>
        </is>
      </c>
      <c r="I460" s="115" t="b">
        <v>0</v>
      </c>
      <c r="J460" s="115" t="n">
        <v>4</v>
      </c>
      <c r="K460" s="115" t="n">
        <v>1293</v>
      </c>
      <c r="L460" s="116" t="n">
        <v>407699797</v>
      </c>
      <c r="M460" s="116" t="n">
        <v>1200000079624074</v>
      </c>
      <c r="N460" s="115" t="inlineStr">
        <is>
          <t>2026-05-29T14:08:14</t>
        </is>
      </c>
      <c r="O460" s="115" t="inlineStr"/>
    </row>
    <row r="461">
      <c r="A461" s="115" t="inlineStr"/>
      <c r="B461" s="115" t="inlineStr">
        <is>
          <t>POCL</t>
        </is>
      </c>
      <c r="C461" s="115" t="inlineStr">
        <is>
          <t>INE063E01053</t>
        </is>
      </c>
      <c r="D461" s="115" t="inlineStr">
        <is>
          <t>2026-05-29</t>
        </is>
      </c>
      <c r="E461" s="115" t="inlineStr">
        <is>
          <t>NSE</t>
        </is>
      </c>
      <c r="F461" s="115" t="inlineStr">
        <is>
          <t>EQ</t>
        </is>
      </c>
      <c r="G461" s="115" t="inlineStr">
        <is>
          <t>EQ</t>
        </is>
      </c>
      <c r="H461" s="115" t="inlineStr">
        <is>
          <t>sell</t>
        </is>
      </c>
      <c r="I461" s="115" t="b">
        <v>0</v>
      </c>
      <c r="J461" s="115" t="n">
        <v>4</v>
      </c>
      <c r="K461" s="115" t="n">
        <v>1293.1</v>
      </c>
      <c r="L461" s="116" t="n">
        <v>407699796</v>
      </c>
      <c r="M461" s="116" t="n">
        <v>1200000079624074</v>
      </c>
      <c r="N461" s="115" t="inlineStr">
        <is>
          <t>2026-05-29T14:08:14</t>
        </is>
      </c>
      <c r="O461" s="115" t="inlineStr"/>
    </row>
    <row r="462">
      <c r="A462" s="115" t="inlineStr"/>
      <c r="B462" s="115" t="inlineStr">
        <is>
          <t>POCL</t>
        </is>
      </c>
      <c r="C462" s="115" t="inlineStr">
        <is>
          <t>INE063E01053</t>
        </is>
      </c>
      <c r="D462" s="115" t="inlineStr">
        <is>
          <t>2026-05-29</t>
        </is>
      </c>
      <c r="E462" s="115" t="inlineStr">
        <is>
          <t>NSE</t>
        </is>
      </c>
      <c r="F462" s="115" t="inlineStr">
        <is>
          <t>EQ</t>
        </is>
      </c>
      <c r="G462" s="115" t="inlineStr">
        <is>
          <t>EQ</t>
        </is>
      </c>
      <c r="H462" s="115" t="inlineStr">
        <is>
          <t>sell</t>
        </is>
      </c>
      <c r="I462" s="115" t="b">
        <v>0</v>
      </c>
      <c r="J462" s="115" t="n">
        <v>4</v>
      </c>
      <c r="K462" s="115" t="n">
        <v>1293.3</v>
      </c>
      <c r="L462" s="116" t="n">
        <v>407699793</v>
      </c>
      <c r="M462" s="116" t="n">
        <v>1200000079624074</v>
      </c>
      <c r="N462" s="115" t="inlineStr">
        <is>
          <t>2026-05-29T14:08:14</t>
        </is>
      </c>
      <c r="O462" s="115" t="inlineStr"/>
    </row>
    <row r="463">
      <c r="A463" s="115" t="inlineStr"/>
      <c r="B463" s="115" t="inlineStr">
        <is>
          <t>POCL</t>
        </is>
      </c>
      <c r="C463" s="115" t="inlineStr">
        <is>
          <t>INE063E01053</t>
        </is>
      </c>
      <c r="D463" s="115" t="inlineStr">
        <is>
          <t>2026-05-29</t>
        </is>
      </c>
      <c r="E463" s="115" t="inlineStr">
        <is>
          <t>NSE</t>
        </is>
      </c>
      <c r="F463" s="115" t="inlineStr">
        <is>
          <t>EQ</t>
        </is>
      </c>
      <c r="G463" s="115" t="inlineStr">
        <is>
          <t>EQ</t>
        </is>
      </c>
      <c r="H463" s="115" t="inlineStr">
        <is>
          <t>sell</t>
        </is>
      </c>
      <c r="I463" s="115" t="b">
        <v>0</v>
      </c>
      <c r="J463" s="115" t="n">
        <v>10</v>
      </c>
      <c r="K463" s="115" t="n">
        <v>1292.6</v>
      </c>
      <c r="L463" s="116" t="n">
        <v>407699803</v>
      </c>
      <c r="M463" s="116" t="n">
        <v>1200000079624074</v>
      </c>
      <c r="N463" s="115" t="inlineStr">
        <is>
          <t>2026-05-29T14:08:14</t>
        </is>
      </c>
      <c r="O463" s="115" t="inlineStr"/>
    </row>
    <row r="464">
      <c r="A464" s="115" t="inlineStr"/>
      <c r="B464" s="115" t="inlineStr">
        <is>
          <t>POCL</t>
        </is>
      </c>
      <c r="C464" s="115" t="inlineStr">
        <is>
          <t>INE063E01053</t>
        </is>
      </c>
      <c r="D464" s="115" t="inlineStr">
        <is>
          <t>2026-05-29</t>
        </is>
      </c>
      <c r="E464" s="115" t="inlineStr">
        <is>
          <t>NSE</t>
        </is>
      </c>
      <c r="F464" s="115" t="inlineStr">
        <is>
          <t>EQ</t>
        </is>
      </c>
      <c r="G464" s="115" t="inlineStr">
        <is>
          <t>EQ</t>
        </is>
      </c>
      <c r="H464" s="115" t="inlineStr">
        <is>
          <t>sell</t>
        </is>
      </c>
      <c r="I464" s="115" t="b">
        <v>0</v>
      </c>
      <c r="J464" s="115" t="n">
        <v>5</v>
      </c>
      <c r="K464" s="115" t="n">
        <v>1293</v>
      </c>
      <c r="L464" s="116" t="n">
        <v>407699798</v>
      </c>
      <c r="M464" s="116" t="n">
        <v>1200000079624074</v>
      </c>
      <c r="N464" s="115" t="inlineStr">
        <is>
          <t>2026-05-29T14:08:14</t>
        </is>
      </c>
      <c r="O464" s="115" t="inlineStr"/>
    </row>
    <row r="465">
      <c r="A465" s="115" t="inlineStr"/>
      <c r="B465" s="115" t="inlineStr">
        <is>
          <t>POCL</t>
        </is>
      </c>
      <c r="C465" s="115" t="inlineStr">
        <is>
          <t>INE063E01053</t>
        </is>
      </c>
      <c r="D465" s="115" t="inlineStr">
        <is>
          <t>2026-05-29</t>
        </is>
      </c>
      <c r="E465" s="115" t="inlineStr">
        <is>
          <t>NSE</t>
        </is>
      </c>
      <c r="F465" s="115" t="inlineStr">
        <is>
          <t>EQ</t>
        </is>
      </c>
      <c r="G465" s="115" t="inlineStr">
        <is>
          <t>EQ</t>
        </is>
      </c>
      <c r="H465" s="115" t="inlineStr">
        <is>
          <t>sell</t>
        </is>
      </c>
      <c r="I465" s="115" t="b">
        <v>0</v>
      </c>
      <c r="J465" s="115" t="n">
        <v>6</v>
      </c>
      <c r="K465" s="115" t="n">
        <v>1292.5</v>
      </c>
      <c r="L465" s="116" t="n">
        <v>407699806</v>
      </c>
      <c r="M465" s="116" t="n">
        <v>1200000079624074</v>
      </c>
      <c r="N465" s="115" t="inlineStr">
        <is>
          <t>2026-05-29T14:08:14</t>
        </is>
      </c>
      <c r="O465" s="115" t="inlineStr"/>
    </row>
    <row r="466">
      <c r="A466" s="115" t="inlineStr"/>
      <c r="B466" s="115" t="inlineStr">
        <is>
          <t>LAURUSLABS</t>
        </is>
      </c>
      <c r="C466" s="115" t="inlineStr">
        <is>
          <t>INE947Q01028</t>
        </is>
      </c>
      <c r="D466" s="115" t="inlineStr">
        <is>
          <t>2026-05-29</t>
        </is>
      </c>
      <c r="E466" s="115" t="inlineStr">
        <is>
          <t>NSE</t>
        </is>
      </c>
      <c r="F466" s="115" t="inlineStr">
        <is>
          <t>EQ</t>
        </is>
      </c>
      <c r="G466" s="115" t="inlineStr">
        <is>
          <t>EQ</t>
        </is>
      </c>
      <c r="H466" s="115" t="inlineStr">
        <is>
          <t>buy</t>
        </is>
      </c>
      <c r="I466" s="115" t="b">
        <v>0</v>
      </c>
      <c r="J466" s="115" t="n">
        <v>11</v>
      </c>
      <c r="K466" s="115" t="n">
        <v>1376</v>
      </c>
      <c r="L466" s="116" t="n">
        <v>408238914</v>
      </c>
      <c r="M466" s="116" t="n">
        <v>1200000084934801</v>
      </c>
      <c r="N466" s="115" t="inlineStr">
        <is>
          <t>2026-05-29T14:31:48</t>
        </is>
      </c>
      <c r="O466" s="115" t="inlineStr"/>
    </row>
    <row r="467">
      <c r="A467" s="115" t="inlineStr"/>
      <c r="B467" s="115" t="inlineStr">
        <is>
          <t>LAURUSLABS</t>
        </is>
      </c>
      <c r="C467" s="115" t="inlineStr">
        <is>
          <t>INE947Q01028</t>
        </is>
      </c>
      <c r="D467" s="115" t="inlineStr">
        <is>
          <t>2026-05-29</t>
        </is>
      </c>
      <c r="E467" s="115" t="inlineStr">
        <is>
          <t>NSE</t>
        </is>
      </c>
      <c r="F467" s="115" t="inlineStr">
        <is>
          <t>EQ</t>
        </is>
      </c>
      <c r="G467" s="115" t="inlineStr">
        <is>
          <t>EQ</t>
        </is>
      </c>
      <c r="H467" s="115" t="inlineStr">
        <is>
          <t>buy</t>
        </is>
      </c>
      <c r="I467" s="115" t="b">
        <v>0</v>
      </c>
      <c r="J467" s="115" t="n">
        <v>13</v>
      </c>
      <c r="K467" s="115" t="n">
        <v>1376</v>
      </c>
      <c r="L467" s="116" t="n">
        <v>408238918</v>
      </c>
      <c r="M467" s="116" t="n">
        <v>1200000084934801</v>
      </c>
      <c r="N467" s="115" t="inlineStr">
        <is>
          <t>2026-05-29T14:31:48</t>
        </is>
      </c>
      <c r="O467" s="115" t="inlineStr"/>
    </row>
    <row r="468">
      <c r="A468" s="115" t="inlineStr"/>
      <c r="B468" s="115" t="inlineStr">
        <is>
          <t>LAURUSLABS</t>
        </is>
      </c>
      <c r="C468" s="115" t="inlineStr">
        <is>
          <t>INE947Q01028</t>
        </is>
      </c>
      <c r="D468" s="115" t="inlineStr">
        <is>
          <t>2026-05-29</t>
        </is>
      </c>
      <c r="E468" s="115" t="inlineStr">
        <is>
          <t>NSE</t>
        </is>
      </c>
      <c r="F468" s="115" t="inlineStr">
        <is>
          <t>EQ</t>
        </is>
      </c>
      <c r="G468" s="115" t="inlineStr">
        <is>
          <t>EQ</t>
        </is>
      </c>
      <c r="H468" s="115" t="inlineStr">
        <is>
          <t>buy</t>
        </is>
      </c>
      <c r="I468" s="115" t="b">
        <v>0</v>
      </c>
      <c r="J468" s="115" t="n">
        <v>4</v>
      </c>
      <c r="K468" s="115" t="n">
        <v>1376</v>
      </c>
      <c r="L468" s="116" t="n">
        <v>408238915</v>
      </c>
      <c r="M468" s="116" t="n">
        <v>1200000084934801</v>
      </c>
      <c r="N468" s="115" t="inlineStr">
        <is>
          <t>2026-05-29T14:31:48</t>
        </is>
      </c>
      <c r="O468" s="115" t="inlineStr"/>
    </row>
    <row r="469">
      <c r="A469" s="115" t="inlineStr"/>
      <c r="B469" s="115" t="inlineStr">
        <is>
          <t>LAURUSLABS</t>
        </is>
      </c>
      <c r="C469" s="115" t="inlineStr">
        <is>
          <t>INE947Q01028</t>
        </is>
      </c>
      <c r="D469" s="115" t="inlineStr">
        <is>
          <t>2026-05-29</t>
        </is>
      </c>
      <c r="E469" s="115" t="inlineStr">
        <is>
          <t>NSE</t>
        </is>
      </c>
      <c r="F469" s="115" t="inlineStr">
        <is>
          <t>EQ</t>
        </is>
      </c>
      <c r="G469" s="115" t="inlineStr">
        <is>
          <t>EQ</t>
        </is>
      </c>
      <c r="H469" s="115" t="inlineStr">
        <is>
          <t>buy</t>
        </is>
      </c>
      <c r="I469" s="115" t="b">
        <v>0</v>
      </c>
      <c r="J469" s="115" t="n">
        <v>4</v>
      </c>
      <c r="K469" s="115" t="n">
        <v>1376</v>
      </c>
      <c r="L469" s="116" t="n">
        <v>408238916</v>
      </c>
      <c r="M469" s="116" t="n">
        <v>1200000084934801</v>
      </c>
      <c r="N469" s="115" t="inlineStr">
        <is>
          <t>2026-05-29T14:31:48</t>
        </is>
      </c>
      <c r="O469" s="115" t="inlineStr"/>
    </row>
    <row r="470">
      <c r="A470" s="115" t="inlineStr"/>
      <c r="B470" s="115" t="inlineStr">
        <is>
          <t>LAURUSLABS</t>
        </is>
      </c>
      <c r="C470" s="115" t="inlineStr">
        <is>
          <t>INE947Q01028</t>
        </is>
      </c>
      <c r="D470" s="115" t="inlineStr">
        <is>
          <t>2026-05-29</t>
        </is>
      </c>
      <c r="E470" s="115" t="inlineStr">
        <is>
          <t>NSE</t>
        </is>
      </c>
      <c r="F470" s="115" t="inlineStr">
        <is>
          <t>EQ</t>
        </is>
      </c>
      <c r="G470" s="115" t="inlineStr">
        <is>
          <t>EQ</t>
        </is>
      </c>
      <c r="H470" s="115" t="inlineStr">
        <is>
          <t>buy</t>
        </is>
      </c>
      <c r="I470" s="115" t="b">
        <v>0</v>
      </c>
      <c r="J470" s="115" t="n">
        <v>5</v>
      </c>
      <c r="K470" s="115" t="n">
        <v>1376</v>
      </c>
      <c r="L470" s="116" t="n">
        <v>408238917</v>
      </c>
      <c r="M470" s="116" t="n">
        <v>1200000084934801</v>
      </c>
      <c r="N470" s="115" t="inlineStr">
        <is>
          <t>2026-05-29T14:31:48</t>
        </is>
      </c>
      <c r="O470" s="115" t="inlineStr"/>
    </row>
    <row r="471">
      <c r="A471" s="115" t="inlineStr"/>
      <c r="B471" s="115" t="inlineStr">
        <is>
          <t>CGPOWER</t>
        </is>
      </c>
      <c r="C471" s="115" t="inlineStr">
        <is>
          <t>INE067A01029</t>
        </is>
      </c>
      <c r="D471" s="115" t="inlineStr">
        <is>
          <t>2026-05-29</t>
        </is>
      </c>
      <c r="E471" s="115" t="inlineStr">
        <is>
          <t>BSE</t>
        </is>
      </c>
      <c r="F471" s="115" t="inlineStr">
        <is>
          <t>EQ</t>
        </is>
      </c>
      <c r="G471" s="115" t="inlineStr">
        <is>
          <t>A</t>
        </is>
      </c>
      <c r="H471" s="115" t="inlineStr">
        <is>
          <t>buy</t>
        </is>
      </c>
      <c r="I471" s="115" t="b">
        <v>0</v>
      </c>
      <c r="J471" s="115" t="n">
        <v>107</v>
      </c>
      <c r="K471" s="115" t="n">
        <v>925</v>
      </c>
      <c r="L471" s="116" t="n">
        <v>11520400</v>
      </c>
      <c r="M471" s="116" t="n">
        <v>1.780044566182503e+18</v>
      </c>
      <c r="N471" s="115" t="inlineStr">
        <is>
          <t>2026-05-29T14:48:30</t>
        </is>
      </c>
      <c r="O471" s="115" t="inlineStr"/>
    </row>
    <row r="472">
      <c r="A472" s="115" t="inlineStr"/>
      <c r="B472" s="115" t="inlineStr">
        <is>
          <t>CGPOWER</t>
        </is>
      </c>
      <c r="C472" s="115" t="inlineStr">
        <is>
          <t>INE067A01029</t>
        </is>
      </c>
      <c r="D472" s="115" t="inlineStr">
        <is>
          <t>2026-05-29</t>
        </is>
      </c>
      <c r="E472" s="115" t="inlineStr">
        <is>
          <t>BSE</t>
        </is>
      </c>
      <c r="F472" s="115" t="inlineStr">
        <is>
          <t>EQ</t>
        </is>
      </c>
      <c r="G472" s="115" t="inlineStr">
        <is>
          <t>A</t>
        </is>
      </c>
      <c r="H472" s="115" t="inlineStr">
        <is>
          <t>buy</t>
        </is>
      </c>
      <c r="I472" s="115" t="b">
        <v>0</v>
      </c>
      <c r="J472" s="115" t="n">
        <v>1</v>
      </c>
      <c r="K472" s="115" t="n">
        <v>924.95</v>
      </c>
      <c r="L472" s="116" t="n">
        <v>11520200</v>
      </c>
      <c r="M472" s="116" t="n">
        <v>1.780044566182503e+18</v>
      </c>
      <c r="N472" s="115" t="inlineStr">
        <is>
          <t>2026-05-29T14:48:30</t>
        </is>
      </c>
      <c r="O472" s="115" t="inlineStr"/>
    </row>
    <row r="473">
      <c r="A473" s="115" t="inlineStr"/>
      <c r="B473" s="115" t="inlineStr">
        <is>
          <t>TATATECH</t>
        </is>
      </c>
      <c r="C473" s="115" t="inlineStr">
        <is>
          <t>INE142M01025</t>
        </is>
      </c>
      <c r="D473" s="115" t="inlineStr">
        <is>
          <t>2026-05-29</t>
        </is>
      </c>
      <c r="E473" s="115" t="inlineStr">
        <is>
          <t>NSE</t>
        </is>
      </c>
      <c r="F473" s="115" t="inlineStr">
        <is>
          <t>EQ</t>
        </is>
      </c>
      <c r="G473" s="115" t="inlineStr">
        <is>
          <t>EQ</t>
        </is>
      </c>
      <c r="H473" s="115" t="inlineStr">
        <is>
          <t>buy</t>
        </is>
      </c>
      <c r="I473" s="115" t="b">
        <v>0</v>
      </c>
      <c r="J473" s="115" t="n">
        <v>70</v>
      </c>
      <c r="K473" s="115" t="n">
        <v>713</v>
      </c>
      <c r="L473" s="116" t="n">
        <v>608879648</v>
      </c>
      <c r="M473" s="116" t="n">
        <v>1300000087920019</v>
      </c>
      <c r="N473" s="115" t="inlineStr">
        <is>
          <t>2026-05-29T14:50:55</t>
        </is>
      </c>
      <c r="O473" s="115" t="inlineStr"/>
    </row>
    <row r="474">
      <c r="A474" s="115" t="inlineStr"/>
      <c r="B474" s="115" t="inlineStr">
        <is>
          <t>APOLLO</t>
        </is>
      </c>
      <c r="C474" s="115" t="inlineStr">
        <is>
          <t>INE713T01028</t>
        </is>
      </c>
      <c r="D474" s="115" t="inlineStr">
        <is>
          <t>2026-05-29</t>
        </is>
      </c>
      <c r="E474" s="115" t="inlineStr">
        <is>
          <t>NSE</t>
        </is>
      </c>
      <c r="F474" s="115" t="inlineStr">
        <is>
          <t>EQ</t>
        </is>
      </c>
      <c r="G474" s="115" t="inlineStr">
        <is>
          <t>EQ</t>
        </is>
      </c>
      <c r="H474" s="115" t="inlineStr">
        <is>
          <t>buy</t>
        </is>
      </c>
      <c r="I474" s="115" t="b">
        <v>0</v>
      </c>
      <c r="J474" s="115" t="n">
        <v>244</v>
      </c>
      <c r="K474" s="115" t="n">
        <v>409.9</v>
      </c>
      <c r="L474" s="116" t="n">
        <v>8090330</v>
      </c>
      <c r="M474" s="116" t="n">
        <v>1000000076792736</v>
      </c>
      <c r="N474" s="115" t="inlineStr">
        <is>
          <t>2026-05-29T14:54:04</t>
        </is>
      </c>
      <c r="O474" s="115" t="inlineStr"/>
    </row>
    <row r="475">
      <c r="A475" s="115" t="inlineStr"/>
      <c r="B475" s="115" t="inlineStr">
        <is>
          <t>HINDALCO</t>
        </is>
      </c>
      <c r="C475" s="115" t="inlineStr">
        <is>
          <t>INE038A01020</t>
        </is>
      </c>
      <c r="D475" s="115" t="inlineStr">
        <is>
          <t>2026-05-29</t>
        </is>
      </c>
      <c r="E475" s="115" t="inlineStr">
        <is>
          <t>NSE</t>
        </is>
      </c>
      <c r="F475" s="115" t="inlineStr">
        <is>
          <t>EQ</t>
        </is>
      </c>
      <c r="G475" s="115" t="inlineStr">
        <is>
          <t>EQ</t>
        </is>
      </c>
      <c r="H475" s="115" t="inlineStr">
        <is>
          <t>buy</t>
        </is>
      </c>
      <c r="I475" s="115" t="b">
        <v>0</v>
      </c>
      <c r="J475" s="115" t="n">
        <v>87</v>
      </c>
      <c r="K475" s="115" t="n">
        <v>1144.5</v>
      </c>
      <c r="L475" s="116" t="n">
        <v>211244603</v>
      </c>
      <c r="M475" s="116" t="n">
        <v>1100000100105170</v>
      </c>
      <c r="N475" s="115" t="inlineStr">
        <is>
          <t>2026-05-29T14:57:15</t>
        </is>
      </c>
      <c r="O475" s="115" t="inlineStr"/>
    </row>
    <row r="476">
      <c r="A476" s="115" t="inlineStr"/>
      <c r="B476" s="115" t="inlineStr">
        <is>
          <t>NMDC</t>
        </is>
      </c>
      <c r="C476" s="115" t="inlineStr">
        <is>
          <t>INE584A01023</t>
        </is>
      </c>
      <c r="D476" s="115" t="inlineStr">
        <is>
          <t>2026-05-29</t>
        </is>
      </c>
      <c r="E476" s="115" t="inlineStr">
        <is>
          <t>NSE</t>
        </is>
      </c>
      <c r="F476" s="115" t="inlineStr">
        <is>
          <t>EQ</t>
        </is>
      </c>
      <c r="G476" s="115" t="inlineStr">
        <is>
          <t>EQ</t>
        </is>
      </c>
      <c r="H476" s="115" t="inlineStr">
        <is>
          <t>sell</t>
        </is>
      </c>
      <c r="I476" s="115" t="b">
        <v>0</v>
      </c>
      <c r="J476" s="115" t="n">
        <v>295</v>
      </c>
      <c r="K476" s="115" t="n">
        <v>87.52</v>
      </c>
      <c r="L476" s="116" t="n">
        <v>410292681</v>
      </c>
      <c r="M476" s="116" t="n">
        <v>1200000097490574</v>
      </c>
      <c r="N476" s="115" t="inlineStr">
        <is>
          <t>2026-05-29T15:10:54</t>
        </is>
      </c>
      <c r="O476" s="115" t="inlineStr"/>
    </row>
    <row r="477">
      <c r="A477" s="115" t="inlineStr"/>
      <c r="B477" s="115" t="inlineStr">
        <is>
          <t>NMDC</t>
        </is>
      </c>
      <c r="C477" s="115" t="inlineStr">
        <is>
          <t>INE584A01023</t>
        </is>
      </c>
      <c r="D477" s="115" t="inlineStr">
        <is>
          <t>2026-05-29</t>
        </is>
      </c>
      <c r="E477" s="115" t="inlineStr">
        <is>
          <t>NSE</t>
        </is>
      </c>
      <c r="F477" s="115" t="inlineStr">
        <is>
          <t>EQ</t>
        </is>
      </c>
      <c r="G477" s="115" t="inlineStr">
        <is>
          <t>EQ</t>
        </is>
      </c>
      <c r="H477" s="115" t="inlineStr">
        <is>
          <t>sell</t>
        </is>
      </c>
      <c r="I477" s="115" t="b">
        <v>0</v>
      </c>
      <c r="J477" s="115" t="n">
        <v>5</v>
      </c>
      <c r="K477" s="115" t="n">
        <v>87.52</v>
      </c>
      <c r="L477" s="116" t="n">
        <v>410292680</v>
      </c>
      <c r="M477" s="116" t="n">
        <v>1200000097490574</v>
      </c>
      <c r="N477" s="115" t="inlineStr">
        <is>
          <t>2026-05-29T15:10:54</t>
        </is>
      </c>
      <c r="O477" s="115" t="inlineStr"/>
    </row>
    <row r="478">
      <c r="A478" s="115" t="inlineStr"/>
      <c r="B478" s="115" t="inlineStr">
        <is>
          <t>THERMAX</t>
        </is>
      </c>
      <c r="C478" s="115" t="inlineStr">
        <is>
          <t>INE152A01029</t>
        </is>
      </c>
      <c r="D478" s="115" t="inlineStr">
        <is>
          <t>2026-05-29</t>
        </is>
      </c>
      <c r="E478" s="115" t="inlineStr">
        <is>
          <t>NSE</t>
        </is>
      </c>
      <c r="F478" s="115" t="inlineStr">
        <is>
          <t>EQ</t>
        </is>
      </c>
      <c r="G478" s="115" t="inlineStr">
        <is>
          <t>EQ</t>
        </is>
      </c>
      <c r="H478" s="115" t="inlineStr">
        <is>
          <t>buy</t>
        </is>
      </c>
      <c r="I478" s="115" t="b">
        <v>0</v>
      </c>
      <c r="J478" s="115" t="n">
        <v>4</v>
      </c>
      <c r="K478" s="115" t="n">
        <v>4949.7998</v>
      </c>
      <c r="L478" s="116" t="n">
        <v>610983964</v>
      </c>
      <c r="M478" s="116" t="n">
        <v>1300000098406459</v>
      </c>
      <c r="N478" s="115" t="inlineStr">
        <is>
          <t>2026-05-29T15:16:11</t>
        </is>
      </c>
      <c r="O478" s="115" t="inlineStr"/>
    </row>
    <row r="479">
      <c r="A479" s="115" t="inlineStr"/>
      <c r="B479" s="115" t="inlineStr">
        <is>
          <t>THERMAX</t>
        </is>
      </c>
      <c r="C479" s="115" t="inlineStr">
        <is>
          <t>INE152A01029</t>
        </is>
      </c>
      <c r="D479" s="115" t="inlineStr">
        <is>
          <t>2026-05-29</t>
        </is>
      </c>
      <c r="E479" s="115" t="inlineStr">
        <is>
          <t>NSE</t>
        </is>
      </c>
      <c r="F479" s="115" t="inlineStr">
        <is>
          <t>EQ</t>
        </is>
      </c>
      <c r="G479" s="115" t="inlineStr">
        <is>
          <t>EQ</t>
        </is>
      </c>
      <c r="H479" s="115" t="inlineStr">
        <is>
          <t>buy</t>
        </is>
      </c>
      <c r="I479" s="115" t="b">
        <v>0</v>
      </c>
      <c r="J479" s="115" t="n">
        <v>4</v>
      </c>
      <c r="K479" s="115" t="n">
        <v>4949.7998</v>
      </c>
      <c r="L479" s="116" t="n">
        <v>610983965</v>
      </c>
      <c r="M479" s="116" t="n">
        <v>1300000098406459</v>
      </c>
      <c r="N479" s="115" t="inlineStr">
        <is>
          <t>2026-05-29T15:16:11</t>
        </is>
      </c>
      <c r="O479" s="115" t="inlineStr"/>
    </row>
    <row r="480">
      <c r="A480" s="115" t="inlineStr"/>
      <c r="B480" s="115" t="inlineStr">
        <is>
          <t>THERMAX</t>
        </is>
      </c>
      <c r="C480" s="115" t="inlineStr">
        <is>
          <t>INE152A01029</t>
        </is>
      </c>
      <c r="D480" s="115" t="inlineStr">
        <is>
          <t>2026-06-01</t>
        </is>
      </c>
      <c r="E480" s="115" t="inlineStr">
        <is>
          <t>NSE</t>
        </is>
      </c>
      <c r="F480" s="115" t="inlineStr">
        <is>
          <t>EQ</t>
        </is>
      </c>
      <c r="G480" s="115" t="inlineStr">
        <is>
          <t>EQ</t>
        </is>
      </c>
      <c r="H480" s="115" t="inlineStr">
        <is>
          <t>buy</t>
        </is>
      </c>
      <c r="I480" s="115" t="b">
        <v>0</v>
      </c>
      <c r="J480" s="115" t="n">
        <v>3</v>
      </c>
      <c r="K480" s="115" t="n">
        <v>4997.3999</v>
      </c>
      <c r="L480" s="116" t="n">
        <v>608407266</v>
      </c>
      <c r="M480" s="116" t="n">
        <v>1300000084210335</v>
      </c>
      <c r="N480" s="115" t="inlineStr">
        <is>
          <t>2026-06-01T14:06:20</t>
        </is>
      </c>
      <c r="O480" s="115" t="inlineStr"/>
    </row>
    <row r="481">
      <c r="A481" s="115" t="inlineStr"/>
      <c r="B481" s="115" t="inlineStr">
        <is>
          <t>SKIPPER</t>
        </is>
      </c>
      <c r="C481" s="115" t="inlineStr">
        <is>
          <t>INE439E01022</t>
        </is>
      </c>
      <c r="D481" s="115" t="inlineStr">
        <is>
          <t>2026-06-01</t>
        </is>
      </c>
      <c r="E481" s="115" t="inlineStr">
        <is>
          <t>NSE</t>
        </is>
      </c>
      <c r="F481" s="115" t="inlineStr">
        <is>
          <t>EQ</t>
        </is>
      </c>
      <c r="G481" s="115" t="inlineStr">
        <is>
          <t>EQ</t>
        </is>
      </c>
      <c r="H481" s="115" t="inlineStr">
        <is>
          <t>buy</t>
        </is>
      </c>
      <c r="I481" s="115" t="b">
        <v>0</v>
      </c>
      <c r="J481" s="115" t="n">
        <v>15</v>
      </c>
      <c r="K481" s="115" t="n">
        <v>547</v>
      </c>
      <c r="L481" s="116" t="n">
        <v>608423928</v>
      </c>
      <c r="M481" s="116" t="n">
        <v>1300000084371531</v>
      </c>
      <c r="N481" s="115" t="inlineStr">
        <is>
          <t>2026-06-01T14:07:05</t>
        </is>
      </c>
      <c r="O481" s="115" t="inlineStr"/>
    </row>
    <row r="482">
      <c r="A482" s="115" t="inlineStr"/>
      <c r="B482" s="115" t="inlineStr">
        <is>
          <t>SKIPPER</t>
        </is>
      </c>
      <c r="C482" s="115" t="inlineStr">
        <is>
          <t>INE439E01022</t>
        </is>
      </c>
      <c r="D482" s="115" t="inlineStr">
        <is>
          <t>2026-06-01</t>
        </is>
      </c>
      <c r="E482" s="115" t="inlineStr">
        <is>
          <t>NSE</t>
        </is>
      </c>
      <c r="F482" s="115" t="inlineStr">
        <is>
          <t>EQ</t>
        </is>
      </c>
      <c r="G482" s="115" t="inlineStr">
        <is>
          <t>EQ</t>
        </is>
      </c>
      <c r="H482" s="115" t="inlineStr">
        <is>
          <t>buy</t>
        </is>
      </c>
      <c r="I482" s="115" t="b">
        <v>0</v>
      </c>
      <c r="J482" s="115" t="n">
        <v>77</v>
      </c>
      <c r="K482" s="115" t="n">
        <v>547</v>
      </c>
      <c r="L482" s="116" t="n">
        <v>608423927</v>
      </c>
      <c r="M482" s="116" t="n">
        <v>1300000084371531</v>
      </c>
      <c r="N482" s="115" t="inlineStr">
        <is>
          <t>2026-06-01T14:07:05</t>
        </is>
      </c>
      <c r="O482" s="115" t="inlineStr"/>
    </row>
    <row r="483">
      <c r="A483" s="115" t="inlineStr"/>
      <c r="B483" s="115" t="inlineStr">
        <is>
          <t>NETWEB</t>
        </is>
      </c>
      <c r="C483" s="115" t="inlineStr">
        <is>
          <t>INE0NT901020</t>
        </is>
      </c>
      <c r="D483" s="115" t="inlineStr">
        <is>
          <t>2026-06-01</t>
        </is>
      </c>
      <c r="E483" s="115" t="inlineStr">
        <is>
          <t>NSE</t>
        </is>
      </c>
      <c r="F483" s="115" t="inlineStr">
        <is>
          <t>EQ</t>
        </is>
      </c>
      <c r="G483" s="115" t="inlineStr">
        <is>
          <t>EQ</t>
        </is>
      </c>
      <c r="H483" s="115" t="inlineStr">
        <is>
          <t>buy</t>
        </is>
      </c>
      <c r="I483" s="115" t="b">
        <v>0</v>
      </c>
      <c r="J483" s="115" t="n">
        <v>2</v>
      </c>
      <c r="K483" s="115" t="n">
        <v>4599</v>
      </c>
      <c r="L483" s="116" t="n">
        <v>407166647</v>
      </c>
      <c r="M483" s="116" t="n">
        <v>1200000080958672</v>
      </c>
      <c r="N483" s="115" t="inlineStr">
        <is>
          <t>2026-06-01T14:08:17</t>
        </is>
      </c>
      <c r="O483" s="115" t="inlineStr"/>
    </row>
    <row r="484">
      <c r="A484" s="115" t="inlineStr"/>
      <c r="B484" s="115" t="inlineStr">
        <is>
          <t>NETWEB</t>
        </is>
      </c>
      <c r="C484" s="115" t="inlineStr">
        <is>
          <t>INE0NT901020</t>
        </is>
      </c>
      <c r="D484" s="115" t="inlineStr">
        <is>
          <t>2026-06-01</t>
        </is>
      </c>
      <c r="E484" s="115" t="inlineStr">
        <is>
          <t>NSE</t>
        </is>
      </c>
      <c r="F484" s="115" t="inlineStr">
        <is>
          <t>EQ</t>
        </is>
      </c>
      <c r="G484" s="115" t="inlineStr">
        <is>
          <t>EQ</t>
        </is>
      </c>
      <c r="H484" s="115" t="inlineStr">
        <is>
          <t>buy</t>
        </is>
      </c>
      <c r="I484" s="115" t="b">
        <v>0</v>
      </c>
      <c r="J484" s="115" t="n">
        <v>4</v>
      </c>
      <c r="K484" s="115" t="n">
        <v>4599.2002</v>
      </c>
      <c r="L484" s="116" t="n">
        <v>407166649</v>
      </c>
      <c r="M484" s="116" t="n">
        <v>1200000080958672</v>
      </c>
      <c r="N484" s="115" t="inlineStr">
        <is>
          <t>2026-06-01T14:08:17</t>
        </is>
      </c>
      <c r="O484" s="115" t="inlineStr"/>
    </row>
    <row r="485">
      <c r="A485" s="115" t="inlineStr"/>
      <c r="B485" s="115" t="inlineStr">
        <is>
          <t>NETWEB</t>
        </is>
      </c>
      <c r="C485" s="115" t="inlineStr">
        <is>
          <t>INE0NT901020</t>
        </is>
      </c>
      <c r="D485" s="115" t="inlineStr">
        <is>
          <t>2026-06-01</t>
        </is>
      </c>
      <c r="E485" s="115" t="inlineStr">
        <is>
          <t>NSE</t>
        </is>
      </c>
      <c r="F485" s="115" t="inlineStr">
        <is>
          <t>EQ</t>
        </is>
      </c>
      <c r="G485" s="115" t="inlineStr">
        <is>
          <t>EQ</t>
        </is>
      </c>
      <c r="H485" s="115" t="inlineStr">
        <is>
          <t>buy</t>
        </is>
      </c>
      <c r="I485" s="115" t="b">
        <v>0</v>
      </c>
      <c r="J485" s="115" t="n">
        <v>5</v>
      </c>
      <c r="K485" s="115" t="n">
        <v>4599.1001</v>
      </c>
      <c r="L485" s="116" t="n">
        <v>407166648</v>
      </c>
      <c r="M485" s="116" t="n">
        <v>1200000080958672</v>
      </c>
      <c r="N485" s="115" t="inlineStr">
        <is>
          <t>2026-06-01T14:08:17</t>
        </is>
      </c>
      <c r="O485" s="115" t="inlineStr"/>
    </row>
    <row r="486">
      <c r="A486" s="115" t="inlineStr"/>
      <c r="B486" s="115" t="inlineStr">
        <is>
          <t>ZYDUSLIFE</t>
        </is>
      </c>
      <c r="C486" s="115" t="inlineStr">
        <is>
          <t>INE010B01027</t>
        </is>
      </c>
      <c r="D486" s="115" t="inlineStr">
        <is>
          <t>2026-06-01</t>
        </is>
      </c>
      <c r="E486" s="115" t="inlineStr">
        <is>
          <t>NSE</t>
        </is>
      </c>
      <c r="F486" s="115" t="inlineStr">
        <is>
          <t>EQ</t>
        </is>
      </c>
      <c r="G486" s="115" t="inlineStr">
        <is>
          <t>EQ</t>
        </is>
      </c>
      <c r="H486" s="115" t="inlineStr">
        <is>
          <t>buy</t>
        </is>
      </c>
      <c r="I486" s="115" t="b">
        <v>0</v>
      </c>
      <c r="J486" s="115" t="n">
        <v>11</v>
      </c>
      <c r="K486" s="115" t="n">
        <v>1092.4</v>
      </c>
      <c r="L486" s="116" t="n">
        <v>608538891</v>
      </c>
      <c r="M486" s="116" t="n">
        <v>1300000085516858</v>
      </c>
      <c r="N486" s="115" t="inlineStr">
        <is>
          <t>2026-06-01T14:12:10</t>
        </is>
      </c>
      <c r="O486" s="115" t="inlineStr"/>
    </row>
    <row r="487">
      <c r="A487" s="115" t="inlineStr"/>
      <c r="B487" s="115" t="inlineStr">
        <is>
          <t>ZYDUSLIFE</t>
        </is>
      </c>
      <c r="C487" s="115" t="inlineStr">
        <is>
          <t>INE010B01027</t>
        </is>
      </c>
      <c r="D487" s="115" t="inlineStr">
        <is>
          <t>2026-06-01</t>
        </is>
      </c>
      <c r="E487" s="115" t="inlineStr">
        <is>
          <t>NSE</t>
        </is>
      </c>
      <c r="F487" s="115" t="inlineStr">
        <is>
          <t>EQ</t>
        </is>
      </c>
      <c r="G487" s="115" t="inlineStr">
        <is>
          <t>EQ</t>
        </is>
      </c>
      <c r="H487" s="115" t="inlineStr">
        <is>
          <t>buy</t>
        </is>
      </c>
      <c r="I487" s="115" t="b">
        <v>0</v>
      </c>
      <c r="J487" s="115" t="n">
        <v>35</v>
      </c>
      <c r="K487" s="115" t="n">
        <v>1092.4</v>
      </c>
      <c r="L487" s="116" t="n">
        <v>608538892</v>
      </c>
      <c r="M487" s="116" t="n">
        <v>1300000085516858</v>
      </c>
      <c r="N487" s="115" t="inlineStr">
        <is>
          <t>2026-06-01T14:12:10</t>
        </is>
      </c>
      <c r="O487" s="115" t="inlineStr"/>
    </row>
    <row r="488">
      <c r="A488" s="115" t="inlineStr"/>
      <c r="B488" s="115" t="inlineStr">
        <is>
          <t>TRITURBINE</t>
        </is>
      </c>
      <c r="C488" s="115" t="inlineStr">
        <is>
          <t>INE152M01016</t>
        </is>
      </c>
      <c r="D488" s="115" t="inlineStr">
        <is>
          <t>2026-06-01</t>
        </is>
      </c>
      <c r="E488" s="115" t="inlineStr">
        <is>
          <t>NSE</t>
        </is>
      </c>
      <c r="F488" s="115" t="inlineStr">
        <is>
          <t>EQ</t>
        </is>
      </c>
      <c r="G488" s="115" t="inlineStr">
        <is>
          <t>EQ</t>
        </is>
      </c>
      <c r="H488" s="115" t="inlineStr">
        <is>
          <t>buy</t>
        </is>
      </c>
      <c r="I488" s="115" t="b">
        <v>0</v>
      </c>
      <c r="J488" s="115" t="n">
        <v>1</v>
      </c>
      <c r="K488" s="115" t="n">
        <v>697.1</v>
      </c>
      <c r="L488" s="116" t="n">
        <v>608626693</v>
      </c>
      <c r="M488" s="116" t="n">
        <v>1300000086413096</v>
      </c>
      <c r="N488" s="115" t="inlineStr">
        <is>
          <t>2026-06-01T14:15:44</t>
        </is>
      </c>
      <c r="O488" s="115" t="inlineStr"/>
    </row>
    <row r="489">
      <c r="A489" s="115" t="inlineStr"/>
      <c r="B489" s="115" t="inlineStr">
        <is>
          <t>TRITURBINE</t>
        </is>
      </c>
      <c r="C489" s="115" t="inlineStr">
        <is>
          <t>INE152M01016</t>
        </is>
      </c>
      <c r="D489" s="115" t="inlineStr">
        <is>
          <t>2026-06-01</t>
        </is>
      </c>
      <c r="E489" s="115" t="inlineStr">
        <is>
          <t>NSE</t>
        </is>
      </c>
      <c r="F489" s="115" t="inlineStr">
        <is>
          <t>EQ</t>
        </is>
      </c>
      <c r="G489" s="115" t="inlineStr">
        <is>
          <t>EQ</t>
        </is>
      </c>
      <c r="H489" s="115" t="inlineStr">
        <is>
          <t>buy</t>
        </is>
      </c>
      <c r="I489" s="115" t="b">
        <v>0</v>
      </c>
      <c r="J489" s="115" t="n">
        <v>22</v>
      </c>
      <c r="K489" s="115" t="n">
        <v>697.1</v>
      </c>
      <c r="L489" s="116" t="n">
        <v>608626692</v>
      </c>
      <c r="M489" s="116" t="n">
        <v>1300000086413096</v>
      </c>
      <c r="N489" s="115" t="inlineStr">
        <is>
          <t>2026-06-01T14:15:44</t>
        </is>
      </c>
      <c r="O489" s="115" t="inlineStr"/>
    </row>
    <row r="490">
      <c r="A490" s="115" t="inlineStr"/>
      <c r="B490" s="115" t="inlineStr">
        <is>
          <t>TRITURBINE</t>
        </is>
      </c>
      <c r="C490" s="115" t="inlineStr">
        <is>
          <t>INE152M01016</t>
        </is>
      </c>
      <c r="D490" s="115" t="inlineStr">
        <is>
          <t>2026-06-01</t>
        </is>
      </c>
      <c r="E490" s="115" t="inlineStr">
        <is>
          <t>NSE</t>
        </is>
      </c>
      <c r="F490" s="115" t="inlineStr">
        <is>
          <t>EQ</t>
        </is>
      </c>
      <c r="G490" s="115" t="inlineStr">
        <is>
          <t>EQ</t>
        </is>
      </c>
      <c r="H490" s="115" t="inlineStr">
        <is>
          <t>buy</t>
        </is>
      </c>
      <c r="I490" s="115" t="b">
        <v>0</v>
      </c>
      <c r="J490" s="115" t="n">
        <v>3</v>
      </c>
      <c r="K490" s="115" t="n">
        <v>697.1</v>
      </c>
      <c r="L490" s="116" t="n">
        <v>608626694</v>
      </c>
      <c r="M490" s="116" t="n">
        <v>1300000086413096</v>
      </c>
      <c r="N490" s="115" t="inlineStr">
        <is>
          <t>2026-06-01T14:15:44</t>
        </is>
      </c>
      <c r="O490" s="115" t="inlineStr"/>
    </row>
    <row r="491">
      <c r="A491" s="115" t="inlineStr"/>
      <c r="B491" s="115" t="inlineStr">
        <is>
          <t>TRITURBINE</t>
        </is>
      </c>
      <c r="C491" s="115" t="inlineStr">
        <is>
          <t>INE152M01016</t>
        </is>
      </c>
      <c r="D491" s="115" t="inlineStr">
        <is>
          <t>2026-06-01</t>
        </is>
      </c>
      <c r="E491" s="115" t="inlineStr">
        <is>
          <t>NSE</t>
        </is>
      </c>
      <c r="F491" s="115" t="inlineStr">
        <is>
          <t>EQ</t>
        </is>
      </c>
      <c r="G491" s="115" t="inlineStr">
        <is>
          <t>EQ</t>
        </is>
      </c>
      <c r="H491" s="115" t="inlineStr">
        <is>
          <t>buy</t>
        </is>
      </c>
      <c r="I491" s="115" t="b">
        <v>0</v>
      </c>
      <c r="J491" s="115" t="n">
        <v>37</v>
      </c>
      <c r="K491" s="115" t="n">
        <v>697.1</v>
      </c>
      <c r="L491" s="116" t="n">
        <v>608626695</v>
      </c>
      <c r="M491" s="116" t="n">
        <v>1300000086413096</v>
      </c>
      <c r="N491" s="115" t="inlineStr">
        <is>
          <t>2026-06-01T14:15:44</t>
        </is>
      </c>
      <c r="O491" s="115" t="inlineStr"/>
    </row>
    <row r="492">
      <c r="A492" s="115" t="inlineStr"/>
      <c r="B492" s="115" t="inlineStr">
        <is>
          <t>TRITURBINE</t>
        </is>
      </c>
      <c r="C492" s="115" t="inlineStr">
        <is>
          <t>INE152M01016</t>
        </is>
      </c>
      <c r="D492" s="115" t="inlineStr">
        <is>
          <t>2026-06-01</t>
        </is>
      </c>
      <c r="E492" s="115" t="inlineStr">
        <is>
          <t>NSE</t>
        </is>
      </c>
      <c r="F492" s="115" t="inlineStr">
        <is>
          <t>EQ</t>
        </is>
      </c>
      <c r="G492" s="115" t="inlineStr">
        <is>
          <t>EQ</t>
        </is>
      </c>
      <c r="H492" s="115" t="inlineStr">
        <is>
          <t>buy</t>
        </is>
      </c>
      <c r="I492" s="115" t="b">
        <v>0</v>
      </c>
      <c r="J492" s="115" t="n">
        <v>9</v>
      </c>
      <c r="K492" s="115" t="n">
        <v>697.1</v>
      </c>
      <c r="L492" s="116" t="n">
        <v>608626696</v>
      </c>
      <c r="M492" s="116" t="n">
        <v>1300000086413096</v>
      </c>
      <c r="N492" s="115" t="inlineStr">
        <is>
          <t>2026-06-01T14:15:44</t>
        </is>
      </c>
      <c r="O492" s="115" t="inlineStr"/>
    </row>
    <row r="493">
      <c r="A493" s="115" t="inlineStr"/>
      <c r="B493" s="115" t="inlineStr">
        <is>
          <t>EXIDEIND</t>
        </is>
      </c>
      <c r="C493" s="115" t="inlineStr">
        <is>
          <t>INE302A01020</t>
        </is>
      </c>
      <c r="D493" s="115" t="inlineStr">
        <is>
          <t>2026-06-01</t>
        </is>
      </c>
      <c r="E493" s="115" t="inlineStr">
        <is>
          <t>NSE</t>
        </is>
      </c>
      <c r="F493" s="115" t="inlineStr">
        <is>
          <t>EQ</t>
        </is>
      </c>
      <c r="G493" s="115" t="inlineStr">
        <is>
          <t>EQ</t>
        </is>
      </c>
      <c r="H493" s="115" t="inlineStr">
        <is>
          <t>buy</t>
        </is>
      </c>
      <c r="I493" s="115" t="b">
        <v>0</v>
      </c>
      <c r="J493" s="115" t="n">
        <v>111</v>
      </c>
      <c r="K493" s="115" t="n">
        <v>389.65</v>
      </c>
      <c r="L493" s="116" t="n">
        <v>208620145</v>
      </c>
      <c r="M493" s="116" t="n">
        <v>1100000080505821</v>
      </c>
      <c r="N493" s="115" t="inlineStr">
        <is>
          <t>2026-06-01T14:17:15</t>
        </is>
      </c>
      <c r="O493" s="115" t="inlineStr"/>
    </row>
    <row r="494">
      <c r="A494" s="115" t="inlineStr"/>
      <c r="B494" s="115" t="inlineStr">
        <is>
          <t>EXIDEIND</t>
        </is>
      </c>
      <c r="C494" s="115" t="inlineStr">
        <is>
          <t>INE302A01020</t>
        </is>
      </c>
      <c r="D494" s="115" t="inlineStr">
        <is>
          <t>2026-06-01</t>
        </is>
      </c>
      <c r="E494" s="115" t="inlineStr">
        <is>
          <t>NSE</t>
        </is>
      </c>
      <c r="F494" s="115" t="inlineStr">
        <is>
          <t>EQ</t>
        </is>
      </c>
      <c r="G494" s="115" t="inlineStr">
        <is>
          <t>EQ</t>
        </is>
      </c>
      <c r="H494" s="115" t="inlineStr">
        <is>
          <t>buy</t>
        </is>
      </c>
      <c r="I494" s="115" t="b">
        <v>0</v>
      </c>
      <c r="J494" s="115" t="n">
        <v>13</v>
      </c>
      <c r="K494" s="115" t="n">
        <v>389.65</v>
      </c>
      <c r="L494" s="116" t="n">
        <v>208620146</v>
      </c>
      <c r="M494" s="116" t="n">
        <v>1100000080505821</v>
      </c>
      <c r="N494" s="115" t="inlineStr">
        <is>
          <t>2026-06-01T14:17:15</t>
        </is>
      </c>
      <c r="O494" s="115" t="inlineStr"/>
    </row>
    <row r="495">
      <c r="A495" s="115" t="inlineStr"/>
      <c r="B495" s="115" t="inlineStr">
        <is>
          <t>EXIDEIND</t>
        </is>
      </c>
      <c r="C495" s="115" t="inlineStr">
        <is>
          <t>INE302A01020</t>
        </is>
      </c>
      <c r="D495" s="115" t="inlineStr">
        <is>
          <t>2026-06-01</t>
        </is>
      </c>
      <c r="E495" s="115" t="inlineStr">
        <is>
          <t>NSE</t>
        </is>
      </c>
      <c r="F495" s="115" t="inlineStr">
        <is>
          <t>EQ</t>
        </is>
      </c>
      <c r="G495" s="115" t="inlineStr">
        <is>
          <t>EQ</t>
        </is>
      </c>
      <c r="H495" s="115" t="inlineStr">
        <is>
          <t>buy</t>
        </is>
      </c>
      <c r="I495" s="115" t="b">
        <v>0</v>
      </c>
      <c r="J495" s="115" t="n">
        <v>5</v>
      </c>
      <c r="K495" s="115" t="n">
        <v>389.65</v>
      </c>
      <c r="L495" s="116" t="n">
        <v>208620144</v>
      </c>
      <c r="M495" s="116" t="n">
        <v>1100000080505821</v>
      </c>
      <c r="N495" s="115" t="inlineStr">
        <is>
          <t>2026-06-01T14:17:15</t>
        </is>
      </c>
      <c r="O495" s="115" t="inlineStr"/>
    </row>
    <row r="496">
      <c r="A496" s="115" t="inlineStr"/>
      <c r="B496" s="115" t="inlineStr">
        <is>
          <t>CARYSIL</t>
        </is>
      </c>
      <c r="C496" s="115" t="inlineStr">
        <is>
          <t>INE482D01024</t>
        </is>
      </c>
      <c r="D496" s="115" t="inlineStr">
        <is>
          <t>2026-06-02</t>
        </is>
      </c>
      <c r="E496" s="115" t="inlineStr">
        <is>
          <t>NSE</t>
        </is>
      </c>
      <c r="F496" s="115" t="inlineStr">
        <is>
          <t>EQ</t>
        </is>
      </c>
      <c r="G496" s="115" t="inlineStr">
        <is>
          <t>EQ</t>
        </is>
      </c>
      <c r="H496" s="115" t="inlineStr">
        <is>
          <t>buy</t>
        </is>
      </c>
      <c r="I496" s="115" t="b">
        <v>0</v>
      </c>
      <c r="J496" s="115" t="n">
        <v>27</v>
      </c>
      <c r="K496" s="115" t="n">
        <v>1101.3</v>
      </c>
      <c r="L496" s="116" t="n">
        <v>3959605</v>
      </c>
      <c r="M496" s="116" t="n">
        <v>1000000041112468</v>
      </c>
      <c r="N496" s="115" t="inlineStr">
        <is>
          <t>2026-06-02T11:53:47</t>
        </is>
      </c>
      <c r="O496" s="115" t="inlineStr"/>
    </row>
    <row r="497">
      <c r="A497" s="115" t="inlineStr"/>
      <c r="B497" s="115" t="inlineStr">
        <is>
          <t>HBLENGINE</t>
        </is>
      </c>
      <c r="C497" s="115" t="inlineStr">
        <is>
          <t>INE292B01021</t>
        </is>
      </c>
      <c r="D497" s="115" t="inlineStr">
        <is>
          <t>2026-06-02</t>
        </is>
      </c>
      <c r="E497" s="115" t="inlineStr">
        <is>
          <t>NSE</t>
        </is>
      </c>
      <c r="F497" s="115" t="inlineStr">
        <is>
          <t>EQ</t>
        </is>
      </c>
      <c r="G497" s="115" t="inlineStr">
        <is>
          <t>EQ</t>
        </is>
      </c>
      <c r="H497" s="115" t="inlineStr">
        <is>
          <t>buy</t>
        </is>
      </c>
      <c r="I497" s="115" t="b">
        <v>0</v>
      </c>
      <c r="J497" s="115" t="n">
        <v>24</v>
      </c>
      <c r="K497" s="115" t="n">
        <v>787.95</v>
      </c>
      <c r="L497" s="116" t="n">
        <v>205609098</v>
      </c>
      <c r="M497" s="116" t="n">
        <v>1100000054514308</v>
      </c>
      <c r="N497" s="115" t="inlineStr">
        <is>
          <t>2026-06-02T11:54:50</t>
        </is>
      </c>
      <c r="O497" s="115" t="inlineStr"/>
    </row>
    <row r="498">
      <c r="A498" s="115" t="inlineStr"/>
      <c r="B498" s="115" t="inlineStr">
        <is>
          <t>HBLENGINE</t>
        </is>
      </c>
      <c r="C498" s="115" t="inlineStr">
        <is>
          <t>INE292B01021</t>
        </is>
      </c>
      <c r="D498" s="115" t="inlineStr">
        <is>
          <t>2026-06-02</t>
        </is>
      </c>
      <c r="E498" s="115" t="inlineStr">
        <is>
          <t>NSE</t>
        </is>
      </c>
      <c r="F498" s="115" t="inlineStr">
        <is>
          <t>EQ</t>
        </is>
      </c>
      <c r="G498" s="115" t="inlineStr">
        <is>
          <t>EQ</t>
        </is>
      </c>
      <c r="H498" s="115" t="inlineStr">
        <is>
          <t>buy</t>
        </is>
      </c>
      <c r="I498" s="115" t="b">
        <v>0</v>
      </c>
      <c r="J498" s="115" t="n">
        <v>5</v>
      </c>
      <c r="K498" s="115" t="n">
        <v>788</v>
      </c>
      <c r="L498" s="116" t="n">
        <v>205609100</v>
      </c>
      <c r="M498" s="116" t="n">
        <v>1100000054514308</v>
      </c>
      <c r="N498" s="115" t="inlineStr">
        <is>
          <t>2026-06-02T11:54:50</t>
        </is>
      </c>
      <c r="O498" s="115" t="inlineStr"/>
    </row>
    <row r="499">
      <c r="A499" s="115" t="inlineStr"/>
      <c r="B499" s="115" t="inlineStr">
        <is>
          <t>HBLENGINE</t>
        </is>
      </c>
      <c r="C499" s="115" t="inlineStr">
        <is>
          <t>INE292B01021</t>
        </is>
      </c>
      <c r="D499" s="115" t="inlineStr">
        <is>
          <t>2026-06-02</t>
        </is>
      </c>
      <c r="E499" s="115" t="inlineStr">
        <is>
          <t>NSE</t>
        </is>
      </c>
      <c r="F499" s="115" t="inlineStr">
        <is>
          <t>EQ</t>
        </is>
      </c>
      <c r="G499" s="115" t="inlineStr">
        <is>
          <t>EQ</t>
        </is>
      </c>
      <c r="H499" s="115" t="inlineStr">
        <is>
          <t>buy</t>
        </is>
      </c>
      <c r="I499" s="115" t="b">
        <v>0</v>
      </c>
      <c r="J499" s="115" t="n">
        <v>8</v>
      </c>
      <c r="K499" s="115" t="n">
        <v>787.95</v>
      </c>
      <c r="L499" s="116" t="n">
        <v>205609099</v>
      </c>
      <c r="M499" s="116" t="n">
        <v>1100000054514308</v>
      </c>
      <c r="N499" s="115" t="inlineStr">
        <is>
          <t>2026-06-02T11:54:50</t>
        </is>
      </c>
      <c r="O499" s="115" t="inlineStr"/>
    </row>
    <row r="500">
      <c r="A500" s="115" t="inlineStr"/>
      <c r="B500" s="115" t="inlineStr">
        <is>
          <t>POWERINDIA</t>
        </is>
      </c>
      <c r="C500" s="115" t="inlineStr">
        <is>
          <t>INE07Y701011</t>
        </is>
      </c>
      <c r="D500" s="115" t="inlineStr">
        <is>
          <t>2026-06-02</t>
        </is>
      </c>
      <c r="E500" s="115" t="inlineStr">
        <is>
          <t>NSE</t>
        </is>
      </c>
      <c r="F500" s="115" t="inlineStr">
        <is>
          <t>EQ</t>
        </is>
      </c>
      <c r="G500" s="115" t="inlineStr">
        <is>
          <t>EQ</t>
        </is>
      </c>
      <c r="H500" s="115" t="inlineStr">
        <is>
          <t>buy</t>
        </is>
      </c>
      <c r="I500" s="115" t="b">
        <v>0</v>
      </c>
      <c r="J500" s="115" t="n">
        <v>1</v>
      </c>
      <c r="K500" s="115" t="n">
        <v>35105</v>
      </c>
      <c r="L500" s="116" t="n">
        <v>404510111</v>
      </c>
      <c r="M500" s="116" t="n">
        <v>1200000049482545</v>
      </c>
      <c r="N500" s="115" t="inlineStr">
        <is>
          <t>2026-06-02T11:55:20</t>
        </is>
      </c>
      <c r="O500" s="115" t="inlineStr"/>
    </row>
    <row r="501">
      <c r="A501" s="115" t="inlineStr"/>
      <c r="B501" s="115" t="inlineStr">
        <is>
          <t>SYRMA</t>
        </is>
      </c>
      <c r="C501" s="115" t="inlineStr">
        <is>
          <t>INE0DYJ01015</t>
        </is>
      </c>
      <c r="D501" s="115" t="inlineStr">
        <is>
          <t>2026-06-02</t>
        </is>
      </c>
      <c r="E501" s="115" t="inlineStr">
        <is>
          <t>NSE</t>
        </is>
      </c>
      <c r="F501" s="115" t="inlineStr">
        <is>
          <t>EQ</t>
        </is>
      </c>
      <c r="G501" s="115" t="inlineStr">
        <is>
          <t>EQ</t>
        </is>
      </c>
      <c r="H501" s="115" t="inlineStr">
        <is>
          <t>buy</t>
        </is>
      </c>
      <c r="I501" s="115" t="b">
        <v>0</v>
      </c>
      <c r="J501" s="115" t="n">
        <v>26</v>
      </c>
      <c r="K501" s="115" t="n">
        <v>1152.9</v>
      </c>
      <c r="L501" s="116" t="n">
        <v>605253704</v>
      </c>
      <c r="M501" s="116" t="n">
        <v>1300000053059876</v>
      </c>
      <c r="N501" s="115" t="inlineStr">
        <is>
          <t>2026-06-02T11:55:33</t>
        </is>
      </c>
      <c r="O501" s="115" t="inlineStr"/>
    </row>
    <row r="502">
      <c r="A502" s="115" t="inlineStr"/>
      <c r="B502" s="115" t="inlineStr">
        <is>
          <t>VBL</t>
        </is>
      </c>
      <c r="C502" s="115" t="inlineStr">
        <is>
          <t>INE200M01039</t>
        </is>
      </c>
      <c r="D502" s="115" t="inlineStr">
        <is>
          <t>2026-06-02</t>
        </is>
      </c>
      <c r="E502" s="115" t="inlineStr">
        <is>
          <t>NSE</t>
        </is>
      </c>
      <c r="F502" s="115" t="inlineStr">
        <is>
          <t>EQ</t>
        </is>
      </c>
      <c r="G502" s="115" t="inlineStr">
        <is>
          <t>EQ</t>
        </is>
      </c>
      <c r="H502" s="115" t="inlineStr">
        <is>
          <t>buy</t>
        </is>
      </c>
      <c r="I502" s="115" t="b">
        <v>0</v>
      </c>
      <c r="J502" s="115" t="n">
        <v>55</v>
      </c>
      <c r="K502" s="115" t="n">
        <v>533.75</v>
      </c>
      <c r="L502" s="116" t="n">
        <v>605258299</v>
      </c>
      <c r="M502" s="116" t="n">
        <v>1300000053106392</v>
      </c>
      <c r="N502" s="115" t="inlineStr">
        <is>
          <t>2026-06-02T11:55:45</t>
        </is>
      </c>
      <c r="O502" s="115" t="inlineStr"/>
    </row>
    <row r="503">
      <c r="A503" s="115" t="inlineStr"/>
      <c r="B503" s="115" t="inlineStr">
        <is>
          <t>BAJAJ-AUTO</t>
        </is>
      </c>
      <c r="C503" s="115" t="inlineStr">
        <is>
          <t>INE917I01010</t>
        </is>
      </c>
      <c r="D503" s="115" t="inlineStr">
        <is>
          <t>2026-06-02</t>
        </is>
      </c>
      <c r="E503" s="115" t="inlineStr">
        <is>
          <t>NSE</t>
        </is>
      </c>
      <c r="F503" s="115" t="inlineStr">
        <is>
          <t>EQ</t>
        </is>
      </c>
      <c r="G503" s="115" t="inlineStr">
        <is>
          <t>EQ</t>
        </is>
      </c>
      <c r="H503" s="115" t="inlineStr">
        <is>
          <t>buy</t>
        </is>
      </c>
      <c r="I503" s="115" t="b">
        <v>0</v>
      </c>
      <c r="J503" s="115" t="n">
        <v>1</v>
      </c>
      <c r="K503" s="115" t="n">
        <v>10344</v>
      </c>
      <c r="L503" s="116" t="n">
        <v>3997785</v>
      </c>
      <c r="M503" s="116" t="n">
        <v>1000000041482231</v>
      </c>
      <c r="N503" s="115" t="inlineStr">
        <is>
          <t>2026-06-02T11:55:57</t>
        </is>
      </c>
      <c r="O503" s="115" t="inlineStr"/>
    </row>
    <row r="504">
      <c r="A504" s="115" t="inlineStr"/>
      <c r="B504" s="115" t="inlineStr">
        <is>
          <t>BAJAJ-AUTO</t>
        </is>
      </c>
      <c r="C504" s="115" t="inlineStr">
        <is>
          <t>INE917I01010</t>
        </is>
      </c>
      <c r="D504" s="115" t="inlineStr">
        <is>
          <t>2026-06-02</t>
        </is>
      </c>
      <c r="E504" s="115" t="inlineStr">
        <is>
          <t>NSE</t>
        </is>
      </c>
      <c r="F504" s="115" t="inlineStr">
        <is>
          <t>EQ</t>
        </is>
      </c>
      <c r="G504" s="115" t="inlineStr">
        <is>
          <t>EQ</t>
        </is>
      </c>
      <c r="H504" s="115" t="inlineStr">
        <is>
          <t>buy</t>
        </is>
      </c>
      <c r="I504" s="115" t="b">
        <v>0</v>
      </c>
      <c r="J504" s="115" t="n">
        <v>2</v>
      </c>
      <c r="K504" s="115" t="n">
        <v>10344</v>
      </c>
      <c r="L504" s="116" t="n">
        <v>3997784</v>
      </c>
      <c r="M504" s="116" t="n">
        <v>1000000041482231</v>
      </c>
      <c r="N504" s="115" t="inlineStr">
        <is>
          <t>2026-06-02T11:55:57</t>
        </is>
      </c>
      <c r="O504" s="115" t="inlineStr"/>
    </row>
    <row r="505">
      <c r="A505" s="115" t="inlineStr"/>
      <c r="B505" s="115" t="inlineStr">
        <is>
          <t>TIPSMUSIC</t>
        </is>
      </c>
      <c r="C505" s="115" t="inlineStr">
        <is>
          <t>INE716B01029</t>
        </is>
      </c>
      <c r="D505" s="115" t="inlineStr">
        <is>
          <t>2026-06-02</t>
        </is>
      </c>
      <c r="E505" s="115" t="inlineStr">
        <is>
          <t>NSE</t>
        </is>
      </c>
      <c r="F505" s="115" t="inlineStr">
        <is>
          <t>EQ</t>
        </is>
      </c>
      <c r="G505" s="115" t="inlineStr">
        <is>
          <t>EQ</t>
        </is>
      </c>
      <c r="H505" s="115" t="inlineStr">
        <is>
          <t>buy</t>
        </is>
      </c>
      <c r="I505" s="115" t="b">
        <v>0</v>
      </c>
      <c r="J505" s="115" t="n">
        <v>10</v>
      </c>
      <c r="K505" s="115" t="n">
        <v>663.75</v>
      </c>
      <c r="L505" s="116" t="n">
        <v>605268935</v>
      </c>
      <c r="M505" s="116" t="n">
        <v>1300000053228277</v>
      </c>
      <c r="N505" s="115" t="inlineStr">
        <is>
          <t>2026-06-02T11:56:15</t>
        </is>
      </c>
      <c r="O505" s="115" t="inlineStr"/>
    </row>
    <row r="506">
      <c r="A506" s="115" t="inlineStr"/>
      <c r="B506" s="115" t="inlineStr">
        <is>
          <t>TIPSMUSIC</t>
        </is>
      </c>
      <c r="C506" s="115" t="inlineStr">
        <is>
          <t>INE716B01029</t>
        </is>
      </c>
      <c r="D506" s="115" t="inlineStr">
        <is>
          <t>2026-06-02</t>
        </is>
      </c>
      <c r="E506" s="115" t="inlineStr">
        <is>
          <t>NSE</t>
        </is>
      </c>
      <c r="F506" s="115" t="inlineStr">
        <is>
          <t>EQ</t>
        </is>
      </c>
      <c r="G506" s="115" t="inlineStr">
        <is>
          <t>EQ</t>
        </is>
      </c>
      <c r="H506" s="115" t="inlineStr">
        <is>
          <t>buy</t>
        </is>
      </c>
      <c r="I506" s="115" t="b">
        <v>0</v>
      </c>
      <c r="J506" s="115" t="n">
        <v>18</v>
      </c>
      <c r="K506" s="115" t="n">
        <v>663.75</v>
      </c>
      <c r="L506" s="116" t="n">
        <v>605375461</v>
      </c>
      <c r="M506" s="116" t="n">
        <v>1300000053228277</v>
      </c>
      <c r="N506" s="115" t="inlineStr">
        <is>
          <t>2026-06-02T11:56:15</t>
        </is>
      </c>
      <c r="O506" s="115" t="inlineStr"/>
    </row>
    <row r="507">
      <c r="A507" s="115" t="inlineStr"/>
      <c r="B507" s="115" t="inlineStr">
        <is>
          <t>TIPSMUSIC</t>
        </is>
      </c>
      <c r="C507" s="115" t="inlineStr">
        <is>
          <t>INE716B01029</t>
        </is>
      </c>
      <c r="D507" s="115" t="inlineStr">
        <is>
          <t>2026-06-02</t>
        </is>
      </c>
      <c r="E507" s="115" t="inlineStr">
        <is>
          <t>NSE</t>
        </is>
      </c>
      <c r="F507" s="115" t="inlineStr">
        <is>
          <t>EQ</t>
        </is>
      </c>
      <c r="G507" s="115" t="inlineStr">
        <is>
          <t>EQ</t>
        </is>
      </c>
      <c r="H507" s="115" t="inlineStr">
        <is>
          <t>buy</t>
        </is>
      </c>
      <c r="I507" s="115" t="b">
        <v>0</v>
      </c>
      <c r="J507" s="115" t="n">
        <v>6</v>
      </c>
      <c r="K507" s="115" t="n">
        <v>663.75</v>
      </c>
      <c r="L507" s="116" t="n">
        <v>605375462</v>
      </c>
      <c r="M507" s="116" t="n">
        <v>1300000053228277</v>
      </c>
      <c r="N507" s="115" t="inlineStr">
        <is>
          <t>2026-06-02T11:56:15</t>
        </is>
      </c>
      <c r="O507" s="115" t="inlineStr"/>
    </row>
    <row r="508">
      <c r="A508" s="115" t="inlineStr"/>
      <c r="B508" s="115" t="inlineStr">
        <is>
          <t>TIPSMUSIC</t>
        </is>
      </c>
      <c r="C508" s="115" t="inlineStr">
        <is>
          <t>INE716B01029</t>
        </is>
      </c>
      <c r="D508" s="115" t="inlineStr">
        <is>
          <t>2026-06-02</t>
        </is>
      </c>
      <c r="E508" s="115" t="inlineStr">
        <is>
          <t>NSE</t>
        </is>
      </c>
      <c r="F508" s="115" t="inlineStr">
        <is>
          <t>EQ</t>
        </is>
      </c>
      <c r="G508" s="115" t="inlineStr">
        <is>
          <t>EQ</t>
        </is>
      </c>
      <c r="H508" s="115" t="inlineStr">
        <is>
          <t>buy</t>
        </is>
      </c>
      <c r="I508" s="115" t="b">
        <v>0</v>
      </c>
      <c r="J508" s="115" t="n">
        <v>9</v>
      </c>
      <c r="K508" s="115" t="n">
        <v>663.75</v>
      </c>
      <c r="L508" s="116" t="n">
        <v>605267641</v>
      </c>
      <c r="M508" s="116" t="n">
        <v>1300000053228277</v>
      </c>
      <c r="N508" s="115" t="inlineStr">
        <is>
          <t>2026-06-02T11:56:15</t>
        </is>
      </c>
      <c r="O508" s="115" t="inlineStr"/>
    </row>
    <row r="509">
      <c r="A509" s="115" t="inlineStr"/>
      <c r="B509" s="115" t="inlineStr">
        <is>
          <t>AIAENG</t>
        </is>
      </c>
      <c r="C509" s="115" t="inlineStr">
        <is>
          <t>INE212H01026</t>
        </is>
      </c>
      <c r="D509" s="115" t="inlineStr">
        <is>
          <t>2026-06-02</t>
        </is>
      </c>
      <c r="E509" s="115" t="inlineStr">
        <is>
          <t>NSE</t>
        </is>
      </c>
      <c r="F509" s="115" t="inlineStr">
        <is>
          <t>EQ</t>
        </is>
      </c>
      <c r="G509" s="115" t="inlineStr">
        <is>
          <t>EQ</t>
        </is>
      </c>
      <c r="H509" s="115" t="inlineStr">
        <is>
          <t>buy</t>
        </is>
      </c>
      <c r="I509" s="115" t="b">
        <v>0</v>
      </c>
      <c r="J509" s="115" t="n">
        <v>1</v>
      </c>
      <c r="K509" s="115" t="n">
        <v>4554.1001</v>
      </c>
      <c r="L509" s="116" t="n">
        <v>4007894</v>
      </c>
      <c r="M509" s="116" t="n">
        <v>1000000041572631</v>
      </c>
      <c r="N509" s="115" t="inlineStr">
        <is>
          <t>2026-06-02T11:56:28</t>
        </is>
      </c>
      <c r="O509" s="115" t="inlineStr"/>
    </row>
    <row r="510">
      <c r="A510" s="115" t="inlineStr"/>
      <c r="B510" s="115" t="inlineStr">
        <is>
          <t>AIAENG</t>
        </is>
      </c>
      <c r="C510" s="115" t="inlineStr">
        <is>
          <t>INE212H01026</t>
        </is>
      </c>
      <c r="D510" s="115" t="inlineStr">
        <is>
          <t>2026-06-02</t>
        </is>
      </c>
      <c r="E510" s="115" t="inlineStr">
        <is>
          <t>NSE</t>
        </is>
      </c>
      <c r="F510" s="115" t="inlineStr">
        <is>
          <t>EQ</t>
        </is>
      </c>
      <c r="G510" s="115" t="inlineStr">
        <is>
          <t>EQ</t>
        </is>
      </c>
      <c r="H510" s="115" t="inlineStr">
        <is>
          <t>buy</t>
        </is>
      </c>
      <c r="I510" s="115" t="b">
        <v>0</v>
      </c>
      <c r="J510" s="115" t="n">
        <v>1</v>
      </c>
      <c r="K510" s="115" t="n">
        <v>4554.1001</v>
      </c>
      <c r="L510" s="116" t="n">
        <v>4010433</v>
      </c>
      <c r="M510" s="116" t="n">
        <v>1000000041572631</v>
      </c>
      <c r="N510" s="115" t="inlineStr">
        <is>
          <t>2026-06-02T11:56:28</t>
        </is>
      </c>
      <c r="O510" s="115" t="inlineStr"/>
    </row>
    <row r="511">
      <c r="A511" s="115" t="inlineStr"/>
      <c r="B511" s="115" t="inlineStr">
        <is>
          <t>AIAENG</t>
        </is>
      </c>
      <c r="C511" s="115" t="inlineStr">
        <is>
          <t>INE212H01026</t>
        </is>
      </c>
      <c r="D511" s="115" t="inlineStr">
        <is>
          <t>2026-06-02</t>
        </is>
      </c>
      <c r="E511" s="115" t="inlineStr">
        <is>
          <t>NSE</t>
        </is>
      </c>
      <c r="F511" s="115" t="inlineStr">
        <is>
          <t>EQ</t>
        </is>
      </c>
      <c r="G511" s="115" t="inlineStr">
        <is>
          <t>EQ</t>
        </is>
      </c>
      <c r="H511" s="115" t="inlineStr">
        <is>
          <t>buy</t>
        </is>
      </c>
      <c r="I511" s="115" t="b">
        <v>0</v>
      </c>
      <c r="J511" s="115" t="n">
        <v>4</v>
      </c>
      <c r="K511" s="115" t="n">
        <v>4554.1001</v>
      </c>
      <c r="L511" s="116" t="n">
        <v>4010405</v>
      </c>
      <c r="M511" s="116" t="n">
        <v>1000000041572631</v>
      </c>
      <c r="N511" s="115" t="inlineStr">
        <is>
          <t>2026-06-02T11:56:28</t>
        </is>
      </c>
      <c r="O511" s="115" t="inlineStr"/>
    </row>
    <row r="512">
      <c r="A512" s="115" t="inlineStr"/>
      <c r="B512" s="115" t="inlineStr">
        <is>
          <t>ACUTAAS</t>
        </is>
      </c>
      <c r="C512" s="115" t="inlineStr">
        <is>
          <t>INE00FF01025</t>
        </is>
      </c>
      <c r="D512" s="115" t="inlineStr">
        <is>
          <t>2026-06-02</t>
        </is>
      </c>
      <c r="E512" s="115" t="inlineStr">
        <is>
          <t>NSE</t>
        </is>
      </c>
      <c r="F512" s="115" t="inlineStr">
        <is>
          <t>EQ</t>
        </is>
      </c>
      <c r="G512" s="115" t="inlineStr">
        <is>
          <t>EQ</t>
        </is>
      </c>
      <c r="H512" s="115" t="inlineStr">
        <is>
          <t>buy</t>
        </is>
      </c>
      <c r="I512" s="115" t="b">
        <v>0</v>
      </c>
      <c r="J512" s="115" t="n">
        <v>10</v>
      </c>
      <c r="K512" s="115" t="n">
        <v>2933.7</v>
      </c>
      <c r="L512" s="116" t="n">
        <v>4029420</v>
      </c>
      <c r="M512" s="116" t="n">
        <v>1000000041615757</v>
      </c>
      <c r="N512" s="115" t="inlineStr">
        <is>
          <t>2026-06-02T11:56:44</t>
        </is>
      </c>
      <c r="O512" s="115" t="inlineStr"/>
    </row>
    <row r="513">
      <c r="A513" s="115" t="inlineStr"/>
      <c r="B513" s="115" t="inlineStr">
        <is>
          <t>OFSS</t>
        </is>
      </c>
      <c r="C513" s="115" t="inlineStr">
        <is>
          <t>INE881D01027</t>
        </is>
      </c>
      <c r="D513" s="115" t="inlineStr">
        <is>
          <t>2026-06-02</t>
        </is>
      </c>
      <c r="E513" s="115" t="inlineStr">
        <is>
          <t>NSE</t>
        </is>
      </c>
      <c r="F513" s="115" t="inlineStr">
        <is>
          <t>EQ</t>
        </is>
      </c>
      <c r="G513" s="115" t="inlineStr">
        <is>
          <t>EQ</t>
        </is>
      </c>
      <c r="H513" s="115" t="inlineStr">
        <is>
          <t>buy</t>
        </is>
      </c>
      <c r="I513" s="115" t="b">
        <v>0</v>
      </c>
      <c r="J513" s="115" t="n">
        <v>3</v>
      </c>
      <c r="K513" s="115" t="n">
        <v>10301</v>
      </c>
      <c r="L513" s="116" t="n">
        <v>404552455</v>
      </c>
      <c r="M513" s="116" t="n">
        <v>1200000049833318</v>
      </c>
      <c r="N513" s="115" t="inlineStr">
        <is>
          <t>2026-06-02T11:56:57</t>
        </is>
      </c>
      <c r="O513" s="115" t="inlineStr"/>
    </row>
    <row r="514">
      <c r="A514" s="115" t="inlineStr"/>
      <c r="B514" s="115" t="inlineStr">
        <is>
          <t>APARINDS</t>
        </is>
      </c>
      <c r="C514" s="115" t="inlineStr">
        <is>
          <t>INE372A01015</t>
        </is>
      </c>
      <c r="D514" s="115" t="inlineStr">
        <is>
          <t>2026-06-02</t>
        </is>
      </c>
      <c r="E514" s="115" t="inlineStr">
        <is>
          <t>NSE</t>
        </is>
      </c>
      <c r="F514" s="115" t="inlineStr">
        <is>
          <t>EQ</t>
        </is>
      </c>
      <c r="G514" s="115" t="inlineStr">
        <is>
          <t>EQ</t>
        </is>
      </c>
      <c r="H514" s="115" t="inlineStr">
        <is>
          <t>buy</t>
        </is>
      </c>
      <c r="I514" s="115" t="b">
        <v>0</v>
      </c>
      <c r="J514" s="115" t="n">
        <v>2</v>
      </c>
      <c r="K514" s="115" t="n">
        <v>12833</v>
      </c>
      <c r="L514" s="116" t="n">
        <v>4017841</v>
      </c>
      <c r="M514" s="116" t="n">
        <v>1000000041692955</v>
      </c>
      <c r="N514" s="115" t="inlineStr">
        <is>
          <t>2026-06-02T11:57:07</t>
        </is>
      </c>
      <c r="O514" s="115" t="inlineStr"/>
    </row>
    <row r="515">
      <c r="A515" s="115" t="inlineStr"/>
      <c r="B515" s="115" t="inlineStr">
        <is>
          <t>CRAFTSMAN</t>
        </is>
      </c>
      <c r="C515" s="115" t="inlineStr">
        <is>
          <t>INE00LO01017</t>
        </is>
      </c>
      <c r="D515" s="115" t="inlineStr">
        <is>
          <t>2026-06-02</t>
        </is>
      </c>
      <c r="E515" s="115" t="inlineStr">
        <is>
          <t>NSE</t>
        </is>
      </c>
      <c r="F515" s="115" t="inlineStr">
        <is>
          <t>EQ</t>
        </is>
      </c>
      <c r="G515" s="115" t="inlineStr">
        <is>
          <t>EQ</t>
        </is>
      </c>
      <c r="H515" s="115" t="inlineStr">
        <is>
          <t>buy</t>
        </is>
      </c>
      <c r="I515" s="115" t="b">
        <v>0</v>
      </c>
      <c r="J515" s="115" t="n">
        <v>3</v>
      </c>
      <c r="K515" s="115" t="n">
        <v>8960</v>
      </c>
      <c r="L515" s="116" t="n">
        <v>4021119</v>
      </c>
      <c r="M515" s="116" t="n">
        <v>1000000041718540</v>
      </c>
      <c r="N515" s="115" t="inlineStr">
        <is>
          <t>2026-06-02T11:57:16</t>
        </is>
      </c>
      <c r="O515" s="115" t="inlineStr"/>
    </row>
    <row r="516">
      <c r="A516" s="115" t="inlineStr"/>
      <c r="B516" s="115" t="inlineStr">
        <is>
          <t>APARINDS</t>
        </is>
      </c>
      <c r="C516" s="115" t="inlineStr">
        <is>
          <t>INE372A01015</t>
        </is>
      </c>
      <c r="D516" s="115" t="inlineStr">
        <is>
          <t>2026-06-02</t>
        </is>
      </c>
      <c r="E516" s="115" t="inlineStr">
        <is>
          <t>NSE</t>
        </is>
      </c>
      <c r="F516" s="115" t="inlineStr">
        <is>
          <t>EQ</t>
        </is>
      </c>
      <c r="G516" s="115" t="inlineStr">
        <is>
          <t>EQ</t>
        </is>
      </c>
      <c r="H516" s="115" t="inlineStr">
        <is>
          <t>buy</t>
        </is>
      </c>
      <c r="I516" s="115" t="b">
        <v>0</v>
      </c>
      <c r="J516" s="115" t="n">
        <v>2</v>
      </c>
      <c r="K516" s="115" t="n">
        <v>12825</v>
      </c>
      <c r="L516" s="116" t="n">
        <v>4050848</v>
      </c>
      <c r="M516" s="116" t="n">
        <v>1000000041864076</v>
      </c>
      <c r="N516" s="115" t="inlineStr">
        <is>
          <t>2026-06-02T11:58:06</t>
        </is>
      </c>
      <c r="O516" s="115" t="inlineStr"/>
    </row>
    <row r="517">
      <c r="A517" s="115" t="inlineStr"/>
      <c r="B517" s="115" t="inlineStr">
        <is>
          <t>CRAFTSMAN</t>
        </is>
      </c>
      <c r="C517" s="115" t="inlineStr">
        <is>
          <t>INE00LO01017</t>
        </is>
      </c>
      <c r="D517" s="115" t="inlineStr">
        <is>
          <t>2026-06-02</t>
        </is>
      </c>
      <c r="E517" s="115" t="inlineStr">
        <is>
          <t>NSE</t>
        </is>
      </c>
      <c r="F517" s="115" t="inlineStr">
        <is>
          <t>EQ</t>
        </is>
      </c>
      <c r="G517" s="115" t="inlineStr">
        <is>
          <t>EQ</t>
        </is>
      </c>
      <c r="H517" s="115" t="inlineStr">
        <is>
          <t>buy</t>
        </is>
      </c>
      <c r="I517" s="115" t="b">
        <v>0</v>
      </c>
      <c r="J517" s="115" t="n">
        <v>3</v>
      </c>
      <c r="K517" s="115" t="n">
        <v>8956</v>
      </c>
      <c r="L517" s="116" t="n">
        <v>4038511</v>
      </c>
      <c r="M517" s="116" t="n">
        <v>1000000041888686</v>
      </c>
      <c r="N517" s="115" t="inlineStr">
        <is>
          <t>2026-06-02T11:58:15</t>
        </is>
      </c>
      <c r="O517" s="115" t="inlineStr"/>
    </row>
    <row r="518">
      <c r="A518" s="115" t="inlineStr"/>
      <c r="B518" s="115" t="inlineStr">
        <is>
          <t>POLYCAB</t>
        </is>
      </c>
      <c r="C518" s="115" t="inlineStr">
        <is>
          <t>INE455K01017</t>
        </is>
      </c>
      <c r="D518" s="115" t="inlineStr">
        <is>
          <t>2026-06-02</t>
        </is>
      </c>
      <c r="E518" s="115" t="inlineStr">
        <is>
          <t>NSE</t>
        </is>
      </c>
      <c r="F518" s="115" t="inlineStr">
        <is>
          <t>EQ</t>
        </is>
      </c>
      <c r="G518" s="115" t="inlineStr">
        <is>
          <t>EQ</t>
        </is>
      </c>
      <c r="H518" s="115" t="inlineStr">
        <is>
          <t>buy</t>
        </is>
      </c>
      <c r="I518" s="115" t="b">
        <v>0</v>
      </c>
      <c r="J518" s="115" t="n">
        <v>3</v>
      </c>
      <c r="K518" s="115" t="n">
        <v>9432</v>
      </c>
      <c r="L518" s="116" t="n">
        <v>404581280</v>
      </c>
      <c r="M518" s="116" t="n">
        <v>1200000050391703</v>
      </c>
      <c r="N518" s="115" t="inlineStr">
        <is>
          <t>2026-06-02T11:59:39</t>
        </is>
      </c>
      <c r="O518" s="115" t="inlineStr"/>
    </row>
    <row r="519">
      <c r="A519" s="115" t="inlineStr"/>
      <c r="B519" s="115" t="inlineStr">
        <is>
          <t>LALPATHLAB</t>
        </is>
      </c>
      <c r="C519" s="115" t="inlineStr">
        <is>
          <t>INE600L01024</t>
        </is>
      </c>
      <c r="D519" s="115" t="inlineStr">
        <is>
          <t>2026-06-02</t>
        </is>
      </c>
      <c r="E519" s="115" t="inlineStr">
        <is>
          <t>NSE</t>
        </is>
      </c>
      <c r="F519" s="115" t="inlineStr">
        <is>
          <t>EQ</t>
        </is>
      </c>
      <c r="G519" s="115" t="inlineStr">
        <is>
          <t>EQ</t>
        </is>
      </c>
      <c r="H519" s="115" t="inlineStr">
        <is>
          <t>buy</t>
        </is>
      </c>
      <c r="I519" s="115" t="b">
        <v>0</v>
      </c>
      <c r="J519" s="115" t="n">
        <v>13</v>
      </c>
      <c r="K519" s="115" t="n">
        <v>1562.2</v>
      </c>
      <c r="L519" s="116" t="n">
        <v>404841096</v>
      </c>
      <c r="M519" s="116" t="n">
        <v>1200000050546610</v>
      </c>
      <c r="N519" s="115" t="inlineStr">
        <is>
          <t>2026-06-02T12:00:18</t>
        </is>
      </c>
      <c r="O519" s="115" t="inlineStr"/>
    </row>
    <row r="520">
      <c r="A520" s="115" t="inlineStr"/>
      <c r="B520" s="115" t="inlineStr">
        <is>
          <t>LALPATHLAB</t>
        </is>
      </c>
      <c r="C520" s="115" t="inlineStr">
        <is>
          <t>INE600L01024</t>
        </is>
      </c>
      <c r="D520" s="115" t="inlineStr">
        <is>
          <t>2026-06-02</t>
        </is>
      </c>
      <c r="E520" s="115" t="inlineStr">
        <is>
          <t>NSE</t>
        </is>
      </c>
      <c r="F520" s="115" t="inlineStr">
        <is>
          <t>EQ</t>
        </is>
      </c>
      <c r="G520" s="115" t="inlineStr">
        <is>
          <t>EQ</t>
        </is>
      </c>
      <c r="H520" s="115" t="inlineStr">
        <is>
          <t>buy</t>
        </is>
      </c>
      <c r="I520" s="115" t="b">
        <v>0</v>
      </c>
      <c r="J520" s="115" t="n">
        <v>5</v>
      </c>
      <c r="K520" s="115" t="n">
        <v>1562.2</v>
      </c>
      <c r="L520" s="116" t="n">
        <v>404841462</v>
      </c>
      <c r="M520" s="116" t="n">
        <v>1200000050546610</v>
      </c>
      <c r="N520" s="115" t="inlineStr">
        <is>
          <t>2026-06-02T12:00:18</t>
        </is>
      </c>
      <c r="O520" s="115" t="inlineStr"/>
    </row>
    <row r="521">
      <c r="A521" s="115" t="inlineStr"/>
      <c r="B521" s="115" t="inlineStr">
        <is>
          <t>FCL</t>
        </is>
      </c>
      <c r="C521" s="115" t="inlineStr">
        <is>
          <t>INE045J01034</t>
        </is>
      </c>
      <c r="D521" s="115" t="inlineStr">
        <is>
          <t>2026-06-02</t>
        </is>
      </c>
      <c r="E521" s="115" t="inlineStr">
        <is>
          <t>NSE</t>
        </is>
      </c>
      <c r="F521" s="115" t="inlineStr">
        <is>
          <t>EQ</t>
        </is>
      </c>
      <c r="G521" s="115" t="inlineStr">
        <is>
          <t>EQ</t>
        </is>
      </c>
      <c r="H521" s="115" t="inlineStr">
        <is>
          <t>buy</t>
        </is>
      </c>
      <c r="I521" s="115" t="b">
        <v>0</v>
      </c>
      <c r="J521" s="115" t="n">
        <v>193</v>
      </c>
      <c r="K521" s="115" t="n">
        <v>42.36</v>
      </c>
      <c r="L521" s="116" t="n">
        <v>205762436</v>
      </c>
      <c r="M521" s="116" t="n">
        <v>1100000056101469</v>
      </c>
      <c r="N521" s="115" t="inlineStr">
        <is>
          <t>2026-06-02T12:01:18</t>
        </is>
      </c>
      <c r="O521" s="115" t="inlineStr"/>
    </row>
    <row r="522">
      <c r="A522" s="115" t="inlineStr"/>
      <c r="B522" s="115" t="inlineStr">
        <is>
          <t>FCL</t>
        </is>
      </c>
      <c r="C522" s="115" t="inlineStr">
        <is>
          <t>INE045J01034</t>
        </is>
      </c>
      <c r="D522" s="115" t="inlineStr">
        <is>
          <t>2026-06-02</t>
        </is>
      </c>
      <c r="E522" s="115" t="inlineStr">
        <is>
          <t>NSE</t>
        </is>
      </c>
      <c r="F522" s="115" t="inlineStr">
        <is>
          <t>EQ</t>
        </is>
      </c>
      <c r="G522" s="115" t="inlineStr">
        <is>
          <t>EQ</t>
        </is>
      </c>
      <c r="H522" s="115" t="inlineStr">
        <is>
          <t>buy</t>
        </is>
      </c>
      <c r="I522" s="115" t="b">
        <v>0</v>
      </c>
      <c r="J522" s="115" t="n">
        <v>492</v>
      </c>
      <c r="K522" s="115" t="n">
        <v>42.36</v>
      </c>
      <c r="L522" s="116" t="n">
        <v>205763965</v>
      </c>
      <c r="M522" s="116" t="n">
        <v>1100000056101469</v>
      </c>
      <c r="N522" s="115" t="inlineStr">
        <is>
          <t>2026-06-02T12:01:18</t>
        </is>
      </c>
      <c r="O522" s="115" t="inlineStr"/>
    </row>
    <row r="523">
      <c r="A523" s="115" t="inlineStr"/>
      <c r="B523" s="115" t="inlineStr">
        <is>
          <t>KEI</t>
        </is>
      </c>
      <c r="C523" s="115" t="inlineStr">
        <is>
          <t>INE878B01027</t>
        </is>
      </c>
      <c r="D523" s="115" t="inlineStr">
        <is>
          <t>2026-06-02</t>
        </is>
      </c>
      <c r="E523" s="115" t="inlineStr">
        <is>
          <t>NSE</t>
        </is>
      </c>
      <c r="F523" s="115" t="inlineStr">
        <is>
          <t>EQ</t>
        </is>
      </c>
      <c r="G523" s="115" t="inlineStr">
        <is>
          <t>EQ</t>
        </is>
      </c>
      <c r="H523" s="115" t="inlineStr">
        <is>
          <t>buy</t>
        </is>
      </c>
      <c r="I523" s="115" t="b">
        <v>0</v>
      </c>
      <c r="J523" s="115" t="n">
        <v>6</v>
      </c>
      <c r="K523" s="115" t="n">
        <v>5189</v>
      </c>
      <c r="L523" s="116" t="n">
        <v>404707026</v>
      </c>
      <c r="M523" s="116" t="n">
        <v>1200000050865497</v>
      </c>
      <c r="N523" s="115" t="inlineStr">
        <is>
          <t>2026-06-02T12:01:39</t>
        </is>
      </c>
      <c r="O523" s="115" t="inlineStr"/>
    </row>
    <row r="524">
      <c r="A524" s="115" t="inlineStr"/>
      <c r="B524" s="115" t="inlineStr">
        <is>
          <t>KRISHANA</t>
        </is>
      </c>
      <c r="C524" s="115" t="inlineStr">
        <is>
          <t>INE506W01012</t>
        </is>
      </c>
      <c r="D524" s="115" t="inlineStr">
        <is>
          <t>2026-06-02</t>
        </is>
      </c>
      <c r="E524" s="115" t="inlineStr">
        <is>
          <t>NSE</t>
        </is>
      </c>
      <c r="F524" s="115" t="inlineStr">
        <is>
          <t>EQ</t>
        </is>
      </c>
      <c r="G524" s="115" t="inlineStr">
        <is>
          <t>EQ</t>
        </is>
      </c>
      <c r="H524" s="115" t="inlineStr">
        <is>
          <t>buy</t>
        </is>
      </c>
      <c r="I524" s="115" t="b">
        <v>0</v>
      </c>
      <c r="J524" s="115" t="n">
        <v>43</v>
      </c>
      <c r="K524" s="115" t="n">
        <v>679.8</v>
      </c>
      <c r="L524" s="116" t="n">
        <v>404634917</v>
      </c>
      <c r="M524" s="116" t="n">
        <v>1200000051003460</v>
      </c>
      <c r="N524" s="115" t="inlineStr">
        <is>
          <t>2026-06-02T12:02:11</t>
        </is>
      </c>
      <c r="O524" s="115" t="inlineStr"/>
    </row>
    <row r="525">
      <c r="A525" s="115" t="inlineStr"/>
      <c r="B525" s="115" t="inlineStr">
        <is>
          <t>NH</t>
        </is>
      </c>
      <c r="C525" s="115" t="inlineStr">
        <is>
          <t>INE410P01011</t>
        </is>
      </c>
      <c r="D525" s="115" t="inlineStr">
        <is>
          <t>2026-06-02</t>
        </is>
      </c>
      <c r="E525" s="115" t="inlineStr">
        <is>
          <t>NSE</t>
        </is>
      </c>
      <c r="F525" s="115" t="inlineStr">
        <is>
          <t>EQ</t>
        </is>
      </c>
      <c r="G525" s="115" t="inlineStr">
        <is>
          <t>EQ</t>
        </is>
      </c>
      <c r="H525" s="115" t="inlineStr">
        <is>
          <t>buy</t>
        </is>
      </c>
      <c r="I525" s="115" t="b">
        <v>0</v>
      </c>
      <c r="J525" s="115" t="n">
        <v>7</v>
      </c>
      <c r="K525" s="115" t="n">
        <v>1910.7</v>
      </c>
      <c r="L525" s="116" t="n">
        <v>404643573</v>
      </c>
      <c r="M525" s="116" t="n">
        <v>1200000051102640</v>
      </c>
      <c r="N525" s="115" t="inlineStr">
        <is>
          <t>2026-06-02T12:02:38</t>
        </is>
      </c>
      <c r="O525" s="115" t="inlineStr"/>
    </row>
    <row r="526">
      <c r="A526" s="115" t="inlineStr"/>
      <c r="B526" s="115" t="inlineStr">
        <is>
          <t>NH</t>
        </is>
      </c>
      <c r="C526" s="115" t="inlineStr">
        <is>
          <t>INE410P01011</t>
        </is>
      </c>
      <c r="D526" s="115" t="inlineStr">
        <is>
          <t>2026-06-02</t>
        </is>
      </c>
      <c r="E526" s="115" t="inlineStr">
        <is>
          <t>NSE</t>
        </is>
      </c>
      <c r="F526" s="115" t="inlineStr">
        <is>
          <t>EQ</t>
        </is>
      </c>
      <c r="G526" s="115" t="inlineStr">
        <is>
          <t>EQ</t>
        </is>
      </c>
      <c r="H526" s="115" t="inlineStr">
        <is>
          <t>buy</t>
        </is>
      </c>
      <c r="I526" s="115" t="b">
        <v>0</v>
      </c>
      <c r="J526" s="115" t="n">
        <v>8</v>
      </c>
      <c r="K526" s="115" t="n">
        <v>1910.6</v>
      </c>
      <c r="L526" s="116" t="n">
        <v>404643572</v>
      </c>
      <c r="M526" s="116" t="n">
        <v>1200000051102640</v>
      </c>
      <c r="N526" s="115" t="inlineStr">
        <is>
          <t>2026-06-02T12:02:38</t>
        </is>
      </c>
      <c r="O526" s="115" t="inlineStr"/>
    </row>
    <row r="527">
      <c r="A527" s="115" t="inlineStr"/>
      <c r="B527" s="115" t="inlineStr">
        <is>
          <t>PSPPROJECT</t>
        </is>
      </c>
      <c r="C527" s="115" t="inlineStr">
        <is>
          <t>INE488V01015</t>
        </is>
      </c>
      <c r="D527" s="115" t="inlineStr">
        <is>
          <t>2026-06-02</t>
        </is>
      </c>
      <c r="E527" s="115" t="inlineStr">
        <is>
          <t>NSE</t>
        </is>
      </c>
      <c r="F527" s="115" t="inlineStr">
        <is>
          <t>EQ</t>
        </is>
      </c>
      <c r="G527" s="115" t="inlineStr">
        <is>
          <t>EQ</t>
        </is>
      </c>
      <c r="H527" s="115" t="inlineStr">
        <is>
          <t>buy</t>
        </is>
      </c>
      <c r="I527" s="115" t="b">
        <v>0</v>
      </c>
      <c r="J527" s="115" t="n">
        <v>35</v>
      </c>
      <c r="K527" s="115" t="n">
        <v>838.6</v>
      </c>
      <c r="L527" s="116" t="n">
        <v>404726581</v>
      </c>
      <c r="M527" s="116" t="n">
        <v>1200000051201940</v>
      </c>
      <c r="N527" s="115" t="inlineStr">
        <is>
          <t>2026-06-02T12:03:05</t>
        </is>
      </c>
      <c r="O527" s="115" t="inlineStr"/>
    </row>
    <row r="528">
      <c r="A528" s="115" t="inlineStr"/>
      <c r="B528" s="115" t="inlineStr">
        <is>
          <t>RAINBOW</t>
        </is>
      </c>
      <c r="C528" s="115" t="inlineStr">
        <is>
          <t>INE961O01016</t>
        </is>
      </c>
      <c r="D528" s="115" t="inlineStr">
        <is>
          <t>2026-06-02</t>
        </is>
      </c>
      <c r="E528" s="115" t="inlineStr">
        <is>
          <t>NSE</t>
        </is>
      </c>
      <c r="F528" s="115" t="inlineStr">
        <is>
          <t>EQ</t>
        </is>
      </c>
      <c r="G528" s="115" t="inlineStr">
        <is>
          <t>EQ</t>
        </is>
      </c>
      <c r="H528" s="115" t="inlineStr">
        <is>
          <t>buy</t>
        </is>
      </c>
      <c r="I528" s="115" t="b">
        <v>0</v>
      </c>
      <c r="J528" s="115" t="n">
        <v>21</v>
      </c>
      <c r="K528" s="115" t="n">
        <v>1330.9</v>
      </c>
      <c r="L528" s="116" t="n">
        <v>605406236</v>
      </c>
      <c r="M528" s="116" t="n">
        <v>1300000054838729</v>
      </c>
      <c r="N528" s="115" t="inlineStr">
        <is>
          <t>2026-06-02T12:03:25</t>
        </is>
      </c>
      <c r="O528" s="115" t="inlineStr"/>
    </row>
    <row r="529">
      <c r="A529" s="115" t="inlineStr"/>
      <c r="B529" s="115" t="inlineStr">
        <is>
          <t>SBCL</t>
        </is>
      </c>
      <c r="C529" s="115" t="inlineStr">
        <is>
          <t>INE386D01027</t>
        </is>
      </c>
      <c r="D529" s="115" t="inlineStr">
        <is>
          <t>2026-06-02</t>
        </is>
      </c>
      <c r="E529" s="115" t="inlineStr">
        <is>
          <t>NSE</t>
        </is>
      </c>
      <c r="F529" s="115" t="inlineStr">
        <is>
          <t>EQ</t>
        </is>
      </c>
      <c r="G529" s="115" t="inlineStr">
        <is>
          <t>EQ</t>
        </is>
      </c>
      <c r="H529" s="115" t="inlineStr">
        <is>
          <t>buy</t>
        </is>
      </c>
      <c r="I529" s="115" t="b">
        <v>0</v>
      </c>
      <c r="J529" s="115" t="n">
        <v>1</v>
      </c>
      <c r="K529" s="115" t="n">
        <v>729.65</v>
      </c>
      <c r="L529" s="116" t="n">
        <v>605412195</v>
      </c>
      <c r="M529" s="116" t="n">
        <v>1300000054905712</v>
      </c>
      <c r="N529" s="115" t="inlineStr">
        <is>
          <t>2026-06-02T12:03:44</t>
        </is>
      </c>
      <c r="O529" s="115" t="inlineStr"/>
    </row>
    <row r="530">
      <c r="A530" s="115" t="inlineStr"/>
      <c r="B530" s="115" t="inlineStr">
        <is>
          <t>SBCL</t>
        </is>
      </c>
      <c r="C530" s="115" t="inlineStr">
        <is>
          <t>INE386D01027</t>
        </is>
      </c>
      <c r="D530" s="115" t="inlineStr">
        <is>
          <t>2026-06-02</t>
        </is>
      </c>
      <c r="E530" s="115" t="inlineStr">
        <is>
          <t>NSE</t>
        </is>
      </c>
      <c r="F530" s="115" t="inlineStr">
        <is>
          <t>EQ</t>
        </is>
      </c>
      <c r="G530" s="115" t="inlineStr">
        <is>
          <t>EQ</t>
        </is>
      </c>
      <c r="H530" s="115" t="inlineStr">
        <is>
          <t>buy</t>
        </is>
      </c>
      <c r="I530" s="115" t="b">
        <v>0</v>
      </c>
      <c r="J530" s="115" t="n">
        <v>1</v>
      </c>
      <c r="K530" s="115" t="n">
        <v>729.7</v>
      </c>
      <c r="L530" s="116" t="n">
        <v>605447869</v>
      </c>
      <c r="M530" s="116" t="n">
        <v>1300000054905712</v>
      </c>
      <c r="N530" s="115" t="inlineStr">
        <is>
          <t>2026-06-02T12:03:44</t>
        </is>
      </c>
      <c r="O530" s="115" t="inlineStr"/>
    </row>
    <row r="531">
      <c r="A531" s="115" t="inlineStr"/>
      <c r="B531" s="115" t="inlineStr">
        <is>
          <t>SBCL</t>
        </is>
      </c>
      <c r="C531" s="115" t="inlineStr">
        <is>
          <t>INE386D01027</t>
        </is>
      </c>
      <c r="D531" s="115" t="inlineStr">
        <is>
          <t>2026-06-02</t>
        </is>
      </c>
      <c r="E531" s="115" t="inlineStr">
        <is>
          <t>NSE</t>
        </is>
      </c>
      <c r="F531" s="115" t="inlineStr">
        <is>
          <t>EQ</t>
        </is>
      </c>
      <c r="G531" s="115" t="inlineStr">
        <is>
          <t>EQ</t>
        </is>
      </c>
      <c r="H531" s="115" t="inlineStr">
        <is>
          <t>buy</t>
        </is>
      </c>
      <c r="I531" s="115" t="b">
        <v>0</v>
      </c>
      <c r="J531" s="115" t="n">
        <v>13</v>
      </c>
      <c r="K531" s="115" t="n">
        <v>729.65</v>
      </c>
      <c r="L531" s="116" t="n">
        <v>605412196</v>
      </c>
      <c r="M531" s="116" t="n">
        <v>1300000054905712</v>
      </c>
      <c r="N531" s="115" t="inlineStr">
        <is>
          <t>2026-06-02T12:03:44</t>
        </is>
      </c>
      <c r="O531" s="115" t="inlineStr"/>
    </row>
    <row r="532">
      <c r="A532" s="115" t="inlineStr"/>
      <c r="B532" s="115" t="inlineStr">
        <is>
          <t>SBCL</t>
        </is>
      </c>
      <c r="C532" s="115" t="inlineStr">
        <is>
          <t>INE386D01027</t>
        </is>
      </c>
      <c r="D532" s="115" t="inlineStr">
        <is>
          <t>2026-06-02</t>
        </is>
      </c>
      <c r="E532" s="115" t="inlineStr">
        <is>
          <t>NSE</t>
        </is>
      </c>
      <c r="F532" s="115" t="inlineStr">
        <is>
          <t>EQ</t>
        </is>
      </c>
      <c r="G532" s="115" t="inlineStr">
        <is>
          <t>EQ</t>
        </is>
      </c>
      <c r="H532" s="115" t="inlineStr">
        <is>
          <t>buy</t>
        </is>
      </c>
      <c r="I532" s="115" t="b">
        <v>0</v>
      </c>
      <c r="J532" s="115" t="n">
        <v>25</v>
      </c>
      <c r="K532" s="115" t="n">
        <v>729.7</v>
      </c>
      <c r="L532" s="116" t="n">
        <v>605412197</v>
      </c>
      <c r="M532" s="116" t="n">
        <v>1300000054905712</v>
      </c>
      <c r="N532" s="115" t="inlineStr">
        <is>
          <t>2026-06-02T12:03:44</t>
        </is>
      </c>
      <c r="O532" s="115" t="inlineStr"/>
    </row>
    <row r="533">
      <c r="A533" s="115" t="inlineStr"/>
      <c r="B533" s="115" t="inlineStr">
        <is>
          <t>TIMKEN</t>
        </is>
      </c>
      <c r="C533" s="115" t="inlineStr">
        <is>
          <t>INE325A01013</t>
        </is>
      </c>
      <c r="D533" s="115" t="inlineStr">
        <is>
          <t>2026-06-02</t>
        </is>
      </c>
      <c r="E533" s="115" t="inlineStr">
        <is>
          <t>NSE</t>
        </is>
      </c>
      <c r="F533" s="115" t="inlineStr">
        <is>
          <t>EQ</t>
        </is>
      </c>
      <c r="G533" s="115" t="inlineStr">
        <is>
          <t>EQ</t>
        </is>
      </c>
      <c r="H533" s="115" t="inlineStr">
        <is>
          <t>buy</t>
        </is>
      </c>
      <c r="I533" s="115" t="b">
        <v>0</v>
      </c>
      <c r="J533" s="115" t="n">
        <v>8</v>
      </c>
      <c r="K533" s="115" t="n">
        <v>3520.1001</v>
      </c>
      <c r="L533" s="116" t="n">
        <v>605673718</v>
      </c>
      <c r="M533" s="116" t="n">
        <v>1300000054976082</v>
      </c>
      <c r="N533" s="115" t="inlineStr">
        <is>
          <t>2026-06-02T12:04:01</t>
        </is>
      </c>
      <c r="O533" s="115" t="inlineStr"/>
    </row>
    <row r="534">
      <c r="A534" s="115" t="inlineStr"/>
      <c r="B534" s="115" t="inlineStr">
        <is>
          <t>SOLARINDS</t>
        </is>
      </c>
      <c r="C534" s="115" t="inlineStr">
        <is>
          <t>INE343H01029</t>
        </is>
      </c>
      <c r="D534" s="115" t="inlineStr">
        <is>
          <t>2026-06-02</t>
        </is>
      </c>
      <c r="E534" s="115" t="inlineStr">
        <is>
          <t>NSE</t>
        </is>
      </c>
      <c r="F534" s="115" t="inlineStr">
        <is>
          <t>EQ</t>
        </is>
      </c>
      <c r="G534" s="115" t="inlineStr">
        <is>
          <t>EQ</t>
        </is>
      </c>
      <c r="H534" s="115" t="inlineStr">
        <is>
          <t>buy</t>
        </is>
      </c>
      <c r="I534" s="115" t="b">
        <v>0</v>
      </c>
      <c r="J534" s="115" t="n">
        <v>1</v>
      </c>
      <c r="K534" s="115" t="n">
        <v>18259</v>
      </c>
      <c r="L534" s="116" t="n">
        <v>605565848</v>
      </c>
      <c r="M534" s="116" t="n">
        <v>1300000055031483</v>
      </c>
      <c r="N534" s="115" t="inlineStr">
        <is>
          <t>2026-06-02T12:04:17</t>
        </is>
      </c>
      <c r="O534" s="115" t="inlineStr"/>
    </row>
    <row r="535">
      <c r="A535" s="115" t="inlineStr"/>
      <c r="B535" s="115" t="inlineStr">
        <is>
          <t>SOLARINDS</t>
        </is>
      </c>
      <c r="C535" s="115" t="inlineStr">
        <is>
          <t>INE343H01029</t>
        </is>
      </c>
      <c r="D535" s="115" t="inlineStr">
        <is>
          <t>2026-06-02</t>
        </is>
      </c>
      <c r="E535" s="115" t="inlineStr">
        <is>
          <t>NSE</t>
        </is>
      </c>
      <c r="F535" s="115" t="inlineStr">
        <is>
          <t>EQ</t>
        </is>
      </c>
      <c r="G535" s="115" t="inlineStr">
        <is>
          <t>EQ</t>
        </is>
      </c>
      <c r="H535" s="115" t="inlineStr">
        <is>
          <t>buy</t>
        </is>
      </c>
      <c r="I535" s="115" t="b">
        <v>0</v>
      </c>
      <c r="J535" s="115" t="n">
        <v>1</v>
      </c>
      <c r="K535" s="115" t="n">
        <v>18259</v>
      </c>
      <c r="L535" s="116" t="n">
        <v>605567434</v>
      </c>
      <c r="M535" s="116" t="n">
        <v>1300000055031483</v>
      </c>
      <c r="N535" s="115" t="inlineStr">
        <is>
          <t>2026-06-02T12:04:17</t>
        </is>
      </c>
      <c r="O535" s="115" t="inlineStr"/>
    </row>
    <row r="536">
      <c r="A536" s="115" t="inlineStr"/>
      <c r="B536" s="115" t="inlineStr">
        <is>
          <t>METROPOLIS</t>
        </is>
      </c>
      <c r="C536" s="115" t="inlineStr">
        <is>
          <t>INE112L01020</t>
        </is>
      </c>
      <c r="D536" s="115" t="inlineStr">
        <is>
          <t>2026-06-02</t>
        </is>
      </c>
      <c r="E536" s="115" t="inlineStr">
        <is>
          <t>NSE</t>
        </is>
      </c>
      <c r="F536" s="115" t="inlineStr">
        <is>
          <t>EQ</t>
        </is>
      </c>
      <c r="G536" s="115" t="inlineStr">
        <is>
          <t>EQ</t>
        </is>
      </c>
      <c r="H536" s="115" t="inlineStr">
        <is>
          <t>buy</t>
        </is>
      </c>
      <c r="I536" s="115" t="b">
        <v>0</v>
      </c>
      <c r="J536" s="115" t="n">
        <v>20</v>
      </c>
      <c r="K536" s="115" t="n">
        <v>549.45</v>
      </c>
      <c r="L536" s="116" t="n">
        <v>404678893</v>
      </c>
      <c r="M536" s="116" t="n">
        <v>1200000051548098</v>
      </c>
      <c r="N536" s="115" t="inlineStr">
        <is>
          <t>2026-06-02T12:04:38</t>
        </is>
      </c>
      <c r="O536" s="115" t="inlineStr"/>
    </row>
    <row r="537">
      <c r="A537" s="115" t="inlineStr"/>
      <c r="B537" s="115" t="inlineStr">
        <is>
          <t>METROPOLIS</t>
        </is>
      </c>
      <c r="C537" s="115" t="inlineStr">
        <is>
          <t>INE112L01020</t>
        </is>
      </c>
      <c r="D537" s="115" t="inlineStr">
        <is>
          <t>2026-06-02</t>
        </is>
      </c>
      <c r="E537" s="115" t="inlineStr">
        <is>
          <t>NSE</t>
        </is>
      </c>
      <c r="F537" s="115" t="inlineStr">
        <is>
          <t>EQ</t>
        </is>
      </c>
      <c r="G537" s="115" t="inlineStr">
        <is>
          <t>EQ</t>
        </is>
      </c>
      <c r="H537" s="115" t="inlineStr">
        <is>
          <t>buy</t>
        </is>
      </c>
      <c r="I537" s="115" t="b">
        <v>0</v>
      </c>
      <c r="J537" s="115" t="n">
        <v>34</v>
      </c>
      <c r="K537" s="115" t="n">
        <v>549.5</v>
      </c>
      <c r="L537" s="116" t="n">
        <v>404678894</v>
      </c>
      <c r="M537" s="116" t="n">
        <v>1200000051548098</v>
      </c>
      <c r="N537" s="115" t="inlineStr">
        <is>
          <t>2026-06-02T12:04:38</t>
        </is>
      </c>
      <c r="O537" s="115" t="inlineStr"/>
    </row>
    <row r="538">
      <c r="A538" s="115" t="inlineStr"/>
      <c r="B538" s="115" t="inlineStr">
        <is>
          <t>NAVINFLUOR</t>
        </is>
      </c>
      <c r="C538" s="115" t="inlineStr">
        <is>
          <t>INE048G01026</t>
        </is>
      </c>
      <c r="D538" s="115" t="inlineStr">
        <is>
          <t>2026-06-02</t>
        </is>
      </c>
      <c r="E538" s="115" t="inlineStr">
        <is>
          <t>NSE</t>
        </is>
      </c>
      <c r="F538" s="115" t="inlineStr">
        <is>
          <t>EQ</t>
        </is>
      </c>
      <c r="G538" s="115" t="inlineStr">
        <is>
          <t>EQ</t>
        </is>
      </c>
      <c r="H538" s="115" t="inlineStr">
        <is>
          <t>buy</t>
        </is>
      </c>
      <c r="I538" s="115" t="b">
        <v>0</v>
      </c>
      <c r="J538" s="115" t="n">
        <v>4</v>
      </c>
      <c r="K538" s="115" t="n">
        <v>7050</v>
      </c>
      <c r="L538" s="116" t="n">
        <v>404784825</v>
      </c>
      <c r="M538" s="116" t="n">
        <v>1200000051664559</v>
      </c>
      <c r="N538" s="115" t="inlineStr">
        <is>
          <t>2026-06-02T12:05:08</t>
        </is>
      </c>
      <c r="O538" s="115" t="inlineStr"/>
    </row>
    <row r="539">
      <c r="A539" s="115" t="inlineStr"/>
      <c r="B539" s="115" t="inlineStr">
        <is>
          <t>NGLFINE</t>
        </is>
      </c>
      <c r="C539" s="115" t="inlineStr">
        <is>
          <t>INE887E01022</t>
        </is>
      </c>
      <c r="D539" s="115" t="inlineStr">
        <is>
          <t>2026-06-02</t>
        </is>
      </c>
      <c r="E539" s="115" t="inlineStr">
        <is>
          <t>NSE</t>
        </is>
      </c>
      <c r="F539" s="115" t="inlineStr">
        <is>
          <t>EQ</t>
        </is>
      </c>
      <c r="G539" s="115" t="inlineStr">
        <is>
          <t>EQ</t>
        </is>
      </c>
      <c r="H539" s="115" t="inlineStr">
        <is>
          <t>buy</t>
        </is>
      </c>
      <c r="I539" s="115" t="b">
        <v>0</v>
      </c>
      <c r="J539" s="115" t="n">
        <v>11</v>
      </c>
      <c r="K539" s="115" t="n">
        <v>2660</v>
      </c>
      <c r="L539" s="116" t="n">
        <v>404696234</v>
      </c>
      <c r="M539" s="116" t="n">
        <v>1200000051727442</v>
      </c>
      <c r="N539" s="115" t="inlineStr">
        <is>
          <t>2026-06-02T12:05:25</t>
        </is>
      </c>
      <c r="O539" s="115" t="inlineStr"/>
    </row>
    <row r="540">
      <c r="A540" s="115" t="inlineStr"/>
      <c r="B540" s="115" t="inlineStr">
        <is>
          <t>CAPLIPOINT</t>
        </is>
      </c>
      <c r="C540" s="115" t="inlineStr">
        <is>
          <t>INE475E01026</t>
        </is>
      </c>
      <c r="D540" s="115" t="inlineStr">
        <is>
          <t>2026-06-02</t>
        </is>
      </c>
      <c r="E540" s="115" t="inlineStr">
        <is>
          <t>NSE</t>
        </is>
      </c>
      <c r="F540" s="115" t="inlineStr">
        <is>
          <t>EQ</t>
        </is>
      </c>
      <c r="G540" s="115" t="inlineStr">
        <is>
          <t>EQ</t>
        </is>
      </c>
      <c r="H540" s="115" t="inlineStr">
        <is>
          <t>buy</t>
        </is>
      </c>
      <c r="I540" s="115" t="b">
        <v>0</v>
      </c>
      <c r="J540" s="115" t="n">
        <v>4</v>
      </c>
      <c r="K540" s="115" t="n">
        <v>1972.4</v>
      </c>
      <c r="L540" s="116" t="n">
        <v>4178070</v>
      </c>
      <c r="M540" s="116" t="n">
        <v>1000000043294854</v>
      </c>
      <c r="N540" s="115" t="inlineStr">
        <is>
          <t>2026-06-02T12:05:49</t>
        </is>
      </c>
      <c r="O540" s="115" t="inlineStr"/>
    </row>
    <row r="541">
      <c r="A541" s="115" t="inlineStr"/>
      <c r="B541" s="115" t="inlineStr">
        <is>
          <t>CAPLIPOINT</t>
        </is>
      </c>
      <c r="C541" s="115" t="inlineStr">
        <is>
          <t>INE475E01026</t>
        </is>
      </c>
      <c r="D541" s="115" t="inlineStr">
        <is>
          <t>2026-06-02</t>
        </is>
      </c>
      <c r="E541" s="115" t="inlineStr">
        <is>
          <t>NSE</t>
        </is>
      </c>
      <c r="F541" s="115" t="inlineStr">
        <is>
          <t>EQ</t>
        </is>
      </c>
      <c r="G541" s="115" t="inlineStr">
        <is>
          <t>EQ</t>
        </is>
      </c>
      <c r="H541" s="115" t="inlineStr">
        <is>
          <t>buy</t>
        </is>
      </c>
      <c r="I541" s="115" t="b">
        <v>0</v>
      </c>
      <c r="J541" s="115" t="n">
        <v>5</v>
      </c>
      <c r="K541" s="115" t="n">
        <v>1972.4</v>
      </c>
      <c r="L541" s="116" t="n">
        <v>4178071</v>
      </c>
      <c r="M541" s="116" t="n">
        <v>1000000043294854</v>
      </c>
      <c r="N541" s="115" t="inlineStr">
        <is>
          <t>2026-06-02T12:05:49</t>
        </is>
      </c>
      <c r="O541" s="115" t="inlineStr"/>
    </row>
    <row r="542">
      <c r="A542" s="115" t="inlineStr"/>
      <c r="B542" s="115" t="inlineStr">
        <is>
          <t>CAPLIPOINT</t>
        </is>
      </c>
      <c r="C542" s="115" t="inlineStr">
        <is>
          <t>INE475E01026</t>
        </is>
      </c>
      <c r="D542" s="115" t="inlineStr">
        <is>
          <t>2026-06-02</t>
        </is>
      </c>
      <c r="E542" s="115" t="inlineStr">
        <is>
          <t>NSE</t>
        </is>
      </c>
      <c r="F542" s="115" t="inlineStr">
        <is>
          <t>EQ</t>
        </is>
      </c>
      <c r="G542" s="115" t="inlineStr">
        <is>
          <t>EQ</t>
        </is>
      </c>
      <c r="H542" s="115" t="inlineStr">
        <is>
          <t>buy</t>
        </is>
      </c>
      <c r="I542" s="115" t="b">
        <v>0</v>
      </c>
      <c r="J542" s="115" t="n">
        <v>6</v>
      </c>
      <c r="K542" s="115" t="n">
        <v>1972.4</v>
      </c>
      <c r="L542" s="116" t="n">
        <v>4178072</v>
      </c>
      <c r="M542" s="116" t="n">
        <v>1000000043294854</v>
      </c>
      <c r="N542" s="115" t="inlineStr">
        <is>
          <t>2026-06-02T12:05:49</t>
        </is>
      </c>
      <c r="O542" s="115" t="inlineStr"/>
    </row>
    <row r="543">
      <c r="A543" s="115" t="inlineStr"/>
      <c r="B543" s="115" t="inlineStr">
        <is>
          <t>TRITURBINE</t>
        </is>
      </c>
      <c r="C543" s="115" t="inlineStr">
        <is>
          <t>INE152M01016</t>
        </is>
      </c>
      <c r="D543" s="115" t="inlineStr">
        <is>
          <t>2026-06-02</t>
        </is>
      </c>
      <c r="E543" s="115" t="inlineStr">
        <is>
          <t>NSE</t>
        </is>
      </c>
      <c r="F543" s="115" t="inlineStr">
        <is>
          <t>EQ</t>
        </is>
      </c>
      <c r="G543" s="115" t="inlineStr">
        <is>
          <t>EQ</t>
        </is>
      </c>
      <c r="H543" s="115" t="inlineStr">
        <is>
          <t>buy</t>
        </is>
      </c>
      <c r="I543" s="115" t="b">
        <v>0</v>
      </c>
      <c r="J543" s="115" t="n">
        <v>42</v>
      </c>
      <c r="K543" s="115" t="n">
        <v>678.75</v>
      </c>
      <c r="L543" s="116" t="n">
        <v>605560802</v>
      </c>
      <c r="M543" s="116" t="n">
        <v>1300000055439875</v>
      </c>
      <c r="N543" s="115" t="inlineStr">
        <is>
          <t>2026-06-02T12:06:03</t>
        </is>
      </c>
      <c r="O543" s="115" t="inlineStr"/>
    </row>
    <row r="544">
      <c r="A544" s="115" t="inlineStr"/>
      <c r="B544" s="115" t="inlineStr">
        <is>
          <t>TDPOWERSYS</t>
        </is>
      </c>
      <c r="C544" s="115" t="inlineStr">
        <is>
          <t>INE419M01027</t>
        </is>
      </c>
      <c r="D544" s="115" t="inlineStr">
        <is>
          <t>2026-06-02</t>
        </is>
      </c>
      <c r="E544" s="115" t="inlineStr">
        <is>
          <t>NSE</t>
        </is>
      </c>
      <c r="F544" s="115" t="inlineStr">
        <is>
          <t>EQ</t>
        </is>
      </c>
      <c r="G544" s="115" t="inlineStr">
        <is>
          <t>EQ</t>
        </is>
      </c>
      <c r="H544" s="115" t="inlineStr">
        <is>
          <t>buy</t>
        </is>
      </c>
      <c r="I544" s="115" t="b">
        <v>0</v>
      </c>
      <c r="J544" s="115" t="n">
        <v>11</v>
      </c>
      <c r="K544" s="115" t="n">
        <v>1209.4</v>
      </c>
      <c r="L544" s="116" t="n">
        <v>605501073</v>
      </c>
      <c r="M544" s="116" t="n">
        <v>1300000055549447</v>
      </c>
      <c r="N544" s="115" t="inlineStr">
        <is>
          <t>2026-06-02T12:06:35</t>
        </is>
      </c>
      <c r="O544" s="115" t="inlineStr"/>
    </row>
    <row r="545">
      <c r="A545" s="115" t="inlineStr"/>
      <c r="B545" s="115" t="inlineStr">
        <is>
          <t>TDPOWERSYS</t>
        </is>
      </c>
      <c r="C545" s="115" t="inlineStr">
        <is>
          <t>INE419M01027</t>
        </is>
      </c>
      <c r="D545" s="115" t="inlineStr">
        <is>
          <t>2026-06-02</t>
        </is>
      </c>
      <c r="E545" s="115" t="inlineStr">
        <is>
          <t>NSE</t>
        </is>
      </c>
      <c r="F545" s="115" t="inlineStr">
        <is>
          <t>EQ</t>
        </is>
      </c>
      <c r="G545" s="115" t="inlineStr">
        <is>
          <t>EQ</t>
        </is>
      </c>
      <c r="H545" s="115" t="inlineStr">
        <is>
          <t>buy</t>
        </is>
      </c>
      <c r="I545" s="115" t="b">
        <v>0</v>
      </c>
      <c r="J545" s="115" t="n">
        <v>14</v>
      </c>
      <c r="K545" s="115" t="n">
        <v>1209.4</v>
      </c>
      <c r="L545" s="116" t="n">
        <v>605500697</v>
      </c>
      <c r="M545" s="116" t="n">
        <v>1300000055549447</v>
      </c>
      <c r="N545" s="115" t="inlineStr">
        <is>
          <t>2026-06-02T12:06:35</t>
        </is>
      </c>
      <c r="O545" s="115" t="inlineStr"/>
    </row>
    <row r="546">
      <c r="A546" s="115" t="inlineStr"/>
      <c r="B546" s="115" t="inlineStr">
        <is>
          <t>GVT&amp;D</t>
        </is>
      </c>
      <c r="C546" s="115" t="inlineStr">
        <is>
          <t>INE200A01026</t>
        </is>
      </c>
      <c r="D546" s="115" t="inlineStr">
        <is>
          <t>2026-06-02</t>
        </is>
      </c>
      <c r="E546" s="115" t="inlineStr">
        <is>
          <t>NSE</t>
        </is>
      </c>
      <c r="F546" s="115" t="inlineStr">
        <is>
          <t>EQ</t>
        </is>
      </c>
      <c r="G546" s="115" t="inlineStr">
        <is>
          <t>EQ</t>
        </is>
      </c>
      <c r="H546" s="115" t="inlineStr">
        <is>
          <t>buy</t>
        </is>
      </c>
      <c r="I546" s="115" t="b">
        <v>0</v>
      </c>
      <c r="J546" s="115" t="n">
        <v>6</v>
      </c>
      <c r="K546" s="115" t="n">
        <v>4708</v>
      </c>
      <c r="L546" s="116" t="n">
        <v>205876850</v>
      </c>
      <c r="M546" s="116" t="n">
        <v>1100000057427734</v>
      </c>
      <c r="N546" s="115" t="inlineStr">
        <is>
          <t>2026-06-02T12:06:56</t>
        </is>
      </c>
      <c r="O546" s="11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87" min="1" max="1"/>
    <col width="12" customWidth="1" style="87" min="2" max="2"/>
    <col width="12" customWidth="1" style="87" min="3" max="3"/>
    <col width="16" customWidth="1" style="87" min="4" max="4"/>
    <col width="15" customWidth="1" style="87" min="5" max="5"/>
    <col width="16" customWidth="1" style="87" min="6" max="6"/>
    <col width="16" customWidth="1" style="87" min="7" max="7"/>
  </cols>
  <sheetData>
    <row r="1">
      <c r="A1" s="114" t="inlineStr">
        <is>
          <t>Trade Date</t>
        </is>
      </c>
      <c r="B1" s="114" t="inlineStr">
        <is>
          <t>Symbol</t>
        </is>
      </c>
      <c r="C1" s="114" t="inlineStr">
        <is>
          <t>Trade Type</t>
        </is>
      </c>
      <c r="D1" s="114" t="inlineStr">
        <is>
          <t>Total_Quantity</t>
        </is>
      </c>
      <c r="E1" s="114" t="inlineStr">
        <is>
          <t>Average_Price</t>
        </is>
      </c>
      <c r="F1" s="114" t="inlineStr">
        <is>
          <t>Total_Value</t>
        </is>
      </c>
      <c r="G1" s="114" t="inlineStr">
        <is>
          <t>Tranches/Cheat</t>
        </is>
      </c>
    </row>
    <row r="2">
      <c r="A2" s="115" t="inlineStr">
        <is>
          <t>2025-09-08</t>
        </is>
      </c>
      <c r="B2" s="115" t="inlineStr">
        <is>
          <t>POLYCAB</t>
        </is>
      </c>
      <c r="C2" s="115" t="inlineStr">
        <is>
          <t>buy</t>
        </is>
      </c>
      <c r="D2" s="115" t="n">
        <v>13</v>
      </c>
      <c r="E2" s="117" t="n">
        <v>7343</v>
      </c>
      <c r="F2" s="117" t="n">
        <v>95459</v>
      </c>
      <c r="G2" s="115" t="inlineStr">
        <is>
          <t>Tranch 1</t>
        </is>
      </c>
    </row>
    <row r="3">
      <c r="A3" s="115" t="inlineStr">
        <is>
          <t>2025-09-08</t>
        </is>
      </c>
      <c r="B3" s="115" t="inlineStr">
        <is>
          <t>SUPREMEIND</t>
        </is>
      </c>
      <c r="C3" s="115" t="inlineStr">
        <is>
          <t>buy</t>
        </is>
      </c>
      <c r="D3" s="115" t="n">
        <v>20</v>
      </c>
      <c r="E3" s="117" t="n">
        <v>4509</v>
      </c>
      <c r="F3" s="117" t="n">
        <v>90180</v>
      </c>
      <c r="G3" s="115" t="inlineStr">
        <is>
          <t>Tranch 1</t>
        </is>
      </c>
    </row>
    <row r="4">
      <c r="A4" s="115" t="inlineStr">
        <is>
          <t>2025-09-08</t>
        </is>
      </c>
      <c r="B4" s="115" t="inlineStr">
        <is>
          <t>DMART</t>
        </is>
      </c>
      <c r="C4" s="115" t="inlineStr">
        <is>
          <t>buy</t>
        </is>
      </c>
      <c r="D4" s="115" t="n">
        <v>19</v>
      </c>
      <c r="E4" s="117" t="n">
        <v>4724.03</v>
      </c>
      <c r="F4" s="117" t="n">
        <v>89756.60000000001</v>
      </c>
      <c r="G4" s="115" t="inlineStr">
        <is>
          <t>Tranch 1</t>
        </is>
      </c>
    </row>
    <row r="5">
      <c r="A5" s="115" t="inlineStr">
        <is>
          <t>2025-09-08</t>
        </is>
      </c>
      <c r="B5" s="115" t="inlineStr">
        <is>
          <t>CIPLA</t>
        </is>
      </c>
      <c r="C5" s="115" t="inlineStr">
        <is>
          <t>buy</t>
        </is>
      </c>
      <c r="D5" s="115" t="n">
        <v>64</v>
      </c>
      <c r="E5" s="117" t="n">
        <v>1548.9</v>
      </c>
      <c r="F5" s="117" t="n">
        <v>99129.60000000001</v>
      </c>
      <c r="G5" s="115" t="inlineStr">
        <is>
          <t>Tranch 1</t>
        </is>
      </c>
    </row>
    <row r="6">
      <c r="A6" s="115" t="inlineStr">
        <is>
          <t>2025-09-08</t>
        </is>
      </c>
      <c r="B6" s="115" t="inlineStr">
        <is>
          <t>METROPOLIS</t>
        </is>
      </c>
      <c r="C6" s="115" t="inlineStr">
        <is>
          <t>buy</t>
        </is>
      </c>
      <c r="D6" s="115" t="n">
        <v>168</v>
      </c>
      <c r="E6" s="117" t="n">
        <v>543</v>
      </c>
      <c r="F6" s="117" t="n">
        <v>91224</v>
      </c>
      <c r="G6" s="115" t="inlineStr">
        <is>
          <t>Tranch 1</t>
        </is>
      </c>
    </row>
    <row r="7">
      <c r="A7" s="115" t="inlineStr">
        <is>
          <t>2025-09-08</t>
        </is>
      </c>
      <c r="B7" s="115" t="inlineStr">
        <is>
          <t>HBLENGINE</t>
        </is>
      </c>
      <c r="C7" s="115" t="inlineStr">
        <is>
          <t>buy</t>
        </is>
      </c>
      <c r="D7" s="115" t="n">
        <v>116</v>
      </c>
      <c r="E7" s="117" t="n">
        <v>844.15</v>
      </c>
      <c r="F7" s="117" t="n">
        <v>97921.39999999999</v>
      </c>
      <c r="G7" s="115" t="inlineStr">
        <is>
          <t>Tranch 1</t>
        </is>
      </c>
    </row>
    <row r="8">
      <c r="A8" s="115" t="inlineStr">
        <is>
          <t>2025-09-08</t>
        </is>
      </c>
      <c r="B8" s="115" t="inlineStr">
        <is>
          <t>TITAN</t>
        </is>
      </c>
      <c r="C8" s="115" t="inlineStr">
        <is>
          <t>buy</t>
        </is>
      </c>
      <c r="D8" s="115" t="n">
        <v>25</v>
      </c>
      <c r="E8" s="117" t="n">
        <v>3662.7</v>
      </c>
      <c r="F8" s="117" t="n">
        <v>91567.5</v>
      </c>
      <c r="G8" s="115" t="inlineStr">
        <is>
          <t>Tranch 1</t>
        </is>
      </c>
    </row>
    <row r="9">
      <c r="A9" s="115" t="inlineStr">
        <is>
          <t>2025-09-09</t>
        </is>
      </c>
      <c r="B9" s="115" t="inlineStr">
        <is>
          <t>GMDCLTD</t>
        </is>
      </c>
      <c r="C9" s="115" t="inlineStr">
        <is>
          <t>buy</t>
        </is>
      </c>
      <c r="D9" s="115" t="n">
        <v>48</v>
      </c>
      <c r="E9" s="117" t="n">
        <v>517.1</v>
      </c>
      <c r="F9" s="117" t="n">
        <v>24820.8</v>
      </c>
      <c r="G9" s="115" t="inlineStr">
        <is>
          <t>Cheat 1</t>
        </is>
      </c>
    </row>
    <row r="10">
      <c r="A10" s="115" t="inlineStr">
        <is>
          <t>2025-09-09</t>
        </is>
      </c>
      <c r="B10" s="115" t="inlineStr">
        <is>
          <t>UNOMINDA</t>
        </is>
      </c>
      <c r="C10" s="115" t="inlineStr">
        <is>
          <t>buy</t>
        </is>
      </c>
      <c r="D10" s="115" t="n">
        <v>37</v>
      </c>
      <c r="E10" s="117" t="n">
        <v>1289.2</v>
      </c>
      <c r="F10" s="117" t="n">
        <v>47700.4</v>
      </c>
      <c r="G10" s="115" t="inlineStr">
        <is>
          <t>Cheat 1</t>
        </is>
      </c>
    </row>
    <row r="11">
      <c r="A11" s="115" t="inlineStr">
        <is>
          <t>2025-09-09</t>
        </is>
      </c>
      <c r="B11" s="115" t="inlineStr">
        <is>
          <t>PIDILITIND</t>
        </is>
      </c>
      <c r="C11" s="115" t="inlineStr">
        <is>
          <t>buy</t>
        </is>
      </c>
      <c r="D11" s="115" t="n">
        <v>60</v>
      </c>
      <c r="E11" s="117" t="n">
        <v>1562.4</v>
      </c>
      <c r="F11" s="117" t="n">
        <v>93744</v>
      </c>
      <c r="G11" s="115" t="inlineStr">
        <is>
          <t>Tranch 1</t>
        </is>
      </c>
    </row>
    <row r="12">
      <c r="A12" s="115" t="inlineStr">
        <is>
          <t>2025-09-09</t>
        </is>
      </c>
      <c r="B12" s="115" t="inlineStr">
        <is>
          <t>AVANTEL</t>
        </is>
      </c>
      <c r="C12" s="115" t="inlineStr">
        <is>
          <t>buy</t>
        </is>
      </c>
      <c r="D12" s="115" t="n">
        <v>140</v>
      </c>
      <c r="E12" s="117" t="n">
        <v>175.36</v>
      </c>
      <c r="F12" s="117" t="n">
        <v>24550.4</v>
      </c>
      <c r="G12" s="115" t="inlineStr">
        <is>
          <t>Cheat 1</t>
        </is>
      </c>
    </row>
    <row r="13">
      <c r="A13" s="115" t="inlineStr">
        <is>
          <t>2025-09-15</t>
        </is>
      </c>
      <c r="B13" s="115" t="inlineStr">
        <is>
          <t>CGPOWER</t>
        </is>
      </c>
      <c r="C13" s="115" t="inlineStr">
        <is>
          <t>buy</t>
        </is>
      </c>
      <c r="D13" s="115" t="n">
        <v>33</v>
      </c>
      <c r="E13" s="117" t="n">
        <v>785.35</v>
      </c>
      <c r="F13" s="117" t="n">
        <v>25916.55</v>
      </c>
      <c r="G13" s="115" t="inlineStr">
        <is>
          <t>Cheat 1</t>
        </is>
      </c>
    </row>
    <row r="14">
      <c r="A14" s="115" t="inlineStr">
        <is>
          <t>2025-09-16</t>
        </is>
      </c>
      <c r="B14" s="115" t="inlineStr">
        <is>
          <t>JBMA</t>
        </is>
      </c>
      <c r="C14" s="115" t="inlineStr">
        <is>
          <t>buy</t>
        </is>
      </c>
      <c r="D14" s="115" t="n">
        <v>35</v>
      </c>
      <c r="E14" s="117" t="n">
        <v>716.85</v>
      </c>
      <c r="F14" s="117" t="n">
        <v>25089.75</v>
      </c>
      <c r="G14" s="115" t="inlineStr">
        <is>
          <t>Cheat 1</t>
        </is>
      </c>
    </row>
    <row r="15">
      <c r="A15" s="115" t="inlineStr">
        <is>
          <t>2025-09-22</t>
        </is>
      </c>
      <c r="B15" s="115" t="inlineStr">
        <is>
          <t>AVANTEL</t>
        </is>
      </c>
      <c r="C15" s="115" t="inlineStr">
        <is>
          <t>buy</t>
        </is>
      </c>
      <c r="D15" s="115" t="n">
        <v>131</v>
      </c>
      <c r="E15" s="117" t="n">
        <v>188.99</v>
      </c>
      <c r="F15" s="117" t="n">
        <v>24757.54</v>
      </c>
      <c r="G15" s="115" t="inlineStr">
        <is>
          <t>Cheat 2</t>
        </is>
      </c>
    </row>
    <row r="16">
      <c r="A16" s="115" t="inlineStr">
        <is>
          <t>2025-09-22</t>
        </is>
      </c>
      <c r="B16" s="115" t="inlineStr">
        <is>
          <t>GMDCLTD</t>
        </is>
      </c>
      <c r="C16" s="115" t="inlineStr">
        <is>
          <t>buy</t>
        </is>
      </c>
      <c r="D16" s="115" t="n">
        <v>87</v>
      </c>
      <c r="E16" s="117" t="n">
        <v>577.8200000000001</v>
      </c>
      <c r="F16" s="117" t="n">
        <v>50270.25</v>
      </c>
      <c r="G16" s="115" t="inlineStr">
        <is>
          <t>Cheat 2</t>
        </is>
      </c>
    </row>
    <row r="17">
      <c r="A17" s="115" t="inlineStr">
        <is>
          <t>2025-09-22</t>
        </is>
      </c>
      <c r="B17" s="115" t="inlineStr">
        <is>
          <t>CANBK</t>
        </is>
      </c>
      <c r="C17" s="115" t="inlineStr">
        <is>
          <t>buy</t>
        </is>
      </c>
      <c r="D17" s="115" t="n">
        <v>220</v>
      </c>
      <c r="E17" s="117" t="n">
        <v>119.3</v>
      </c>
      <c r="F17" s="117" t="n">
        <v>26246</v>
      </c>
      <c r="G17" s="115" t="inlineStr">
        <is>
          <t>Cheat 1</t>
        </is>
      </c>
    </row>
    <row r="18">
      <c r="A18" s="115" t="inlineStr">
        <is>
          <t>2025-09-29</t>
        </is>
      </c>
      <c r="B18" s="115" t="inlineStr">
        <is>
          <t>SPLPETRO</t>
        </is>
      </c>
      <c r="C18" s="115" t="inlineStr">
        <is>
          <t>buy</t>
        </is>
      </c>
      <c r="D18" s="115" t="n">
        <v>57</v>
      </c>
      <c r="E18" s="117" t="n">
        <v>880</v>
      </c>
      <c r="F18" s="117" t="n">
        <v>50160</v>
      </c>
      <c r="G18" s="115" t="inlineStr">
        <is>
          <t>Cheat 1</t>
        </is>
      </c>
    </row>
    <row r="19">
      <c r="A19" s="115" t="inlineStr">
        <is>
          <t>2025-10-03</t>
        </is>
      </c>
      <c r="B19" s="115" t="inlineStr">
        <is>
          <t>SUPREMEIND</t>
        </is>
      </c>
      <c r="C19" s="115" t="inlineStr">
        <is>
          <t>sell</t>
        </is>
      </c>
      <c r="D19" s="115" t="n">
        <v>20</v>
      </c>
      <c r="E19" s="117" t="n">
        <v>4180.15</v>
      </c>
      <c r="F19" s="117" t="n">
        <v>83602.89999999999</v>
      </c>
      <c r="G19" s="115" t="inlineStr">
        <is>
          <t>N/A</t>
        </is>
      </c>
    </row>
    <row r="20">
      <c r="A20" s="115" t="inlineStr">
        <is>
          <t>2025-10-03</t>
        </is>
      </c>
      <c r="B20" s="115" t="inlineStr">
        <is>
          <t>PIDILITIND</t>
        </is>
      </c>
      <c r="C20" s="115" t="inlineStr">
        <is>
          <t>sell</t>
        </is>
      </c>
      <c r="D20" s="115" t="n">
        <v>60</v>
      </c>
      <c r="E20" s="117" t="n">
        <v>1477.02</v>
      </c>
      <c r="F20" s="117" t="n">
        <v>88621.5</v>
      </c>
      <c r="G20" s="115" t="inlineStr">
        <is>
          <t>N/A</t>
        </is>
      </c>
    </row>
    <row r="21">
      <c r="A21" s="115" t="inlineStr">
        <is>
          <t>2025-10-03</t>
        </is>
      </c>
      <c r="B21" s="115" t="inlineStr">
        <is>
          <t>TITAN</t>
        </is>
      </c>
      <c r="C21" s="115" t="inlineStr">
        <is>
          <t>sell</t>
        </is>
      </c>
      <c r="D21" s="115" t="n">
        <v>25</v>
      </c>
      <c r="E21" s="117" t="n">
        <v>3390.5</v>
      </c>
      <c r="F21" s="117" t="n">
        <v>84762.5</v>
      </c>
      <c r="G21" s="115" t="inlineStr">
        <is>
          <t>N/A</t>
        </is>
      </c>
    </row>
    <row r="22">
      <c r="A22" s="115" t="inlineStr">
        <is>
          <t>2025-10-06</t>
        </is>
      </c>
      <c r="B22" s="115" t="inlineStr">
        <is>
          <t>PRECWIRE</t>
        </is>
      </c>
      <c r="C22" s="115" t="inlineStr">
        <is>
          <t>buy</t>
        </is>
      </c>
      <c r="D22" s="115" t="n">
        <v>104</v>
      </c>
      <c r="E22" s="117" t="n">
        <v>210.49</v>
      </c>
      <c r="F22" s="117" t="n">
        <v>21890.69</v>
      </c>
      <c r="G22" s="115" t="inlineStr">
        <is>
          <t>Cheat 1</t>
        </is>
      </c>
    </row>
    <row r="23">
      <c r="A23" s="115" t="inlineStr">
        <is>
          <t>2025-10-06</t>
        </is>
      </c>
      <c r="B23" s="115" t="inlineStr">
        <is>
          <t>CANBK</t>
        </is>
      </c>
      <c r="C23" s="115" t="inlineStr">
        <is>
          <t>buy</t>
        </is>
      </c>
      <c r="D23" s="115" t="n">
        <v>734</v>
      </c>
      <c r="E23" s="117" t="n">
        <v>126.7</v>
      </c>
      <c r="F23" s="117" t="n">
        <v>92995.86</v>
      </c>
      <c r="G23" s="115" t="inlineStr">
        <is>
          <t>Tranch 1</t>
        </is>
      </c>
    </row>
    <row r="24">
      <c r="A24" s="115" t="inlineStr">
        <is>
          <t>2025-10-06</t>
        </is>
      </c>
      <c r="B24" s="115" t="inlineStr">
        <is>
          <t>GMDCLTD</t>
        </is>
      </c>
      <c r="C24" s="115" t="inlineStr">
        <is>
          <t>buy</t>
        </is>
      </c>
      <c r="D24" s="115" t="n">
        <v>163</v>
      </c>
      <c r="E24" s="117" t="n">
        <v>612.2</v>
      </c>
      <c r="F24" s="117" t="n">
        <v>99788.60000000001</v>
      </c>
      <c r="G24" s="115" t="inlineStr">
        <is>
          <t>Tranch 1</t>
        </is>
      </c>
    </row>
    <row r="25">
      <c r="A25" s="115" t="inlineStr">
        <is>
          <t>2025-10-06</t>
        </is>
      </c>
      <c r="B25" s="115" t="inlineStr">
        <is>
          <t>POONAWALLA</t>
        </is>
      </c>
      <c r="C25" s="115" t="inlineStr">
        <is>
          <t>buy</t>
        </is>
      </c>
      <c r="D25" s="115" t="n">
        <v>188</v>
      </c>
      <c r="E25" s="117" t="n">
        <v>531.34</v>
      </c>
      <c r="F25" s="117" t="n">
        <v>99892.64999999999</v>
      </c>
      <c r="G25" s="115" t="inlineStr">
        <is>
          <t>Tranch 1</t>
        </is>
      </c>
    </row>
    <row r="26">
      <c r="A26" s="115" t="inlineStr">
        <is>
          <t>2025-10-06</t>
        </is>
      </c>
      <c r="B26" s="115" t="inlineStr">
        <is>
          <t>AVANTEL</t>
        </is>
      </c>
      <c r="C26" s="115" t="inlineStr">
        <is>
          <t>buy</t>
        </is>
      </c>
      <c r="D26" s="115" t="n">
        <v>250</v>
      </c>
      <c r="E26" s="117" t="n">
        <v>207</v>
      </c>
      <c r="F26" s="117" t="n">
        <v>51750</v>
      </c>
      <c r="G26" s="115" t="inlineStr">
        <is>
          <t>Tranch 1</t>
        </is>
      </c>
    </row>
    <row r="27">
      <c r="A27" s="115" t="inlineStr">
        <is>
          <t>2025-10-06</t>
        </is>
      </c>
      <c r="B27" s="115" t="inlineStr">
        <is>
          <t>HINDALCO</t>
        </is>
      </c>
      <c r="C27" s="115" t="inlineStr">
        <is>
          <t>buy</t>
        </is>
      </c>
      <c r="D27" s="115" t="n">
        <v>129</v>
      </c>
      <c r="E27" s="117" t="n">
        <v>775.7</v>
      </c>
      <c r="F27" s="117" t="n">
        <v>100065.3</v>
      </c>
      <c r="G27" s="115" t="inlineStr">
        <is>
          <t>Tranch 1</t>
        </is>
      </c>
    </row>
    <row r="28">
      <c r="A28" s="115" t="inlineStr">
        <is>
          <t>2025-10-08</t>
        </is>
      </c>
      <c r="B28" s="115" t="inlineStr">
        <is>
          <t>SPLPETRO</t>
        </is>
      </c>
      <c r="C28" s="115" t="inlineStr">
        <is>
          <t>sell</t>
        </is>
      </c>
      <c r="D28" s="115" t="n">
        <v>57</v>
      </c>
      <c r="E28" s="117" t="n">
        <v>786.85</v>
      </c>
      <c r="F28" s="117" t="n">
        <v>44850.6</v>
      </c>
      <c r="G28" s="115" t="inlineStr">
        <is>
          <t>N/A</t>
        </is>
      </c>
    </row>
    <row r="29">
      <c r="A29" s="115" t="inlineStr">
        <is>
          <t>2025-10-09</t>
        </is>
      </c>
      <c r="B29" s="115" t="inlineStr">
        <is>
          <t>POLYCAB</t>
        </is>
      </c>
      <c r="C29" s="115" t="inlineStr">
        <is>
          <t>buy</t>
        </is>
      </c>
      <c r="D29" s="115" t="n">
        <v>13</v>
      </c>
      <c r="E29" s="117" t="n">
        <v>7609</v>
      </c>
      <c r="F29" s="117" t="n">
        <v>98917</v>
      </c>
      <c r="G29" s="115" t="inlineStr">
        <is>
          <t>Tranch 2</t>
        </is>
      </c>
    </row>
    <row r="30">
      <c r="A30" s="115" t="inlineStr">
        <is>
          <t>2025-10-13</t>
        </is>
      </c>
      <c r="B30" s="115" t="inlineStr">
        <is>
          <t>AVANTEL</t>
        </is>
      </c>
      <c r="C30" s="115" t="inlineStr">
        <is>
          <t>buy</t>
        </is>
      </c>
      <c r="D30" s="115" t="n">
        <v>150</v>
      </c>
      <c r="E30" s="117" t="n">
        <v>190.91</v>
      </c>
      <c r="F30" s="117" t="n">
        <v>28635.84</v>
      </c>
      <c r="G30" s="115" t="inlineStr">
        <is>
          <t>Cheat 1</t>
        </is>
      </c>
    </row>
    <row r="31">
      <c r="A31" s="115" t="inlineStr">
        <is>
          <t>2025-10-13</t>
        </is>
      </c>
      <c r="B31" s="115" t="inlineStr">
        <is>
          <t>CANBK</t>
        </is>
      </c>
      <c r="C31" s="115" t="inlineStr">
        <is>
          <t>buy</t>
        </is>
      </c>
      <c r="D31" s="115" t="n">
        <v>784</v>
      </c>
      <c r="E31" s="117" t="n">
        <v>127.5</v>
      </c>
      <c r="F31" s="117" t="n">
        <v>99956.44</v>
      </c>
      <c r="G31" s="115" t="inlineStr">
        <is>
          <t>Tranch 2</t>
        </is>
      </c>
    </row>
    <row r="32">
      <c r="A32" s="115" t="inlineStr">
        <is>
          <t>2025-10-16</t>
        </is>
      </c>
      <c r="B32" s="115" t="inlineStr">
        <is>
          <t>HBLENGINE</t>
        </is>
      </c>
      <c r="C32" s="115" t="inlineStr">
        <is>
          <t>buy</t>
        </is>
      </c>
      <c r="D32" s="115" t="n">
        <v>110</v>
      </c>
      <c r="E32" s="117" t="n">
        <v>914.55</v>
      </c>
      <c r="F32" s="117" t="n">
        <v>100600.5</v>
      </c>
      <c r="G32" s="115" t="inlineStr">
        <is>
          <t>Tranch 2</t>
        </is>
      </c>
    </row>
    <row r="33">
      <c r="A33" s="115" t="inlineStr">
        <is>
          <t>2025-10-16</t>
        </is>
      </c>
      <c r="B33" s="115" t="inlineStr">
        <is>
          <t>BAJFINANCE</t>
        </is>
      </c>
      <c r="C33" s="115" t="inlineStr">
        <is>
          <t>buy</t>
        </is>
      </c>
      <c r="D33" s="115" t="n">
        <v>94</v>
      </c>
      <c r="E33" s="117" t="n">
        <v>1064.6</v>
      </c>
      <c r="F33" s="117" t="n">
        <v>100072.4</v>
      </c>
      <c r="G33" s="115" t="inlineStr">
        <is>
          <t>Tranch 1</t>
        </is>
      </c>
    </row>
    <row r="34">
      <c r="A34" s="115" t="inlineStr">
        <is>
          <t>2025-10-17</t>
        </is>
      </c>
      <c r="B34" s="115" t="inlineStr">
        <is>
          <t>JBMA</t>
        </is>
      </c>
      <c r="C34" s="115" t="inlineStr">
        <is>
          <t>sell</t>
        </is>
      </c>
      <c r="D34" s="115" t="n">
        <v>35</v>
      </c>
      <c r="E34" s="117" t="n">
        <v>647.1900000000001</v>
      </c>
      <c r="F34" s="117" t="n">
        <v>22651.75</v>
      </c>
      <c r="G34" s="115" t="inlineStr">
        <is>
          <t>N/A</t>
        </is>
      </c>
    </row>
    <row r="35">
      <c r="A35" s="115" t="inlineStr">
        <is>
          <t>2025-10-17</t>
        </is>
      </c>
      <c r="B35" s="115" t="inlineStr">
        <is>
          <t>CGPOWER</t>
        </is>
      </c>
      <c r="C35" s="115" t="inlineStr">
        <is>
          <t>sell</t>
        </is>
      </c>
      <c r="D35" s="115" t="n">
        <v>33</v>
      </c>
      <c r="E35" s="117" t="n">
        <v>757.6</v>
      </c>
      <c r="F35" s="117" t="n">
        <v>25000.8</v>
      </c>
      <c r="G35" s="115" t="inlineStr">
        <is>
          <t>N/A</t>
        </is>
      </c>
    </row>
    <row r="36">
      <c r="A36" s="115" t="inlineStr">
        <is>
          <t>2025-10-20</t>
        </is>
      </c>
      <c r="B36" s="115" t="inlineStr">
        <is>
          <t>AVANTEL</t>
        </is>
      </c>
      <c r="C36" s="115" t="inlineStr">
        <is>
          <t>sell</t>
        </is>
      </c>
      <c r="D36" s="115" t="n">
        <v>671</v>
      </c>
      <c r="E36" s="117" t="n">
        <v>179.34</v>
      </c>
      <c r="F36" s="117" t="n">
        <v>120337.14</v>
      </c>
      <c r="G36" s="115" t="inlineStr">
        <is>
          <t>N/A</t>
        </is>
      </c>
    </row>
    <row r="37">
      <c r="A37" s="115" t="inlineStr">
        <is>
          <t>2025-10-21</t>
        </is>
      </c>
      <c r="B37" s="115" t="inlineStr">
        <is>
          <t>CANBK</t>
        </is>
      </c>
      <c r="C37" s="115" t="inlineStr">
        <is>
          <t>sell</t>
        </is>
      </c>
      <c r="D37" s="115" t="n">
        <v>1754</v>
      </c>
      <c r="E37" s="117" t="n">
        <v>126.6</v>
      </c>
      <c r="F37" s="117" t="n">
        <v>222056.4</v>
      </c>
      <c r="G37" s="115" t="inlineStr">
        <is>
          <t>N/A</t>
        </is>
      </c>
    </row>
    <row r="38">
      <c r="A38" s="115" t="inlineStr">
        <is>
          <t>2025-10-21</t>
        </is>
      </c>
      <c r="B38" s="115" t="inlineStr">
        <is>
          <t>ETERNAL</t>
        </is>
      </c>
      <c r="C38" s="115" t="inlineStr">
        <is>
          <t>buy</t>
        </is>
      </c>
      <c r="D38" s="115" t="n">
        <v>75</v>
      </c>
      <c r="E38" s="117" t="n">
        <v>339.2</v>
      </c>
      <c r="F38" s="117" t="n">
        <v>25440</v>
      </c>
      <c r="G38" s="115" t="inlineStr">
        <is>
          <t>Cheat 1</t>
        </is>
      </c>
    </row>
    <row r="39">
      <c r="A39" s="115" t="inlineStr">
        <is>
          <t>2025-10-24</t>
        </is>
      </c>
      <c r="B39" s="115" t="inlineStr">
        <is>
          <t>GMDCLTD</t>
        </is>
      </c>
      <c r="C39" s="115" t="inlineStr">
        <is>
          <t>sell</t>
        </is>
      </c>
      <c r="D39" s="115" t="n">
        <v>298</v>
      </c>
      <c r="E39" s="117" t="n">
        <v>589.95</v>
      </c>
      <c r="F39" s="117" t="n">
        <v>175804.15</v>
      </c>
      <c r="G39" s="115" t="inlineStr">
        <is>
          <t>N/A</t>
        </is>
      </c>
    </row>
    <row r="40">
      <c r="A40" s="115" t="inlineStr">
        <is>
          <t>2025-10-27</t>
        </is>
      </c>
      <c r="B40" s="115" t="inlineStr">
        <is>
          <t>POONAWALLA</t>
        </is>
      </c>
      <c r="C40" s="115" t="inlineStr">
        <is>
          <t>sell</t>
        </is>
      </c>
      <c r="D40" s="115" t="n">
        <v>188</v>
      </c>
      <c r="E40" s="117" t="n">
        <v>482.02</v>
      </c>
      <c r="F40" s="117" t="n">
        <v>90619.10000000001</v>
      </c>
      <c r="G40" s="115" t="inlineStr">
        <is>
          <t>N/A</t>
        </is>
      </c>
    </row>
    <row r="41">
      <c r="A41" s="115" t="inlineStr">
        <is>
          <t>2025-10-27</t>
        </is>
      </c>
      <c r="B41" s="115" t="inlineStr">
        <is>
          <t>HINDALCO</t>
        </is>
      </c>
      <c r="C41" s="115" t="inlineStr">
        <is>
          <t>buy</t>
        </is>
      </c>
      <c r="D41" s="115" t="n">
        <v>119</v>
      </c>
      <c r="E41" s="117" t="n">
        <v>841.1</v>
      </c>
      <c r="F41" s="117" t="n">
        <v>100090.9</v>
      </c>
      <c r="G41" s="115" t="inlineStr">
        <is>
          <t>Tranch 2</t>
        </is>
      </c>
    </row>
    <row r="42">
      <c r="A42" s="115" t="inlineStr">
        <is>
          <t>2025-10-27</t>
        </is>
      </c>
      <c r="B42" s="115" t="inlineStr">
        <is>
          <t>GPIL</t>
        </is>
      </c>
      <c r="C42" s="115" t="inlineStr">
        <is>
          <t>buy</t>
        </is>
      </c>
      <c r="D42" s="115" t="n">
        <v>100</v>
      </c>
      <c r="E42" s="117" t="n">
        <v>269.68</v>
      </c>
      <c r="F42" s="117" t="n">
        <v>26968.49</v>
      </c>
      <c r="G42" s="115" t="inlineStr">
        <is>
          <t>Cheat 1</t>
        </is>
      </c>
    </row>
    <row r="43">
      <c r="A43" s="115" t="inlineStr">
        <is>
          <t>2025-10-31</t>
        </is>
      </c>
      <c r="B43" s="115" t="inlineStr">
        <is>
          <t>GPIL</t>
        </is>
      </c>
      <c r="C43" s="115" t="inlineStr">
        <is>
          <t>buy</t>
        </is>
      </c>
      <c r="D43" s="115" t="n">
        <v>176</v>
      </c>
      <c r="E43" s="117" t="n">
        <v>283.89</v>
      </c>
      <c r="F43" s="117" t="n">
        <v>49964.04</v>
      </c>
      <c r="G43" s="115" t="inlineStr">
        <is>
          <t>Cheat 2</t>
        </is>
      </c>
    </row>
    <row r="44">
      <c r="A44" s="115" t="inlineStr">
        <is>
          <t>2025-11-03</t>
        </is>
      </c>
      <c r="B44" s="115" t="inlineStr">
        <is>
          <t>FEDERALBNK</t>
        </is>
      </c>
      <c r="C44" s="115" t="inlineStr">
        <is>
          <t>buy</t>
        </is>
      </c>
      <c r="D44" s="115" t="n">
        <v>210</v>
      </c>
      <c r="E44" s="117" t="n">
        <v>238.41</v>
      </c>
      <c r="F44" s="117" t="n">
        <v>50066.1</v>
      </c>
      <c r="G44" s="115" t="inlineStr">
        <is>
          <t>Cheat 1</t>
        </is>
      </c>
    </row>
    <row r="45">
      <c r="A45" s="115" t="inlineStr">
        <is>
          <t>2025-11-03</t>
        </is>
      </c>
      <c r="B45" s="115" t="inlineStr">
        <is>
          <t>SBIN</t>
        </is>
      </c>
      <c r="C45" s="115" t="inlineStr">
        <is>
          <t>buy</t>
        </is>
      </c>
      <c r="D45" s="115" t="n">
        <v>9</v>
      </c>
      <c r="E45" s="117" t="n">
        <v>950.5</v>
      </c>
      <c r="F45" s="117" t="n">
        <v>8554.5</v>
      </c>
      <c r="G45" s="115" t="inlineStr">
        <is>
          <t>Cheat 1</t>
        </is>
      </c>
    </row>
    <row r="46">
      <c r="A46" s="115" t="inlineStr">
        <is>
          <t>2025-11-03</t>
        </is>
      </c>
      <c r="B46" s="115" t="inlineStr">
        <is>
          <t>HINDPETRO</t>
        </is>
      </c>
      <c r="C46" s="115" t="inlineStr">
        <is>
          <t>buy</t>
        </is>
      </c>
      <c r="D46" s="115" t="n">
        <v>205</v>
      </c>
      <c r="E46" s="117" t="n">
        <v>483.35</v>
      </c>
      <c r="F46" s="117" t="n">
        <v>99086.75</v>
      </c>
      <c r="G46" s="115" t="inlineStr">
        <is>
          <t>Tranch 1</t>
        </is>
      </c>
    </row>
    <row r="47">
      <c r="A47" s="115" t="inlineStr">
        <is>
          <t>2025-11-03</t>
        </is>
      </c>
      <c r="B47" s="115" t="inlineStr">
        <is>
          <t>IOC</t>
        </is>
      </c>
      <c r="C47" s="115" t="inlineStr">
        <is>
          <t>buy</t>
        </is>
      </c>
      <c r="D47" s="115" t="n">
        <v>120</v>
      </c>
      <c r="E47" s="117" t="n">
        <v>167.82</v>
      </c>
      <c r="F47" s="117" t="n">
        <v>20138.4</v>
      </c>
      <c r="G47" s="115" t="inlineStr">
        <is>
          <t>Cheat 1</t>
        </is>
      </c>
    </row>
    <row r="48">
      <c r="A48" s="115" t="inlineStr">
        <is>
          <t>2025-11-03</t>
        </is>
      </c>
      <c r="B48" s="115" t="inlineStr">
        <is>
          <t>BANKBARODA</t>
        </is>
      </c>
      <c r="C48" s="115" t="inlineStr">
        <is>
          <t>buy</t>
        </is>
      </c>
      <c r="D48" s="115" t="n">
        <v>260</v>
      </c>
      <c r="E48" s="117" t="n">
        <v>292.1</v>
      </c>
      <c r="F48" s="117" t="n">
        <v>75946</v>
      </c>
      <c r="G48" s="115" t="inlineStr">
        <is>
          <t>Tranch 1</t>
        </is>
      </c>
    </row>
    <row r="49">
      <c r="A49" s="115" t="inlineStr">
        <is>
          <t>2025-11-03</t>
        </is>
      </c>
      <c r="B49" s="115" t="inlineStr">
        <is>
          <t>BPCL</t>
        </is>
      </c>
      <c r="C49" s="115" t="inlineStr">
        <is>
          <t>buy</t>
        </is>
      </c>
      <c r="D49" s="115" t="n">
        <v>82</v>
      </c>
      <c r="E49" s="117" t="n">
        <v>367.7</v>
      </c>
      <c r="F49" s="117" t="n">
        <v>30151.4</v>
      </c>
      <c r="G49" s="115" t="inlineStr">
        <is>
          <t>Cheat 1</t>
        </is>
      </c>
    </row>
    <row r="50">
      <c r="A50" s="115" t="inlineStr">
        <is>
          <t>2025-11-03</t>
        </is>
      </c>
      <c r="B50" s="115" t="inlineStr">
        <is>
          <t>CHENNPETRO</t>
        </is>
      </c>
      <c r="C50" s="115" t="inlineStr">
        <is>
          <t>buy</t>
        </is>
      </c>
      <c r="D50" s="115" t="n">
        <v>42</v>
      </c>
      <c r="E50" s="117" t="n">
        <v>955.88</v>
      </c>
      <c r="F50" s="117" t="n">
        <v>40147.05</v>
      </c>
      <c r="G50" s="115" t="inlineStr">
        <is>
          <t>Cheat 1</t>
        </is>
      </c>
    </row>
    <row r="51">
      <c r="A51" s="115" t="inlineStr">
        <is>
          <t>2025-11-10</t>
        </is>
      </c>
      <c r="B51" s="115" t="inlineStr">
        <is>
          <t>ETERNAL</t>
        </is>
      </c>
      <c r="C51" s="115" t="inlineStr">
        <is>
          <t>sell</t>
        </is>
      </c>
      <c r="D51" s="115" t="n">
        <v>75</v>
      </c>
      <c r="E51" s="117" t="n">
        <v>304.75</v>
      </c>
      <c r="F51" s="117" t="n">
        <v>22856.25</v>
      </c>
      <c r="G51" s="115" t="inlineStr">
        <is>
          <t>N/A</t>
        </is>
      </c>
    </row>
    <row r="52">
      <c r="A52" s="115" t="inlineStr">
        <is>
          <t>2025-11-11</t>
        </is>
      </c>
      <c r="B52" s="115" t="inlineStr">
        <is>
          <t>METROPOLIS</t>
        </is>
      </c>
      <c r="C52" s="115" t="inlineStr">
        <is>
          <t>sell</t>
        </is>
      </c>
      <c r="D52" s="115" t="n">
        <v>168</v>
      </c>
      <c r="E52" s="117" t="n">
        <v>482.75</v>
      </c>
      <c r="F52" s="117" t="n">
        <v>81102.5</v>
      </c>
      <c r="G52" s="115" t="inlineStr">
        <is>
          <t>N/A</t>
        </is>
      </c>
    </row>
    <row r="53">
      <c r="A53" s="115" t="inlineStr">
        <is>
          <t>2025-11-11</t>
        </is>
      </c>
      <c r="B53" s="115" t="inlineStr">
        <is>
          <t>DMART</t>
        </is>
      </c>
      <c r="C53" s="115" t="inlineStr">
        <is>
          <t>sell</t>
        </is>
      </c>
      <c r="D53" s="115" t="n">
        <v>19</v>
      </c>
      <c r="E53" s="117" t="n">
        <v>4056.8</v>
      </c>
      <c r="F53" s="117" t="n">
        <v>77079.2</v>
      </c>
      <c r="G53" s="115" t="inlineStr">
        <is>
          <t>N/A</t>
        </is>
      </c>
    </row>
    <row r="54">
      <c r="A54" s="115" t="inlineStr">
        <is>
          <t>2025-11-13</t>
        </is>
      </c>
      <c r="B54" s="115" t="inlineStr">
        <is>
          <t>POLYCAB</t>
        </is>
      </c>
      <c r="C54" s="115" t="inlineStr">
        <is>
          <t>buy</t>
        </is>
      </c>
      <c r="D54" s="115" t="n">
        <v>12</v>
      </c>
      <c r="E54" s="117" t="n">
        <v>7775.42</v>
      </c>
      <c r="F54" s="117" t="n">
        <v>93305</v>
      </c>
      <c r="G54" s="115" t="inlineStr">
        <is>
          <t>Tranch 3</t>
        </is>
      </c>
    </row>
    <row r="55">
      <c r="A55" s="115" t="inlineStr">
        <is>
          <t>2025-11-14</t>
        </is>
      </c>
      <c r="B55" s="115" t="inlineStr">
        <is>
          <t>PRECWIRE</t>
        </is>
      </c>
      <c r="C55" s="115" t="inlineStr">
        <is>
          <t>buy</t>
        </is>
      </c>
      <c r="D55" s="115" t="n">
        <v>100</v>
      </c>
      <c r="E55" s="117" t="n">
        <v>268.67</v>
      </c>
      <c r="F55" s="117" t="n">
        <v>26867</v>
      </c>
      <c r="G55" s="115" t="inlineStr">
        <is>
          <t>Cheat 2</t>
        </is>
      </c>
    </row>
    <row r="56">
      <c r="A56" s="115" t="inlineStr">
        <is>
          <t>2025-11-17</t>
        </is>
      </c>
      <c r="B56" s="115" t="inlineStr">
        <is>
          <t>BHARATFORG</t>
        </is>
      </c>
      <c r="C56" s="115" t="inlineStr">
        <is>
          <t>buy</t>
        </is>
      </c>
      <c r="D56" s="115" t="n">
        <v>36</v>
      </c>
      <c r="E56" s="117" t="n">
        <v>1393.8</v>
      </c>
      <c r="F56" s="117" t="n">
        <v>50176.8</v>
      </c>
      <c r="G56" s="115" t="inlineStr">
        <is>
          <t>Cheat 1</t>
        </is>
      </c>
    </row>
    <row r="57">
      <c r="A57" s="115" t="inlineStr">
        <is>
          <t>2025-11-17</t>
        </is>
      </c>
      <c r="B57" s="115" t="inlineStr">
        <is>
          <t>TVSSRICHAK</t>
        </is>
      </c>
      <c r="C57" s="115" t="inlineStr">
        <is>
          <t>buy</t>
        </is>
      </c>
      <c r="D57" s="115" t="n">
        <v>11</v>
      </c>
      <c r="E57" s="117" t="n">
        <v>4513.75</v>
      </c>
      <c r="F57" s="117" t="n">
        <v>49651.2</v>
      </c>
      <c r="G57" s="115" t="inlineStr">
        <is>
          <t>Cheat 1</t>
        </is>
      </c>
    </row>
    <row r="58">
      <c r="A58" s="115" t="inlineStr">
        <is>
          <t>2025-11-21</t>
        </is>
      </c>
      <c r="B58" s="115" t="inlineStr">
        <is>
          <t>FEDERALBNK</t>
        </is>
      </c>
      <c r="C58" s="115" t="inlineStr">
        <is>
          <t>buy</t>
        </is>
      </c>
      <c r="D58" s="115" t="n">
        <v>204</v>
      </c>
      <c r="E58" s="117" t="n">
        <v>246.27</v>
      </c>
      <c r="F58" s="117" t="n">
        <v>50240.04</v>
      </c>
      <c r="G58" s="115" t="inlineStr">
        <is>
          <t>Tranch 1</t>
        </is>
      </c>
    </row>
    <row r="59">
      <c r="A59" s="115" t="inlineStr">
        <is>
          <t>2025-11-21</t>
        </is>
      </c>
      <c r="B59" s="115" t="inlineStr">
        <is>
          <t>TVSSRICHAK</t>
        </is>
      </c>
      <c r="C59" s="115" t="inlineStr">
        <is>
          <t>buy</t>
        </is>
      </c>
      <c r="D59" s="115" t="n">
        <v>11</v>
      </c>
      <c r="E59" s="117" t="n">
        <v>4712.03</v>
      </c>
      <c r="F59" s="117" t="n">
        <v>51832.3</v>
      </c>
      <c r="G59" s="115" t="inlineStr">
        <is>
          <t>Tranch 1</t>
        </is>
      </c>
    </row>
    <row r="60">
      <c r="A60" s="115" t="inlineStr">
        <is>
          <t>2025-11-28</t>
        </is>
      </c>
      <c r="B60" s="115" t="inlineStr">
        <is>
          <t>GMRAIRPORT</t>
        </is>
      </c>
      <c r="C60" s="115" t="inlineStr">
        <is>
          <t>buy</t>
        </is>
      </c>
      <c r="D60" s="115" t="n">
        <v>920</v>
      </c>
      <c r="E60" s="117" t="n">
        <v>108.48</v>
      </c>
      <c r="F60" s="117" t="n">
        <v>99801.60000000001</v>
      </c>
      <c r="G60" s="115" t="inlineStr">
        <is>
          <t>Tranch 1</t>
        </is>
      </c>
    </row>
    <row r="61">
      <c r="A61" s="115" t="inlineStr">
        <is>
          <t>2025-11-28</t>
        </is>
      </c>
      <c r="B61" s="115" t="inlineStr">
        <is>
          <t>FEDERALBNK</t>
        </is>
      </c>
      <c r="C61" s="115" t="inlineStr">
        <is>
          <t>buy</t>
        </is>
      </c>
      <c r="D61" s="115" t="n">
        <v>388</v>
      </c>
      <c r="E61" s="117" t="n">
        <v>257.7</v>
      </c>
      <c r="F61" s="117" t="n">
        <v>99987.74000000001</v>
      </c>
      <c r="G61" s="115" t="inlineStr">
        <is>
          <t>Tranch 2</t>
        </is>
      </c>
    </row>
    <row r="62">
      <c r="A62" s="115" t="inlineStr">
        <is>
          <t>2025-12-08</t>
        </is>
      </c>
      <c r="B62" s="115" t="inlineStr">
        <is>
          <t>BSOFT</t>
        </is>
      </c>
      <c r="C62" s="115" t="inlineStr">
        <is>
          <t>buy</t>
        </is>
      </c>
      <c r="D62" s="115" t="n">
        <v>117</v>
      </c>
      <c r="E62" s="117" t="n">
        <v>426.6</v>
      </c>
      <c r="F62" s="117" t="n">
        <v>49912.2</v>
      </c>
      <c r="G62" s="115" t="inlineStr">
        <is>
          <t>Cheat 1</t>
        </is>
      </c>
    </row>
    <row r="63">
      <c r="A63" s="115" t="inlineStr">
        <is>
          <t>2025-12-08</t>
        </is>
      </c>
      <c r="B63" s="115" t="inlineStr">
        <is>
          <t>BSE</t>
        </is>
      </c>
      <c r="C63" s="115" t="inlineStr">
        <is>
          <t>buy</t>
        </is>
      </c>
      <c r="D63" s="115" t="n">
        <v>18</v>
      </c>
      <c r="E63" s="117" t="n">
        <v>2801.6</v>
      </c>
      <c r="F63" s="117" t="n">
        <v>50428.8</v>
      </c>
      <c r="G63" s="115" t="inlineStr">
        <is>
          <t>Cheat 1</t>
        </is>
      </c>
    </row>
    <row r="64">
      <c r="A64" s="115" t="inlineStr">
        <is>
          <t>2025-12-22</t>
        </is>
      </c>
      <c r="B64" s="115" t="inlineStr">
        <is>
          <t>JKTYRE</t>
        </is>
      </c>
      <c r="C64" s="115" t="inlineStr">
        <is>
          <t>buy</t>
        </is>
      </c>
      <c r="D64" s="115" t="n">
        <v>103</v>
      </c>
      <c r="E64" s="117" t="n">
        <v>485.05</v>
      </c>
      <c r="F64" s="117" t="n">
        <v>49960.15</v>
      </c>
      <c r="G64" s="115" t="inlineStr">
        <is>
          <t>Cheat 1</t>
        </is>
      </c>
    </row>
    <row r="65">
      <c r="A65" s="115" t="inlineStr">
        <is>
          <t>2025-12-22</t>
        </is>
      </c>
      <c r="B65" s="115" t="inlineStr">
        <is>
          <t>BSOFT</t>
        </is>
      </c>
      <c r="C65" s="115" t="inlineStr">
        <is>
          <t>buy</t>
        </is>
      </c>
      <c r="D65" s="115" t="n">
        <v>111</v>
      </c>
      <c r="E65" s="117" t="n">
        <v>450.45</v>
      </c>
      <c r="F65" s="117" t="n">
        <v>49999.95</v>
      </c>
      <c r="G65" s="115" t="inlineStr">
        <is>
          <t>Tranch 1</t>
        </is>
      </c>
    </row>
    <row r="66">
      <c r="A66" s="115" t="inlineStr">
        <is>
          <t>2025-12-23</t>
        </is>
      </c>
      <c r="B66" s="115" t="inlineStr">
        <is>
          <t>KIRLOSENG</t>
        </is>
      </c>
      <c r="C66" s="115" t="inlineStr">
        <is>
          <t>buy</t>
        </is>
      </c>
      <c r="D66" s="115" t="n">
        <v>19</v>
      </c>
      <c r="E66" s="117" t="n">
        <v>1314.6</v>
      </c>
      <c r="F66" s="117" t="n">
        <v>24977.4</v>
      </c>
      <c r="G66" s="115" t="inlineStr">
        <is>
          <t>Cheat 1</t>
        </is>
      </c>
    </row>
    <row r="67">
      <c r="A67" s="115" t="inlineStr">
        <is>
          <t>2025-12-30</t>
        </is>
      </c>
      <c r="B67" s="115" t="inlineStr">
        <is>
          <t>PRECWIRE</t>
        </is>
      </c>
      <c r="C67" s="115" t="inlineStr">
        <is>
          <t>sell</t>
        </is>
      </c>
      <c r="D67" s="115" t="n">
        <v>220</v>
      </c>
      <c r="E67" s="117" t="n">
        <v>245.9</v>
      </c>
      <c r="F67" s="117" t="n">
        <v>54098</v>
      </c>
      <c r="G67" s="115" t="inlineStr">
        <is>
          <t>N/A</t>
        </is>
      </c>
    </row>
    <row r="68">
      <c r="A68" s="115" t="inlineStr">
        <is>
          <t>2026-01-02</t>
        </is>
      </c>
      <c r="B68" s="115" t="inlineStr">
        <is>
          <t>HINDALCO</t>
        </is>
      </c>
      <c r="C68" s="115" t="inlineStr">
        <is>
          <t>buy</t>
        </is>
      </c>
      <c r="D68" s="115" t="n">
        <v>108</v>
      </c>
      <c r="E68" s="117" t="n">
        <v>926.51</v>
      </c>
      <c r="F68" s="117" t="n">
        <v>100063.1</v>
      </c>
      <c r="G68" s="115" t="inlineStr">
        <is>
          <t>Tranch 3</t>
        </is>
      </c>
    </row>
    <row r="69">
      <c r="A69" s="115" t="inlineStr">
        <is>
          <t>2026-01-02</t>
        </is>
      </c>
      <c r="B69" s="115" t="inlineStr">
        <is>
          <t>GAEL</t>
        </is>
      </c>
      <c r="C69" s="115" t="inlineStr">
        <is>
          <t>buy</t>
        </is>
      </c>
      <c r="D69" s="115" t="n">
        <v>182</v>
      </c>
      <c r="E69" s="117" t="n">
        <v>137.25</v>
      </c>
      <c r="F69" s="117" t="n">
        <v>24979.5</v>
      </c>
      <c r="G69" s="115" t="inlineStr">
        <is>
          <t>Cheat 1</t>
        </is>
      </c>
    </row>
    <row r="70">
      <c r="A70" s="115" t="inlineStr">
        <is>
          <t>2026-01-02</t>
        </is>
      </c>
      <c r="B70" s="115" t="inlineStr">
        <is>
          <t>NMDC</t>
        </is>
      </c>
      <c r="C70" s="115" t="inlineStr">
        <is>
          <t>buy</t>
        </is>
      </c>
      <c r="D70" s="115" t="n">
        <v>300</v>
      </c>
      <c r="E70" s="117" t="n">
        <v>84.48999999999999</v>
      </c>
      <c r="F70" s="117" t="n">
        <v>25347</v>
      </c>
      <c r="G70" s="115" t="inlineStr">
        <is>
          <t>Cheat 1</t>
        </is>
      </c>
    </row>
    <row r="71">
      <c r="A71" s="115" t="inlineStr">
        <is>
          <t>2026-01-05</t>
        </is>
      </c>
      <c r="B71" s="115" t="inlineStr">
        <is>
          <t>CANBK</t>
        </is>
      </c>
      <c r="C71" s="115" t="inlineStr">
        <is>
          <t>buy</t>
        </is>
      </c>
      <c r="D71" s="115" t="n">
        <v>324</v>
      </c>
      <c r="E71" s="117" t="n">
        <v>154.59</v>
      </c>
      <c r="F71" s="117" t="n">
        <v>50087.6</v>
      </c>
      <c r="G71" s="115" t="inlineStr">
        <is>
          <t>Cheat 1</t>
        </is>
      </c>
    </row>
    <row r="72">
      <c r="A72" s="115" t="inlineStr">
        <is>
          <t>2026-01-05</t>
        </is>
      </c>
      <c r="B72" s="115" t="inlineStr">
        <is>
          <t>CUPID</t>
        </is>
      </c>
      <c r="C72" s="115" t="inlineStr">
        <is>
          <t>sell</t>
        </is>
      </c>
      <c r="D72" s="115" t="n">
        <v>665</v>
      </c>
      <c r="E72" s="117" t="n">
        <v>72.98</v>
      </c>
      <c r="F72" s="117" t="n">
        <v>48531.7</v>
      </c>
      <c r="G72" s="115" t="inlineStr">
        <is>
          <t>N/A</t>
        </is>
      </c>
    </row>
    <row r="73">
      <c r="A73" s="115" t="inlineStr">
        <is>
          <t>2026-01-05</t>
        </is>
      </c>
      <c r="B73" s="115" t="inlineStr">
        <is>
          <t>CHENNPETRO</t>
        </is>
      </c>
      <c r="C73" s="115" t="inlineStr">
        <is>
          <t>sell</t>
        </is>
      </c>
      <c r="D73" s="115" t="n">
        <v>52</v>
      </c>
      <c r="E73" s="117" t="n">
        <v>814.95</v>
      </c>
      <c r="F73" s="117" t="n">
        <v>42377.3</v>
      </c>
      <c r="G73" s="115" t="inlineStr">
        <is>
          <t>N/A</t>
        </is>
      </c>
    </row>
    <row r="74">
      <c r="A74" s="115" t="inlineStr">
        <is>
          <t>2026-01-05</t>
        </is>
      </c>
      <c r="B74" s="115" t="inlineStr">
        <is>
          <t>GMDCLTD</t>
        </is>
      </c>
      <c r="C74" s="115" t="inlineStr">
        <is>
          <t>buy</t>
        </is>
      </c>
      <c r="D74" s="115" t="n">
        <v>41</v>
      </c>
      <c r="E74" s="117" t="n">
        <v>612</v>
      </c>
      <c r="F74" s="117" t="n">
        <v>25092</v>
      </c>
      <c r="G74" s="115" t="inlineStr">
        <is>
          <t>Cheat 1</t>
        </is>
      </c>
    </row>
    <row r="75">
      <c r="A75" s="115" t="inlineStr">
        <is>
          <t>2026-01-05</t>
        </is>
      </c>
      <c r="B75" s="115" t="inlineStr">
        <is>
          <t>AJANTPHARM</t>
        </is>
      </c>
      <c r="C75" s="115" t="inlineStr">
        <is>
          <t>buy</t>
        </is>
      </c>
      <c r="D75" s="115" t="n">
        <v>4</v>
      </c>
      <c r="E75" s="117" t="n">
        <v>2936.3</v>
      </c>
      <c r="F75" s="117" t="n">
        <v>11745.2</v>
      </c>
      <c r="G75" s="115" t="inlineStr">
        <is>
          <t>Cheat 1</t>
        </is>
      </c>
    </row>
    <row r="76">
      <c r="A76" s="115" t="inlineStr">
        <is>
          <t>2026-01-05</t>
        </is>
      </c>
      <c r="B76" s="115" t="inlineStr">
        <is>
          <t>CUPID</t>
        </is>
      </c>
      <c r="C76" s="115" t="inlineStr">
        <is>
          <t>buy</t>
        </is>
      </c>
      <c r="D76" s="115" t="n">
        <v>665</v>
      </c>
      <c r="E76" s="117" t="n">
        <v>75.5</v>
      </c>
      <c r="F76" s="117" t="n">
        <v>50207.5</v>
      </c>
      <c r="G76" s="115" t="inlineStr">
        <is>
          <t>Cheat 1</t>
        </is>
      </c>
    </row>
    <row r="77">
      <c r="A77" s="115" t="inlineStr">
        <is>
          <t>2026-01-06</t>
        </is>
      </c>
      <c r="B77" s="115" t="inlineStr">
        <is>
          <t>CUPID</t>
        </is>
      </c>
      <c r="C77" s="115" t="inlineStr">
        <is>
          <t>buy</t>
        </is>
      </c>
      <c r="D77" s="115" t="n">
        <v>500</v>
      </c>
      <c r="E77" s="117" t="n">
        <v>84.92</v>
      </c>
      <c r="F77" s="117" t="n">
        <v>42460</v>
      </c>
      <c r="G77" s="115" t="inlineStr">
        <is>
          <t>Cheat 1</t>
        </is>
      </c>
    </row>
    <row r="78">
      <c r="A78" s="115" t="inlineStr">
        <is>
          <t>2026-01-16</t>
        </is>
      </c>
      <c r="B78" s="115" t="inlineStr">
        <is>
          <t>TVSSRICHAK</t>
        </is>
      </c>
      <c r="C78" s="115" t="inlineStr">
        <is>
          <t>sell</t>
        </is>
      </c>
      <c r="D78" s="115" t="n">
        <v>22</v>
      </c>
      <c r="E78" s="117" t="n">
        <v>4030.42</v>
      </c>
      <c r="F78" s="117" t="n">
        <v>88669.2</v>
      </c>
      <c r="G78" s="115" t="inlineStr">
        <is>
          <t>N/A</t>
        </is>
      </c>
    </row>
    <row r="79">
      <c r="A79" s="115" t="inlineStr">
        <is>
          <t>2026-01-16</t>
        </is>
      </c>
      <c r="B79" s="115" t="inlineStr">
        <is>
          <t>SOUTHBANK</t>
        </is>
      </c>
      <c r="C79" s="115" t="inlineStr">
        <is>
          <t>buy</t>
        </is>
      </c>
      <c r="D79" s="115" t="n">
        <v>600</v>
      </c>
      <c r="E79" s="117" t="n">
        <v>44.47</v>
      </c>
      <c r="F79" s="117" t="n">
        <v>26682</v>
      </c>
      <c r="G79" s="115" t="inlineStr">
        <is>
          <t>Cheat 1</t>
        </is>
      </c>
    </row>
    <row r="80">
      <c r="A80" s="115" t="inlineStr">
        <is>
          <t>2026-01-16</t>
        </is>
      </c>
      <c r="B80" s="115" t="inlineStr">
        <is>
          <t>SBIN</t>
        </is>
      </c>
      <c r="C80" s="115" t="inlineStr">
        <is>
          <t>buy</t>
        </is>
      </c>
      <c r="D80" s="115" t="n">
        <v>24</v>
      </c>
      <c r="E80" s="117" t="n">
        <v>1043.1</v>
      </c>
      <c r="F80" s="117" t="n">
        <v>25034.4</v>
      </c>
      <c r="G80" s="115" t="inlineStr">
        <is>
          <t>Cheat 2</t>
        </is>
      </c>
    </row>
    <row r="81">
      <c r="A81" s="115" t="inlineStr">
        <is>
          <t>2026-01-16</t>
        </is>
      </c>
      <c r="B81" s="115" t="inlineStr">
        <is>
          <t>FEDERALBNK</t>
        </is>
      </c>
      <c r="C81" s="115" t="inlineStr">
        <is>
          <t>buy</t>
        </is>
      </c>
      <c r="D81" s="115" t="n">
        <v>370</v>
      </c>
      <c r="E81" s="117" t="n">
        <v>270.25</v>
      </c>
      <c r="F81" s="117" t="n">
        <v>99991.39999999999</v>
      </c>
      <c r="G81" s="115" t="inlineStr">
        <is>
          <t>Tranch 3</t>
        </is>
      </c>
    </row>
    <row r="82">
      <c r="A82" s="115" t="inlineStr">
        <is>
          <t>2026-01-16</t>
        </is>
      </c>
      <c r="B82" s="115" t="inlineStr">
        <is>
          <t>CUPID</t>
        </is>
      </c>
      <c r="C82" s="115" t="inlineStr">
        <is>
          <t>buy</t>
        </is>
      </c>
      <c r="D82" s="115" t="n">
        <v>525</v>
      </c>
      <c r="E82" s="117" t="n">
        <v>96.34</v>
      </c>
      <c r="F82" s="117" t="n">
        <v>50578.5</v>
      </c>
      <c r="G82" s="115" t="inlineStr">
        <is>
          <t>Tranch 1</t>
        </is>
      </c>
    </row>
    <row r="83">
      <c r="A83" s="115" t="inlineStr">
        <is>
          <t>2026-01-16</t>
        </is>
      </c>
      <c r="B83" s="115" t="inlineStr">
        <is>
          <t>GAEL</t>
        </is>
      </c>
      <c r="C83" s="115" t="inlineStr">
        <is>
          <t>buy</t>
        </is>
      </c>
      <c r="D83" s="115" t="n">
        <v>180</v>
      </c>
      <c r="E83" s="117" t="n">
        <v>140.28</v>
      </c>
      <c r="F83" s="117" t="n">
        <v>25249.79</v>
      </c>
      <c r="G83" s="115" t="inlineStr">
        <is>
          <t>Cheat 2</t>
        </is>
      </c>
    </row>
    <row r="84">
      <c r="A84" s="115" t="inlineStr">
        <is>
          <t>2026-01-16</t>
        </is>
      </c>
      <c r="B84" s="115" t="inlineStr">
        <is>
          <t>BANKINDIA</t>
        </is>
      </c>
      <c r="C84" s="115" t="inlineStr">
        <is>
          <t>buy</t>
        </is>
      </c>
      <c r="D84" s="115" t="n">
        <v>160</v>
      </c>
      <c r="E84" s="117" t="n">
        <v>157.27</v>
      </c>
      <c r="F84" s="117" t="n">
        <v>25162.48</v>
      </c>
      <c r="G84" s="115" t="inlineStr">
        <is>
          <t>Cheat 1</t>
        </is>
      </c>
    </row>
    <row r="85">
      <c r="A85" s="115" t="inlineStr">
        <is>
          <t>2026-01-16</t>
        </is>
      </c>
      <c r="B85" s="115" t="inlineStr">
        <is>
          <t>PNB</t>
        </is>
      </c>
      <c r="C85" s="115" t="inlineStr">
        <is>
          <t>buy</t>
        </is>
      </c>
      <c r="D85" s="115" t="n">
        <v>10</v>
      </c>
      <c r="E85" s="117" t="n">
        <v>131.89</v>
      </c>
      <c r="F85" s="117" t="n">
        <v>1318.9</v>
      </c>
      <c r="G85" s="115" t="inlineStr">
        <is>
          <t>Cheat 1</t>
        </is>
      </c>
    </row>
    <row r="86">
      <c r="A86" s="115" t="inlineStr">
        <is>
          <t>2026-01-16</t>
        </is>
      </c>
      <c r="B86" s="115" t="inlineStr">
        <is>
          <t>MAHABANK</t>
        </is>
      </c>
      <c r="C86" s="115" t="inlineStr">
        <is>
          <t>buy</t>
        </is>
      </c>
      <c r="D86" s="115" t="n">
        <v>20</v>
      </c>
      <c r="E86" s="117" t="n">
        <v>66.84999999999999</v>
      </c>
      <c r="F86" s="117" t="n">
        <v>1337</v>
      </c>
      <c r="G86" s="115" t="inlineStr">
        <is>
          <t>Cheat 1</t>
        </is>
      </c>
    </row>
    <row r="87">
      <c r="A87" s="115" t="inlineStr">
        <is>
          <t>2026-01-19</t>
        </is>
      </c>
      <c r="B87" s="115" t="inlineStr">
        <is>
          <t>KIRLOSENG</t>
        </is>
      </c>
      <c r="C87" s="115" t="inlineStr">
        <is>
          <t>sell</t>
        </is>
      </c>
      <c r="D87" s="115" t="n">
        <v>19</v>
      </c>
      <c r="E87" s="117" t="n">
        <v>1130.3</v>
      </c>
      <c r="F87" s="117" t="n">
        <v>21475.7</v>
      </c>
      <c r="G87" s="115" t="inlineStr">
        <is>
          <t>N/A</t>
        </is>
      </c>
    </row>
    <row r="88">
      <c r="A88" s="115" t="inlineStr">
        <is>
          <t>2026-01-19</t>
        </is>
      </c>
      <c r="B88" s="115" t="inlineStr">
        <is>
          <t>MAHABANK</t>
        </is>
      </c>
      <c r="C88" s="115" t="inlineStr">
        <is>
          <t>buy</t>
        </is>
      </c>
      <c r="D88" s="115" t="n">
        <v>360</v>
      </c>
      <c r="E88" s="117" t="n">
        <v>66.84</v>
      </c>
      <c r="F88" s="117" t="n">
        <v>24062.69</v>
      </c>
      <c r="G88" s="115" t="inlineStr">
        <is>
          <t>Cheat 2</t>
        </is>
      </c>
    </row>
    <row r="89">
      <c r="A89" s="115" t="inlineStr">
        <is>
          <t>2026-01-19</t>
        </is>
      </c>
      <c r="B89" s="115" t="inlineStr">
        <is>
          <t>PNB</t>
        </is>
      </c>
      <c r="C89" s="115" t="inlineStr">
        <is>
          <t>buy</t>
        </is>
      </c>
      <c r="D89" s="115" t="n">
        <v>190</v>
      </c>
      <c r="E89" s="117" t="n">
        <v>127.48</v>
      </c>
      <c r="F89" s="117" t="n">
        <v>24221.2</v>
      </c>
      <c r="G89" s="115" t="inlineStr">
        <is>
          <t>Cheat 2</t>
        </is>
      </c>
    </row>
    <row r="90">
      <c r="A90" s="115" t="inlineStr">
        <is>
          <t>2026-01-27</t>
        </is>
      </c>
      <c r="B90" s="115" t="inlineStr">
        <is>
          <t>GMRAIRPORT</t>
        </is>
      </c>
      <c r="C90" s="115" t="inlineStr">
        <is>
          <t>sell</t>
        </is>
      </c>
      <c r="D90" s="115" t="n">
        <v>920</v>
      </c>
      <c r="E90" s="117" t="n">
        <v>89.75</v>
      </c>
      <c r="F90" s="117" t="n">
        <v>82570</v>
      </c>
      <c r="G90" s="115" t="inlineStr">
        <is>
          <t>N/A</t>
        </is>
      </c>
    </row>
    <row r="91">
      <c r="A91" s="115" t="inlineStr">
        <is>
          <t>2026-01-27</t>
        </is>
      </c>
      <c r="B91" s="115" t="inlineStr">
        <is>
          <t>BSOFT</t>
        </is>
      </c>
      <c r="C91" s="115" t="inlineStr">
        <is>
          <t>sell</t>
        </is>
      </c>
      <c r="D91" s="115" t="n">
        <v>228</v>
      </c>
      <c r="E91" s="117" t="n">
        <v>395.42</v>
      </c>
      <c r="F91" s="117" t="n">
        <v>90155.39999999999</v>
      </c>
      <c r="G91" s="115" t="inlineStr">
        <is>
          <t>N/A</t>
        </is>
      </c>
    </row>
    <row r="92">
      <c r="A92" s="115" t="inlineStr">
        <is>
          <t>2026-01-30</t>
        </is>
      </c>
      <c r="B92" s="115" t="inlineStr">
        <is>
          <t>SEAMECLTD</t>
        </is>
      </c>
      <c r="C92" s="115" t="inlineStr">
        <is>
          <t>buy</t>
        </is>
      </c>
      <c r="D92" s="115" t="n">
        <v>10</v>
      </c>
      <c r="E92" s="117" t="n">
        <v>1282.36</v>
      </c>
      <c r="F92" s="117" t="n">
        <v>12823.6</v>
      </c>
      <c r="G92" s="115" t="inlineStr">
        <is>
          <t>Cheat 1</t>
        </is>
      </c>
    </row>
    <row r="93">
      <c r="A93" s="115" t="inlineStr">
        <is>
          <t>2026-01-30</t>
        </is>
      </c>
      <c r="B93" s="115" t="inlineStr">
        <is>
          <t>BEL</t>
        </is>
      </c>
      <c r="C93" s="115" t="inlineStr">
        <is>
          <t>buy</t>
        </is>
      </c>
      <c r="D93" s="115" t="n">
        <v>168</v>
      </c>
      <c r="E93" s="117" t="n">
        <v>449.35</v>
      </c>
      <c r="F93" s="117" t="n">
        <v>75490.05</v>
      </c>
      <c r="G93" s="115" t="inlineStr">
        <is>
          <t>Tranch 1</t>
        </is>
      </c>
    </row>
    <row r="94">
      <c r="A94" s="115" t="inlineStr">
        <is>
          <t>2026-01-30</t>
        </is>
      </c>
      <c r="B94" s="115" t="inlineStr">
        <is>
          <t>HINDALCO</t>
        </is>
      </c>
      <c r="C94" s="115" t="inlineStr">
        <is>
          <t>sell</t>
        </is>
      </c>
      <c r="D94" s="115" t="n">
        <v>103</v>
      </c>
      <c r="E94" s="117" t="n">
        <v>968.1</v>
      </c>
      <c r="F94" s="117" t="n">
        <v>99714.35000000001</v>
      </c>
      <c r="G94" s="115" t="inlineStr">
        <is>
          <t>N/A</t>
        </is>
      </c>
    </row>
    <row r="95">
      <c r="A95" s="115" t="inlineStr">
        <is>
          <t>2026-01-30</t>
        </is>
      </c>
      <c r="B95" s="115" t="inlineStr">
        <is>
          <t>SBIN</t>
        </is>
      </c>
      <c r="C95" s="115" t="inlineStr">
        <is>
          <t>buy</t>
        </is>
      </c>
      <c r="D95" s="115" t="n">
        <v>93</v>
      </c>
      <c r="E95" s="117" t="n">
        <v>1078</v>
      </c>
      <c r="F95" s="117" t="n">
        <v>100254</v>
      </c>
      <c r="G95" s="115" t="inlineStr">
        <is>
          <t>Tranch 1</t>
        </is>
      </c>
    </row>
    <row r="96">
      <c r="A96" s="115" t="inlineStr">
        <is>
          <t>2026-01-30</t>
        </is>
      </c>
      <c r="B96" s="115" t="inlineStr">
        <is>
          <t>SOUTHBANK</t>
        </is>
      </c>
      <c r="C96" s="115" t="inlineStr">
        <is>
          <t>sell</t>
        </is>
      </c>
      <c r="D96" s="115" t="n">
        <v>600</v>
      </c>
      <c r="E96" s="117" t="n">
        <v>37.55</v>
      </c>
      <c r="F96" s="117" t="n">
        <v>22532.01</v>
      </c>
      <c r="G96" s="115" t="inlineStr">
        <is>
          <t>N/A</t>
        </is>
      </c>
    </row>
    <row r="97">
      <c r="A97" s="115" t="inlineStr">
        <is>
          <t>2026-02-02</t>
        </is>
      </c>
      <c r="B97" s="115" t="inlineStr">
        <is>
          <t>BAJFINANCE</t>
        </is>
      </c>
      <c r="C97" s="115" t="inlineStr">
        <is>
          <t>sell</t>
        </is>
      </c>
      <c r="D97" s="115" t="n">
        <v>94</v>
      </c>
      <c r="E97" s="117" t="n">
        <v>898.15</v>
      </c>
      <c r="F97" s="117" t="n">
        <v>84426.10000000001</v>
      </c>
      <c r="G97" s="115" t="inlineStr">
        <is>
          <t>N/A</t>
        </is>
      </c>
    </row>
    <row r="98">
      <c r="A98" s="115" t="inlineStr">
        <is>
          <t>2026-02-02</t>
        </is>
      </c>
      <c r="B98" s="115" t="inlineStr">
        <is>
          <t>CANBK</t>
        </is>
      </c>
      <c r="C98" s="115" t="inlineStr">
        <is>
          <t>sell</t>
        </is>
      </c>
      <c r="D98" s="115" t="n">
        <v>324</v>
      </c>
      <c r="E98" s="117" t="n">
        <v>140.33</v>
      </c>
      <c r="F98" s="117" t="n">
        <v>45468</v>
      </c>
      <c r="G98" s="115" t="inlineStr">
        <is>
          <t>N/A</t>
        </is>
      </c>
    </row>
    <row r="99">
      <c r="A99" s="115" t="inlineStr">
        <is>
          <t>2026-02-02</t>
        </is>
      </c>
      <c r="B99" s="115" t="inlineStr">
        <is>
          <t>BANKBARODA</t>
        </is>
      </c>
      <c r="C99" s="115" t="inlineStr">
        <is>
          <t>sell</t>
        </is>
      </c>
      <c r="D99" s="115" t="n">
        <v>260</v>
      </c>
      <c r="E99" s="117" t="n">
        <v>271.56</v>
      </c>
      <c r="F99" s="117" t="n">
        <v>70604.55</v>
      </c>
      <c r="G99" s="115" t="inlineStr">
        <is>
          <t>N/A</t>
        </is>
      </c>
    </row>
    <row r="100">
      <c r="A100" s="115" t="inlineStr">
        <is>
          <t>2026-02-02</t>
        </is>
      </c>
      <c r="B100" s="115" t="inlineStr">
        <is>
          <t>BHARATFORG</t>
        </is>
      </c>
      <c r="C100" s="115" t="inlineStr">
        <is>
          <t>sell</t>
        </is>
      </c>
      <c r="D100" s="115" t="n">
        <v>36</v>
      </c>
      <c r="E100" s="117" t="n">
        <v>1416.6</v>
      </c>
      <c r="F100" s="117" t="n">
        <v>50997.6</v>
      </c>
      <c r="G100" s="115" t="inlineStr">
        <is>
          <t>N/A</t>
        </is>
      </c>
    </row>
    <row r="101">
      <c r="A101" s="115" t="inlineStr">
        <is>
          <t>2026-02-02</t>
        </is>
      </c>
      <c r="B101" s="115" t="inlineStr">
        <is>
          <t>PNB</t>
        </is>
      </c>
      <c r="C101" s="115" t="inlineStr">
        <is>
          <t>sell</t>
        </is>
      </c>
      <c r="D101" s="115" t="n">
        <v>200</v>
      </c>
      <c r="E101" s="117" t="n">
        <v>119.56</v>
      </c>
      <c r="F101" s="117" t="n">
        <v>23912</v>
      </c>
      <c r="G101" s="115" t="inlineStr">
        <is>
          <t>N/A</t>
        </is>
      </c>
    </row>
    <row r="102">
      <c r="A102" s="115" t="inlineStr">
        <is>
          <t>2026-02-02</t>
        </is>
      </c>
      <c r="B102" s="115" t="inlineStr">
        <is>
          <t>CIPLA</t>
        </is>
      </c>
      <c r="C102" s="115" t="inlineStr">
        <is>
          <t>sell</t>
        </is>
      </c>
      <c r="D102" s="115" t="n">
        <v>64</v>
      </c>
      <c r="E102" s="117" t="n">
        <v>1299.4</v>
      </c>
      <c r="F102" s="117" t="n">
        <v>83161.60000000001</v>
      </c>
      <c r="G102" s="115" t="inlineStr">
        <is>
          <t>N/A</t>
        </is>
      </c>
    </row>
    <row r="103">
      <c r="A103" s="115" t="inlineStr">
        <is>
          <t>2026-02-06</t>
        </is>
      </c>
      <c r="B103" s="115" t="inlineStr">
        <is>
          <t>BANKINDIA</t>
        </is>
      </c>
      <c r="C103" s="115" t="inlineStr">
        <is>
          <t>buy</t>
        </is>
      </c>
      <c r="D103" s="115" t="n">
        <v>305</v>
      </c>
      <c r="E103" s="117" t="n">
        <v>163.99</v>
      </c>
      <c r="F103" s="117" t="n">
        <v>50016.95</v>
      </c>
      <c r="G103" s="115" t="inlineStr">
        <is>
          <t>Cheat 2</t>
        </is>
      </c>
    </row>
    <row r="104">
      <c r="A104" s="115" t="inlineStr">
        <is>
          <t>2026-02-09</t>
        </is>
      </c>
      <c r="B104" s="115" t="inlineStr">
        <is>
          <t>APLAPOLLO</t>
        </is>
      </c>
      <c r="C104" s="115" t="inlineStr">
        <is>
          <t>buy</t>
        </is>
      </c>
      <c r="D104" s="115" t="n">
        <v>45</v>
      </c>
      <c r="E104" s="117" t="n">
        <v>2237.6</v>
      </c>
      <c r="F104" s="117" t="n">
        <v>100692</v>
      </c>
      <c r="G104" s="115" t="inlineStr">
        <is>
          <t>Tranch 1</t>
        </is>
      </c>
    </row>
    <row r="105">
      <c r="A105" s="115" t="inlineStr">
        <is>
          <t>2026-02-12</t>
        </is>
      </c>
      <c r="B105" s="115" t="inlineStr">
        <is>
          <t>RAJRATAN</t>
        </is>
      </c>
      <c r="C105" s="115" t="inlineStr">
        <is>
          <t>buy</t>
        </is>
      </c>
      <c r="D105" s="115" t="n">
        <v>10</v>
      </c>
      <c r="E105" s="117" t="n">
        <v>483.55</v>
      </c>
      <c r="F105" s="117" t="n">
        <v>4835.5</v>
      </c>
      <c r="G105" s="115" t="inlineStr">
        <is>
          <t>Cheat 1</t>
        </is>
      </c>
    </row>
    <row r="106">
      <c r="A106" s="115" t="inlineStr">
        <is>
          <t>2026-02-12</t>
        </is>
      </c>
      <c r="B106" s="115" t="inlineStr">
        <is>
          <t>TDPOWERSYS</t>
        </is>
      </c>
      <c r="C106" s="115" t="inlineStr">
        <is>
          <t>buy</t>
        </is>
      </c>
      <c r="D106" s="115" t="n">
        <v>10</v>
      </c>
      <c r="E106" s="117" t="n">
        <v>853.85</v>
      </c>
      <c r="F106" s="117" t="n">
        <v>8538.5</v>
      </c>
      <c r="G106" s="115" t="inlineStr">
        <is>
          <t>Cheat 1</t>
        </is>
      </c>
    </row>
    <row r="107">
      <c r="A107" s="115" t="inlineStr">
        <is>
          <t>2026-02-12</t>
        </is>
      </c>
      <c r="B107" s="115" t="inlineStr">
        <is>
          <t>SEAMECLTD</t>
        </is>
      </c>
      <c r="C107" s="115" t="inlineStr">
        <is>
          <t>buy</t>
        </is>
      </c>
      <c r="D107" s="115" t="n">
        <v>10</v>
      </c>
      <c r="E107" s="117" t="n">
        <v>1368</v>
      </c>
      <c r="F107" s="117" t="n">
        <v>13680</v>
      </c>
      <c r="G107" s="115" t="inlineStr">
        <is>
          <t>Cheat 2</t>
        </is>
      </c>
    </row>
    <row r="108">
      <c r="A108" s="115" t="inlineStr">
        <is>
          <t>2026-02-12</t>
        </is>
      </c>
      <c r="B108" s="115" t="inlineStr">
        <is>
          <t>CGPOWER</t>
        </is>
      </c>
      <c r="C108" s="115" t="inlineStr">
        <is>
          <t>buy</t>
        </is>
      </c>
      <c r="D108" s="115" t="n">
        <v>10</v>
      </c>
      <c r="E108" s="117" t="n">
        <v>684</v>
      </c>
      <c r="F108" s="117" t="n">
        <v>6840</v>
      </c>
      <c r="G108" s="115" t="inlineStr">
        <is>
          <t>Cheat 1</t>
        </is>
      </c>
    </row>
    <row r="109">
      <c r="A109" s="115" t="inlineStr">
        <is>
          <t>2026-02-13</t>
        </is>
      </c>
      <c r="B109" s="115" t="inlineStr">
        <is>
          <t>SEAMECLTD</t>
        </is>
      </c>
      <c r="C109" s="115" t="inlineStr">
        <is>
          <t>buy</t>
        </is>
      </c>
      <c r="D109" s="115" t="n">
        <v>14</v>
      </c>
      <c r="E109" s="117" t="n">
        <v>1380.66</v>
      </c>
      <c r="F109" s="117" t="n">
        <v>19329.3</v>
      </c>
      <c r="G109" s="115" t="inlineStr">
        <is>
          <t>Cheat 3</t>
        </is>
      </c>
    </row>
    <row r="110">
      <c r="A110" s="115" t="inlineStr">
        <is>
          <t>2026-02-20</t>
        </is>
      </c>
      <c r="B110" s="115" t="inlineStr">
        <is>
          <t>SBIN</t>
        </is>
      </c>
      <c r="C110" s="115" t="inlineStr">
        <is>
          <t>buy</t>
        </is>
      </c>
      <c r="D110" s="115" t="n">
        <v>82</v>
      </c>
      <c r="E110" s="117" t="n">
        <v>1213.74</v>
      </c>
      <c r="F110" s="117" t="n">
        <v>99527</v>
      </c>
      <c r="G110" s="115" t="inlineStr">
        <is>
          <t>Tranch 2</t>
        </is>
      </c>
    </row>
    <row r="111">
      <c r="A111" s="115" t="inlineStr">
        <is>
          <t>2026-02-20</t>
        </is>
      </c>
      <c r="B111" s="115" t="inlineStr">
        <is>
          <t>TARIL</t>
        </is>
      </c>
      <c r="C111" s="115" t="inlineStr">
        <is>
          <t>buy</t>
        </is>
      </c>
      <c r="D111" s="115" t="n">
        <v>80</v>
      </c>
      <c r="E111" s="117" t="n">
        <v>314.7</v>
      </c>
      <c r="F111" s="117" t="n">
        <v>25175.98</v>
      </c>
      <c r="G111" s="115" t="inlineStr">
        <is>
          <t>Cheat 1</t>
        </is>
      </c>
    </row>
    <row r="112">
      <c r="A112" s="115" t="inlineStr">
        <is>
          <t>2026-02-20</t>
        </is>
      </c>
      <c r="B112" s="115" t="inlineStr">
        <is>
          <t>JKTYRE</t>
        </is>
      </c>
      <c r="C112" s="115" t="inlineStr">
        <is>
          <t>buy</t>
        </is>
      </c>
      <c r="D112" s="115" t="n">
        <v>93</v>
      </c>
      <c r="E112" s="117" t="n">
        <v>538.92</v>
      </c>
      <c r="F112" s="117" t="n">
        <v>50119.35</v>
      </c>
      <c r="G112" s="115" t="inlineStr">
        <is>
          <t>Tranch 1</t>
        </is>
      </c>
    </row>
    <row r="113">
      <c r="A113" s="115" t="inlineStr">
        <is>
          <t>2026-02-20</t>
        </is>
      </c>
      <c r="B113" s="115" t="inlineStr">
        <is>
          <t>CGPOWER</t>
        </is>
      </c>
      <c r="C113" s="115" t="inlineStr">
        <is>
          <t>buy</t>
        </is>
      </c>
      <c r="D113" s="115" t="n">
        <v>27</v>
      </c>
      <c r="E113" s="117" t="n">
        <v>714.9</v>
      </c>
      <c r="F113" s="117" t="n">
        <v>19302.3</v>
      </c>
      <c r="G113" s="115" t="inlineStr">
        <is>
          <t>Cheat 2</t>
        </is>
      </c>
    </row>
    <row r="114">
      <c r="A114" s="115" t="inlineStr">
        <is>
          <t>2026-02-27</t>
        </is>
      </c>
      <c r="B114" s="115" t="inlineStr">
        <is>
          <t>IOC</t>
        </is>
      </c>
      <c r="C114" s="115" t="inlineStr">
        <is>
          <t>buy</t>
        </is>
      </c>
      <c r="D114" s="115" t="n">
        <v>266</v>
      </c>
      <c r="E114" s="117" t="n">
        <v>188.15</v>
      </c>
      <c r="F114" s="117" t="n">
        <v>50047.9</v>
      </c>
      <c r="G114" s="115" t="inlineStr">
        <is>
          <t>Cheat 2</t>
        </is>
      </c>
    </row>
    <row r="115">
      <c r="A115" s="115" t="inlineStr">
        <is>
          <t>2026-02-27</t>
        </is>
      </c>
      <c r="B115" s="115" t="inlineStr">
        <is>
          <t>MAHABANK</t>
        </is>
      </c>
      <c r="C115" s="115" t="inlineStr">
        <is>
          <t>buy</t>
        </is>
      </c>
      <c r="D115" s="115" t="n">
        <v>340</v>
      </c>
      <c r="E115" s="117" t="n">
        <v>75</v>
      </c>
      <c r="F115" s="117" t="n">
        <v>25500</v>
      </c>
      <c r="G115" s="115" t="inlineStr">
        <is>
          <t>Cheat 3</t>
        </is>
      </c>
    </row>
    <row r="116">
      <c r="A116" s="115" t="inlineStr">
        <is>
          <t>2026-02-27</t>
        </is>
      </c>
      <c r="B116" s="115" t="inlineStr">
        <is>
          <t>TDPOWERSYS</t>
        </is>
      </c>
      <c r="C116" s="115" t="inlineStr">
        <is>
          <t>buy</t>
        </is>
      </c>
      <c r="D116" s="115" t="n">
        <v>45</v>
      </c>
      <c r="E116" s="117" t="n">
        <v>908</v>
      </c>
      <c r="F116" s="117" t="n">
        <v>40860</v>
      </c>
      <c r="G116" s="115" t="inlineStr">
        <is>
          <t>Cheat 2</t>
        </is>
      </c>
    </row>
    <row r="117">
      <c r="A117" s="115" t="inlineStr">
        <is>
          <t>2026-02-27</t>
        </is>
      </c>
      <c r="B117" s="115" t="inlineStr">
        <is>
          <t>RAJRATAN</t>
        </is>
      </c>
      <c r="C117" s="115" t="inlineStr">
        <is>
          <t>sell</t>
        </is>
      </c>
      <c r="D117" s="115" t="n">
        <v>10</v>
      </c>
      <c r="E117" s="117" t="n">
        <v>419.3</v>
      </c>
      <c r="F117" s="117" t="n">
        <v>4193</v>
      </c>
      <c r="G117" s="115" t="inlineStr">
        <is>
          <t>N/A</t>
        </is>
      </c>
    </row>
    <row r="118">
      <c r="A118" s="115" t="inlineStr">
        <is>
          <t>2026-03-02</t>
        </is>
      </c>
      <c r="B118" s="115" t="inlineStr">
        <is>
          <t>JKTYRE</t>
        </is>
      </c>
      <c r="C118" s="115" t="inlineStr">
        <is>
          <t>sell</t>
        </is>
      </c>
      <c r="D118" s="115" t="n">
        <v>196</v>
      </c>
      <c r="E118" s="117" t="n">
        <v>420.4</v>
      </c>
      <c r="F118" s="117" t="n">
        <v>82398.39999999999</v>
      </c>
      <c r="G118" s="115" t="inlineStr">
        <is>
          <t>N/A</t>
        </is>
      </c>
    </row>
    <row r="119">
      <c r="A119" s="115" t="inlineStr">
        <is>
          <t>2026-03-06</t>
        </is>
      </c>
      <c r="B119" s="115" t="inlineStr">
        <is>
          <t>BEL</t>
        </is>
      </c>
      <c r="C119" s="115" t="inlineStr">
        <is>
          <t>buy</t>
        </is>
      </c>
      <c r="D119" s="115" t="n">
        <v>54</v>
      </c>
      <c r="E119" s="117" t="n">
        <v>468.3</v>
      </c>
      <c r="F119" s="117" t="n">
        <v>25288.2</v>
      </c>
      <c r="G119" s="115" t="inlineStr">
        <is>
          <t>Cheat 1</t>
        </is>
      </c>
    </row>
    <row r="120">
      <c r="A120" s="115" t="inlineStr">
        <is>
          <t>2026-03-06</t>
        </is>
      </c>
      <c r="B120" s="115" t="inlineStr">
        <is>
          <t>MRPL</t>
        </is>
      </c>
      <c r="C120" s="115" t="inlineStr">
        <is>
          <t>buy</t>
        </is>
      </c>
      <c r="D120" s="115" t="n">
        <v>121</v>
      </c>
      <c r="E120" s="117" t="n">
        <v>206.6</v>
      </c>
      <c r="F120" s="117" t="n">
        <v>24998.6</v>
      </c>
      <c r="G120" s="115" t="inlineStr">
        <is>
          <t>Cheat 1</t>
        </is>
      </c>
    </row>
    <row r="121">
      <c r="A121" s="115" t="inlineStr">
        <is>
          <t>2026-03-09</t>
        </is>
      </c>
      <c r="B121" s="115" t="inlineStr">
        <is>
          <t>GVT&amp;D</t>
        </is>
      </c>
      <c r="C121" s="115" t="inlineStr">
        <is>
          <t>buy</t>
        </is>
      </c>
      <c r="D121" s="115" t="n">
        <v>13</v>
      </c>
      <c r="E121" s="117" t="n">
        <v>3775.7</v>
      </c>
      <c r="F121" s="117" t="n">
        <v>49084.1</v>
      </c>
      <c r="G121" s="115" t="inlineStr">
        <is>
          <t>Cheat 1</t>
        </is>
      </c>
    </row>
    <row r="122">
      <c r="A122" s="115" t="inlineStr">
        <is>
          <t>2026-03-09</t>
        </is>
      </c>
      <c r="B122" s="115" t="inlineStr">
        <is>
          <t>CCL</t>
        </is>
      </c>
      <c r="C122" s="115" t="inlineStr">
        <is>
          <t>buy</t>
        </is>
      </c>
      <c r="D122" s="115" t="n">
        <v>49</v>
      </c>
      <c r="E122" s="117" t="n">
        <v>1033.16</v>
      </c>
      <c r="F122" s="117" t="n">
        <v>50624.6</v>
      </c>
      <c r="G122" s="115" t="inlineStr">
        <is>
          <t>Cheat 1</t>
        </is>
      </c>
    </row>
    <row r="123">
      <c r="A123" s="115" t="inlineStr">
        <is>
          <t>2026-03-09</t>
        </is>
      </c>
      <c r="B123" s="115" t="inlineStr">
        <is>
          <t>TDPOWERSYS</t>
        </is>
      </c>
      <c r="C123" s="115" t="inlineStr">
        <is>
          <t>buy</t>
        </is>
      </c>
      <c r="D123" s="115" t="n">
        <v>118</v>
      </c>
      <c r="E123" s="117" t="n">
        <v>846.96</v>
      </c>
      <c r="F123" s="117" t="n">
        <v>99941</v>
      </c>
      <c r="G123" s="115" t="inlineStr">
        <is>
          <t>Tranch 1</t>
        </is>
      </c>
    </row>
    <row r="124">
      <c r="A124" s="115" t="inlineStr">
        <is>
          <t>2026-03-09</t>
        </is>
      </c>
      <c r="B124" s="115" t="inlineStr">
        <is>
          <t>POLYCAB</t>
        </is>
      </c>
      <c r="C124" s="115" t="inlineStr">
        <is>
          <t>buy</t>
        </is>
      </c>
      <c r="D124" s="115" t="n">
        <v>12</v>
      </c>
      <c r="E124" s="117" t="n">
        <v>8230.5</v>
      </c>
      <c r="F124" s="117" t="n">
        <v>98766</v>
      </c>
      <c r="G124" s="115" t="inlineStr">
        <is>
          <t>Tranch 4</t>
        </is>
      </c>
    </row>
    <row r="125">
      <c r="A125" s="115" t="inlineStr">
        <is>
          <t>2026-03-09</t>
        </is>
      </c>
      <c r="B125" s="115" t="inlineStr">
        <is>
          <t>NIFTYBEES</t>
        </is>
      </c>
      <c r="C125" s="115" t="inlineStr">
        <is>
          <t>buy</t>
        </is>
      </c>
      <c r="D125" s="115" t="n">
        <v>92</v>
      </c>
      <c r="E125" s="117" t="n">
        <v>272.59</v>
      </c>
      <c r="F125" s="117" t="n">
        <v>25078.28</v>
      </c>
      <c r="G125" s="115" t="inlineStr">
        <is>
          <t>Cheat 1</t>
        </is>
      </c>
    </row>
    <row r="126">
      <c r="A126" s="115" t="inlineStr">
        <is>
          <t>2026-03-18</t>
        </is>
      </c>
      <c r="B126" s="115" t="inlineStr">
        <is>
          <t>BANKINDIA</t>
        </is>
      </c>
      <c r="C126" s="115" t="inlineStr">
        <is>
          <t>sell</t>
        </is>
      </c>
      <c r="D126" s="115" t="n">
        <v>465</v>
      </c>
      <c r="E126" s="117" t="n">
        <v>152.81</v>
      </c>
      <c r="F126" s="117" t="n">
        <v>71056.85000000001</v>
      </c>
      <c r="G126" s="115" t="inlineStr">
        <is>
          <t>N/A</t>
        </is>
      </c>
    </row>
    <row r="127">
      <c r="A127" s="115" t="inlineStr">
        <is>
          <t>2026-03-20</t>
        </is>
      </c>
      <c r="B127" s="115" t="inlineStr">
        <is>
          <t>SEAMECLTD</t>
        </is>
      </c>
      <c r="C127" s="115" t="inlineStr">
        <is>
          <t>buy</t>
        </is>
      </c>
      <c r="D127" s="115" t="n">
        <v>8</v>
      </c>
      <c r="E127" s="117" t="n">
        <v>1378.7</v>
      </c>
      <c r="F127" s="117" t="n">
        <v>11029.6</v>
      </c>
      <c r="G127" s="115" t="inlineStr">
        <is>
          <t>Cheat 4</t>
        </is>
      </c>
    </row>
    <row r="128">
      <c r="A128" s="115" t="inlineStr">
        <is>
          <t>2026-03-20</t>
        </is>
      </c>
      <c r="B128" s="115" t="inlineStr">
        <is>
          <t>APLAPOLLO</t>
        </is>
      </c>
      <c r="C128" s="115" t="inlineStr">
        <is>
          <t>buy</t>
        </is>
      </c>
      <c r="D128" s="115" t="n">
        <v>51</v>
      </c>
      <c r="E128" s="117" t="n">
        <v>1980.1</v>
      </c>
      <c r="F128" s="117" t="n">
        <v>100985.1</v>
      </c>
      <c r="G128" s="115" t="inlineStr">
        <is>
          <t>Tranch 2</t>
        </is>
      </c>
    </row>
    <row r="129">
      <c r="A129" s="115" t="inlineStr">
        <is>
          <t>2026-03-20</t>
        </is>
      </c>
      <c r="B129" s="115" t="inlineStr">
        <is>
          <t>HBLENGINE</t>
        </is>
      </c>
      <c r="C129" s="115" t="inlineStr">
        <is>
          <t>sell</t>
        </is>
      </c>
      <c r="D129" s="115" t="n">
        <v>226</v>
      </c>
      <c r="E129" s="117" t="n">
        <v>661.78</v>
      </c>
      <c r="F129" s="117" t="n">
        <v>149562.45</v>
      </c>
      <c r="G129" s="115" t="inlineStr">
        <is>
          <t>N/A</t>
        </is>
      </c>
    </row>
    <row r="130">
      <c r="A130" s="115" t="inlineStr">
        <is>
          <t>2026-03-20</t>
        </is>
      </c>
      <c r="B130" s="115" t="inlineStr">
        <is>
          <t>TDPOWERSYS</t>
        </is>
      </c>
      <c r="C130" s="115" t="inlineStr">
        <is>
          <t>buy</t>
        </is>
      </c>
      <c r="D130" s="115" t="n">
        <v>58</v>
      </c>
      <c r="E130" s="117" t="n">
        <v>862.95</v>
      </c>
      <c r="F130" s="117" t="n">
        <v>50051.1</v>
      </c>
      <c r="G130" s="115" t="inlineStr">
        <is>
          <t>Tranch 2</t>
        </is>
      </c>
    </row>
    <row r="131">
      <c r="A131" s="115" t="inlineStr">
        <is>
          <t>2026-03-20</t>
        </is>
      </c>
      <c r="B131" s="115" t="inlineStr">
        <is>
          <t>GVT&amp;D</t>
        </is>
      </c>
      <c r="C131" s="115" t="inlineStr">
        <is>
          <t>buy</t>
        </is>
      </c>
      <c r="D131" s="115" t="n">
        <v>14</v>
      </c>
      <c r="E131" s="117" t="n">
        <v>3676.8</v>
      </c>
      <c r="F131" s="117" t="n">
        <v>51475.2</v>
      </c>
      <c r="G131" s="115" t="inlineStr">
        <is>
          <t>Tranch 1</t>
        </is>
      </c>
    </row>
    <row r="132">
      <c r="A132" s="115" t="inlineStr">
        <is>
          <t>2026-03-20</t>
        </is>
      </c>
      <c r="B132" s="115" t="inlineStr">
        <is>
          <t>SOLARINDS</t>
        </is>
      </c>
      <c r="C132" s="115" t="inlineStr">
        <is>
          <t>buy</t>
        </is>
      </c>
      <c r="D132" s="115" t="n">
        <v>2</v>
      </c>
      <c r="E132" s="117" t="n">
        <v>13021</v>
      </c>
      <c r="F132" s="117" t="n">
        <v>26042</v>
      </c>
      <c r="G132" s="115" t="inlineStr">
        <is>
          <t>Cheat 1</t>
        </is>
      </c>
    </row>
    <row r="133">
      <c r="A133" s="115" t="inlineStr">
        <is>
          <t>2026-04-27</t>
        </is>
      </c>
      <c r="B133" s="115" t="inlineStr">
        <is>
          <t>ASTRAMICRO</t>
        </is>
      </c>
      <c r="C133" s="115" t="inlineStr">
        <is>
          <t>buy</t>
        </is>
      </c>
      <c r="D133" s="115" t="n">
        <v>44</v>
      </c>
      <c r="E133" s="117" t="n">
        <v>1141.55</v>
      </c>
      <c r="F133" s="117" t="n">
        <v>50228.2</v>
      </c>
      <c r="G133" s="115" t="inlineStr">
        <is>
          <t>Cheat 1</t>
        </is>
      </c>
    </row>
    <row r="134">
      <c r="A134" s="115" t="inlineStr">
        <is>
          <t>2026-04-27</t>
        </is>
      </c>
      <c r="B134" s="115" t="inlineStr">
        <is>
          <t>MAZDOCK</t>
        </is>
      </c>
      <c r="C134" s="115" t="inlineStr">
        <is>
          <t>buy</t>
        </is>
      </c>
      <c r="D134" s="115" t="n">
        <v>19</v>
      </c>
      <c r="E134" s="117" t="n">
        <v>2683</v>
      </c>
      <c r="F134" s="117" t="n">
        <v>50977</v>
      </c>
      <c r="G134" s="115" t="inlineStr">
        <is>
          <t>Cheat 1</t>
        </is>
      </c>
    </row>
    <row r="135">
      <c r="A135" s="115" t="inlineStr">
        <is>
          <t>2026-05-04</t>
        </is>
      </c>
      <c r="B135" s="115" t="inlineStr">
        <is>
          <t>APOLLO</t>
        </is>
      </c>
      <c r="C135" s="115" t="inlineStr">
        <is>
          <t>buy</t>
        </is>
      </c>
      <c r="D135" s="115" t="n">
        <v>171</v>
      </c>
      <c r="E135" s="117" t="n">
        <v>293.85</v>
      </c>
      <c r="F135" s="117" t="n">
        <v>50248.35</v>
      </c>
      <c r="G135" s="115" t="inlineStr">
        <is>
          <t>Cheat 1</t>
        </is>
      </c>
    </row>
    <row r="136">
      <c r="A136" s="115" t="inlineStr">
        <is>
          <t>2026-05-04</t>
        </is>
      </c>
      <c r="B136" s="115" t="inlineStr">
        <is>
          <t>BPCL</t>
        </is>
      </c>
      <c r="C136" s="115" t="inlineStr">
        <is>
          <t>sell</t>
        </is>
      </c>
      <c r="D136" s="115" t="n">
        <v>82</v>
      </c>
      <c r="E136" s="117" t="n">
        <v>301.65</v>
      </c>
      <c r="F136" s="117" t="n">
        <v>24735.3</v>
      </c>
      <c r="G136" s="115" t="inlineStr">
        <is>
          <t>N/A</t>
        </is>
      </c>
    </row>
    <row r="137">
      <c r="A137" s="115" t="inlineStr">
        <is>
          <t>2026-05-04</t>
        </is>
      </c>
      <c r="B137" s="115" t="inlineStr">
        <is>
          <t>MRPL</t>
        </is>
      </c>
      <c r="C137" s="115" t="inlineStr">
        <is>
          <t>sell</t>
        </is>
      </c>
      <c r="D137" s="115" t="n">
        <v>121</v>
      </c>
      <c r="E137" s="117" t="n">
        <v>159.46</v>
      </c>
      <c r="F137" s="117" t="n">
        <v>19294.6</v>
      </c>
      <c r="G137" s="115" t="inlineStr">
        <is>
          <t>N/A</t>
        </is>
      </c>
    </row>
    <row r="138">
      <c r="A138" s="115" t="inlineStr">
        <is>
          <t>2026-05-04</t>
        </is>
      </c>
      <c r="B138" s="115" t="inlineStr">
        <is>
          <t>POCL</t>
        </is>
      </c>
      <c r="C138" s="115" t="inlineStr">
        <is>
          <t>buy</t>
        </is>
      </c>
      <c r="D138" s="115" t="n">
        <v>54</v>
      </c>
      <c r="E138" s="117" t="n">
        <v>1375</v>
      </c>
      <c r="F138" s="117" t="n">
        <v>74250</v>
      </c>
      <c r="G138" s="115" t="inlineStr">
        <is>
          <t>Cheat 1</t>
        </is>
      </c>
    </row>
    <row r="139">
      <c r="A139" s="115" t="inlineStr">
        <is>
          <t>2026-05-05</t>
        </is>
      </c>
      <c r="B139" s="115" t="inlineStr">
        <is>
          <t>VOLTAMP</t>
        </is>
      </c>
      <c r="C139" s="115" t="inlineStr">
        <is>
          <t>buy</t>
        </is>
      </c>
      <c r="D139" s="115" t="n">
        <v>10</v>
      </c>
      <c r="E139" s="117" t="n">
        <v>10033</v>
      </c>
      <c r="F139" s="117" t="n">
        <v>100330</v>
      </c>
      <c r="G139" s="115" t="inlineStr">
        <is>
          <t>Tranch 1</t>
        </is>
      </c>
    </row>
    <row r="140">
      <c r="A140" s="115" t="inlineStr">
        <is>
          <t>2026-05-06</t>
        </is>
      </c>
      <c r="B140" s="115" t="inlineStr">
        <is>
          <t>VOLTAMP</t>
        </is>
      </c>
      <c r="C140" s="115" t="inlineStr">
        <is>
          <t>sell</t>
        </is>
      </c>
      <c r="D140" s="115" t="n">
        <v>10</v>
      </c>
      <c r="E140" s="117" t="n">
        <v>9901</v>
      </c>
      <c r="F140" s="117" t="n">
        <v>99010</v>
      </c>
      <c r="G140" s="115" t="inlineStr">
        <is>
          <t>N/A</t>
        </is>
      </c>
    </row>
    <row r="141">
      <c r="A141" s="115" t="inlineStr">
        <is>
          <t>2026-05-06</t>
        </is>
      </c>
      <c r="B141" s="115" t="inlineStr">
        <is>
          <t>GVT&amp;D</t>
        </is>
      </c>
      <c r="C141" s="115" t="inlineStr">
        <is>
          <t>buy</t>
        </is>
      </c>
      <c r="D141" s="115" t="n">
        <v>22</v>
      </c>
      <c r="E141" s="117" t="n">
        <v>4534.75</v>
      </c>
      <c r="F141" s="117" t="n">
        <v>99764.5</v>
      </c>
      <c r="G141" s="115" t="inlineStr">
        <is>
          <t>Tranch 2</t>
        </is>
      </c>
    </row>
    <row r="142">
      <c r="A142" s="115" t="inlineStr">
        <is>
          <t>2026-05-06</t>
        </is>
      </c>
      <c r="B142" s="115" t="inlineStr">
        <is>
          <t>TDPOWERSYS</t>
        </is>
      </c>
      <c r="C142" s="115" t="inlineStr">
        <is>
          <t>buy</t>
        </is>
      </c>
      <c r="D142" s="115" t="n">
        <v>65</v>
      </c>
      <c r="E142" s="117" t="n">
        <v>1159.76</v>
      </c>
      <c r="F142" s="117" t="n">
        <v>75384.14999999999</v>
      </c>
      <c r="G142" s="115" t="inlineStr">
        <is>
          <t>Tranch 3</t>
        </is>
      </c>
    </row>
    <row r="143">
      <c r="A143" s="115" t="inlineStr">
        <is>
          <t>2026-05-06</t>
        </is>
      </c>
      <c r="B143" s="115" t="inlineStr">
        <is>
          <t>UNOMINDA</t>
        </is>
      </c>
      <c r="C143" s="115" t="inlineStr">
        <is>
          <t>sell</t>
        </is>
      </c>
      <c r="D143" s="115" t="n">
        <v>71</v>
      </c>
      <c r="E143" s="117" t="n">
        <v>1091.8</v>
      </c>
      <c r="F143" s="117" t="n">
        <v>77517.8</v>
      </c>
      <c r="G143" s="115" t="inlineStr">
        <is>
          <t>N/A</t>
        </is>
      </c>
    </row>
    <row r="144">
      <c r="A144" s="115" t="inlineStr">
        <is>
          <t>2026-05-08</t>
        </is>
      </c>
      <c r="B144" s="115" t="inlineStr">
        <is>
          <t>CGPOWER</t>
        </is>
      </c>
      <c r="C144" s="115" t="inlineStr">
        <is>
          <t>buy</t>
        </is>
      </c>
      <c r="D144" s="115" t="n">
        <v>57</v>
      </c>
      <c r="E144" s="117" t="n">
        <v>870.95</v>
      </c>
      <c r="F144" s="117" t="n">
        <v>49644.15</v>
      </c>
      <c r="G144" s="115" t="inlineStr">
        <is>
          <t>Cheat 3</t>
        </is>
      </c>
    </row>
    <row r="145">
      <c r="A145" s="115" t="inlineStr">
        <is>
          <t>2026-05-08</t>
        </is>
      </c>
      <c r="B145" s="115" t="inlineStr">
        <is>
          <t>MAHABANK</t>
        </is>
      </c>
      <c r="C145" s="115" t="inlineStr">
        <is>
          <t>sell</t>
        </is>
      </c>
      <c r="D145" s="115" t="n">
        <v>595</v>
      </c>
      <c r="E145" s="117" t="n">
        <v>83.95</v>
      </c>
      <c r="F145" s="117" t="n">
        <v>49950.85</v>
      </c>
      <c r="G145" s="115" t="inlineStr">
        <is>
          <t>N/A</t>
        </is>
      </c>
    </row>
    <row r="146">
      <c r="A146" s="115" t="inlineStr">
        <is>
          <t>2026-05-08</t>
        </is>
      </c>
      <c r="B146" s="115" t="inlineStr">
        <is>
          <t>MAHABANK</t>
        </is>
      </c>
      <c r="C146" s="115" t="inlineStr">
        <is>
          <t>buy</t>
        </is>
      </c>
      <c r="D146" s="115" t="n">
        <v>595</v>
      </c>
      <c r="E146" s="117" t="n">
        <v>84.05</v>
      </c>
      <c r="F146" s="117" t="n">
        <v>50007.71</v>
      </c>
      <c r="G146" s="115" t="inlineStr">
        <is>
          <t>Tranch 1</t>
        </is>
      </c>
    </row>
    <row r="147">
      <c r="A147" s="115" t="inlineStr">
        <is>
          <t>2026-05-15</t>
        </is>
      </c>
      <c r="B147" s="115" t="inlineStr">
        <is>
          <t>TARIL</t>
        </is>
      </c>
      <c r="C147" s="115" t="inlineStr">
        <is>
          <t>sell</t>
        </is>
      </c>
      <c r="D147" s="115" t="n">
        <v>80</v>
      </c>
      <c r="E147" s="117" t="n">
        <v>304.1</v>
      </c>
      <c r="F147" s="117" t="n">
        <v>24328</v>
      </c>
      <c r="G147" s="115" t="inlineStr">
        <is>
          <t>N/A</t>
        </is>
      </c>
    </row>
    <row r="148">
      <c r="A148" s="115" t="inlineStr">
        <is>
          <t>2026-05-15</t>
        </is>
      </c>
      <c r="B148" s="115" t="inlineStr">
        <is>
          <t>SBIN</t>
        </is>
      </c>
      <c r="C148" s="115" t="inlineStr">
        <is>
          <t>sell</t>
        </is>
      </c>
      <c r="D148" s="115" t="n">
        <v>278</v>
      </c>
      <c r="E148" s="117" t="n">
        <v>970.3</v>
      </c>
      <c r="F148" s="117" t="n">
        <v>269743.4</v>
      </c>
      <c r="G148" s="115" t="inlineStr">
        <is>
          <t>N/A</t>
        </is>
      </c>
    </row>
    <row r="149">
      <c r="A149" s="115" t="inlineStr">
        <is>
          <t>2026-05-15</t>
        </is>
      </c>
      <c r="B149" s="115" t="inlineStr">
        <is>
          <t>POCL</t>
        </is>
      </c>
      <c r="C149" s="115" t="inlineStr">
        <is>
          <t>buy</t>
        </is>
      </c>
      <c r="D149" s="115" t="n">
        <v>16</v>
      </c>
      <c r="E149" s="117" t="n">
        <v>1583.29</v>
      </c>
      <c r="F149" s="117" t="n">
        <v>25332.6</v>
      </c>
      <c r="G149" s="115" t="inlineStr">
        <is>
          <t>Tranch 1</t>
        </is>
      </c>
    </row>
    <row r="150">
      <c r="A150" s="115" t="inlineStr">
        <is>
          <t>2026-05-15</t>
        </is>
      </c>
      <c r="B150" s="115" t="inlineStr">
        <is>
          <t>ACUTAAS</t>
        </is>
      </c>
      <c r="C150" s="115" t="inlineStr">
        <is>
          <t>buy</t>
        </is>
      </c>
      <c r="D150" s="115" t="n">
        <v>18</v>
      </c>
      <c r="E150" s="117" t="n">
        <v>2730</v>
      </c>
      <c r="F150" s="117" t="n">
        <v>49140</v>
      </c>
      <c r="G150" s="115" t="inlineStr">
        <is>
          <t>Cheat 1</t>
        </is>
      </c>
    </row>
    <row r="151">
      <c r="A151" s="115" t="inlineStr">
        <is>
          <t>2026-05-15</t>
        </is>
      </c>
      <c r="B151" s="115" t="inlineStr">
        <is>
          <t>IOC</t>
        </is>
      </c>
      <c r="C151" s="115" t="inlineStr">
        <is>
          <t>sell</t>
        </is>
      </c>
      <c r="D151" s="115" t="n">
        <v>386</v>
      </c>
      <c r="E151" s="117" t="n">
        <v>136.25</v>
      </c>
      <c r="F151" s="117" t="n">
        <v>52592.5</v>
      </c>
      <c r="G151" s="115" t="inlineStr">
        <is>
          <t>N/A</t>
        </is>
      </c>
    </row>
    <row r="152">
      <c r="A152" s="115" t="inlineStr">
        <is>
          <t>2026-05-15</t>
        </is>
      </c>
      <c r="B152" s="115" t="inlineStr">
        <is>
          <t>HINDPETRO</t>
        </is>
      </c>
      <c r="C152" s="115" t="inlineStr">
        <is>
          <t>sell</t>
        </is>
      </c>
      <c r="D152" s="115" t="n">
        <v>205</v>
      </c>
      <c r="E152" s="117" t="n">
        <v>367</v>
      </c>
      <c r="F152" s="117" t="n">
        <v>75235</v>
      </c>
      <c r="G152" s="115" t="inlineStr">
        <is>
          <t>N/A</t>
        </is>
      </c>
    </row>
    <row r="153">
      <c r="A153" s="115" t="inlineStr">
        <is>
          <t>2026-05-15</t>
        </is>
      </c>
      <c r="B153" s="115" t="inlineStr">
        <is>
          <t>ADANIENT</t>
        </is>
      </c>
      <c r="C153" s="115" t="inlineStr">
        <is>
          <t>buy</t>
        </is>
      </c>
      <c r="D153" s="115" t="n">
        <v>19</v>
      </c>
      <c r="E153" s="117" t="n">
        <v>2727.2</v>
      </c>
      <c r="F153" s="117" t="n">
        <v>51816.8</v>
      </c>
      <c r="G153" s="115" t="inlineStr">
        <is>
          <t>Cheat 1</t>
        </is>
      </c>
    </row>
    <row r="154">
      <c r="A154" s="115" t="inlineStr">
        <is>
          <t>2026-05-15</t>
        </is>
      </c>
      <c r="B154" s="115" t="inlineStr">
        <is>
          <t>M&amp;M</t>
        </is>
      </c>
      <c r="C154" s="115" t="inlineStr">
        <is>
          <t>buy</t>
        </is>
      </c>
      <c r="D154" s="115" t="n">
        <v>16</v>
      </c>
      <c r="E154" s="117" t="n">
        <v>3127</v>
      </c>
      <c r="F154" s="117" t="n">
        <v>50032</v>
      </c>
      <c r="G154" s="115" t="inlineStr">
        <is>
          <t>Cheat 1</t>
        </is>
      </c>
    </row>
    <row r="155">
      <c r="A155" s="115" t="inlineStr">
        <is>
          <t>2026-05-15</t>
        </is>
      </c>
      <c r="B155" s="115" t="inlineStr">
        <is>
          <t>MAZDOCK</t>
        </is>
      </c>
      <c r="C155" s="115" t="inlineStr">
        <is>
          <t>sell</t>
        </is>
      </c>
      <c r="D155" s="115" t="n">
        <v>19</v>
      </c>
      <c r="E155" s="117" t="n">
        <v>2505.9</v>
      </c>
      <c r="F155" s="117" t="n">
        <v>47612.05</v>
      </c>
      <c r="G155" s="115" t="inlineStr">
        <is>
          <t>N/A</t>
        </is>
      </c>
    </row>
    <row r="156">
      <c r="A156" s="115" t="inlineStr">
        <is>
          <t>2026-05-15</t>
        </is>
      </c>
      <c r="B156" s="115" t="inlineStr">
        <is>
          <t>BEL</t>
        </is>
      </c>
      <c r="C156" s="115" t="inlineStr">
        <is>
          <t>sell</t>
        </is>
      </c>
      <c r="D156" s="115" t="n">
        <v>222</v>
      </c>
      <c r="E156" s="117" t="n">
        <v>425.25</v>
      </c>
      <c r="F156" s="117" t="n">
        <v>94405.5</v>
      </c>
      <c r="G156" s="115" t="inlineStr">
        <is>
          <t>N/A</t>
        </is>
      </c>
    </row>
    <row r="157">
      <c r="A157" s="115" t="inlineStr">
        <is>
          <t>2026-05-15</t>
        </is>
      </c>
      <c r="B157" s="115" t="inlineStr">
        <is>
          <t>LAURUSLABS</t>
        </is>
      </c>
      <c r="C157" s="115" t="inlineStr">
        <is>
          <t>buy</t>
        </is>
      </c>
      <c r="D157" s="115" t="n">
        <v>38</v>
      </c>
      <c r="E157" s="117" t="n">
        <v>1325.5</v>
      </c>
      <c r="F157" s="117" t="n">
        <v>50369</v>
      </c>
      <c r="G157" s="115" t="inlineStr">
        <is>
          <t>Cheat 1</t>
        </is>
      </c>
    </row>
    <row r="158">
      <c r="A158" s="115" t="inlineStr">
        <is>
          <t>2026-05-18</t>
        </is>
      </c>
      <c r="B158" s="115" t="inlineStr">
        <is>
          <t>SUNPHARMA</t>
        </is>
      </c>
      <c r="C158" s="115" t="inlineStr">
        <is>
          <t>buy</t>
        </is>
      </c>
      <c r="D158" s="115" t="n">
        <v>26</v>
      </c>
      <c r="E158" s="117" t="n">
        <v>1899.2</v>
      </c>
      <c r="F158" s="117" t="n">
        <v>49379.2</v>
      </c>
      <c r="G158" s="115" t="inlineStr">
        <is>
          <t>Cheat 1</t>
        </is>
      </c>
    </row>
    <row r="159">
      <c r="A159" s="115" t="inlineStr">
        <is>
          <t>2026-05-18</t>
        </is>
      </c>
      <c r="B159" s="115" t="inlineStr">
        <is>
          <t>CUPID</t>
        </is>
      </c>
      <c r="C159" s="115" t="inlineStr">
        <is>
          <t>buy</t>
        </is>
      </c>
      <c r="D159" s="115" t="n">
        <v>411</v>
      </c>
      <c r="E159" s="117" t="n">
        <v>121.7</v>
      </c>
      <c r="F159" s="117" t="n">
        <v>50018.7</v>
      </c>
      <c r="G159" s="115" t="inlineStr">
        <is>
          <t>Cheat 1</t>
        </is>
      </c>
    </row>
    <row r="160">
      <c r="A160" s="115" t="inlineStr">
        <is>
          <t>2026-05-18</t>
        </is>
      </c>
      <c r="B160" s="115" t="inlineStr">
        <is>
          <t>AUROPHARMA</t>
        </is>
      </c>
      <c r="C160" s="115" t="inlineStr">
        <is>
          <t>buy</t>
        </is>
      </c>
      <c r="D160" s="115" t="n">
        <v>33</v>
      </c>
      <c r="E160" s="117" t="n">
        <v>1505.6</v>
      </c>
      <c r="F160" s="117" t="n">
        <v>49684.8</v>
      </c>
      <c r="G160" s="115" t="inlineStr">
        <is>
          <t>Cheat 1</t>
        </is>
      </c>
    </row>
    <row r="161">
      <c r="A161" s="115" t="inlineStr">
        <is>
          <t>2026-05-18</t>
        </is>
      </c>
      <c r="B161" s="115" t="inlineStr">
        <is>
          <t>AJANTPHARM</t>
        </is>
      </c>
      <c r="C161" s="115" t="inlineStr">
        <is>
          <t>buy</t>
        </is>
      </c>
      <c r="D161" s="115" t="n">
        <v>10</v>
      </c>
      <c r="E161" s="117" t="n">
        <v>3214</v>
      </c>
      <c r="F161" s="117" t="n">
        <v>32140</v>
      </c>
      <c r="G161" s="115" t="inlineStr">
        <is>
          <t>Cheat 2</t>
        </is>
      </c>
    </row>
    <row r="162">
      <c r="A162" s="115" t="inlineStr">
        <is>
          <t>2026-05-18</t>
        </is>
      </c>
      <c r="B162" s="115" t="inlineStr">
        <is>
          <t>BALAMINES</t>
        </is>
      </c>
      <c r="C162" s="115" t="inlineStr">
        <is>
          <t>buy</t>
        </is>
      </c>
      <c r="D162" s="115" t="n">
        <v>29</v>
      </c>
      <c r="E162" s="117" t="n">
        <v>1713.42</v>
      </c>
      <c r="F162" s="117" t="n">
        <v>49689.3</v>
      </c>
      <c r="G162" s="115" t="inlineStr">
        <is>
          <t>Cheat 1</t>
        </is>
      </c>
    </row>
    <row r="163">
      <c r="A163" s="115" t="inlineStr">
        <is>
          <t>2026-05-19</t>
        </is>
      </c>
      <c r="B163" s="115" t="inlineStr">
        <is>
          <t>TATATECH</t>
        </is>
      </c>
      <c r="C163" s="115" t="inlineStr">
        <is>
          <t>buy</t>
        </is>
      </c>
      <c r="D163" s="115" t="n">
        <v>75</v>
      </c>
      <c r="E163" s="117" t="n">
        <v>670.55</v>
      </c>
      <c r="F163" s="117" t="n">
        <v>50291.25</v>
      </c>
      <c r="G163" s="115" t="inlineStr">
        <is>
          <t>Cheat 1</t>
        </is>
      </c>
    </row>
    <row r="164">
      <c r="A164" s="115" t="inlineStr">
        <is>
          <t>2026-05-20</t>
        </is>
      </c>
      <c r="B164" s="115" t="inlineStr">
        <is>
          <t>MAHABANK</t>
        </is>
      </c>
      <c r="C164" s="115" t="inlineStr">
        <is>
          <t>sell</t>
        </is>
      </c>
      <c r="D164" s="115" t="n">
        <v>720</v>
      </c>
      <c r="E164" s="117" t="n">
        <v>77.70999999999999</v>
      </c>
      <c r="F164" s="117" t="n">
        <v>55951.2</v>
      </c>
      <c r="G164" s="115" t="inlineStr">
        <is>
          <t>N/A</t>
        </is>
      </c>
    </row>
    <row r="165">
      <c r="A165" s="115" t="inlineStr">
        <is>
          <t>2026-05-20</t>
        </is>
      </c>
      <c r="B165" s="115" t="inlineStr">
        <is>
          <t>NIFTYBEES</t>
        </is>
      </c>
      <c r="C165" s="115" t="inlineStr">
        <is>
          <t>sell</t>
        </is>
      </c>
      <c r="D165" s="115" t="n">
        <v>92</v>
      </c>
      <c r="E165" s="117" t="n">
        <v>266.3</v>
      </c>
      <c r="F165" s="117" t="n">
        <v>24499.6</v>
      </c>
      <c r="G165" s="115" t="inlineStr">
        <is>
          <t>N/A</t>
        </is>
      </c>
    </row>
    <row r="166">
      <c r="A166" s="115" t="inlineStr">
        <is>
          <t>2026-05-20</t>
        </is>
      </c>
      <c r="B166" s="115" t="inlineStr">
        <is>
          <t>GMDCLTD</t>
        </is>
      </c>
      <c r="C166" s="115" t="inlineStr">
        <is>
          <t>sell</t>
        </is>
      </c>
      <c r="D166" s="115" t="n">
        <v>41</v>
      </c>
      <c r="E166" s="117" t="n">
        <v>633.5700000000001</v>
      </c>
      <c r="F166" s="117" t="n">
        <v>25976.4</v>
      </c>
      <c r="G166" s="115" t="inlineStr">
        <is>
          <t>N/A</t>
        </is>
      </c>
    </row>
    <row r="167">
      <c r="A167" s="115" t="inlineStr">
        <is>
          <t>2026-05-22</t>
        </is>
      </c>
      <c r="B167" s="115" t="inlineStr">
        <is>
          <t>BALAMINES</t>
        </is>
      </c>
      <c r="C167" s="115" t="inlineStr">
        <is>
          <t>buy</t>
        </is>
      </c>
      <c r="D167" s="115" t="n">
        <v>27</v>
      </c>
      <c r="E167" s="117" t="n">
        <v>1814.76</v>
      </c>
      <c r="F167" s="117" t="n">
        <v>48998.4</v>
      </c>
      <c r="G167" s="115" t="inlineStr">
        <is>
          <t>Tranch 1</t>
        </is>
      </c>
    </row>
    <row r="168">
      <c r="A168" s="115" t="inlineStr">
        <is>
          <t>2026-05-22</t>
        </is>
      </c>
      <c r="B168" s="115" t="inlineStr">
        <is>
          <t>APOLLO</t>
        </is>
      </c>
      <c r="C168" s="115" t="inlineStr">
        <is>
          <t>buy</t>
        </is>
      </c>
      <c r="D168" s="115" t="n">
        <v>141</v>
      </c>
      <c r="E168" s="117" t="n">
        <v>355.5</v>
      </c>
      <c r="F168" s="117" t="n">
        <v>50125.5</v>
      </c>
      <c r="G168" s="115" t="inlineStr">
        <is>
          <t>Tranch 1</t>
        </is>
      </c>
    </row>
    <row r="169">
      <c r="A169" s="115" t="inlineStr">
        <is>
          <t>2026-05-22</t>
        </is>
      </c>
      <c r="B169" s="115" t="inlineStr">
        <is>
          <t>BSE</t>
        </is>
      </c>
      <c r="C169" s="115" t="inlineStr">
        <is>
          <t>buy</t>
        </is>
      </c>
      <c r="D169" s="115" t="n">
        <v>12</v>
      </c>
      <c r="E169" s="117" t="n">
        <v>4195.1</v>
      </c>
      <c r="F169" s="117" t="n">
        <v>50341.2</v>
      </c>
      <c r="G169" s="115" t="inlineStr">
        <is>
          <t>Tranch 1</t>
        </is>
      </c>
    </row>
    <row r="170">
      <c r="A170" s="115" t="inlineStr">
        <is>
          <t>2026-05-22</t>
        </is>
      </c>
      <c r="B170" s="115" t="inlineStr">
        <is>
          <t>NRBBEARING</t>
        </is>
      </c>
      <c r="C170" s="115" t="inlineStr">
        <is>
          <t>buy</t>
        </is>
      </c>
      <c r="D170" s="115" t="n">
        <v>67</v>
      </c>
      <c r="E170" s="117" t="n">
        <v>374</v>
      </c>
      <c r="F170" s="117" t="n">
        <v>25058</v>
      </c>
      <c r="G170" s="115" t="inlineStr">
        <is>
          <t>Cheat 1</t>
        </is>
      </c>
    </row>
    <row r="171">
      <c r="A171" s="115" t="inlineStr">
        <is>
          <t>2026-05-22</t>
        </is>
      </c>
      <c r="B171" s="115" t="inlineStr">
        <is>
          <t>SFL</t>
        </is>
      </c>
      <c r="C171" s="115" t="inlineStr">
        <is>
          <t>buy</t>
        </is>
      </c>
      <c r="D171" s="115" t="n">
        <v>40</v>
      </c>
      <c r="E171" s="117" t="n">
        <v>639.2</v>
      </c>
      <c r="F171" s="117" t="n">
        <v>25568</v>
      </c>
      <c r="G171" s="115" t="inlineStr">
        <is>
          <t>Cheat 1</t>
        </is>
      </c>
    </row>
    <row r="172">
      <c r="A172" s="115" t="inlineStr">
        <is>
          <t>2026-05-25</t>
        </is>
      </c>
      <c r="B172" s="115" t="inlineStr">
        <is>
          <t>NRBBEARING</t>
        </is>
      </c>
      <c r="C172" s="115" t="inlineStr">
        <is>
          <t>buy</t>
        </is>
      </c>
      <c r="D172" s="115" t="n">
        <v>66</v>
      </c>
      <c r="E172" s="117" t="n">
        <v>382</v>
      </c>
      <c r="F172" s="117" t="n">
        <v>25212</v>
      </c>
      <c r="G172" s="115" t="inlineStr">
        <is>
          <t>Cheat 2</t>
        </is>
      </c>
    </row>
    <row r="173">
      <c r="A173" s="115" t="inlineStr">
        <is>
          <t>2026-05-26</t>
        </is>
      </c>
      <c r="B173" s="115" t="inlineStr">
        <is>
          <t>CUPID</t>
        </is>
      </c>
      <c r="C173" s="115" t="inlineStr">
        <is>
          <t>buy</t>
        </is>
      </c>
      <c r="D173" s="115" t="n">
        <v>389</v>
      </c>
      <c r="E173" s="117" t="n">
        <v>128.84</v>
      </c>
      <c r="F173" s="117" t="n">
        <v>50118.76</v>
      </c>
      <c r="G173" s="115" t="inlineStr">
        <is>
          <t>Tranch 2</t>
        </is>
      </c>
    </row>
    <row r="174">
      <c r="A174" s="115" t="inlineStr">
        <is>
          <t>2026-05-27</t>
        </is>
      </c>
      <c r="B174" s="115" t="inlineStr">
        <is>
          <t>CGPOWER</t>
        </is>
      </c>
      <c r="C174" s="115" t="inlineStr">
        <is>
          <t>buy</t>
        </is>
      </c>
      <c r="D174" s="115" t="n">
        <v>28</v>
      </c>
      <c r="E174" s="117" t="n">
        <v>918.55</v>
      </c>
      <c r="F174" s="117" t="n">
        <v>25719.4</v>
      </c>
      <c r="G174" s="115" t="inlineStr">
        <is>
          <t>Tranch 1</t>
        </is>
      </c>
    </row>
    <row r="175">
      <c r="A175" s="115" t="inlineStr">
        <is>
          <t>2026-05-29</t>
        </is>
      </c>
      <c r="B175" s="115" t="inlineStr">
        <is>
          <t>ASTRAMICRO</t>
        </is>
      </c>
      <c r="C175" s="115" t="inlineStr">
        <is>
          <t>buy</t>
        </is>
      </c>
      <c r="D175" s="115" t="n">
        <v>36</v>
      </c>
      <c r="E175" s="117" t="n">
        <v>1403.56</v>
      </c>
      <c r="F175" s="117" t="n">
        <v>50528.2</v>
      </c>
      <c r="G175" s="115" t="inlineStr">
        <is>
          <t>Tranch 1</t>
        </is>
      </c>
    </row>
    <row r="176">
      <c r="A176" s="115" t="inlineStr">
        <is>
          <t>2026-05-29</t>
        </is>
      </c>
      <c r="B176" s="115" t="inlineStr">
        <is>
          <t>TATATECH</t>
        </is>
      </c>
      <c r="C176" s="115" t="inlineStr">
        <is>
          <t>buy</t>
        </is>
      </c>
      <c r="D176" s="115" t="n">
        <v>70</v>
      </c>
      <c r="E176" s="117" t="n">
        <v>713</v>
      </c>
      <c r="F176" s="117" t="n">
        <v>49910</v>
      </c>
      <c r="G176" s="115" t="inlineStr">
        <is>
          <t>Tranch 1</t>
        </is>
      </c>
    </row>
    <row r="177">
      <c r="A177" s="115" t="inlineStr">
        <is>
          <t>2026-05-29</t>
        </is>
      </c>
      <c r="B177" s="115" t="inlineStr">
        <is>
          <t>HINDALCO</t>
        </is>
      </c>
      <c r="C177" s="115" t="inlineStr">
        <is>
          <t>buy</t>
        </is>
      </c>
      <c r="D177" s="115" t="n">
        <v>87</v>
      </c>
      <c r="E177" s="117" t="n">
        <v>1144.5</v>
      </c>
      <c r="F177" s="117" t="n">
        <v>99571.5</v>
      </c>
      <c r="G177" s="115" t="inlineStr">
        <is>
          <t>Tranch 4</t>
        </is>
      </c>
    </row>
    <row r="178">
      <c r="A178" s="115" t="inlineStr">
        <is>
          <t>2026-05-29</t>
        </is>
      </c>
      <c r="B178" s="115" t="inlineStr">
        <is>
          <t>NMDC</t>
        </is>
      </c>
      <c r="C178" s="115" t="inlineStr">
        <is>
          <t>sell</t>
        </is>
      </c>
      <c r="D178" s="115" t="n">
        <v>300</v>
      </c>
      <c r="E178" s="117" t="n">
        <v>87.52</v>
      </c>
      <c r="F178" s="117" t="n">
        <v>26256</v>
      </c>
      <c r="G178" s="115" t="inlineStr">
        <is>
          <t>N/A</t>
        </is>
      </c>
    </row>
    <row r="179">
      <c r="A179" s="115" t="inlineStr">
        <is>
          <t>2026-05-29</t>
        </is>
      </c>
      <c r="B179" s="115" t="inlineStr">
        <is>
          <t>ADANIENT</t>
        </is>
      </c>
      <c r="C179" s="115" t="inlineStr">
        <is>
          <t>buy</t>
        </is>
      </c>
      <c r="D179" s="115" t="n">
        <v>17</v>
      </c>
      <c r="E179" s="117" t="n">
        <v>2954.27</v>
      </c>
      <c r="F179" s="117" t="n">
        <v>50222.6</v>
      </c>
      <c r="G179" s="115" t="inlineStr">
        <is>
          <t>Tranch 1</t>
        </is>
      </c>
    </row>
    <row r="180">
      <c r="A180" s="115" t="inlineStr">
        <is>
          <t>2026-05-29</t>
        </is>
      </c>
      <c r="B180" s="115" t="inlineStr">
        <is>
          <t>THERMAX</t>
        </is>
      </c>
      <c r="C180" s="115" t="inlineStr">
        <is>
          <t>buy</t>
        </is>
      </c>
      <c r="D180" s="115" t="n">
        <v>8</v>
      </c>
      <c r="E180" s="117" t="n">
        <v>4949.8</v>
      </c>
      <c r="F180" s="117" t="n">
        <v>39598.4</v>
      </c>
      <c r="G180" s="115" t="inlineStr">
        <is>
          <t>Cheat 1</t>
        </is>
      </c>
    </row>
    <row r="181">
      <c r="A181" s="115" t="inlineStr">
        <is>
          <t>2026-05-29</t>
        </is>
      </c>
      <c r="B181" s="115" t="inlineStr">
        <is>
          <t>POCL</t>
        </is>
      </c>
      <c r="C181" s="115" t="inlineStr">
        <is>
          <t>sell</t>
        </is>
      </c>
      <c r="D181" s="115" t="n">
        <v>70</v>
      </c>
      <c r="E181" s="117" t="n">
        <v>1292.86</v>
      </c>
      <c r="F181" s="117" t="n">
        <v>90500.5</v>
      </c>
      <c r="G181" s="115" t="inlineStr">
        <is>
          <t>N/A</t>
        </is>
      </c>
    </row>
    <row r="182">
      <c r="A182" s="115" t="inlineStr">
        <is>
          <t>2026-05-29</t>
        </is>
      </c>
      <c r="B182" s="115" t="inlineStr">
        <is>
          <t>APOLLO</t>
        </is>
      </c>
      <c r="C182" s="115" t="inlineStr">
        <is>
          <t>buy</t>
        </is>
      </c>
      <c r="D182" s="115" t="n">
        <v>244</v>
      </c>
      <c r="E182" s="117" t="n">
        <v>409.9</v>
      </c>
      <c r="F182" s="117" t="n">
        <v>100015.6</v>
      </c>
      <c r="G182" s="115" t="inlineStr">
        <is>
          <t>Tranch 2</t>
        </is>
      </c>
    </row>
    <row r="183">
      <c r="A183" s="115" t="inlineStr">
        <is>
          <t>2026-05-29</t>
        </is>
      </c>
      <c r="B183" s="115" t="inlineStr">
        <is>
          <t>LAURUSLABS</t>
        </is>
      </c>
      <c r="C183" s="115" t="inlineStr">
        <is>
          <t>buy</t>
        </is>
      </c>
      <c r="D183" s="115" t="n">
        <v>37</v>
      </c>
      <c r="E183" s="117" t="n">
        <v>1376</v>
      </c>
      <c r="F183" s="117" t="n">
        <v>50912</v>
      </c>
      <c r="G183" s="115" t="inlineStr">
        <is>
          <t>Tranch 1</t>
        </is>
      </c>
    </row>
    <row r="184">
      <c r="A184" s="115" t="inlineStr">
        <is>
          <t>2026-05-29</t>
        </is>
      </c>
      <c r="B184" s="115" t="inlineStr">
        <is>
          <t>CGPOWER</t>
        </is>
      </c>
      <c r="C184" s="115" t="inlineStr">
        <is>
          <t>buy</t>
        </is>
      </c>
      <c r="D184" s="115" t="n">
        <v>108</v>
      </c>
      <c r="E184" s="117" t="n">
        <v>925</v>
      </c>
      <c r="F184" s="117" t="n">
        <v>99899.95</v>
      </c>
      <c r="G184" s="115" t="inlineStr">
        <is>
          <t>Tranch 2</t>
        </is>
      </c>
    </row>
    <row r="185">
      <c r="A185" s="115" t="inlineStr">
        <is>
          <t>2026-06-01</t>
        </is>
      </c>
      <c r="B185" s="115" t="inlineStr">
        <is>
          <t>ZYDUSLIFE</t>
        </is>
      </c>
      <c r="C185" s="115" t="inlineStr">
        <is>
          <t>buy</t>
        </is>
      </c>
      <c r="D185" s="115" t="n">
        <v>46</v>
      </c>
      <c r="E185" s="117" t="n">
        <v>1092.4</v>
      </c>
      <c r="F185" s="117" t="n">
        <v>50250.4</v>
      </c>
      <c r="G185" s="115" t="inlineStr">
        <is>
          <t>Cheat 1</t>
        </is>
      </c>
    </row>
    <row r="186">
      <c r="A186" s="115" t="inlineStr">
        <is>
          <t>2026-06-01</t>
        </is>
      </c>
      <c r="B186" s="115" t="inlineStr">
        <is>
          <t>THERMAX</t>
        </is>
      </c>
      <c r="C186" s="115" t="inlineStr">
        <is>
          <t>buy</t>
        </is>
      </c>
      <c r="D186" s="115" t="n">
        <v>3</v>
      </c>
      <c r="E186" s="117" t="n">
        <v>4997.4</v>
      </c>
      <c r="F186" s="117" t="n">
        <v>14992.2</v>
      </c>
      <c r="G186" s="115" t="inlineStr">
        <is>
          <t>Cheat 2</t>
        </is>
      </c>
    </row>
    <row r="187">
      <c r="A187" s="115" t="inlineStr">
        <is>
          <t>2026-06-01</t>
        </is>
      </c>
      <c r="B187" s="115" t="inlineStr">
        <is>
          <t>TRITURBINE</t>
        </is>
      </c>
      <c r="C187" s="115" t="inlineStr">
        <is>
          <t>buy</t>
        </is>
      </c>
      <c r="D187" s="115" t="n">
        <v>72</v>
      </c>
      <c r="E187" s="117" t="n">
        <v>697.1</v>
      </c>
      <c r="F187" s="117" t="n">
        <v>50191.2</v>
      </c>
      <c r="G187" s="115" t="inlineStr">
        <is>
          <t>Cheat 1</t>
        </is>
      </c>
    </row>
    <row r="188">
      <c r="A188" s="115" t="inlineStr">
        <is>
          <t>2026-06-01</t>
        </is>
      </c>
      <c r="B188" s="115" t="inlineStr">
        <is>
          <t>NETWEB</t>
        </is>
      </c>
      <c r="C188" s="115" t="inlineStr">
        <is>
          <t>buy</t>
        </is>
      </c>
      <c r="D188" s="115" t="n">
        <v>11</v>
      </c>
      <c r="E188" s="117" t="n">
        <v>4599.12</v>
      </c>
      <c r="F188" s="117" t="n">
        <v>50590.3</v>
      </c>
      <c r="G188" s="115" t="inlineStr">
        <is>
          <t>Cheat 1</t>
        </is>
      </c>
    </row>
    <row r="189">
      <c r="A189" s="115" t="inlineStr">
        <is>
          <t>2026-06-01</t>
        </is>
      </c>
      <c r="B189" s="115" t="inlineStr">
        <is>
          <t>SKIPPER</t>
        </is>
      </c>
      <c r="C189" s="115" t="inlineStr">
        <is>
          <t>buy</t>
        </is>
      </c>
      <c r="D189" s="115" t="n">
        <v>92</v>
      </c>
      <c r="E189" s="117" t="n">
        <v>547</v>
      </c>
      <c r="F189" s="117" t="n">
        <v>50324</v>
      </c>
      <c r="G189" s="115" t="inlineStr">
        <is>
          <t>Cheat 1</t>
        </is>
      </c>
    </row>
    <row r="190">
      <c r="A190" s="115" t="inlineStr">
        <is>
          <t>2026-06-01</t>
        </is>
      </c>
      <c r="B190" s="115" t="inlineStr">
        <is>
          <t>EXIDEIND</t>
        </is>
      </c>
      <c r="C190" s="115" t="inlineStr">
        <is>
          <t>buy</t>
        </is>
      </c>
      <c r="D190" s="115" t="n">
        <v>129</v>
      </c>
      <c r="E190" s="117" t="n">
        <v>389.65</v>
      </c>
      <c r="F190" s="117" t="n">
        <v>50264.85</v>
      </c>
      <c r="G190" s="115" t="inlineStr">
        <is>
          <t>Cheat 1</t>
        </is>
      </c>
    </row>
    <row r="191">
      <c r="A191" s="115" t="inlineStr">
        <is>
          <t>2026-06-02</t>
        </is>
      </c>
      <c r="B191" s="115" t="inlineStr">
        <is>
          <t>TRITURBINE</t>
        </is>
      </c>
      <c r="C191" s="115" t="inlineStr">
        <is>
          <t>buy</t>
        </is>
      </c>
      <c r="D191" s="115" t="n">
        <v>42</v>
      </c>
      <c r="E191" s="117" t="n">
        <v>678.75</v>
      </c>
      <c r="F191" s="117" t="n">
        <v>28507.5</v>
      </c>
      <c r="G191" s="115" t="inlineStr">
        <is>
          <t>Cheat 2</t>
        </is>
      </c>
    </row>
    <row r="192">
      <c r="A192" s="115" t="inlineStr">
        <is>
          <t>2026-06-02</t>
        </is>
      </c>
      <c r="B192" s="115" t="inlineStr">
        <is>
          <t>APARINDS</t>
        </is>
      </c>
      <c r="C192" s="115" t="inlineStr">
        <is>
          <t>buy</t>
        </is>
      </c>
      <c r="D192" s="115" t="n">
        <v>4</v>
      </c>
      <c r="E192" s="117" t="n">
        <v>12829</v>
      </c>
      <c r="F192" s="117" t="n">
        <v>51316</v>
      </c>
      <c r="G192" s="115" t="inlineStr">
        <is>
          <t>Cheat 1</t>
        </is>
      </c>
    </row>
    <row r="193">
      <c r="A193" s="115" t="inlineStr">
        <is>
          <t>2026-06-02</t>
        </is>
      </c>
      <c r="B193" s="115" t="inlineStr">
        <is>
          <t>TIPSMUSIC</t>
        </is>
      </c>
      <c r="C193" s="115" t="inlineStr">
        <is>
          <t>buy</t>
        </is>
      </c>
      <c r="D193" s="115" t="n">
        <v>43</v>
      </c>
      <c r="E193" s="117" t="n">
        <v>663.75</v>
      </c>
      <c r="F193" s="117" t="n">
        <v>28541.25</v>
      </c>
      <c r="G193" s="115" t="inlineStr">
        <is>
          <t>Cheat 1</t>
        </is>
      </c>
    </row>
    <row r="194">
      <c r="A194" s="115" t="inlineStr">
        <is>
          <t>2026-06-02</t>
        </is>
      </c>
      <c r="B194" s="115" t="inlineStr">
        <is>
          <t>TIMKEN</t>
        </is>
      </c>
      <c r="C194" s="115" t="inlineStr">
        <is>
          <t>buy</t>
        </is>
      </c>
      <c r="D194" s="115" t="n">
        <v>8</v>
      </c>
      <c r="E194" s="117" t="n">
        <v>3520.1</v>
      </c>
      <c r="F194" s="117" t="n">
        <v>28160.8</v>
      </c>
      <c r="G194" s="115" t="inlineStr">
        <is>
          <t>Cheat 1</t>
        </is>
      </c>
    </row>
    <row r="195">
      <c r="A195" s="115" t="inlineStr">
        <is>
          <t>2026-06-02</t>
        </is>
      </c>
      <c r="B195" s="115" t="inlineStr">
        <is>
          <t>AIAENG</t>
        </is>
      </c>
      <c r="C195" s="115" t="inlineStr">
        <is>
          <t>buy</t>
        </is>
      </c>
      <c r="D195" s="115" t="n">
        <v>6</v>
      </c>
      <c r="E195" s="117" t="n">
        <v>4554.1</v>
      </c>
      <c r="F195" s="117" t="n">
        <v>27324.6</v>
      </c>
      <c r="G195" s="115" t="inlineStr">
        <is>
          <t>Cheat 1</t>
        </is>
      </c>
    </row>
    <row r="196">
      <c r="A196" s="115" t="inlineStr">
        <is>
          <t>2026-06-02</t>
        </is>
      </c>
      <c r="B196" s="115" t="inlineStr">
        <is>
          <t>TDPOWERSYS</t>
        </is>
      </c>
      <c r="C196" s="115" t="inlineStr">
        <is>
          <t>buy</t>
        </is>
      </c>
      <c r="D196" s="115" t="n">
        <v>25</v>
      </c>
      <c r="E196" s="117" t="n">
        <v>1209.4</v>
      </c>
      <c r="F196" s="117" t="n">
        <v>30235</v>
      </c>
      <c r="G196" s="115" t="inlineStr">
        <is>
          <t>Cheat 1</t>
        </is>
      </c>
    </row>
    <row r="197">
      <c r="A197" s="115" t="inlineStr">
        <is>
          <t>2026-06-02</t>
        </is>
      </c>
      <c r="B197" s="115" t="inlineStr">
        <is>
          <t>VBL</t>
        </is>
      </c>
      <c r="C197" s="115" t="inlineStr">
        <is>
          <t>buy</t>
        </is>
      </c>
      <c r="D197" s="115" t="n">
        <v>55</v>
      </c>
      <c r="E197" s="117" t="n">
        <v>533.75</v>
      </c>
      <c r="F197" s="117" t="n">
        <v>29356.25</v>
      </c>
      <c r="G197" s="115" t="inlineStr">
        <is>
          <t>Cheat 1</t>
        </is>
      </c>
    </row>
    <row r="198">
      <c r="A198" s="115" t="inlineStr">
        <is>
          <t>2026-06-02</t>
        </is>
      </c>
      <c r="B198" s="115" t="inlineStr">
        <is>
          <t>ACUTAAS</t>
        </is>
      </c>
      <c r="C198" s="115" t="inlineStr">
        <is>
          <t>buy</t>
        </is>
      </c>
      <c r="D198" s="115" t="n">
        <v>10</v>
      </c>
      <c r="E198" s="117" t="n">
        <v>2933.7</v>
      </c>
      <c r="F198" s="117" t="n">
        <v>29337</v>
      </c>
      <c r="G198" s="115" t="inlineStr">
        <is>
          <t>Cheat 2</t>
        </is>
      </c>
    </row>
    <row r="199">
      <c r="A199" s="115" t="inlineStr">
        <is>
          <t>2026-06-02</t>
        </is>
      </c>
      <c r="B199" s="115" t="inlineStr">
        <is>
          <t>NH</t>
        </is>
      </c>
      <c r="C199" s="115" t="inlineStr">
        <is>
          <t>buy</t>
        </is>
      </c>
      <c r="D199" s="115" t="n">
        <v>15</v>
      </c>
      <c r="E199" s="117" t="n">
        <v>1910.65</v>
      </c>
      <c r="F199" s="117" t="n">
        <v>28659.7</v>
      </c>
      <c r="G199" s="115" t="inlineStr">
        <is>
          <t>Cheat 1</t>
        </is>
      </c>
    </row>
    <row r="200">
      <c r="A200" s="115" t="inlineStr">
        <is>
          <t>2026-06-02</t>
        </is>
      </c>
      <c r="B200" s="115" t="inlineStr">
        <is>
          <t>NGLFINE</t>
        </is>
      </c>
      <c r="C200" s="115" t="inlineStr">
        <is>
          <t>buy</t>
        </is>
      </c>
      <c r="D200" s="115" t="n">
        <v>11</v>
      </c>
      <c r="E200" s="117" t="n">
        <v>2660</v>
      </c>
      <c r="F200" s="117" t="n">
        <v>29260</v>
      </c>
      <c r="G200" s="115" t="inlineStr">
        <is>
          <t>Cheat 1</t>
        </is>
      </c>
    </row>
    <row r="201">
      <c r="A201" s="115" t="inlineStr">
        <is>
          <t>2026-06-02</t>
        </is>
      </c>
      <c r="B201" s="115" t="inlineStr">
        <is>
          <t>KRISHANA</t>
        </is>
      </c>
      <c r="C201" s="115" t="inlineStr">
        <is>
          <t>buy</t>
        </is>
      </c>
      <c r="D201" s="115" t="n">
        <v>43</v>
      </c>
      <c r="E201" s="117" t="n">
        <v>679.8</v>
      </c>
      <c r="F201" s="117" t="n">
        <v>29231.4</v>
      </c>
      <c r="G201" s="115" t="inlineStr">
        <is>
          <t>Cheat 1</t>
        </is>
      </c>
    </row>
    <row r="202">
      <c r="A202" s="115" t="inlineStr">
        <is>
          <t>2026-06-02</t>
        </is>
      </c>
      <c r="B202" s="115" t="inlineStr">
        <is>
          <t>NAVINFLUOR</t>
        </is>
      </c>
      <c r="C202" s="115" t="inlineStr">
        <is>
          <t>buy</t>
        </is>
      </c>
      <c r="D202" s="115" t="n">
        <v>4</v>
      </c>
      <c r="E202" s="117" t="n">
        <v>7050</v>
      </c>
      <c r="F202" s="117" t="n">
        <v>28200</v>
      </c>
      <c r="G202" s="115" t="inlineStr">
        <is>
          <t>Cheat 1</t>
        </is>
      </c>
    </row>
    <row r="203">
      <c r="A203" s="115" t="inlineStr">
        <is>
          <t>2026-06-02</t>
        </is>
      </c>
      <c r="B203" s="115" t="inlineStr">
        <is>
          <t>KEI</t>
        </is>
      </c>
      <c r="C203" s="115" t="inlineStr">
        <is>
          <t>buy</t>
        </is>
      </c>
      <c r="D203" s="115" t="n">
        <v>6</v>
      </c>
      <c r="E203" s="117" t="n">
        <v>5189</v>
      </c>
      <c r="F203" s="117" t="n">
        <v>31134</v>
      </c>
      <c r="G203" s="115" t="inlineStr">
        <is>
          <t>Cheat 1</t>
        </is>
      </c>
    </row>
    <row r="204">
      <c r="A204" s="115" t="inlineStr">
        <is>
          <t>2026-06-02</t>
        </is>
      </c>
      <c r="B204" s="115" t="inlineStr">
        <is>
          <t>LALPATHLAB</t>
        </is>
      </c>
      <c r="C204" s="115" t="inlineStr">
        <is>
          <t>buy</t>
        </is>
      </c>
      <c r="D204" s="115" t="n">
        <v>18</v>
      </c>
      <c r="E204" s="117" t="n">
        <v>1562.2</v>
      </c>
      <c r="F204" s="117" t="n">
        <v>28119.6</v>
      </c>
      <c r="G204" s="115" t="inlineStr">
        <is>
          <t>Cheat 1</t>
        </is>
      </c>
    </row>
    <row r="205">
      <c r="A205" s="115" t="inlineStr">
        <is>
          <t>2026-06-02</t>
        </is>
      </c>
      <c r="B205" s="115" t="inlineStr">
        <is>
          <t>HBLENGINE</t>
        </is>
      </c>
      <c r="C205" s="115" t="inlineStr">
        <is>
          <t>buy</t>
        </is>
      </c>
      <c r="D205" s="115" t="n">
        <v>37</v>
      </c>
      <c r="E205" s="117" t="n">
        <v>787.96</v>
      </c>
      <c r="F205" s="117" t="n">
        <v>29154.4</v>
      </c>
      <c r="G205" s="115" t="inlineStr">
        <is>
          <t>Cheat 1</t>
        </is>
      </c>
    </row>
    <row r="206">
      <c r="A206" s="115" t="inlineStr">
        <is>
          <t>2026-06-02</t>
        </is>
      </c>
      <c r="B206" s="115" t="inlineStr">
        <is>
          <t>GVT&amp;D</t>
        </is>
      </c>
      <c r="C206" s="115" t="inlineStr">
        <is>
          <t>buy</t>
        </is>
      </c>
      <c r="D206" s="115" t="n">
        <v>6</v>
      </c>
      <c r="E206" s="117" t="n">
        <v>4708</v>
      </c>
      <c r="F206" s="117" t="n">
        <v>28248</v>
      </c>
      <c r="G206" s="115" t="inlineStr">
        <is>
          <t>Cheat 1</t>
        </is>
      </c>
    </row>
    <row r="207">
      <c r="A207" s="115" t="inlineStr">
        <is>
          <t>2026-06-02</t>
        </is>
      </c>
      <c r="B207" s="115" t="inlineStr">
        <is>
          <t>RAINBOW</t>
        </is>
      </c>
      <c r="C207" s="115" t="inlineStr">
        <is>
          <t>buy</t>
        </is>
      </c>
      <c r="D207" s="115" t="n">
        <v>21</v>
      </c>
      <c r="E207" s="117" t="n">
        <v>1330.9</v>
      </c>
      <c r="F207" s="117" t="n">
        <v>27948.9</v>
      </c>
      <c r="G207" s="115" t="inlineStr">
        <is>
          <t>Cheat 1</t>
        </is>
      </c>
    </row>
    <row r="208">
      <c r="A208" s="115" t="inlineStr">
        <is>
          <t>2026-06-02</t>
        </is>
      </c>
      <c r="B208" s="115" t="inlineStr">
        <is>
          <t>FCL</t>
        </is>
      </c>
      <c r="C208" s="115" t="inlineStr">
        <is>
          <t>buy</t>
        </is>
      </c>
      <c r="D208" s="115" t="n">
        <v>685</v>
      </c>
      <c r="E208" s="117" t="n">
        <v>42.36</v>
      </c>
      <c r="F208" s="117" t="n">
        <v>29016.6</v>
      </c>
      <c r="G208" s="115" t="inlineStr">
        <is>
          <t>Cheat 1</t>
        </is>
      </c>
    </row>
    <row r="209">
      <c r="A209" s="115" t="inlineStr">
        <is>
          <t>2026-06-02</t>
        </is>
      </c>
      <c r="B209" s="115" t="inlineStr">
        <is>
          <t>PSPPROJECT</t>
        </is>
      </c>
      <c r="C209" s="115" t="inlineStr">
        <is>
          <t>buy</t>
        </is>
      </c>
      <c r="D209" s="115" t="n">
        <v>35</v>
      </c>
      <c r="E209" s="117" t="n">
        <v>838.6</v>
      </c>
      <c r="F209" s="117" t="n">
        <v>29351</v>
      </c>
      <c r="G209" s="115" t="inlineStr">
        <is>
          <t>Cheat 1</t>
        </is>
      </c>
    </row>
    <row r="210">
      <c r="A210" s="115" t="inlineStr">
        <is>
          <t>2026-06-02</t>
        </is>
      </c>
      <c r="B210" s="115" t="inlineStr">
        <is>
          <t>BAJAJ-AUTO</t>
        </is>
      </c>
      <c r="C210" s="115" t="inlineStr">
        <is>
          <t>buy</t>
        </is>
      </c>
      <c r="D210" s="115" t="n">
        <v>3</v>
      </c>
      <c r="E210" s="117" t="n">
        <v>10344</v>
      </c>
      <c r="F210" s="117" t="n">
        <v>31032</v>
      </c>
      <c r="G210" s="115" t="inlineStr">
        <is>
          <t>Cheat 1</t>
        </is>
      </c>
    </row>
    <row r="211">
      <c r="A211" s="115" t="inlineStr">
        <is>
          <t>2026-06-02</t>
        </is>
      </c>
      <c r="B211" s="115" t="inlineStr">
        <is>
          <t>SOLARINDS</t>
        </is>
      </c>
      <c r="C211" s="115" t="inlineStr">
        <is>
          <t>buy</t>
        </is>
      </c>
      <c r="D211" s="115" t="n">
        <v>2</v>
      </c>
      <c r="E211" s="117" t="n">
        <v>18259</v>
      </c>
      <c r="F211" s="117" t="n">
        <v>36518</v>
      </c>
      <c r="G211" s="115" t="inlineStr">
        <is>
          <t>Cheat 2</t>
        </is>
      </c>
    </row>
    <row r="212">
      <c r="A212" s="115" t="inlineStr">
        <is>
          <t>2026-06-02</t>
        </is>
      </c>
      <c r="B212" s="115" t="inlineStr">
        <is>
          <t>CRAFTSMAN</t>
        </is>
      </c>
      <c r="C212" s="115" t="inlineStr">
        <is>
          <t>buy</t>
        </is>
      </c>
      <c r="D212" s="115" t="n">
        <v>6</v>
      </c>
      <c r="E212" s="117" t="n">
        <v>8958</v>
      </c>
      <c r="F212" s="117" t="n">
        <v>53748</v>
      </c>
      <c r="G212" s="115" t="inlineStr">
        <is>
          <t>Cheat 1</t>
        </is>
      </c>
    </row>
    <row r="213">
      <c r="A213" s="115" t="inlineStr">
        <is>
          <t>2026-06-02</t>
        </is>
      </c>
      <c r="B213" s="115" t="inlineStr">
        <is>
          <t>CARYSIL</t>
        </is>
      </c>
      <c r="C213" s="115" t="inlineStr">
        <is>
          <t>buy</t>
        </is>
      </c>
      <c r="D213" s="115" t="n">
        <v>27</v>
      </c>
      <c r="E213" s="117" t="n">
        <v>1101.3</v>
      </c>
      <c r="F213" s="117" t="n">
        <v>29735.1</v>
      </c>
      <c r="G213" s="115" t="inlineStr">
        <is>
          <t>Cheat 1</t>
        </is>
      </c>
    </row>
    <row r="214">
      <c r="A214" s="115" t="inlineStr">
        <is>
          <t>2026-06-02</t>
        </is>
      </c>
      <c r="B214" s="115" t="inlineStr">
        <is>
          <t>CAPLIPOINT</t>
        </is>
      </c>
      <c r="C214" s="115" t="inlineStr">
        <is>
          <t>buy</t>
        </is>
      </c>
      <c r="D214" s="115" t="n">
        <v>15</v>
      </c>
      <c r="E214" s="117" t="n">
        <v>1972.4</v>
      </c>
      <c r="F214" s="117" t="n">
        <v>29586</v>
      </c>
      <c r="G214" s="115" t="inlineStr">
        <is>
          <t>Cheat 1</t>
        </is>
      </c>
    </row>
    <row r="215">
      <c r="A215" s="115" t="inlineStr">
        <is>
          <t>2026-06-02</t>
        </is>
      </c>
      <c r="B215" s="115" t="inlineStr">
        <is>
          <t>SYRMA</t>
        </is>
      </c>
      <c r="C215" s="115" t="inlineStr">
        <is>
          <t>buy</t>
        </is>
      </c>
      <c r="D215" s="115" t="n">
        <v>26</v>
      </c>
      <c r="E215" s="117" t="n">
        <v>1152.9</v>
      </c>
      <c r="F215" s="117" t="n">
        <v>29975.4</v>
      </c>
      <c r="G215" s="115" t="inlineStr">
        <is>
          <t>Cheat 1</t>
        </is>
      </c>
    </row>
    <row r="216">
      <c r="A216" s="115" t="inlineStr">
        <is>
          <t>2026-06-02</t>
        </is>
      </c>
      <c r="B216" s="115" t="inlineStr">
        <is>
          <t>POWERINDIA</t>
        </is>
      </c>
      <c r="C216" s="115" t="inlineStr">
        <is>
          <t>buy</t>
        </is>
      </c>
      <c r="D216" s="115" t="n">
        <v>1</v>
      </c>
      <c r="E216" s="117" t="n">
        <v>35105</v>
      </c>
      <c r="F216" s="117" t="n">
        <v>35105</v>
      </c>
      <c r="G216" s="115" t="inlineStr">
        <is>
          <t>Cheat 1</t>
        </is>
      </c>
    </row>
    <row r="217">
      <c r="A217" s="115" t="inlineStr">
        <is>
          <t>2026-06-02</t>
        </is>
      </c>
      <c r="B217" s="115" t="inlineStr">
        <is>
          <t>METROPOLIS</t>
        </is>
      </c>
      <c r="C217" s="115" t="inlineStr">
        <is>
          <t>buy</t>
        </is>
      </c>
      <c r="D217" s="115" t="n">
        <v>54</v>
      </c>
      <c r="E217" s="117" t="n">
        <v>549.48</v>
      </c>
      <c r="F217" s="117" t="n">
        <v>29672</v>
      </c>
      <c r="G217" s="115" t="inlineStr">
        <is>
          <t>Cheat 1</t>
        </is>
      </c>
    </row>
    <row r="218">
      <c r="A218" s="115" t="inlineStr">
        <is>
          <t>2026-06-02</t>
        </is>
      </c>
      <c r="B218" s="115" t="inlineStr">
        <is>
          <t>SBCL</t>
        </is>
      </c>
      <c r="C218" s="115" t="inlineStr">
        <is>
          <t>buy</t>
        </is>
      </c>
      <c r="D218" s="115" t="n">
        <v>40</v>
      </c>
      <c r="E218" s="117" t="n">
        <v>729.6799999999999</v>
      </c>
      <c r="F218" s="117" t="n">
        <v>29187.3</v>
      </c>
      <c r="G218" s="115" t="inlineStr">
        <is>
          <t>Cheat 1</t>
        </is>
      </c>
    </row>
    <row r="219">
      <c r="A219" s="115" t="inlineStr">
        <is>
          <t>2026-06-02</t>
        </is>
      </c>
      <c r="B219" s="115" t="inlineStr">
        <is>
          <t>OFSS</t>
        </is>
      </c>
      <c r="C219" s="115" t="inlineStr">
        <is>
          <t>buy</t>
        </is>
      </c>
      <c r="D219" s="115" t="n">
        <v>3</v>
      </c>
      <c r="E219" s="117" t="n">
        <v>10301</v>
      </c>
      <c r="F219" s="117" t="n">
        <v>30903</v>
      </c>
      <c r="G219" s="115" t="inlineStr">
        <is>
          <t>Cheat 1</t>
        </is>
      </c>
    </row>
    <row r="220">
      <c r="A220" s="115" t="inlineStr">
        <is>
          <t>2026-06-02</t>
        </is>
      </c>
      <c r="B220" s="115" t="inlineStr">
        <is>
          <t>POLYCAB</t>
        </is>
      </c>
      <c r="C220" s="115" t="inlineStr">
        <is>
          <t>buy</t>
        </is>
      </c>
      <c r="D220" s="115" t="n">
        <v>3</v>
      </c>
      <c r="E220" s="117" t="n">
        <v>9432</v>
      </c>
      <c r="F220" s="117" t="n">
        <v>28296</v>
      </c>
      <c r="G220" s="115" t="inlineStr">
        <is>
          <t>Cheat 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87" min="1" max="1"/>
    <col width="11" customWidth="1" style="87" min="2" max="2"/>
    <col width="24" customWidth="1" style="87" min="3" max="3"/>
    <col width="19" customWidth="1" style="87" min="4" max="4"/>
    <col width="16" customWidth="1" style="87" min="5" max="5"/>
    <col width="18" customWidth="1" style="87" min="6" max="6"/>
    <col width="19" customWidth="1" style="87" min="7" max="7"/>
    <col width="40" customWidth="1" style="87" min="8" max="8"/>
    <col width="14" customWidth="1" style="87" min="9" max="9"/>
    <col width="15" customWidth="1" style="87" min="10" max="10"/>
    <col width="35" customWidth="1" style="87" min="11" max="11"/>
    <col width="16" customWidth="1" style="87" min="12" max="12"/>
    <col width="40" customWidth="1" style="87" min="13" max="13"/>
    <col width="40" customWidth="1" style="87" min="14" max="14"/>
    <col width="17" customWidth="1" style="87" min="15" max="15"/>
    <col width="15" customWidth="1" style="87" min="16" max="16"/>
    <col width="15" customWidth="1" style="87" min="17" max="17"/>
    <col width="15" customWidth="1" style="87" min="18" max="18"/>
    <col width="15" customWidth="1" style="87" min="19" max="19"/>
    <col width="15" customWidth="1" style="87" min="20" max="20"/>
    <col width="16" customWidth="1" style="87" min="21" max="21"/>
    <col width="29" customWidth="1" style="87" min="22" max="22"/>
    <col width="30" customWidth="1" style="87" min="23" max="23"/>
    <col width="16" customWidth="1" style="87" min="24" max="24"/>
    <col width="25" customWidth="1" style="87" min="25" max="25"/>
    <col width="14" customWidth="1" style="87" min="26" max="26"/>
  </cols>
  <sheetData>
    <row r="1">
      <c r="A1" s="114" t="inlineStr">
        <is>
          <t>Symbol</t>
        </is>
      </c>
      <c r="B1" s="114" t="inlineStr">
        <is>
          <t>Cap</t>
        </is>
      </c>
      <c r="C1" s="114" t="inlineStr">
        <is>
          <t>TF_Sector</t>
        </is>
      </c>
      <c r="D1" s="114" t="inlineStr">
        <is>
          <t>TF_Classification</t>
        </is>
      </c>
      <c r="E1" s="114" t="inlineStr">
        <is>
          <t>Latest_Tranche</t>
        </is>
      </c>
      <c r="F1" s="114" t="inlineStr">
        <is>
          <t>Current_Quantity</t>
        </is>
      </c>
      <c r="G1" s="114" t="inlineStr">
        <is>
          <t>Average_Buy_Price</t>
        </is>
      </c>
      <c r="H1" s="114" t="inlineStr">
        <is>
          <t>Trend</t>
        </is>
      </c>
      <c r="I1" s="114" t="inlineStr">
        <is>
          <t>SL</t>
        </is>
      </c>
      <c r="J1" s="114" t="inlineStr">
        <is>
          <t>LTP_SL_Diff</t>
        </is>
      </c>
      <c r="K1" s="114" t="inlineStr">
        <is>
          <t>LTP_SL_Diff_Pct</t>
        </is>
      </c>
      <c r="L1" s="114" t="inlineStr">
        <is>
          <t>Invested_Value</t>
        </is>
      </c>
      <c r="M1" s="114" t="inlineStr">
        <is>
          <t>LTP</t>
        </is>
      </c>
      <c r="N1" s="114" t="inlineStr">
        <is>
          <t>Prev_Day_Close</t>
        </is>
      </c>
      <c r="O1" s="114" t="inlineStr">
        <is>
          <t>Prev_Week_Close</t>
        </is>
      </c>
      <c r="P1" s="114" t="inlineStr">
        <is>
          <t>EMA9</t>
        </is>
      </c>
      <c r="Q1" s="114" t="inlineStr">
        <is>
          <t>EMA10</t>
        </is>
      </c>
      <c r="R1" s="114" t="inlineStr">
        <is>
          <t>EMA11</t>
        </is>
      </c>
      <c r="S1" s="114" t="inlineStr">
        <is>
          <t>EMA21</t>
        </is>
      </c>
      <c r="T1" s="114" t="inlineStr">
        <is>
          <t>Current_Value</t>
        </is>
      </c>
      <c r="U1" s="114" t="inlineStr">
        <is>
          <t>Unrealized_PnL</t>
        </is>
      </c>
      <c r="V1" s="114" t="inlineStr">
        <is>
          <t>Return_Pct</t>
        </is>
      </c>
      <c r="W1" s="114" t="inlineStr">
        <is>
          <t>XIRR</t>
        </is>
      </c>
      <c r="X1" s="114" t="inlineStr">
        <is>
          <t>Holding_Period</t>
        </is>
      </c>
      <c r="Y1" s="114" t="inlineStr">
        <is>
          <t>Split_Info</t>
        </is>
      </c>
      <c r="Z1" s="114" t="inlineStr">
        <is>
          <t>Adj_Required</t>
        </is>
      </c>
    </row>
    <row r="2">
      <c r="A2" s="118" t="inlineStr">
        <is>
          <t>ACUTAAS</t>
        </is>
      </c>
      <c r="B2" s="115" t="inlineStr">
        <is>
          <t>Small Cap</t>
        </is>
      </c>
      <c r="C2" s="115" t="inlineStr">
        <is>
          <t>Health / Pharma / Chem</t>
        </is>
      </c>
      <c r="D2" s="115" t="inlineStr">
        <is>
          <t>Core</t>
        </is>
      </c>
      <c r="E2" s="115" t="inlineStr">
        <is>
          <t>Cheat 2</t>
        </is>
      </c>
      <c r="F2" s="115" t="n">
        <v>28</v>
      </c>
      <c r="G2" s="117" t="n">
        <v>2802.75</v>
      </c>
      <c r="H2" s="119">
        <f>IF(M2&gt;N2, "▲", IF(M2&lt;N2, "▼", "─"))</f>
        <v/>
      </c>
      <c r="I2" s="117" t="n">
        <v>2522.47</v>
      </c>
      <c r="J2" s="117">
        <f>M2-I2</f>
        <v/>
      </c>
      <c r="K2" s="120">
        <f>IF(M2&gt;0, (M2-I2)/M2, 0)</f>
        <v/>
      </c>
      <c r="L2" s="117" t="n">
        <v>78477</v>
      </c>
      <c r="M2" s="117">
        <f>IFERROR(INDEX(Price_Update!$F:$F, MATCH(A2, Price_Update!$A:$A, 0)), 3135.7)</f>
        <v/>
      </c>
      <c r="N2" s="117">
        <f>IFERROR(INDEX(Price_Update!$I:$I, MATCH(A2, Price_Update!$A:$A, 0)), 3018.9)</f>
        <v/>
      </c>
      <c r="O2" s="117" t="n">
        <v>3132.5</v>
      </c>
      <c r="P2" s="117" t="n">
        <v>2987.34</v>
      </c>
      <c r="Q2" s="117" t="n">
        <v>2976.36</v>
      </c>
      <c r="R2" s="117" t="n">
        <v>2965.29</v>
      </c>
      <c r="S2" s="117" t="n">
        <v>2858.71</v>
      </c>
      <c r="T2" s="117">
        <f>F2*M2</f>
        <v/>
      </c>
      <c r="U2" s="117">
        <f>T2-L2</f>
        <v/>
      </c>
      <c r="V2" s="120">
        <f>IF(L2&gt;0, U2/L2, 0)</f>
        <v/>
      </c>
      <c r="W2" s="120" t="n">
        <v>19.42956490966906</v>
      </c>
      <c r="X2" s="115" t="n">
        <v>20</v>
      </c>
      <c r="Y2" s="115" t="inlineStr"/>
      <c r="Z2" s="115" t="inlineStr">
        <is>
          <t>No</t>
        </is>
      </c>
    </row>
    <row r="3">
      <c r="A3" s="118" t="inlineStr">
        <is>
          <t>AIAENG</t>
        </is>
      </c>
      <c r="B3" s="115" t="inlineStr">
        <is>
          <t>Mid Cap</t>
        </is>
      </c>
      <c r="C3" s="115" t="inlineStr">
        <is>
          <t>Industrial</t>
        </is>
      </c>
      <c r="D3" s="115" t="inlineStr">
        <is>
          <t>Core</t>
        </is>
      </c>
      <c r="E3" s="115" t="inlineStr">
        <is>
          <t>Cheat 1</t>
        </is>
      </c>
      <c r="F3" s="115" t="n">
        <v>6</v>
      </c>
      <c r="G3" s="117" t="n">
        <v>4554.1</v>
      </c>
      <c r="H3" s="119">
        <f>IF(M3&gt;N3, "▲", IF(M3&lt;N3, "▼", "─"))</f>
        <v/>
      </c>
      <c r="I3" s="117" t="n">
        <v>4098.69</v>
      </c>
      <c r="J3" s="117">
        <f>M3-I3</f>
        <v/>
      </c>
      <c r="K3" s="120">
        <f>IF(M3&gt;0, (M3-I3)/M3, 0)</f>
        <v/>
      </c>
      <c r="L3" s="117" t="n">
        <v>27324.6</v>
      </c>
      <c r="M3" s="117">
        <f>IFERROR(INDEX(Price_Update!$F:$F, MATCH(A3, Price_Update!$A:$A, 0)), 4552.3)</f>
        <v/>
      </c>
      <c r="N3" s="117">
        <f>IFERROR(INDEX(Price_Update!$I:$I, MATCH(A3, Price_Update!$A:$A, 0)), 4522.7)</f>
        <v/>
      </c>
      <c r="O3" s="117" t="n">
        <v>4503.6</v>
      </c>
      <c r="P3" s="117" t="n">
        <v>4333.42</v>
      </c>
      <c r="Q3" s="117" t="n">
        <v>4310.26</v>
      </c>
      <c r="R3" s="117" t="n">
        <v>4289.17</v>
      </c>
      <c r="S3" s="117" t="n">
        <v>4150.46</v>
      </c>
      <c r="T3" s="117">
        <f>F3*M3</f>
        <v/>
      </c>
      <c r="U3" s="117">
        <f>T3-L3</f>
        <v/>
      </c>
      <c r="V3" s="120">
        <f>IF(L3&gt;0, U3/L3, 0)</f>
        <v/>
      </c>
      <c r="W3" s="120" t="n">
        <v>-0.06960966861742726</v>
      </c>
      <c r="X3" s="115" t="n">
        <v>2</v>
      </c>
      <c r="Y3" s="115" t="inlineStr"/>
      <c r="Z3" s="115" t="inlineStr">
        <is>
          <t>No</t>
        </is>
      </c>
    </row>
    <row r="4">
      <c r="A4" s="118" t="inlineStr">
        <is>
          <t>APARINDS</t>
        </is>
      </c>
      <c r="B4" s="115" t="inlineStr">
        <is>
          <t>Mid Cap</t>
        </is>
      </c>
      <c r="C4" s="115" t="inlineStr">
        <is>
          <t>Industrial</t>
        </is>
      </c>
      <c r="D4" s="115" t="inlineStr">
        <is>
          <t>Core</t>
        </is>
      </c>
      <c r="E4" s="115" t="inlineStr">
        <is>
          <t>Cheat 1</t>
        </is>
      </c>
      <c r="F4" s="115" t="n">
        <v>4</v>
      </c>
      <c r="G4" s="117" t="n">
        <v>12829</v>
      </c>
      <c r="H4" s="119">
        <f>IF(M4&gt;N4, "▲", IF(M4&lt;N4, "▼", "─"))</f>
        <v/>
      </c>
      <c r="I4" s="117" t="n">
        <v>11546.1</v>
      </c>
      <c r="J4" s="117">
        <f>M4-I4</f>
        <v/>
      </c>
      <c r="K4" s="120">
        <f>IF(M4&gt;0, (M4-I4)/M4, 0)</f>
        <v/>
      </c>
      <c r="L4" s="117" t="n">
        <v>51316</v>
      </c>
      <c r="M4" s="117">
        <f>IFERROR(INDEX(Price_Update!$F:$F, MATCH(A4, Price_Update!$A:$A, 0)), 13270.0)</f>
        <v/>
      </c>
      <c r="N4" s="117">
        <f>IFERROR(INDEX(Price_Update!$I:$I, MATCH(A4, Price_Update!$A:$A, 0)), 12801.0)</f>
        <v/>
      </c>
      <c r="O4" s="117" t="n">
        <v>13118</v>
      </c>
      <c r="P4" s="117" t="n">
        <v>12976.66</v>
      </c>
      <c r="Q4" s="117" t="n">
        <v>12952.49</v>
      </c>
      <c r="R4" s="117" t="n">
        <v>12928.66</v>
      </c>
      <c r="S4" s="117" t="n">
        <v>12678.11</v>
      </c>
      <c r="T4" s="117">
        <f>F4*M4</f>
        <v/>
      </c>
      <c r="U4" s="117">
        <f>T4-L4</f>
        <v/>
      </c>
      <c r="V4" s="120">
        <f>IF(L4&gt;0, U4/L4, 0)</f>
        <v/>
      </c>
      <c r="W4" s="120" t="n">
        <v>476.2615920329927</v>
      </c>
      <c r="X4" s="115" t="n">
        <v>2</v>
      </c>
      <c r="Y4" s="115" t="inlineStr"/>
      <c r="Z4" s="115" t="inlineStr">
        <is>
          <t>No</t>
        </is>
      </c>
    </row>
    <row r="5">
      <c r="A5" s="121" t="inlineStr">
        <is>
          <t>APLAPOLLO</t>
        </is>
      </c>
      <c r="B5" s="115" t="inlineStr">
        <is>
          <t>Mid Cap</t>
        </is>
      </c>
      <c r="C5" s="115" t="inlineStr">
        <is>
          <t>Industrial</t>
        </is>
      </c>
      <c r="D5" s="115" t="inlineStr">
        <is>
          <t>Core</t>
        </is>
      </c>
      <c r="E5" s="115" t="inlineStr">
        <is>
          <t>Tranch 2</t>
        </is>
      </c>
      <c r="F5" s="115" t="n">
        <v>96</v>
      </c>
      <c r="G5" s="117" t="n">
        <v>2100.8</v>
      </c>
      <c r="H5" s="119">
        <f>IF(M5&gt;N5, "▲", IF(M5&lt;N5, "▼", "─"))</f>
        <v/>
      </c>
      <c r="I5" s="117" t="n">
        <v>2237.6</v>
      </c>
      <c r="J5" s="117">
        <f>M5-I5</f>
        <v/>
      </c>
      <c r="K5" s="120">
        <f>IF(M5&gt;0, (M5-I5)/M5, 0)</f>
        <v/>
      </c>
      <c r="L5" s="117" t="n">
        <v>201676.8</v>
      </c>
      <c r="M5" s="117">
        <f>IFERROR(INDEX(Price_Update!$F:$F, MATCH(A5, Price_Update!$A:$A, 0)), 1805.4)</f>
        <v/>
      </c>
      <c r="N5" s="117">
        <f>IFERROR(INDEX(Price_Update!$I:$I, MATCH(A5, Price_Update!$A:$A, 0)), 1788.3)</f>
        <v/>
      </c>
      <c r="O5" s="117" t="n">
        <v>1831.1</v>
      </c>
      <c r="P5" s="117" t="n">
        <v>1835.75</v>
      </c>
      <c r="Q5" s="117" t="n">
        <v>1839.94</v>
      </c>
      <c r="R5" s="117" t="n">
        <v>1843.85</v>
      </c>
      <c r="S5" s="117" t="n">
        <v>1875.61</v>
      </c>
      <c r="T5" s="117">
        <f>F5*M5</f>
        <v/>
      </c>
      <c r="U5" s="117">
        <f>T5-L5</f>
        <v/>
      </c>
      <c r="V5" s="120">
        <f>IF(L5&gt;0, U5/L5, 0)</f>
        <v/>
      </c>
      <c r="W5" s="120" t="n">
        <v>-0.440767212135902</v>
      </c>
      <c r="X5" s="115" t="n">
        <v>115</v>
      </c>
      <c r="Y5" s="115" t="inlineStr"/>
      <c r="Z5" s="115" t="inlineStr">
        <is>
          <t>No</t>
        </is>
      </c>
    </row>
    <row r="6">
      <c r="A6" s="118" t="inlineStr">
        <is>
          <t>BAJAJ-AUTO</t>
        </is>
      </c>
      <c r="B6" s="115" t="inlineStr">
        <is>
          <t>Large Cap</t>
        </is>
      </c>
      <c r="C6" s="115" t="inlineStr">
        <is>
          <t xml:space="preserve">Consumption </t>
        </is>
      </c>
      <c r="D6" s="115" t="inlineStr">
        <is>
          <t>Core</t>
        </is>
      </c>
      <c r="E6" s="115" t="inlineStr">
        <is>
          <t>Cheat 1</t>
        </is>
      </c>
      <c r="F6" s="115" t="n">
        <v>3</v>
      </c>
      <c r="G6" s="117" t="n">
        <v>10344</v>
      </c>
      <c r="H6" s="119">
        <f>IF(M6&gt;N6, "▲", IF(M6&lt;N6, "▼", "─"))</f>
        <v/>
      </c>
      <c r="I6" s="117" t="n">
        <v>9309.6</v>
      </c>
      <c r="J6" s="117">
        <f>M6-I6</f>
        <v/>
      </c>
      <c r="K6" s="120">
        <f>IF(M6&gt;0, (M6-I6)/M6, 0)</f>
        <v/>
      </c>
      <c r="L6" s="117" t="n">
        <v>31032</v>
      </c>
      <c r="M6" s="117">
        <f>IFERROR(INDEX(Price_Update!$F:$F, MATCH(A6, Price_Update!$A:$A, 0)), 10281.0)</f>
        <v/>
      </c>
      <c r="N6" s="117">
        <f>IFERROR(INDEX(Price_Update!$I:$I, MATCH(A6, Price_Update!$A:$A, 0)), 10376.0)</f>
        <v/>
      </c>
      <c r="O6" s="117" t="n">
        <v>10460</v>
      </c>
      <c r="P6" s="117" t="n">
        <v>10402.57</v>
      </c>
      <c r="Q6" s="117" t="n">
        <v>10395.69</v>
      </c>
      <c r="R6" s="117" t="n">
        <v>10387.29</v>
      </c>
      <c r="S6" s="117" t="n">
        <v>10262.54</v>
      </c>
      <c r="T6" s="117">
        <f>F6*M6</f>
        <v/>
      </c>
      <c r="U6" s="117">
        <f>T6-L6</f>
        <v/>
      </c>
      <c r="V6" s="120">
        <f>IF(L6&gt;0, U6/L6, 0)</f>
        <v/>
      </c>
      <c r="W6" s="120" t="n">
        <v>-0.6720560464061971</v>
      </c>
      <c r="X6" s="115" t="n">
        <v>2</v>
      </c>
      <c r="Y6" s="115" t="inlineStr"/>
      <c r="Z6" s="115" t="inlineStr">
        <is>
          <t>No</t>
        </is>
      </c>
    </row>
    <row r="7">
      <c r="A7" s="122" t="inlineStr">
        <is>
          <t>BSE</t>
        </is>
      </c>
      <c r="B7" s="115" t="inlineStr">
        <is>
          <t>Large Cap</t>
        </is>
      </c>
      <c r="C7" s="115" t="inlineStr">
        <is>
          <t>Finance</t>
        </is>
      </c>
      <c r="D7" s="115" t="inlineStr">
        <is>
          <t>Core</t>
        </is>
      </c>
      <c r="E7" s="115" t="inlineStr">
        <is>
          <t>Tranch 1</t>
        </is>
      </c>
      <c r="F7" s="115" t="n">
        <v>30</v>
      </c>
      <c r="G7" s="117" t="n">
        <v>3359</v>
      </c>
      <c r="H7" s="119">
        <f>IF(M7&gt;N7, "▲", IF(M7&lt;N7, "▼", "─"))</f>
        <v/>
      </c>
      <c r="I7" s="117" t="n">
        <v>3023.1</v>
      </c>
      <c r="J7" s="117">
        <f>M7-I7</f>
        <v/>
      </c>
      <c r="K7" s="120">
        <f>IF(M7&gt;0, (M7-I7)/M7, 0)</f>
        <v/>
      </c>
      <c r="L7" s="117" t="n">
        <v>100770</v>
      </c>
      <c r="M7" s="117">
        <f>IFERROR(INDEX(Price_Update!$F:$F, MATCH(A7, Price_Update!$A:$A, 0)), 3966.1)</f>
        <v/>
      </c>
      <c r="N7" s="117">
        <f>IFERROR(INDEX(Price_Update!$I:$I, MATCH(A7, Price_Update!$A:$A, 0)), 4066.6)</f>
        <v/>
      </c>
      <c r="O7" s="117" t="n">
        <v>4146.1</v>
      </c>
      <c r="P7" s="117" t="n">
        <v>4122.17</v>
      </c>
      <c r="Q7" s="117" t="n">
        <v>4120.93</v>
      </c>
      <c r="R7" s="117" t="n">
        <v>4117.44</v>
      </c>
      <c r="S7" s="117" t="n">
        <v>4022.48</v>
      </c>
      <c r="T7" s="117">
        <f>F7*M7</f>
        <v/>
      </c>
      <c r="U7" s="117">
        <f>T7-L7</f>
        <v/>
      </c>
      <c r="V7" s="120">
        <f>IF(L7&gt;0, U7/L7, 0)</f>
        <v/>
      </c>
      <c r="W7" s="120" t="n">
        <v>0.8212996956417972</v>
      </c>
      <c r="X7" s="115" t="n">
        <v>178</v>
      </c>
      <c r="Y7" s="115" t="inlineStr"/>
      <c r="Z7" s="115" t="inlineStr">
        <is>
          <t>No</t>
        </is>
      </c>
    </row>
    <row r="8">
      <c r="A8" s="118" t="inlineStr">
        <is>
          <t>CAPLIPOINT</t>
        </is>
      </c>
      <c r="B8" s="115" t="inlineStr">
        <is>
          <t>Small Cap</t>
        </is>
      </c>
      <c r="C8" s="115" t="inlineStr">
        <is>
          <t>Health / Pharma / Chem</t>
        </is>
      </c>
      <c r="D8" s="115" t="inlineStr">
        <is>
          <t>Core</t>
        </is>
      </c>
      <c r="E8" s="115" t="inlineStr">
        <is>
          <t>Cheat 1</t>
        </is>
      </c>
      <c r="F8" s="115" t="n">
        <v>15</v>
      </c>
      <c r="G8" s="117" t="n">
        <v>1972.4</v>
      </c>
      <c r="H8" s="119">
        <f>IF(M8&gt;N8, "▲", IF(M8&lt;N8, "▼", "─"))</f>
        <v/>
      </c>
      <c r="I8" s="117" t="n">
        <v>1775.16</v>
      </c>
      <c r="J8" s="117">
        <f>M8-I8</f>
        <v/>
      </c>
      <c r="K8" s="120">
        <f>IF(M8&gt;0, (M8-I8)/M8, 0)</f>
        <v/>
      </c>
      <c r="L8" s="117" t="n">
        <v>29586</v>
      </c>
      <c r="M8" s="117">
        <f>IFERROR(INDEX(Price_Update!$F:$F, MATCH(A8, Price_Update!$A:$A, 0)), 1988.1)</f>
        <v/>
      </c>
      <c r="N8" s="117">
        <f>IFERROR(INDEX(Price_Update!$I:$I, MATCH(A8, Price_Update!$A:$A, 0)), 1998.9)</f>
        <v/>
      </c>
      <c r="O8" s="117" t="n">
        <v>2024.5</v>
      </c>
      <c r="P8" s="117" t="n">
        <v>2004.92</v>
      </c>
      <c r="Q8" s="117" t="n">
        <v>2001.52</v>
      </c>
      <c r="R8" s="117" t="n">
        <v>1997.54</v>
      </c>
      <c r="S8" s="117" t="n">
        <v>1947.32</v>
      </c>
      <c r="T8" s="117">
        <f>F8*M8</f>
        <v/>
      </c>
      <c r="U8" s="117">
        <f>T8-L8</f>
        <v/>
      </c>
      <c r="V8" s="120">
        <f>IF(L8&gt;0, U8/L8, 0)</f>
        <v/>
      </c>
      <c r="W8" s="120" t="n">
        <v>3.250007925458546</v>
      </c>
      <c r="X8" s="115" t="n">
        <v>2</v>
      </c>
      <c r="Y8" s="115" t="inlineStr"/>
      <c r="Z8" s="115" t="inlineStr">
        <is>
          <t>No</t>
        </is>
      </c>
    </row>
    <row r="9">
      <c r="A9" s="118" t="inlineStr">
        <is>
          <t>CARYSIL</t>
        </is>
      </c>
      <c r="B9" s="115" t="inlineStr">
        <is>
          <t>Small Cap</t>
        </is>
      </c>
      <c r="C9" s="115" t="inlineStr">
        <is>
          <t xml:space="preserve">Consumption </t>
        </is>
      </c>
      <c r="D9" s="115" t="inlineStr">
        <is>
          <t>Core</t>
        </is>
      </c>
      <c r="E9" s="115" t="inlineStr">
        <is>
          <t>Cheat 1</t>
        </is>
      </c>
      <c r="F9" s="115" t="n">
        <v>27</v>
      </c>
      <c r="G9" s="117" t="n">
        <v>1101.3</v>
      </c>
      <c r="H9" s="119">
        <f>IF(M9&gt;N9, "▲", IF(M9&lt;N9, "▼", "─"))</f>
        <v/>
      </c>
      <c r="I9" s="117" t="n">
        <v>991.17</v>
      </c>
      <c r="J9" s="117">
        <f>M9-I9</f>
        <v/>
      </c>
      <c r="K9" s="120">
        <f>IF(M9&gt;0, (M9-I9)/M9, 0)</f>
        <v/>
      </c>
      <c r="L9" s="117" t="n">
        <v>29735.1</v>
      </c>
      <c r="M9" s="117">
        <f>IFERROR(INDEX(Price_Update!$F:$F, MATCH(A9, Price_Update!$A:$A, 0)), 1113.5)</f>
        <v/>
      </c>
      <c r="N9" s="117">
        <f>IFERROR(INDEX(Price_Update!$I:$I, MATCH(A9, Price_Update!$A:$A, 0)), 1056.0)</f>
        <v/>
      </c>
      <c r="O9" s="117" t="n">
        <v>1077.55</v>
      </c>
      <c r="P9" s="117" t="n">
        <v>1068.87</v>
      </c>
      <c r="Q9" s="117" t="n">
        <v>1063.8</v>
      </c>
      <c r="R9" s="117" t="n">
        <v>1058.75</v>
      </c>
      <c r="S9" s="117" t="n">
        <v>1015.21</v>
      </c>
      <c r="T9" s="117">
        <f>F9*M9</f>
        <v/>
      </c>
      <c r="U9" s="117">
        <f>T9-L9</f>
        <v/>
      </c>
      <c r="V9" s="120">
        <f>IF(L9&gt;0, U9/L9, 0)</f>
        <v/>
      </c>
      <c r="W9" s="120" t="n">
        <v>6.467689322062854</v>
      </c>
      <c r="X9" s="115" t="n">
        <v>2</v>
      </c>
      <c r="Y9" s="115" t="inlineStr"/>
      <c r="Z9" s="115" t="inlineStr">
        <is>
          <t>No</t>
        </is>
      </c>
    </row>
    <row r="10">
      <c r="A10" s="121" t="inlineStr">
        <is>
          <t>CCL</t>
        </is>
      </c>
      <c r="B10" s="115" t="inlineStr">
        <is>
          <t>Small Cap</t>
        </is>
      </c>
      <c r="C10" s="115" t="inlineStr">
        <is>
          <t>Consumption</t>
        </is>
      </c>
      <c r="D10" s="115" t="inlineStr">
        <is>
          <t>Core</t>
        </is>
      </c>
      <c r="E10" s="115" t="inlineStr">
        <is>
          <t>Cheat 1</t>
        </is>
      </c>
      <c r="F10" s="115" t="n">
        <v>49</v>
      </c>
      <c r="G10" s="117" t="n">
        <v>1033.16</v>
      </c>
      <c r="H10" s="119">
        <f>IF(M10&gt;N10, "▲", IF(M10&lt;N10, "▼", "─"))</f>
        <v/>
      </c>
      <c r="I10" s="117" t="n">
        <v>929.84</v>
      </c>
      <c r="J10" s="117">
        <f>M10-I10</f>
        <v/>
      </c>
      <c r="K10" s="120">
        <f>IF(M10&gt;0, (M10-I10)/M10, 0)</f>
        <v/>
      </c>
      <c r="L10" s="117" t="n">
        <v>50624.84</v>
      </c>
      <c r="M10" s="117">
        <f>IFERROR(INDEX(Price_Update!$F:$F, MATCH(A10, Price_Update!$A:$A, 0)), 1078.2)</f>
        <v/>
      </c>
      <c r="N10" s="117">
        <f>IFERROR(INDEX(Price_Update!$I:$I, MATCH(A10, Price_Update!$A:$A, 0)), 1064.8)</f>
        <v/>
      </c>
      <c r="O10" s="117" t="n">
        <v>1053.8</v>
      </c>
      <c r="P10" s="117" t="n">
        <v>1072.65</v>
      </c>
      <c r="Q10" s="117" t="n">
        <v>1074.27</v>
      </c>
      <c r="R10" s="117" t="n">
        <v>1075.88</v>
      </c>
      <c r="S10" s="117" t="n">
        <v>1087.43</v>
      </c>
      <c r="T10" s="117">
        <f>F10*M10</f>
        <v/>
      </c>
      <c r="U10" s="117">
        <f>T10-L10</f>
        <v/>
      </c>
      <c r="V10" s="120">
        <f>IF(L10&gt;0, U10/L10, 0)</f>
        <v/>
      </c>
      <c r="W10" s="120" t="n">
        <v>0.1960704441869839</v>
      </c>
      <c r="X10" s="115" t="n">
        <v>87</v>
      </c>
      <c r="Y10" s="115" t="inlineStr"/>
      <c r="Z10" s="115" t="inlineStr">
        <is>
          <t>No</t>
        </is>
      </c>
    </row>
    <row r="11">
      <c r="A11" s="118" t="inlineStr">
        <is>
          <t>CRAFTSMAN</t>
        </is>
      </c>
      <c r="B11" s="115" t="inlineStr">
        <is>
          <t>Small Cap</t>
        </is>
      </c>
      <c r="C11" s="115" t="inlineStr">
        <is>
          <t>Industrial</t>
        </is>
      </c>
      <c r="D11" s="115" t="inlineStr">
        <is>
          <t>Core</t>
        </is>
      </c>
      <c r="E11" s="115" t="inlineStr">
        <is>
          <t>Cheat 1</t>
        </is>
      </c>
      <c r="F11" s="115" t="n">
        <v>6</v>
      </c>
      <c r="G11" s="117" t="n">
        <v>8958</v>
      </c>
      <c r="H11" s="119">
        <f>IF(M11&gt;N11, "▲", IF(M11&lt;N11, "▼", "─"))</f>
        <v/>
      </c>
      <c r="I11" s="117" t="n">
        <v>8062.2</v>
      </c>
      <c r="J11" s="117">
        <f>M11-I11</f>
        <v/>
      </c>
      <c r="K11" s="120">
        <f>IF(M11&gt;0, (M11-I11)/M11, 0)</f>
        <v/>
      </c>
      <c r="L11" s="117" t="n">
        <v>53748</v>
      </c>
      <c r="M11" s="117">
        <f>IFERROR(INDEX(Price_Update!$F:$F, MATCH(A11, Price_Update!$A:$A, 0)), 8979.0)</f>
        <v/>
      </c>
      <c r="N11" s="117">
        <f>IFERROR(INDEX(Price_Update!$I:$I, MATCH(A11, Price_Update!$A:$A, 0)), 8771.5)</f>
        <v/>
      </c>
      <c r="O11" s="117" t="n">
        <v>9074</v>
      </c>
      <c r="P11" s="117" t="n">
        <v>8774.879999999999</v>
      </c>
      <c r="Q11" s="117" t="n">
        <v>8755.790000000001</v>
      </c>
      <c r="R11" s="117" t="n">
        <v>8736.49</v>
      </c>
      <c r="S11" s="117" t="n">
        <v>8534.309999999999</v>
      </c>
      <c r="T11" s="117">
        <f>F11*M11</f>
        <v/>
      </c>
      <c r="U11" s="117">
        <f>T11-L11</f>
        <v/>
      </c>
      <c r="V11" s="120">
        <f>IF(L11&gt;0, U11/L11, 0)</f>
        <v/>
      </c>
      <c r="W11" s="120" t="n">
        <v>0.5331572634135873</v>
      </c>
      <c r="X11" s="115" t="n">
        <v>2</v>
      </c>
      <c r="Y11" s="115" t="inlineStr"/>
      <c r="Z11" s="115" t="inlineStr">
        <is>
          <t>No</t>
        </is>
      </c>
    </row>
    <row r="12">
      <c r="A12" s="118" t="inlineStr">
        <is>
          <t>FCL</t>
        </is>
      </c>
      <c r="B12" s="115" t="inlineStr">
        <is>
          <t>Small Cap</t>
        </is>
      </c>
      <c r="C12" s="115" t="inlineStr">
        <is>
          <t>Health / Pharma / Chem</t>
        </is>
      </c>
      <c r="D12" s="115" t="inlineStr">
        <is>
          <t>Core</t>
        </is>
      </c>
      <c r="E12" s="115" t="inlineStr">
        <is>
          <t>Cheat 1</t>
        </is>
      </c>
      <c r="F12" s="115" t="n">
        <v>685</v>
      </c>
      <c r="G12" s="117" t="n">
        <v>42.36</v>
      </c>
      <c r="H12" s="119">
        <f>IF(M12&gt;N12, "▲", IF(M12&lt;N12, "▼", "─"))</f>
        <v/>
      </c>
      <c r="I12" s="117" t="n">
        <v>38.12</v>
      </c>
      <c r="J12" s="117">
        <f>M12-I12</f>
        <v/>
      </c>
      <c r="K12" s="120">
        <f>IF(M12&gt;0, (M12-I12)/M12, 0)</f>
        <v/>
      </c>
      <c r="L12" s="117" t="n">
        <v>29016.6</v>
      </c>
      <c r="M12" s="117">
        <f>IFERROR(INDEX(Price_Update!$F:$F, MATCH(A12, Price_Update!$A:$A, 0)), 42.36)</f>
        <v/>
      </c>
      <c r="N12" s="117">
        <f>IFERROR(INDEX(Price_Update!$I:$I, MATCH(A12, Price_Update!$A:$A, 0)), 40.89)</f>
        <v/>
      </c>
      <c r="O12" s="117" t="n">
        <v>39.99</v>
      </c>
      <c r="P12" s="117" t="n">
        <v>38.27</v>
      </c>
      <c r="Q12" s="117" t="n">
        <v>37.8</v>
      </c>
      <c r="R12" s="117" t="n">
        <v>37.36</v>
      </c>
      <c r="S12" s="117" t="n">
        <v>33.78</v>
      </c>
      <c r="T12" s="117">
        <f>F12*M12</f>
        <v/>
      </c>
      <c r="U12" s="117">
        <f>T12-L12</f>
        <v/>
      </c>
      <c r="V12" s="120">
        <f>IF(L12&gt;0, U12/L12, 0)</f>
        <v/>
      </c>
      <c r="W12" s="120" t="n">
        <v>-8.763675382732346e-15</v>
      </c>
      <c r="X12" s="115" t="n">
        <v>2</v>
      </c>
      <c r="Y12" s="115" t="inlineStr"/>
      <c r="Z12" s="115" t="inlineStr">
        <is>
          <t>No</t>
        </is>
      </c>
    </row>
    <row r="13">
      <c r="A13" s="121" t="inlineStr">
        <is>
          <t>FEDERALBNK</t>
        </is>
      </c>
      <c r="B13" s="115" t="inlineStr">
        <is>
          <t>Mid Cap</t>
        </is>
      </c>
      <c r="C13" s="115" t="inlineStr">
        <is>
          <t>Finance</t>
        </is>
      </c>
      <c r="D13" s="115" t="inlineStr">
        <is>
          <t>Core</t>
        </is>
      </c>
      <c r="E13" s="115" t="inlineStr">
        <is>
          <t>Tranch 3</t>
        </is>
      </c>
      <c r="F13" s="115" t="n">
        <v>1172</v>
      </c>
      <c r="G13" s="117" t="n">
        <v>256.22</v>
      </c>
      <c r="H13" s="119">
        <f>IF(M13&gt;N13, "▲", IF(M13&lt;N13, "▼", "─"))</f>
        <v/>
      </c>
      <c r="I13" s="117" t="n">
        <v>260.1</v>
      </c>
      <c r="J13" s="117">
        <f>M13-I13</f>
        <v/>
      </c>
      <c r="K13" s="120">
        <f>IF(M13&gt;0, (M13-I13)/M13, 0)</f>
        <v/>
      </c>
      <c r="L13" s="117" t="n">
        <v>300289.84</v>
      </c>
      <c r="M13" s="117">
        <f>IFERROR(INDEX(Price_Update!$F:$F, MATCH(A13, Price_Update!$A:$A, 0)), 301.05)</f>
        <v/>
      </c>
      <c r="N13" s="117">
        <f>IFERROR(INDEX(Price_Update!$I:$I, MATCH(A13, Price_Update!$A:$A, 0)), 288.2)</f>
        <v/>
      </c>
      <c r="O13" s="117" t="n">
        <v>288.95</v>
      </c>
      <c r="P13" s="117" t="n">
        <v>289.18</v>
      </c>
      <c r="Q13" s="117" t="n">
        <v>289.05</v>
      </c>
      <c r="R13" s="117" t="n">
        <v>288.93</v>
      </c>
      <c r="S13" s="117" t="n">
        <v>288.22</v>
      </c>
      <c r="T13" s="117">
        <f>F13*M13</f>
        <v/>
      </c>
      <c r="U13" s="117">
        <f>T13-L13</f>
        <v/>
      </c>
      <c r="V13" s="120">
        <f>IF(L13&gt;0, U13/L13, 0)</f>
        <v/>
      </c>
      <c r="W13" s="120" t="n">
        <v>0.393497402416063</v>
      </c>
      <c r="X13" s="115" t="n">
        <v>213</v>
      </c>
      <c r="Y13" s="115" t="inlineStr"/>
      <c r="Z13" s="115" t="inlineStr">
        <is>
          <t>No</t>
        </is>
      </c>
    </row>
    <row r="14">
      <c r="A14" s="118" t="inlineStr">
        <is>
          <t>GVT&amp;D</t>
        </is>
      </c>
      <c r="B14" s="115" t="inlineStr">
        <is>
          <t>Large Cap</t>
        </is>
      </c>
      <c r="C14" s="115" t="inlineStr">
        <is>
          <t>Consumption</t>
        </is>
      </c>
      <c r="D14" s="115" t="inlineStr">
        <is>
          <t>Core</t>
        </is>
      </c>
      <c r="E14" s="115" t="inlineStr">
        <is>
          <t>Tranch 2</t>
        </is>
      </c>
      <c r="F14" s="115" t="n">
        <v>55</v>
      </c>
      <c r="G14" s="117" t="n">
        <v>4155.85</v>
      </c>
      <c r="H14" s="119">
        <f>IF(M14&gt;N14, "▲", IF(M14&lt;N14, "▼", "─"))</f>
        <v/>
      </c>
      <c r="I14" s="117" t="n">
        <v>3676.8</v>
      </c>
      <c r="J14" s="117">
        <f>M14-I14</f>
        <v/>
      </c>
      <c r="K14" s="120">
        <f>IF(M14&gt;0, (M14-I14)/M14, 0)</f>
        <v/>
      </c>
      <c r="L14" s="117" t="n">
        <v>228571.75</v>
      </c>
      <c r="M14" s="117">
        <f>IFERROR(INDEX(Price_Update!$F:$F, MATCH(A14, Price_Update!$A:$A, 0)), 4964.5)</f>
        <v/>
      </c>
      <c r="N14" s="117">
        <f>IFERROR(INDEX(Price_Update!$I:$I, MATCH(A14, Price_Update!$A:$A, 0)), 4755.0)</f>
        <v/>
      </c>
      <c r="O14" s="117" t="n">
        <v>5148.6</v>
      </c>
      <c r="P14" s="117" t="n">
        <v>4847.15</v>
      </c>
      <c r="Q14" s="117" t="n">
        <v>4834.36</v>
      </c>
      <c r="R14" s="117" t="n">
        <v>4821.18</v>
      </c>
      <c r="S14" s="117" t="n">
        <v>4692.56</v>
      </c>
      <c r="T14" s="117">
        <f>F14*M14</f>
        <v/>
      </c>
      <c r="U14" s="117">
        <f>T14-L14</f>
        <v/>
      </c>
      <c r="V14" s="120">
        <f>IF(L14&gt;0, U14/L14, 0)</f>
        <v/>
      </c>
      <c r="W14" s="120" t="n">
        <v>2.630591748023986</v>
      </c>
      <c r="X14" s="115" t="n">
        <v>87</v>
      </c>
      <c r="Y14" s="115" t="inlineStr"/>
      <c r="Z14" s="115" t="inlineStr">
        <is>
          <t>No</t>
        </is>
      </c>
    </row>
    <row r="15">
      <c r="A15" s="118" t="inlineStr">
        <is>
          <t>HBLENGINE</t>
        </is>
      </c>
      <c r="B15" s="115" t="inlineStr">
        <is>
          <t>Small Cap</t>
        </is>
      </c>
      <c r="C15" s="115" t="inlineStr">
        <is>
          <t>Industrial</t>
        </is>
      </c>
      <c r="D15" s="115" t="inlineStr">
        <is>
          <t>Core</t>
        </is>
      </c>
      <c r="E15" s="115" t="inlineStr">
        <is>
          <t>Cheat 1</t>
        </is>
      </c>
      <c r="F15" s="115" t="n">
        <v>37</v>
      </c>
      <c r="G15" s="117" t="n">
        <v>865.6900000000001</v>
      </c>
      <c r="H15" s="119">
        <f>IF(M15&gt;N15, "▲", IF(M15&lt;N15, "▼", "─"))</f>
        <v/>
      </c>
      <c r="I15" s="117" t="n">
        <v>844.15</v>
      </c>
      <c r="J15" s="117">
        <f>M15-I15</f>
        <v/>
      </c>
      <c r="K15" s="120">
        <f>IF(M15&gt;0, (M15-I15)/M15, 0)</f>
        <v/>
      </c>
      <c r="L15" s="117" t="n">
        <v>32030.53</v>
      </c>
      <c r="M15" s="117">
        <f>IFERROR(INDEX(Price_Update!$F:$F, MATCH(A15, Price_Update!$A:$A, 0)), 802.7)</f>
        <v/>
      </c>
      <c r="N15" s="117">
        <f>IFERROR(INDEX(Price_Update!$I:$I, MATCH(A15, Price_Update!$A:$A, 0)), 798.15)</f>
        <v/>
      </c>
      <c r="O15" s="117" t="n">
        <v>822.6</v>
      </c>
      <c r="P15" s="117" t="n">
        <v>799.6</v>
      </c>
      <c r="Q15" s="117" t="n">
        <v>798.8</v>
      </c>
      <c r="R15" s="117" t="n">
        <v>798.1</v>
      </c>
      <c r="S15" s="117" t="n">
        <v>792.45</v>
      </c>
      <c r="T15" s="117">
        <f>F15*M15</f>
        <v/>
      </c>
      <c r="U15" s="117">
        <f>T15-L15</f>
        <v/>
      </c>
      <c r="V15" s="120">
        <f>IF(L15&gt;0, U15/L15, 0)</f>
        <v/>
      </c>
      <c r="W15" s="120" t="n">
        <v>-0.4433266700019775</v>
      </c>
      <c r="X15" s="115" t="n">
        <v>2</v>
      </c>
      <c r="Y15" s="115" t="inlineStr"/>
      <c r="Z15" s="115" t="inlineStr">
        <is>
          <t>No</t>
        </is>
      </c>
    </row>
    <row r="16">
      <c r="A16" s="118" t="inlineStr">
        <is>
          <t>HBLENGINE</t>
        </is>
      </c>
      <c r="B16" s="115" t="inlineStr">
        <is>
          <t>Small Cap</t>
        </is>
      </c>
      <c r="C16" s="115" t="inlineStr">
        <is>
          <t>Industrial</t>
        </is>
      </c>
      <c r="D16" s="115" t="inlineStr">
        <is>
          <t>Core</t>
        </is>
      </c>
      <c r="E16" s="115" t="inlineStr">
        <is>
          <t>Cheat 1</t>
        </is>
      </c>
      <c r="F16" s="115" t="n">
        <v>37</v>
      </c>
      <c r="G16" s="117" t="n">
        <v>865.6900000000001</v>
      </c>
      <c r="H16" s="119">
        <f>IF(M16&gt;N16, "▲", IF(M16&lt;N16, "▼", "─"))</f>
        <v/>
      </c>
      <c r="I16" s="117" t="n">
        <v>844.15</v>
      </c>
      <c r="J16" s="117">
        <f>M16-I16</f>
        <v/>
      </c>
      <c r="K16" s="120">
        <f>IF(M16&gt;0, (M16-I16)/M16, 0)</f>
        <v/>
      </c>
      <c r="L16" s="117" t="n">
        <v>32030.53</v>
      </c>
      <c r="M16" s="117">
        <f>IFERROR(INDEX(Price_Update!$F:$F, MATCH(A16, Price_Update!$A:$A, 0)), 802.7)</f>
        <v/>
      </c>
      <c r="N16" s="117">
        <f>IFERROR(INDEX(Price_Update!$I:$I, MATCH(A16, Price_Update!$A:$A, 0)), 798.15)</f>
        <v/>
      </c>
      <c r="O16" s="117" t="n">
        <v>822.6</v>
      </c>
      <c r="P16" s="117" t="n">
        <v>799.6</v>
      </c>
      <c r="Q16" s="117" t="n">
        <v>798.8</v>
      </c>
      <c r="R16" s="117" t="n">
        <v>798.1</v>
      </c>
      <c r="S16" s="117" t="n">
        <v>792.45</v>
      </c>
      <c r="T16" s="117">
        <f>F16*M16</f>
        <v/>
      </c>
      <c r="U16" s="117">
        <f>T16-L16</f>
        <v/>
      </c>
      <c r="V16" s="120">
        <f>IF(L16&gt;0, U16/L16, 0)</f>
        <v/>
      </c>
      <c r="W16" s="120" t="n">
        <v>-0.4433266700019775</v>
      </c>
      <c r="X16" s="115" t="n">
        <v>2</v>
      </c>
      <c r="Y16" s="115" t="inlineStr"/>
      <c r="Z16" s="115" t="inlineStr">
        <is>
          <t>No</t>
        </is>
      </c>
    </row>
    <row r="17">
      <c r="A17" s="118" t="inlineStr">
        <is>
          <t>KEI</t>
        </is>
      </c>
      <c r="B17" s="115" t="inlineStr">
        <is>
          <t>Mid Cap</t>
        </is>
      </c>
      <c r="C17" s="115" t="inlineStr">
        <is>
          <t xml:space="preserve">Consumption </t>
        </is>
      </c>
      <c r="D17" s="115" t="inlineStr">
        <is>
          <t>Core</t>
        </is>
      </c>
      <c r="E17" s="115" t="inlineStr">
        <is>
          <t>Cheat 1</t>
        </is>
      </c>
      <c r="F17" s="115" t="n">
        <v>6</v>
      </c>
      <c r="G17" s="117" t="n">
        <v>5189</v>
      </c>
      <c r="H17" s="119">
        <f>IF(M17&gt;N17, "▲", IF(M17&lt;N17, "▼", "─"))</f>
        <v/>
      </c>
      <c r="I17" s="117" t="n">
        <v>4670.1</v>
      </c>
      <c r="J17" s="117">
        <f>M17-I17</f>
        <v/>
      </c>
      <c r="K17" s="120">
        <f>IF(M17&gt;0, (M17-I17)/M17, 0)</f>
        <v/>
      </c>
      <c r="L17" s="117" t="n">
        <v>31134</v>
      </c>
      <c r="M17" s="117">
        <f>IFERROR(INDEX(Price_Update!$F:$F, MATCH(A17, Price_Update!$A:$A, 0)), 5261.5)</f>
        <v/>
      </c>
      <c r="N17" s="117">
        <f>IFERROR(INDEX(Price_Update!$I:$I, MATCH(A17, Price_Update!$A:$A, 0)), 5174.0)</f>
        <v/>
      </c>
      <c r="O17" s="117" t="n">
        <v>5267.5</v>
      </c>
      <c r="P17" s="117" t="n">
        <v>5260.2</v>
      </c>
      <c r="Q17" s="117" t="n">
        <v>5253.86</v>
      </c>
      <c r="R17" s="117" t="n">
        <v>5246.81</v>
      </c>
      <c r="S17" s="117" t="n">
        <v>5158.6</v>
      </c>
      <c r="T17" s="117">
        <f>F17*M17</f>
        <v/>
      </c>
      <c r="U17" s="117">
        <f>T17-L17</f>
        <v/>
      </c>
      <c r="V17" s="120">
        <f>IF(L17&gt;0, U17/L17, 0)</f>
        <v/>
      </c>
      <c r="W17" s="120" t="n">
        <v>11.5813570416015</v>
      </c>
      <c r="X17" s="115" t="n">
        <v>2</v>
      </c>
      <c r="Y17" s="115" t="inlineStr"/>
      <c r="Z17" s="115" t="inlineStr">
        <is>
          <t>No</t>
        </is>
      </c>
    </row>
    <row r="18">
      <c r="A18" s="118" t="inlineStr">
        <is>
          <t>KRISHANA</t>
        </is>
      </c>
      <c r="B18" s="115" t="inlineStr">
        <is>
          <t>Small Cap</t>
        </is>
      </c>
      <c r="C18" s="115" t="inlineStr">
        <is>
          <t>Health / Pharma / Chem</t>
        </is>
      </c>
      <c r="D18" s="115" t="inlineStr">
        <is>
          <t>Core</t>
        </is>
      </c>
      <c r="E18" s="115" t="inlineStr">
        <is>
          <t>Cheat 1</t>
        </is>
      </c>
      <c r="F18" s="115" t="n">
        <v>43</v>
      </c>
      <c r="G18" s="117" t="n">
        <v>679.8</v>
      </c>
      <c r="H18" s="119">
        <f>IF(M18&gt;N18, "▲", IF(M18&lt;N18, "▼", "─"))</f>
        <v/>
      </c>
      <c r="I18" s="117" t="n">
        <v>611.8200000000001</v>
      </c>
      <c r="J18" s="117">
        <f>M18-I18</f>
        <v/>
      </c>
      <c r="K18" s="120">
        <f>IF(M18&gt;0, (M18-I18)/M18, 0)</f>
        <v/>
      </c>
      <c r="L18" s="117" t="n">
        <v>29231.4</v>
      </c>
      <c r="M18" s="117">
        <f>IFERROR(INDEX(Price_Update!$F:$F, MATCH(A18, Price_Update!$A:$A, 0)), 686.45)</f>
        <v/>
      </c>
      <c r="N18" s="117">
        <f>IFERROR(INDEX(Price_Update!$I:$I, MATCH(A18, Price_Update!$A:$A, 0)), 679.75)</f>
        <v/>
      </c>
      <c r="O18" s="117" t="n">
        <v>668.1</v>
      </c>
      <c r="P18" s="117" t="n">
        <v>677.66</v>
      </c>
      <c r="Q18" s="117" t="n">
        <v>677.17</v>
      </c>
      <c r="R18" s="117" t="n">
        <v>676.6</v>
      </c>
      <c r="S18" s="117" t="n">
        <v>666.39</v>
      </c>
      <c r="T18" s="117">
        <f>F18*M18</f>
        <v/>
      </c>
      <c r="U18" s="117">
        <f>T18-L18</f>
        <v/>
      </c>
      <c r="V18" s="120">
        <f>IF(L18&gt;0, U18/L18, 0)</f>
        <v/>
      </c>
      <c r="W18" s="120" t="n">
        <v>4.90968337121162</v>
      </c>
      <c r="X18" s="115" t="n">
        <v>2</v>
      </c>
      <c r="Y18" s="115" t="inlineStr"/>
      <c r="Z18" s="115" t="inlineStr">
        <is>
          <t>No</t>
        </is>
      </c>
    </row>
    <row r="19">
      <c r="A19" s="118" t="inlineStr">
        <is>
          <t>LALPATHLAB</t>
        </is>
      </c>
      <c r="B19" s="115" t="inlineStr">
        <is>
          <t>Small Cap</t>
        </is>
      </c>
      <c r="C19" s="115" t="inlineStr">
        <is>
          <t>Health / Pharma / Chem</t>
        </is>
      </c>
      <c r="D19" s="115" t="inlineStr">
        <is>
          <t>Core</t>
        </is>
      </c>
      <c r="E19" s="115" t="inlineStr">
        <is>
          <t>Cheat 1</t>
        </is>
      </c>
      <c r="F19" s="115" t="n">
        <v>18</v>
      </c>
      <c r="G19" s="117" t="n">
        <v>1562.2</v>
      </c>
      <c r="H19" s="119">
        <f>IF(M19&gt;N19, "▲", IF(M19&lt;N19, "▼", "─"))</f>
        <v/>
      </c>
      <c r="I19" s="117" t="n">
        <v>1405.98</v>
      </c>
      <c r="J19" s="117">
        <f>M19-I19</f>
        <v/>
      </c>
      <c r="K19" s="120">
        <f>IF(M19&gt;0, (M19-I19)/M19, 0)</f>
        <v/>
      </c>
      <c r="L19" s="117" t="n">
        <v>28119.6</v>
      </c>
      <c r="M19" s="117">
        <f>IFERROR(INDEX(Price_Update!$F:$F, MATCH(A19, Price_Update!$A:$A, 0)), 1561.0)</f>
        <v/>
      </c>
      <c r="N19" s="117">
        <f>IFERROR(INDEX(Price_Update!$I:$I, MATCH(A19, Price_Update!$A:$A, 0)), 1577.3)</f>
        <v/>
      </c>
      <c r="O19" s="117" t="n">
        <v>1607.4</v>
      </c>
      <c r="P19" s="117" t="n">
        <v>1600.96</v>
      </c>
      <c r="Q19" s="117" t="n">
        <v>1601.81</v>
      </c>
      <c r="R19" s="117" t="n">
        <v>1602.03</v>
      </c>
      <c r="S19" s="117" t="n">
        <v>1584.76</v>
      </c>
      <c r="T19" s="117">
        <f>F19*M19</f>
        <v/>
      </c>
      <c r="U19" s="117">
        <f>T19-L19</f>
        <v/>
      </c>
      <c r="V19" s="120">
        <f>IF(L19&gt;0, U19/L19, 0)</f>
        <v/>
      </c>
      <c r="W19" s="120" t="n">
        <v>-0.1308510683368281</v>
      </c>
      <c r="X19" s="115" t="n">
        <v>2</v>
      </c>
      <c r="Y19" s="115" t="inlineStr"/>
      <c r="Z19" s="115" t="inlineStr">
        <is>
          <t>No</t>
        </is>
      </c>
    </row>
    <row r="20">
      <c r="A20" s="121" t="inlineStr">
        <is>
          <t>M&amp;M</t>
        </is>
      </c>
      <c r="B20" s="115" t="inlineStr">
        <is>
          <t>Large Cap</t>
        </is>
      </c>
      <c r="C20" s="115" t="inlineStr">
        <is>
          <t>Industrial</t>
        </is>
      </c>
      <c r="D20" s="115" t="inlineStr">
        <is>
          <t>Core</t>
        </is>
      </c>
      <c r="E20" s="115" t="inlineStr">
        <is>
          <t>Cheat 1</t>
        </is>
      </c>
      <c r="F20" s="115" t="n">
        <v>16</v>
      </c>
      <c r="G20" s="117" t="n">
        <v>3127</v>
      </c>
      <c r="H20" s="119">
        <f>IF(M20&gt;N20, "▲", IF(M20&lt;N20, "▼", "─"))</f>
        <v/>
      </c>
      <c r="I20" s="117" t="n">
        <v>2814.3</v>
      </c>
      <c r="J20" s="117">
        <f>M20-I20</f>
        <v/>
      </c>
      <c r="K20" s="120">
        <f>IF(M20&gt;0, (M20-I20)/M20, 0)</f>
        <v/>
      </c>
      <c r="L20" s="117" t="n">
        <v>50032</v>
      </c>
      <c r="M20" s="117">
        <f>IFERROR(INDEX(Price_Update!$F:$F, MATCH(A20, Price_Update!$A:$A, 0)), 3011.1)</f>
        <v/>
      </c>
      <c r="N20" s="117">
        <f>IFERROR(INDEX(Price_Update!$I:$I, MATCH(A20, Price_Update!$A:$A, 0)), 2970.2)</f>
        <v/>
      </c>
      <c r="O20" s="117" t="n">
        <v>3045.6</v>
      </c>
      <c r="P20" s="117" t="n">
        <v>3063.34</v>
      </c>
      <c r="Q20" s="117" t="n">
        <v>3068.76</v>
      </c>
      <c r="R20" s="117" t="n">
        <v>3073.67</v>
      </c>
      <c r="S20" s="117" t="n">
        <v>3105.14</v>
      </c>
      <c r="T20" s="117">
        <f>F20*M20</f>
        <v/>
      </c>
      <c r="U20" s="117">
        <f>T20-L20</f>
        <v/>
      </c>
      <c r="V20" s="120">
        <f>IF(L20&gt;0, U20/L20, 0)</f>
        <v/>
      </c>
      <c r="W20" s="120" t="n">
        <v>-0.4980612998251581</v>
      </c>
      <c r="X20" s="115" t="n">
        <v>20</v>
      </c>
      <c r="Y20" s="115" t="inlineStr"/>
      <c r="Z20" s="115" t="inlineStr">
        <is>
          <t>No</t>
        </is>
      </c>
    </row>
    <row r="21">
      <c r="A21" s="118" t="inlineStr">
        <is>
          <t>METROPOLIS</t>
        </is>
      </c>
      <c r="B21" s="115" t="inlineStr">
        <is>
          <t>Small Cap</t>
        </is>
      </c>
      <c r="C21" s="115" t="inlineStr">
        <is>
          <t>Health / Pharma / Chem</t>
        </is>
      </c>
      <c r="D21" s="115" t="inlineStr">
        <is>
          <t>Core</t>
        </is>
      </c>
      <c r="E21" s="115" t="inlineStr">
        <is>
          <t>Cheat 1</t>
        </is>
      </c>
      <c r="F21" s="115" t="n">
        <v>54</v>
      </c>
      <c r="G21" s="117" t="n">
        <v>544.58</v>
      </c>
      <c r="H21" s="119">
        <f>IF(M21&gt;N21, "▲", IF(M21&lt;N21, "▼", "─"))</f>
        <v/>
      </c>
      <c r="I21" s="117" t="n">
        <v>490.12</v>
      </c>
      <c r="J21" s="117">
        <f>M21-I21</f>
        <v/>
      </c>
      <c r="K21" s="120">
        <f>IF(M21&gt;0, (M21-I21)/M21, 0)</f>
        <v/>
      </c>
      <c r="L21" s="117" t="n">
        <v>29407.32</v>
      </c>
      <c r="M21" s="117">
        <f>IFERROR(INDEX(Price_Update!$F:$F, MATCH(A21, Price_Update!$A:$A, 0)), 541.5)</f>
        <v/>
      </c>
      <c r="N21" s="117">
        <f>IFERROR(INDEX(Price_Update!$I:$I, MATCH(A21, Price_Update!$A:$A, 0)), 540.85)</f>
        <v/>
      </c>
      <c r="O21" s="117" t="n">
        <v>555.35</v>
      </c>
      <c r="P21" s="117" t="n">
        <v>537.04</v>
      </c>
      <c r="Q21" s="117" t="n">
        <v>536.1</v>
      </c>
      <c r="R21" s="117" t="n">
        <v>535.16</v>
      </c>
      <c r="S21" s="117" t="n">
        <v>525.08</v>
      </c>
      <c r="T21" s="117">
        <f>F21*M21</f>
        <v/>
      </c>
      <c r="U21" s="117">
        <f>T21-L21</f>
        <v/>
      </c>
      <c r="V21" s="120">
        <f>IF(L21&gt;0, U21/L21, 0)</f>
        <v/>
      </c>
      <c r="W21" s="120" t="n">
        <v>-0.5053401118824636</v>
      </c>
      <c r="X21" s="115" t="n">
        <v>2</v>
      </c>
      <c r="Y21" s="115" t="inlineStr">
        <is>
          <t>4:1 Split on 2026-03-20</t>
        </is>
      </c>
      <c r="Z21" s="115" t="inlineStr">
        <is>
          <t>No</t>
        </is>
      </c>
    </row>
    <row r="22">
      <c r="A22" s="118" t="inlineStr">
        <is>
          <t>METROPOLIS</t>
        </is>
      </c>
      <c r="B22" s="115" t="inlineStr">
        <is>
          <t>Small Cap</t>
        </is>
      </c>
      <c r="C22" s="115" t="inlineStr">
        <is>
          <t>Health / Pharma / Chem</t>
        </is>
      </c>
      <c r="D22" s="115" t="inlineStr">
        <is>
          <t>Core</t>
        </is>
      </c>
      <c r="E22" s="115" t="inlineStr">
        <is>
          <t>Cheat 1</t>
        </is>
      </c>
      <c r="F22" s="115" t="n">
        <v>54</v>
      </c>
      <c r="G22" s="117" t="n">
        <v>544.58</v>
      </c>
      <c r="H22" s="119">
        <f>IF(M22&gt;N22, "▲", IF(M22&lt;N22, "▼", "─"))</f>
        <v/>
      </c>
      <c r="I22" s="117" t="n">
        <v>490.12</v>
      </c>
      <c r="J22" s="117">
        <f>M22-I22</f>
        <v/>
      </c>
      <c r="K22" s="120">
        <f>IF(M22&gt;0, (M22-I22)/M22, 0)</f>
        <v/>
      </c>
      <c r="L22" s="117" t="n">
        <v>29407.32</v>
      </c>
      <c r="M22" s="117">
        <f>IFERROR(INDEX(Price_Update!$F:$F, MATCH(A22, Price_Update!$A:$A, 0)), 541.5)</f>
        <v/>
      </c>
      <c r="N22" s="117">
        <f>IFERROR(INDEX(Price_Update!$I:$I, MATCH(A22, Price_Update!$A:$A, 0)), 540.85)</f>
        <v/>
      </c>
      <c r="O22" s="117" t="n">
        <v>555.35</v>
      </c>
      <c r="P22" s="117" t="n">
        <v>537.04</v>
      </c>
      <c r="Q22" s="117" t="n">
        <v>536.1</v>
      </c>
      <c r="R22" s="117" t="n">
        <v>535.16</v>
      </c>
      <c r="S22" s="117" t="n">
        <v>525.08</v>
      </c>
      <c r="T22" s="117">
        <f>F22*M22</f>
        <v/>
      </c>
      <c r="U22" s="117">
        <f>T22-L22</f>
        <v/>
      </c>
      <c r="V22" s="120">
        <f>IF(L22&gt;0, U22/L22, 0)</f>
        <v/>
      </c>
      <c r="W22" s="120" t="n">
        <v>-0.5053401118824636</v>
      </c>
      <c r="X22" s="115" t="n">
        <v>2</v>
      </c>
      <c r="Y22" s="115" t="inlineStr">
        <is>
          <t>4:1 Split on 2026-03-20</t>
        </is>
      </c>
      <c r="Z22" s="115" t="inlineStr">
        <is>
          <t>No</t>
        </is>
      </c>
    </row>
    <row r="23">
      <c r="A23" s="118" t="inlineStr">
        <is>
          <t>NAVINFLUOR</t>
        </is>
      </c>
      <c r="B23" s="115" t="inlineStr">
        <is>
          <t>Mid Cap</t>
        </is>
      </c>
      <c r="C23" s="115" t="inlineStr">
        <is>
          <t>Health / Pharma / Chem</t>
        </is>
      </c>
      <c r="D23" s="115" t="inlineStr">
        <is>
          <t>Core</t>
        </is>
      </c>
      <c r="E23" s="115" t="inlineStr">
        <is>
          <t>Cheat 1</t>
        </is>
      </c>
      <c r="F23" s="115" t="n">
        <v>4</v>
      </c>
      <c r="G23" s="117" t="n">
        <v>7050</v>
      </c>
      <c r="H23" s="119">
        <f>IF(M23&gt;N23, "▲", IF(M23&lt;N23, "▼", "─"))</f>
        <v/>
      </c>
      <c r="I23" s="117" t="n">
        <v>6345</v>
      </c>
      <c r="J23" s="117">
        <f>M23-I23</f>
        <v/>
      </c>
      <c r="K23" s="120">
        <f>IF(M23&gt;0, (M23-I23)/M23, 0)</f>
        <v/>
      </c>
      <c r="L23" s="117" t="n">
        <v>28200</v>
      </c>
      <c r="M23" s="117">
        <f>IFERROR(INDEX(Price_Update!$F:$F, MATCH(A23, Price_Update!$A:$A, 0)), 7052.0)</f>
        <v/>
      </c>
      <c r="N23" s="117">
        <f>IFERROR(INDEX(Price_Update!$I:$I, MATCH(A23, Price_Update!$A:$A, 0)), 6998.5)</f>
        <v/>
      </c>
      <c r="O23" s="117" t="n">
        <v>7129</v>
      </c>
      <c r="P23" s="117" t="n">
        <v>7126.92</v>
      </c>
      <c r="Q23" s="117" t="n">
        <v>7124.05</v>
      </c>
      <c r="R23" s="117" t="n">
        <v>7119.49</v>
      </c>
      <c r="S23" s="117" t="n">
        <v>7029.01</v>
      </c>
      <c r="T23" s="117">
        <f>F23*M23</f>
        <v/>
      </c>
      <c r="U23" s="117">
        <f>T23-L23</f>
        <v/>
      </c>
      <c r="V23" s="120">
        <f>IF(L23&gt;0, U23/L23, 0)</f>
        <v/>
      </c>
      <c r="W23" s="120" t="n">
        <v>0.05312897321671635</v>
      </c>
      <c r="X23" s="115" t="n">
        <v>2</v>
      </c>
      <c r="Y23" s="115" t="inlineStr"/>
      <c r="Z23" s="115" t="inlineStr">
        <is>
          <t>No</t>
        </is>
      </c>
    </row>
    <row r="24">
      <c r="A24" s="118" t="inlineStr">
        <is>
          <t>NGLFINE</t>
        </is>
      </c>
      <c r="B24" s="115" t="inlineStr">
        <is>
          <t>Small Cap</t>
        </is>
      </c>
      <c r="C24" s="115" t="inlineStr">
        <is>
          <t>Health / Pharma / Chem</t>
        </is>
      </c>
      <c r="D24" s="115" t="inlineStr">
        <is>
          <t>Core</t>
        </is>
      </c>
      <c r="E24" s="115" t="inlineStr">
        <is>
          <t>Cheat 1</t>
        </is>
      </c>
      <c r="F24" s="115" t="n">
        <v>11</v>
      </c>
      <c r="G24" s="117" t="n">
        <v>2660</v>
      </c>
      <c r="H24" s="119">
        <f>IF(M24&gt;N24, "▲", IF(M24&lt;N24, "▼", "─"))</f>
        <v/>
      </c>
      <c r="I24" s="117" t="n">
        <v>2394</v>
      </c>
      <c r="J24" s="117">
        <f>M24-I24</f>
        <v/>
      </c>
      <c r="K24" s="120">
        <f>IF(M24&gt;0, (M24-I24)/M24, 0)</f>
        <v/>
      </c>
      <c r="L24" s="117" t="n">
        <v>29260</v>
      </c>
      <c r="M24" s="117">
        <f>IFERROR(INDEX(Price_Update!$F:$F, MATCH(A24, Price_Update!$A:$A, 0)), 2654.5)</f>
        <v/>
      </c>
      <c r="N24" s="117">
        <f>IFERROR(INDEX(Price_Update!$I:$I, MATCH(A24, Price_Update!$A:$A, 0)), 2740.0)</f>
        <v/>
      </c>
      <c r="O24" s="117" t="n">
        <v>2785.1</v>
      </c>
      <c r="P24" s="117" t="n">
        <v>2657.56</v>
      </c>
      <c r="Q24" s="117" t="n">
        <v>2644.38</v>
      </c>
      <c r="R24" s="117" t="n">
        <v>2631.54</v>
      </c>
      <c r="S24" s="117" t="n">
        <v>2531.73</v>
      </c>
      <c r="T24" s="117">
        <f>F24*M24</f>
        <v/>
      </c>
      <c r="U24" s="117">
        <f>T24-L24</f>
        <v/>
      </c>
      <c r="V24" s="120">
        <f>IF(L24&gt;0, U24/L24, 0)</f>
        <v/>
      </c>
      <c r="W24" s="120" t="n">
        <v>-0.3145915079796828</v>
      </c>
      <c r="X24" s="115" t="n">
        <v>2</v>
      </c>
      <c r="Y24" s="115" t="inlineStr"/>
      <c r="Z24" s="115" t="inlineStr">
        <is>
          <t>No</t>
        </is>
      </c>
    </row>
    <row r="25">
      <c r="A25" s="118" t="inlineStr">
        <is>
          <t>NH</t>
        </is>
      </c>
      <c r="B25" s="115" t="inlineStr">
        <is>
          <t>Mid Cap</t>
        </is>
      </c>
      <c r="C25" s="115" t="inlineStr">
        <is>
          <t>Health / Pharma / Chem</t>
        </is>
      </c>
      <c r="D25" s="115" t="inlineStr">
        <is>
          <t>Core</t>
        </is>
      </c>
      <c r="E25" s="115" t="inlineStr">
        <is>
          <t>Cheat 1</t>
        </is>
      </c>
      <c r="F25" s="115" t="n">
        <v>15</v>
      </c>
      <c r="G25" s="117" t="n">
        <v>1910.65</v>
      </c>
      <c r="H25" s="119">
        <f>IF(M25&gt;N25, "▲", IF(M25&lt;N25, "▼", "─"))</f>
        <v/>
      </c>
      <c r="I25" s="117" t="n">
        <v>1719.59</v>
      </c>
      <c r="J25" s="117">
        <f>M25-I25</f>
        <v/>
      </c>
      <c r="K25" s="120">
        <f>IF(M25&gt;0, (M25-I25)/M25, 0)</f>
        <v/>
      </c>
      <c r="L25" s="117" t="n">
        <v>28659.75</v>
      </c>
      <c r="M25" s="117">
        <f>IFERROR(INDEX(Price_Update!$F:$F, MATCH(A25, Price_Update!$A:$A, 0)), 1934.2)</f>
        <v/>
      </c>
      <c r="N25" s="117">
        <f>IFERROR(INDEX(Price_Update!$I:$I, MATCH(A25, Price_Update!$A:$A, 0)), 1904.5)</f>
        <v/>
      </c>
      <c r="O25" s="117" t="n">
        <v>1894</v>
      </c>
      <c r="P25" s="117" t="n">
        <v>1905.41</v>
      </c>
      <c r="Q25" s="117" t="n">
        <v>1902.92</v>
      </c>
      <c r="R25" s="117" t="n">
        <v>1900.35</v>
      </c>
      <c r="S25" s="117" t="n">
        <v>1874.48</v>
      </c>
      <c r="T25" s="117">
        <f>F25*M25</f>
        <v/>
      </c>
      <c r="U25" s="117">
        <f>T25-L25</f>
        <v/>
      </c>
      <c r="V25" s="120">
        <f>IF(L25&gt;0, U25/L25, 0)</f>
        <v/>
      </c>
      <c r="W25" s="120" t="n">
        <v>8.355825861112518</v>
      </c>
      <c r="X25" s="115" t="n">
        <v>2</v>
      </c>
      <c r="Y25" s="115" t="inlineStr"/>
      <c r="Z25" s="115" t="inlineStr">
        <is>
          <t>No</t>
        </is>
      </c>
    </row>
    <row r="26">
      <c r="A26" s="118" t="inlineStr">
        <is>
          <t>OFSS</t>
        </is>
      </c>
      <c r="B26" s="115" t="inlineStr">
        <is>
          <t>Mid Cap</t>
        </is>
      </c>
      <c r="C26" s="115" t="inlineStr">
        <is>
          <t>Technology</t>
        </is>
      </c>
      <c r="D26" s="115" t="inlineStr">
        <is>
          <t>Core</t>
        </is>
      </c>
      <c r="E26" s="115" t="inlineStr">
        <is>
          <t>Cheat 1</t>
        </is>
      </c>
      <c r="F26" s="115" t="n">
        <v>3</v>
      </c>
      <c r="G26" s="117" t="n">
        <v>10301</v>
      </c>
      <c r="H26" s="119">
        <f>IF(M26&gt;N26, "▲", IF(M26&lt;N26, "▼", "─"))</f>
        <v/>
      </c>
      <c r="I26" s="117" t="n">
        <v>9270.9</v>
      </c>
      <c r="J26" s="117">
        <f>M26-I26</f>
        <v/>
      </c>
      <c r="K26" s="120">
        <f>IF(M26&gt;0, (M26-I26)/M26, 0)</f>
        <v/>
      </c>
      <c r="L26" s="117" t="n">
        <v>30903</v>
      </c>
      <c r="M26" s="117">
        <f>IFERROR(INDEX(Price_Update!$F:$F, MATCH(A26, Price_Update!$A:$A, 0)), 10344.5)</f>
        <v/>
      </c>
      <c r="N26" s="117">
        <f>IFERROR(INDEX(Price_Update!$I:$I, MATCH(A26, Price_Update!$A:$A, 0)), 10191.0)</f>
        <v/>
      </c>
      <c r="O26" s="117" t="n">
        <v>9964</v>
      </c>
      <c r="P26" s="117" t="n">
        <v>10009</v>
      </c>
      <c r="Q26" s="117" t="n">
        <v>9973.219999999999</v>
      </c>
      <c r="R26" s="117" t="n">
        <v>9938.15</v>
      </c>
      <c r="S26" s="117" t="n">
        <v>9596.07</v>
      </c>
      <c r="T26" s="117">
        <f>F26*M26</f>
        <v/>
      </c>
      <c r="U26" s="117">
        <f>T26-L26</f>
        <v/>
      </c>
      <c r="V26" s="120">
        <f>IF(L26&gt;0, U26/L26, 0)</f>
        <v/>
      </c>
      <c r="W26" s="120" t="n">
        <v>1.157726081261129</v>
      </c>
      <c r="X26" s="115" t="n">
        <v>2</v>
      </c>
      <c r="Y26" s="115" t="inlineStr"/>
      <c r="Z26" s="115" t="inlineStr">
        <is>
          <t>No</t>
        </is>
      </c>
    </row>
    <row r="27">
      <c r="A27" s="118" t="inlineStr">
        <is>
          <t>POLYCAB</t>
        </is>
      </c>
      <c r="B27" s="115" t="inlineStr">
        <is>
          <t>Large Cap</t>
        </is>
      </c>
      <c r="C27" s="115" t="inlineStr">
        <is>
          <t xml:space="preserve">Consumption </t>
        </is>
      </c>
      <c r="D27" s="115" t="inlineStr">
        <is>
          <t>Core</t>
        </is>
      </c>
      <c r="E27" s="115" t="inlineStr">
        <is>
          <t>Tranch 4</t>
        </is>
      </c>
      <c r="F27" s="115" t="n">
        <v>53</v>
      </c>
      <c r="G27" s="117" t="n">
        <v>7825.34</v>
      </c>
      <c r="H27" s="119">
        <f>IF(M27&gt;N27, "▲", IF(M27&lt;N27, "▼", "─"))</f>
        <v/>
      </c>
      <c r="I27" s="117" t="n">
        <v>9104.24</v>
      </c>
      <c r="J27" s="117">
        <f>M27-I27</f>
        <v/>
      </c>
      <c r="K27" s="120">
        <f>IF(M27&gt;0, (M27-I27)/M27, 0)</f>
        <v/>
      </c>
      <c r="L27" s="117" t="n">
        <v>414743.02</v>
      </c>
      <c r="M27" s="117">
        <f>IFERROR(INDEX(Price_Update!$F:$F, MATCH(A27, Price_Update!$A:$A, 0)), 9571.5)</f>
        <v/>
      </c>
      <c r="N27" s="117">
        <f>IFERROR(INDEX(Price_Update!$I:$I, MATCH(A27, Price_Update!$A:$A, 0)), 9480.5)</f>
        <v/>
      </c>
      <c r="O27" s="117" t="n">
        <v>9477.5</v>
      </c>
      <c r="P27" s="117" t="n">
        <v>9416.200000000001</v>
      </c>
      <c r="Q27" s="117" t="n">
        <v>9392.469999999999</v>
      </c>
      <c r="R27" s="117" t="n">
        <v>9367.75</v>
      </c>
      <c r="S27" s="117" t="n">
        <v>9104.24</v>
      </c>
      <c r="T27" s="117">
        <f>F27*M27</f>
        <v/>
      </c>
      <c r="U27" s="117">
        <f>T27-L27</f>
        <v/>
      </c>
      <c r="V27" s="120">
        <f>IF(L27&gt;0, U27/L27, 0)</f>
        <v/>
      </c>
      <c r="W27" s="120" t="n">
        <v>0.4760660297876741</v>
      </c>
      <c r="X27" s="115" t="n">
        <v>269</v>
      </c>
      <c r="Y27" s="115" t="inlineStr"/>
      <c r="Z27" s="115" t="inlineStr">
        <is>
          <t>No</t>
        </is>
      </c>
    </row>
    <row r="28">
      <c r="A28" s="118" t="inlineStr">
        <is>
          <t>POWERINDIA</t>
        </is>
      </c>
      <c r="B28" s="115" t="inlineStr">
        <is>
          <t>Large Cap</t>
        </is>
      </c>
      <c r="C28" s="115" t="inlineStr">
        <is>
          <t>Industrial</t>
        </is>
      </c>
      <c r="D28" s="115" t="inlineStr">
        <is>
          <t>Core</t>
        </is>
      </c>
      <c r="E28" s="115" t="inlineStr">
        <is>
          <t>Cheat 1</t>
        </is>
      </c>
      <c r="F28" s="115" t="n">
        <v>1</v>
      </c>
      <c r="G28" s="117" t="n">
        <v>35105</v>
      </c>
      <c r="H28" s="119">
        <f>IF(M28&gt;N28, "▲", IF(M28&lt;N28, "▼", "─"))</f>
        <v/>
      </c>
      <c r="I28" s="117" t="n">
        <v>31594.5</v>
      </c>
      <c r="J28" s="117">
        <f>M28-I28</f>
        <v/>
      </c>
      <c r="K28" s="120">
        <f>IF(M28&gt;0, (M28-I28)/M28, 0)</f>
        <v/>
      </c>
      <c r="L28" s="117" t="n">
        <v>35105</v>
      </c>
      <c r="M28" s="117">
        <f>IFERROR(INDEX(Price_Update!$F:$F, MATCH(A28, Price_Update!$A:$A, 0)), 35105.0)</f>
        <v/>
      </c>
      <c r="N28" s="117">
        <f>IFERROR(INDEX(Price_Update!$I:$I, MATCH(A28, Price_Update!$A:$A, 0)), 36380.0)</f>
        <v/>
      </c>
      <c r="O28" s="117" t="n">
        <v>38445</v>
      </c>
      <c r="P28" s="117" t="n">
        <v>36106.36</v>
      </c>
      <c r="Q28" s="117" t="n">
        <v>36007.51</v>
      </c>
      <c r="R28" s="117" t="n">
        <v>35903.35</v>
      </c>
      <c r="S28" s="117" t="n">
        <v>34774.17</v>
      </c>
      <c r="T28" s="117">
        <f>F28*M28</f>
        <v/>
      </c>
      <c r="U28" s="117">
        <f>T28-L28</f>
        <v/>
      </c>
      <c r="V28" s="120">
        <f>IF(L28&gt;0, U28/L28, 0)</f>
        <v/>
      </c>
      <c r="W28" s="120" t="n">
        <v>-1.03881820258238e-14</v>
      </c>
      <c r="X28" s="115" t="n">
        <v>2</v>
      </c>
      <c r="Y28" s="115" t="inlineStr"/>
      <c r="Z28" s="115" t="inlineStr">
        <is>
          <t>No</t>
        </is>
      </c>
    </row>
    <row r="29">
      <c r="A29" s="118" t="inlineStr">
        <is>
          <t>PSPPROJECT</t>
        </is>
      </c>
      <c r="B29" s="115" t="inlineStr">
        <is>
          <t>Small Cap</t>
        </is>
      </c>
      <c r="C29" s="115" t="inlineStr">
        <is>
          <t>Industrial</t>
        </is>
      </c>
      <c r="D29" s="115" t="inlineStr">
        <is>
          <t>Core</t>
        </is>
      </c>
      <c r="E29" s="115" t="inlineStr">
        <is>
          <t>Cheat 1</t>
        </is>
      </c>
      <c r="F29" s="115" t="n">
        <v>35</v>
      </c>
      <c r="G29" s="117" t="n">
        <v>838.6</v>
      </c>
      <c r="H29" s="119">
        <f>IF(M29&gt;N29, "▲", IF(M29&lt;N29, "▼", "─"))</f>
        <v/>
      </c>
      <c r="I29" s="117" t="n">
        <v>754.74</v>
      </c>
      <c r="J29" s="117">
        <f>M29-I29</f>
        <v/>
      </c>
      <c r="K29" s="120">
        <f>IF(M29&gt;0, (M29-I29)/M29, 0)</f>
        <v/>
      </c>
      <c r="L29" s="117" t="n">
        <v>29351</v>
      </c>
      <c r="M29" s="117">
        <f>IFERROR(INDEX(Price_Update!$F:$F, MATCH(A29, Price_Update!$A:$A, 0)), 842.65)</f>
        <v/>
      </c>
      <c r="N29" s="117">
        <f>IFERROR(INDEX(Price_Update!$I:$I, MATCH(A29, Price_Update!$A:$A, 0)), 839.85)</f>
        <v/>
      </c>
      <c r="O29" s="117" t="n">
        <v>854.7</v>
      </c>
      <c r="P29" s="117" t="n">
        <v>824.21</v>
      </c>
      <c r="Q29" s="117" t="n">
        <v>821.6799999999999</v>
      </c>
      <c r="R29" s="117" t="n">
        <v>819.34</v>
      </c>
      <c r="S29" s="117" t="n">
        <v>800.14</v>
      </c>
      <c r="T29" s="117">
        <f>F29*M29</f>
        <v/>
      </c>
      <c r="U29" s="117">
        <f>T29-L29</f>
        <v/>
      </c>
      <c r="V29" s="120">
        <f>IF(L29&gt;0, U29/L29, 0)</f>
        <v/>
      </c>
      <c r="W29" s="120" t="n">
        <v>1.40911197941891</v>
      </c>
      <c r="X29" s="115" t="n">
        <v>2</v>
      </c>
      <c r="Y29" s="115" t="inlineStr"/>
      <c r="Z29" s="115" t="inlineStr">
        <is>
          <t>No</t>
        </is>
      </c>
    </row>
    <row r="30">
      <c r="A30" s="118" t="inlineStr">
        <is>
          <t>RAINBOW</t>
        </is>
      </c>
      <c r="B30" s="115" t="inlineStr">
        <is>
          <t>Small Cap</t>
        </is>
      </c>
      <c r="C30" s="115" t="inlineStr">
        <is>
          <t>Health / Pharma / Chem</t>
        </is>
      </c>
      <c r="D30" s="115" t="inlineStr">
        <is>
          <t>Core</t>
        </is>
      </c>
      <c r="E30" s="115" t="inlineStr">
        <is>
          <t>Cheat 1</t>
        </is>
      </c>
      <c r="F30" s="115" t="n">
        <v>21</v>
      </c>
      <c r="G30" s="117" t="n">
        <v>1330.9</v>
      </c>
      <c r="H30" s="119">
        <f>IF(M30&gt;N30, "▲", IF(M30&lt;N30, "▼", "─"))</f>
        <v/>
      </c>
      <c r="I30" s="117" t="n">
        <v>1197.81</v>
      </c>
      <c r="J30" s="117">
        <f>M30-I30</f>
        <v/>
      </c>
      <c r="K30" s="120">
        <f>IF(M30&gt;0, (M30-I30)/M30, 0)</f>
        <v/>
      </c>
      <c r="L30" s="117" t="n">
        <v>27948.9</v>
      </c>
      <c r="M30" s="117">
        <f>IFERROR(INDEX(Price_Update!$F:$F, MATCH(A30, Price_Update!$A:$A, 0)), 1341.4)</f>
        <v/>
      </c>
      <c r="N30" s="117">
        <f>IFERROR(INDEX(Price_Update!$I:$I, MATCH(A30, Price_Update!$A:$A, 0)), 1369.6)</f>
        <v/>
      </c>
      <c r="O30" s="117" t="n">
        <v>1380.3</v>
      </c>
      <c r="P30" s="117" t="n">
        <v>1357.58</v>
      </c>
      <c r="Q30" s="117" t="n">
        <v>1355.91</v>
      </c>
      <c r="R30" s="117" t="n">
        <v>1354.09</v>
      </c>
      <c r="S30" s="117" t="n">
        <v>1333.3</v>
      </c>
      <c r="T30" s="117">
        <f>F30*M30</f>
        <v/>
      </c>
      <c r="U30" s="117">
        <f>T30-L30</f>
        <v/>
      </c>
      <c r="V30" s="120">
        <f>IF(L30&gt;0, U30/L30, 0)</f>
        <v/>
      </c>
      <c r="W30" s="120" t="n">
        <v>3.196140700791036</v>
      </c>
      <c r="X30" s="115" t="n">
        <v>2</v>
      </c>
      <c r="Y30" s="115" t="inlineStr"/>
      <c r="Z30" s="115" t="inlineStr">
        <is>
          <t>No</t>
        </is>
      </c>
    </row>
    <row r="31">
      <c r="A31" s="118" t="inlineStr">
        <is>
          <t>SBCL</t>
        </is>
      </c>
      <c r="B31" s="115" t="inlineStr">
        <is>
          <t>Small Cap</t>
        </is>
      </c>
      <c r="C31" s="115" t="inlineStr">
        <is>
          <t>Industrial</t>
        </is>
      </c>
      <c r="D31" s="115" t="inlineStr">
        <is>
          <t>Core</t>
        </is>
      </c>
      <c r="E31" s="115" t="inlineStr">
        <is>
          <t>Cheat 1</t>
        </is>
      </c>
      <c r="F31" s="115" t="n">
        <v>40</v>
      </c>
      <c r="G31" s="117" t="n">
        <v>729.6799999999999</v>
      </c>
      <c r="H31" s="119">
        <f>IF(M31&gt;N31, "▲", IF(M31&lt;N31, "▼", "─"))</f>
        <v/>
      </c>
      <c r="I31" s="117" t="n">
        <v>656.71</v>
      </c>
      <c r="J31" s="117">
        <f>M31-I31</f>
        <v/>
      </c>
      <c r="K31" s="120">
        <f>IF(M31&gt;0, (M31-I31)/M31, 0)</f>
        <v/>
      </c>
      <c r="L31" s="117" t="n">
        <v>29187.2</v>
      </c>
      <c r="M31" s="117">
        <f>IFERROR(INDEX(Price_Update!$F:$F, MATCH(A31, Price_Update!$A:$A, 0)), 734.55)</f>
        <v/>
      </c>
      <c r="N31" s="117">
        <f>IFERROR(INDEX(Price_Update!$I:$I, MATCH(A31, Price_Update!$A:$A, 0)), 730.8)</f>
        <v/>
      </c>
      <c r="O31" s="117" t="n">
        <v>740</v>
      </c>
      <c r="P31" s="117" t="n">
        <v>718.55</v>
      </c>
      <c r="Q31" s="117" t="n">
        <v>714.25</v>
      </c>
      <c r="R31" s="117" t="n">
        <v>709.97</v>
      </c>
      <c r="S31" s="117" t="n">
        <v>671.22</v>
      </c>
      <c r="T31" s="117">
        <f>F31*M31</f>
        <v/>
      </c>
      <c r="U31" s="117">
        <f>T31-L31</f>
        <v/>
      </c>
      <c r="V31" s="120">
        <f>IF(L31&gt;0, U31/L31, 0)</f>
        <v/>
      </c>
      <c r="W31" s="120" t="n">
        <v>2.36477797203673</v>
      </c>
      <c r="X31" s="115" t="n">
        <v>2</v>
      </c>
      <c r="Y31" s="115" t="inlineStr"/>
      <c r="Z31" s="115" t="inlineStr">
        <is>
          <t>No</t>
        </is>
      </c>
    </row>
    <row r="32">
      <c r="A32" s="118" t="inlineStr">
        <is>
          <t>SOLARINDS</t>
        </is>
      </c>
      <c r="B32" s="115" t="inlineStr">
        <is>
          <t>Large Cap</t>
        </is>
      </c>
      <c r="C32" s="115" t="inlineStr">
        <is>
          <t>Industrial</t>
        </is>
      </c>
      <c r="D32" s="115" t="inlineStr">
        <is>
          <t>Core</t>
        </is>
      </c>
      <c r="E32" s="115" t="inlineStr">
        <is>
          <t>Cheat 2</t>
        </is>
      </c>
      <c r="F32" s="115" t="n">
        <v>4</v>
      </c>
      <c r="G32" s="117" t="n">
        <v>15640</v>
      </c>
      <c r="H32" s="119">
        <f>IF(M32&gt;N32, "▲", IF(M32&lt;N32, "▼", "─"))</f>
        <v/>
      </c>
      <c r="I32" s="117" t="n">
        <v>14076</v>
      </c>
      <c r="J32" s="117">
        <f>M32-I32</f>
        <v/>
      </c>
      <c r="K32" s="120">
        <f>IF(M32&gt;0, (M32-I32)/M32, 0)</f>
        <v/>
      </c>
      <c r="L32" s="117" t="n">
        <v>62560</v>
      </c>
      <c r="M32" s="117">
        <f>IFERROR(INDEX(Price_Update!$F:$F, MATCH(A32, Price_Update!$A:$A, 0)), 18577.0)</f>
        <v/>
      </c>
      <c r="N32" s="117">
        <f>IFERROR(INDEX(Price_Update!$I:$I, MATCH(A32, Price_Update!$A:$A, 0)), 18203.0)</f>
        <v/>
      </c>
      <c r="O32" s="117" t="n">
        <v>18247</v>
      </c>
      <c r="P32" s="117" t="n">
        <v>18216.91</v>
      </c>
      <c r="Q32" s="117" t="n">
        <v>18164.49</v>
      </c>
      <c r="R32" s="117" t="n">
        <v>18107.84</v>
      </c>
      <c r="S32" s="117" t="n">
        <v>17482.48</v>
      </c>
      <c r="T32" s="117">
        <f>F32*M32</f>
        <v/>
      </c>
      <c r="U32" s="117">
        <f>T32-L32</f>
        <v/>
      </c>
      <c r="V32" s="120">
        <f>IF(L32&gt;0, U32/L32, 0)</f>
        <v/>
      </c>
      <c r="W32" s="120" t="n">
        <v>4.716900804886764</v>
      </c>
      <c r="X32" s="115" t="n">
        <v>76</v>
      </c>
      <c r="Y32" s="115" t="inlineStr"/>
      <c r="Z32" s="115" t="inlineStr">
        <is>
          <t>No</t>
        </is>
      </c>
    </row>
    <row r="33">
      <c r="A33" s="118" t="inlineStr">
        <is>
          <t>SOLARINDS</t>
        </is>
      </c>
      <c r="B33" s="115" t="inlineStr">
        <is>
          <t>Large Cap</t>
        </is>
      </c>
      <c r="C33" s="115" t="inlineStr">
        <is>
          <t>Industrial</t>
        </is>
      </c>
      <c r="D33" s="115" t="inlineStr">
        <is>
          <t>Core</t>
        </is>
      </c>
      <c r="E33" s="115" t="inlineStr">
        <is>
          <t>Cheat 2</t>
        </is>
      </c>
      <c r="F33" s="115" t="n">
        <v>4</v>
      </c>
      <c r="G33" s="117" t="n">
        <v>15640</v>
      </c>
      <c r="H33" s="119">
        <f>IF(M33&gt;N33, "▲", IF(M33&lt;N33, "▼", "─"))</f>
        <v/>
      </c>
      <c r="I33" s="117" t="n">
        <v>14076</v>
      </c>
      <c r="J33" s="117">
        <f>M33-I33</f>
        <v/>
      </c>
      <c r="K33" s="120">
        <f>IF(M33&gt;0, (M33-I33)/M33, 0)</f>
        <v/>
      </c>
      <c r="L33" s="117" t="n">
        <v>62560</v>
      </c>
      <c r="M33" s="117">
        <f>IFERROR(INDEX(Price_Update!$F:$F, MATCH(A33, Price_Update!$A:$A, 0)), 18577.0)</f>
        <v/>
      </c>
      <c r="N33" s="117">
        <f>IFERROR(INDEX(Price_Update!$I:$I, MATCH(A33, Price_Update!$A:$A, 0)), 18203.0)</f>
        <v/>
      </c>
      <c r="O33" s="117" t="n">
        <v>18247</v>
      </c>
      <c r="P33" s="117" t="n">
        <v>18216.91</v>
      </c>
      <c r="Q33" s="117" t="n">
        <v>18164.49</v>
      </c>
      <c r="R33" s="117" t="n">
        <v>18107.84</v>
      </c>
      <c r="S33" s="117" t="n">
        <v>17482.48</v>
      </c>
      <c r="T33" s="117">
        <f>F33*M33</f>
        <v/>
      </c>
      <c r="U33" s="117">
        <f>T33-L33</f>
        <v/>
      </c>
      <c r="V33" s="120">
        <f>IF(L33&gt;0, U33/L33, 0)</f>
        <v/>
      </c>
      <c r="W33" s="120" t="n">
        <v>4.716900804886764</v>
      </c>
      <c r="X33" s="115" t="n">
        <v>76</v>
      </c>
      <c r="Y33" s="115" t="inlineStr"/>
      <c r="Z33" s="115" t="inlineStr">
        <is>
          <t>No</t>
        </is>
      </c>
    </row>
    <row r="34">
      <c r="A34" s="118" t="inlineStr">
        <is>
          <t>SYRMA</t>
        </is>
      </c>
      <c r="B34" s="115" t="inlineStr">
        <is>
          <t>Small Cap</t>
        </is>
      </c>
      <c r="C34" s="115" t="inlineStr">
        <is>
          <t>Industrial</t>
        </is>
      </c>
      <c r="D34" s="115" t="inlineStr">
        <is>
          <t>Core</t>
        </is>
      </c>
      <c r="E34" s="115" t="inlineStr">
        <is>
          <t>Cheat 1</t>
        </is>
      </c>
      <c r="F34" s="115" t="n">
        <v>26</v>
      </c>
      <c r="G34" s="117" t="n">
        <v>1152.9</v>
      </c>
      <c r="H34" s="119">
        <f>IF(M34&gt;N34, "▲", IF(M34&lt;N34, "▼", "─"))</f>
        <v/>
      </c>
      <c r="I34" s="117" t="n">
        <v>1037.61</v>
      </c>
      <c r="J34" s="117">
        <f>M34-I34</f>
        <v/>
      </c>
      <c r="K34" s="120">
        <f>IF(M34&gt;0, (M34-I34)/M34, 0)</f>
        <v/>
      </c>
      <c r="L34" s="117" t="n">
        <v>29975.4</v>
      </c>
      <c r="M34" s="117">
        <f>IFERROR(INDEX(Price_Update!$F:$F, MATCH(A34, Price_Update!$A:$A, 0)), 1166.8)</f>
        <v/>
      </c>
      <c r="N34" s="117">
        <f>IFERROR(INDEX(Price_Update!$I:$I, MATCH(A34, Price_Update!$A:$A, 0)), 1107.3)</f>
        <v/>
      </c>
      <c r="O34" s="117" t="n">
        <v>1088.55</v>
      </c>
      <c r="P34" s="117" t="n">
        <v>1083.06</v>
      </c>
      <c r="Q34" s="117" t="n">
        <v>1079.05</v>
      </c>
      <c r="R34" s="117" t="n">
        <v>1075.45</v>
      </c>
      <c r="S34" s="117" t="n">
        <v>1047.03</v>
      </c>
      <c r="T34" s="117">
        <f>F34*M34</f>
        <v/>
      </c>
      <c r="U34" s="117">
        <f>T34-L34</f>
        <v/>
      </c>
      <c r="V34" s="120">
        <f>IF(L34&gt;0, U34/L34, 0)</f>
        <v/>
      </c>
      <c r="W34" s="120" t="n">
        <v>7.909894895965038</v>
      </c>
      <c r="X34" s="115" t="n">
        <v>2</v>
      </c>
      <c r="Y34" s="115" t="inlineStr"/>
      <c r="Z34" s="115" t="inlineStr">
        <is>
          <t>No</t>
        </is>
      </c>
    </row>
    <row r="35">
      <c r="A35" s="118" t="inlineStr">
        <is>
          <t>TDPOWERSYS</t>
        </is>
      </c>
      <c r="B35" s="115" t="inlineStr">
        <is>
          <t>Small Cap</t>
        </is>
      </c>
      <c r="C35" s="115" t="inlineStr">
        <is>
          <t>Industrial</t>
        </is>
      </c>
      <c r="D35" s="115" t="inlineStr">
        <is>
          <t>Core</t>
        </is>
      </c>
      <c r="E35" s="115" t="inlineStr">
        <is>
          <t>Tranch 3</t>
        </is>
      </c>
      <c r="F35" s="115" t="n">
        <v>321</v>
      </c>
      <c r="G35" s="117" t="n">
        <v>950.1900000000001</v>
      </c>
      <c r="H35" s="119">
        <f>IF(M35&gt;N35, "▲", IF(M35&lt;N35, "▼", "─"))</f>
        <v/>
      </c>
      <c r="I35" s="117" t="n">
        <v>935.17</v>
      </c>
      <c r="J35" s="117">
        <f>M35-I35</f>
        <v/>
      </c>
      <c r="K35" s="120">
        <f>IF(M35&gt;0, (M35-I35)/M35, 0)</f>
        <v/>
      </c>
      <c r="L35" s="117" t="n">
        <v>305010.99</v>
      </c>
      <c r="M35" s="117">
        <f>IFERROR(INDEX(Price_Update!$F:$F, MATCH(A35, Price_Update!$A:$A, 0)), 1286.3)</f>
        <v/>
      </c>
      <c r="N35" s="117">
        <f>IFERROR(INDEX(Price_Update!$I:$I, MATCH(A35, Price_Update!$A:$A, 0)), 1230.7)</f>
        <v/>
      </c>
      <c r="O35" s="117" t="n">
        <v>1318.6</v>
      </c>
      <c r="P35" s="117" t="n">
        <v>1279.38</v>
      </c>
      <c r="Q35" s="117" t="n">
        <v>1278.36</v>
      </c>
      <c r="R35" s="117" t="n">
        <v>1276.68</v>
      </c>
      <c r="S35" s="117" t="n">
        <v>1242.05</v>
      </c>
      <c r="T35" s="117">
        <f>F35*M35</f>
        <v/>
      </c>
      <c r="U35" s="117">
        <f>T35-L35</f>
        <v/>
      </c>
      <c r="V35" s="120">
        <f>IF(L35&gt;0, U35/L35, 0)</f>
        <v/>
      </c>
      <c r="W35" s="120" t="n">
        <v>4.224799647472052</v>
      </c>
      <c r="X35" s="115" t="n">
        <v>112</v>
      </c>
      <c r="Y35" s="115" t="inlineStr"/>
      <c r="Z35" s="115" t="inlineStr">
        <is>
          <t>No</t>
        </is>
      </c>
    </row>
    <row r="36">
      <c r="A36" s="118" t="inlineStr">
        <is>
          <t>TIMKEN</t>
        </is>
      </c>
      <c r="B36" s="115" t="inlineStr">
        <is>
          <t>Small Cap</t>
        </is>
      </c>
      <c r="C36" s="115" t="inlineStr">
        <is>
          <t>Industrial</t>
        </is>
      </c>
      <c r="D36" s="115" t="inlineStr">
        <is>
          <t>Core</t>
        </is>
      </c>
      <c r="E36" s="115" t="inlineStr">
        <is>
          <t>Cheat 1</t>
        </is>
      </c>
      <c r="F36" s="115" t="n">
        <v>8</v>
      </c>
      <c r="G36" s="117" t="n">
        <v>3520.1</v>
      </c>
      <c r="H36" s="119">
        <f>IF(M36&gt;N36, "▲", IF(M36&lt;N36, "▼", "─"))</f>
        <v/>
      </c>
      <c r="I36" s="117" t="n">
        <v>3168.09</v>
      </c>
      <c r="J36" s="117">
        <f>M36-I36</f>
        <v/>
      </c>
      <c r="K36" s="120">
        <f>IF(M36&gt;0, (M36-I36)/M36, 0)</f>
        <v/>
      </c>
      <c r="L36" s="117" t="n">
        <v>28160.8</v>
      </c>
      <c r="M36" s="117">
        <f>IFERROR(INDEX(Price_Update!$F:$F, MATCH(A36, Price_Update!$A:$A, 0)), 3529.2)</f>
        <v/>
      </c>
      <c r="N36" s="117">
        <f>IFERROR(INDEX(Price_Update!$I:$I, MATCH(A36, Price_Update!$A:$A, 0)), 3549.0)</f>
        <v/>
      </c>
      <c r="O36" s="117" t="n">
        <v>3630.4</v>
      </c>
      <c r="P36" s="117" t="n">
        <v>3590.83</v>
      </c>
      <c r="Q36" s="117" t="n">
        <v>3590.7</v>
      </c>
      <c r="R36" s="117" t="n">
        <v>3589.98</v>
      </c>
      <c r="S36" s="117" t="n">
        <v>3569.35</v>
      </c>
      <c r="T36" s="117">
        <f>F36*M36</f>
        <v/>
      </c>
      <c r="U36" s="117">
        <f>T36-L36</f>
        <v/>
      </c>
      <c r="V36" s="120">
        <f>IF(L36&gt;0, U36/L36, 0)</f>
        <v/>
      </c>
      <c r="W36" s="120" t="n">
        <v>0.6018778751122799</v>
      </c>
      <c r="X36" s="115" t="n">
        <v>2</v>
      </c>
      <c r="Y36" s="115" t="inlineStr"/>
      <c r="Z36" s="115" t="inlineStr">
        <is>
          <t>No</t>
        </is>
      </c>
    </row>
    <row r="37">
      <c r="A37" s="118" t="inlineStr">
        <is>
          <t>TIPSMUSIC</t>
        </is>
      </c>
      <c r="B37" s="115" t="inlineStr">
        <is>
          <t>Small Cap</t>
        </is>
      </c>
      <c r="C37" s="115" t="inlineStr">
        <is>
          <t>Technology</t>
        </is>
      </c>
      <c r="D37" s="115" t="inlineStr">
        <is>
          <t>Core</t>
        </is>
      </c>
      <c r="E37" s="115" t="inlineStr">
        <is>
          <t>Cheat 1</t>
        </is>
      </c>
      <c r="F37" s="115" t="n">
        <v>43</v>
      </c>
      <c r="G37" s="117" t="n">
        <v>663.75</v>
      </c>
      <c r="H37" s="119">
        <f>IF(M37&gt;N37, "▲", IF(M37&lt;N37, "▼", "─"))</f>
        <v/>
      </c>
      <c r="I37" s="117" t="n">
        <v>597.38</v>
      </c>
      <c r="J37" s="117">
        <f>M37-I37</f>
        <v/>
      </c>
      <c r="K37" s="120">
        <f>IF(M37&gt;0, (M37-I37)/M37, 0)</f>
        <v/>
      </c>
      <c r="L37" s="117" t="n">
        <v>28541.25</v>
      </c>
      <c r="M37" s="117">
        <f>IFERROR(INDEX(Price_Update!$F:$F, MATCH(A37, Price_Update!$A:$A, 0)), 672.3)</f>
        <v/>
      </c>
      <c r="N37" s="117">
        <f>IFERROR(INDEX(Price_Update!$I:$I, MATCH(A37, Price_Update!$A:$A, 0)), 655.2)</f>
        <v/>
      </c>
      <c r="O37" s="117" t="n">
        <v>662.45</v>
      </c>
      <c r="P37" s="117" t="n">
        <v>661.9</v>
      </c>
      <c r="Q37" s="117" t="n">
        <v>661.2</v>
      </c>
      <c r="R37" s="117" t="n">
        <v>660.48</v>
      </c>
      <c r="S37" s="117" t="n">
        <v>651.0599999999999</v>
      </c>
      <c r="T37" s="117">
        <f>F37*M37</f>
        <v/>
      </c>
      <c r="U37" s="117">
        <f>T37-L37</f>
        <v/>
      </c>
      <c r="V37" s="120">
        <f>IF(L37&gt;0, U37/L37, 0)</f>
        <v/>
      </c>
      <c r="W37" s="120" t="n">
        <v>9.338090570735012</v>
      </c>
      <c r="X37" s="115" t="n">
        <v>2</v>
      </c>
      <c r="Y37" s="115" t="inlineStr"/>
      <c r="Z37" s="115" t="inlineStr">
        <is>
          <t>No</t>
        </is>
      </c>
    </row>
    <row r="38">
      <c r="A38" s="118" t="inlineStr">
        <is>
          <t>TRITURBINE</t>
        </is>
      </c>
      <c r="B38" s="115" t="inlineStr">
        <is>
          <t>Small Cap</t>
        </is>
      </c>
      <c r="C38" s="115" t="inlineStr">
        <is>
          <t>Industrial</t>
        </is>
      </c>
      <c r="D38" s="115" t="inlineStr">
        <is>
          <t>Core</t>
        </is>
      </c>
      <c r="E38" s="115" t="inlineStr">
        <is>
          <t>Cheat 2</t>
        </is>
      </c>
      <c r="F38" s="115" t="n">
        <v>114</v>
      </c>
      <c r="G38" s="117" t="n">
        <v>690.34</v>
      </c>
      <c r="H38" s="119">
        <f>IF(M38&gt;N38, "▲", IF(M38&lt;N38, "▼", "─"))</f>
        <v/>
      </c>
      <c r="I38" s="117" t="n">
        <v>621.3099999999999</v>
      </c>
      <c r="J38" s="117">
        <f>M38-I38</f>
        <v/>
      </c>
      <c r="K38" s="120">
        <f>IF(M38&gt;0, (M38-I38)/M38, 0)</f>
        <v/>
      </c>
      <c r="L38" s="117" t="n">
        <v>78698.75999999999</v>
      </c>
      <c r="M38" s="117">
        <f>IFERROR(INDEX(Price_Update!$F:$F, MATCH(A38, Price_Update!$A:$A, 0)), 668.85)</f>
        <v/>
      </c>
      <c r="N38" s="117">
        <f>IFERROR(INDEX(Price_Update!$I:$I, MATCH(A38, Price_Update!$A:$A, 0)), 694.5)</f>
        <v/>
      </c>
      <c r="O38" s="117" t="n">
        <v>741.5</v>
      </c>
      <c r="P38" s="117" t="n">
        <v>692.67</v>
      </c>
      <c r="Q38" s="117" t="n">
        <v>689.3099999999999</v>
      </c>
      <c r="R38" s="117" t="n">
        <v>685.83</v>
      </c>
      <c r="S38" s="117" t="n">
        <v>652.23</v>
      </c>
      <c r="T38" s="117">
        <f>F38*M38</f>
        <v/>
      </c>
      <c r="U38" s="117">
        <f>T38-L38</f>
        <v/>
      </c>
      <c r="V38" s="120">
        <f>IF(L38&gt;0, U38/L38, 0)</f>
        <v/>
      </c>
      <c r="W38" s="120" t="n">
        <v>-0.9874524909257888</v>
      </c>
      <c r="X38" s="115" t="n">
        <v>3</v>
      </c>
      <c r="Y38" s="115" t="inlineStr"/>
      <c r="Z38" s="115" t="inlineStr">
        <is>
          <t>No</t>
        </is>
      </c>
    </row>
    <row r="39">
      <c r="A39" s="118" t="inlineStr">
        <is>
          <t>VBL</t>
        </is>
      </c>
      <c r="B39" s="115" t="inlineStr">
        <is>
          <t>Large Cap</t>
        </is>
      </c>
      <c r="C39" s="115" t="inlineStr">
        <is>
          <t xml:space="preserve">Consumption </t>
        </is>
      </c>
      <c r="D39" s="115" t="inlineStr">
        <is>
          <t>Core</t>
        </is>
      </c>
      <c r="E39" s="115" t="inlineStr">
        <is>
          <t>Cheat 1</t>
        </is>
      </c>
      <c r="F39" s="115" t="n">
        <v>55</v>
      </c>
      <c r="G39" s="117" t="n">
        <v>533.75</v>
      </c>
      <c r="H39" s="119">
        <f>IF(M39&gt;N39, "▲", IF(M39&lt;N39, "▼", "─"))</f>
        <v/>
      </c>
      <c r="I39" s="117" t="n">
        <v>480.38</v>
      </c>
      <c r="J39" s="117">
        <f>M39-I39</f>
        <v/>
      </c>
      <c r="K39" s="120">
        <f>IF(M39&gt;0, (M39-I39)/M39, 0)</f>
        <v/>
      </c>
      <c r="L39" s="117" t="n">
        <v>29356.25</v>
      </c>
      <c r="M39" s="117">
        <f>IFERROR(INDEX(Price_Update!$F:$F, MATCH(A39, Price_Update!$A:$A, 0)), 537.0)</f>
        <v/>
      </c>
      <c r="N39" s="117">
        <f>IFERROR(INDEX(Price_Update!$I:$I, MATCH(A39, Price_Update!$A:$A, 0)), 525.5)</f>
        <v/>
      </c>
      <c r="O39" s="117" t="n">
        <v>528</v>
      </c>
      <c r="P39" s="117" t="n">
        <v>528.39</v>
      </c>
      <c r="Q39" s="117" t="n">
        <v>527.53</v>
      </c>
      <c r="R39" s="117" t="n">
        <v>526.65</v>
      </c>
      <c r="S39" s="117" t="n">
        <v>516.83</v>
      </c>
      <c r="T39" s="117">
        <f>F39*M39</f>
        <v/>
      </c>
      <c r="U39" s="117">
        <f>T39-L39</f>
        <v/>
      </c>
      <c r="V39" s="120">
        <f>IF(L39&gt;0, U39/L39, 0)</f>
        <v/>
      </c>
      <c r="W39" s="120" t="n">
        <v>2.027907293825569</v>
      </c>
      <c r="X39" s="115" t="n">
        <v>2</v>
      </c>
      <c r="Y39" s="115" t="inlineStr"/>
      <c r="Z39" s="115" t="inlineStr">
        <is>
          <t>No</t>
        </is>
      </c>
    </row>
    <row r="40">
      <c r="A40" s="123" t="inlineStr">
        <is>
          <t>ADANIENT</t>
        </is>
      </c>
      <c r="B40" s="115" t="inlineStr">
        <is>
          <t>Large Cap</t>
        </is>
      </c>
      <c r="C40" s="115" t="inlineStr">
        <is>
          <t>Industrial</t>
        </is>
      </c>
      <c r="D40" s="115" t="inlineStr">
        <is>
          <t>Satellite</t>
        </is>
      </c>
      <c r="E40" s="115" t="inlineStr">
        <is>
          <t>Tranch 1</t>
        </is>
      </c>
      <c r="F40" s="115" t="n">
        <v>36</v>
      </c>
      <c r="G40" s="117" t="n">
        <v>2834.43</v>
      </c>
      <c r="H40" s="119">
        <f>IF(M40&gt;N40, "▲", IF(M40&lt;N40, "▼", "─"))</f>
        <v/>
      </c>
      <c r="I40" s="117" t="n">
        <v>2550.99</v>
      </c>
      <c r="J40" s="117">
        <f>M40-I40</f>
        <v/>
      </c>
      <c r="K40" s="120">
        <f>IF(M40&gt;0, (M40-I40)/M40, 0)</f>
        <v/>
      </c>
      <c r="L40" s="117" t="n">
        <v>102039.48</v>
      </c>
      <c r="M40" s="117">
        <f>IFERROR(INDEX(Price_Update!$F:$F, MATCH(A40, Price_Update!$A:$A, 0)), 2925.6)</f>
        <v/>
      </c>
      <c r="N40" s="117">
        <f>IFERROR(INDEX(Price_Update!$I:$I, MATCH(A40, Price_Update!$A:$A, 0)), 2909.4)</f>
        <v/>
      </c>
      <c r="O40" s="117" t="n">
        <v>2937.4</v>
      </c>
      <c r="P40" s="117" t="n">
        <v>2601.46</v>
      </c>
      <c r="Q40" s="117" t="n">
        <v>2570.19</v>
      </c>
      <c r="R40" s="117" t="n">
        <v>2542.68</v>
      </c>
      <c r="S40" s="117" t="n">
        <v>2398.05</v>
      </c>
      <c r="T40" s="117">
        <f>F40*M40</f>
        <v/>
      </c>
      <c r="U40" s="117">
        <f>T40-L40</f>
        <v/>
      </c>
      <c r="V40" s="120">
        <f>IF(L40&gt;0, U40/L40, 0)</f>
        <v/>
      </c>
      <c r="W40" s="120" t="n">
        <v>1.4049884501525</v>
      </c>
      <c r="X40" s="115" t="n">
        <v>20</v>
      </c>
      <c r="Y40" s="115" t="inlineStr"/>
      <c r="Z40" s="115" t="inlineStr">
        <is>
          <t>No</t>
        </is>
      </c>
    </row>
    <row r="41">
      <c r="A41" s="123" t="inlineStr">
        <is>
          <t>AJANTPHARM</t>
        </is>
      </c>
      <c r="B41" s="115" t="inlineStr">
        <is>
          <t>Mid Cap</t>
        </is>
      </c>
      <c r="C41" s="115" t="inlineStr">
        <is>
          <t>Health / Pharma / Chem</t>
        </is>
      </c>
      <c r="D41" s="115" t="inlineStr">
        <is>
          <t>Satellite</t>
        </is>
      </c>
      <c r="E41" s="115" t="inlineStr">
        <is>
          <t>Cheat 2</t>
        </is>
      </c>
      <c r="F41" s="115" t="n">
        <v>14</v>
      </c>
      <c r="G41" s="117" t="n">
        <v>3134.66</v>
      </c>
      <c r="H41" s="119">
        <f>IF(M41&gt;N41, "▲", IF(M41&lt;N41, "▼", "─"))</f>
        <v/>
      </c>
      <c r="I41" s="117" t="n">
        <v>2821.19</v>
      </c>
      <c r="J41" s="117">
        <f>M41-I41</f>
        <v/>
      </c>
      <c r="K41" s="120">
        <f>IF(M41&gt;0, (M41-I41)/M41, 0)</f>
        <v/>
      </c>
      <c r="L41" s="117" t="n">
        <v>43885.24</v>
      </c>
      <c r="M41" s="117">
        <f>IFERROR(INDEX(Price_Update!$F:$F, MATCH(A41, Price_Update!$A:$A, 0)), 2930.0)</f>
        <v/>
      </c>
      <c r="N41" s="117">
        <f>IFERROR(INDEX(Price_Update!$I:$I, MATCH(A41, Price_Update!$A:$A, 0)), 2931.0)</f>
        <v/>
      </c>
      <c r="O41" s="117" t="n">
        <v>2928.9</v>
      </c>
      <c r="P41" s="117" t="n">
        <v>2948.66</v>
      </c>
      <c r="Q41" s="117" t="n">
        <v>2943.26</v>
      </c>
      <c r="R41" s="117" t="n">
        <v>2937.72</v>
      </c>
      <c r="S41" s="117" t="n">
        <v>2880.61</v>
      </c>
      <c r="T41" s="117">
        <f>F41*M41</f>
        <v/>
      </c>
      <c r="U41" s="117">
        <f>T41-L41</f>
        <v/>
      </c>
      <c r="V41" s="120">
        <f>IF(L41&gt;0, U41/L41, 0)</f>
        <v/>
      </c>
      <c r="W41" s="120" t="n">
        <v>-0.3871247411153049</v>
      </c>
      <c r="X41" s="115" t="n">
        <v>150</v>
      </c>
      <c r="Y41" s="115" t="inlineStr"/>
      <c r="Z41" s="115" t="inlineStr">
        <is>
          <t>No</t>
        </is>
      </c>
    </row>
    <row r="42">
      <c r="A42" s="124" t="inlineStr">
        <is>
          <t>APOLLO</t>
        </is>
      </c>
      <c r="B42" s="115" t="inlineStr">
        <is>
          <t>Small Cap</t>
        </is>
      </c>
      <c r="C42" s="115" t="inlineStr">
        <is>
          <t>Industrial</t>
        </is>
      </c>
      <c r="D42" s="115" t="inlineStr">
        <is>
          <t>Satellite</t>
        </is>
      </c>
      <c r="E42" s="115" t="inlineStr">
        <is>
          <t>Tranch 2</t>
        </is>
      </c>
      <c r="F42" s="115" t="n">
        <v>556</v>
      </c>
      <c r="G42" s="117" t="n">
        <v>360.41</v>
      </c>
      <c r="H42" s="119">
        <f>IF(M42&gt;N42, "▲", IF(M42&lt;N42, "▼", "─"))</f>
        <v/>
      </c>
      <c r="I42" s="117" t="n">
        <v>376.96</v>
      </c>
      <c r="J42" s="117">
        <f>M42-I42</f>
        <v/>
      </c>
      <c r="K42" s="120">
        <f>IF(M42&gt;0, (M42-I42)/M42, 0)</f>
        <v/>
      </c>
      <c r="L42" s="117" t="n">
        <v>200387.96</v>
      </c>
      <c r="M42" s="117">
        <f>IFERROR(INDEX(Price_Update!$F:$F, MATCH(A42, Price_Update!$A:$A, 0)), 407.55)</f>
        <v/>
      </c>
      <c r="N42" s="117">
        <f>IFERROR(INDEX(Price_Update!$I:$I, MATCH(A42, Price_Update!$A:$A, 0)), 404.15)</f>
        <v/>
      </c>
      <c r="O42" s="117" t="n">
        <v>409</v>
      </c>
      <c r="P42" s="117" t="n">
        <v>337.88</v>
      </c>
      <c r="Q42" s="117" t="n">
        <v>331.31</v>
      </c>
      <c r="R42" s="117" t="n">
        <v>325.54</v>
      </c>
      <c r="S42" s="117" t="n">
        <v>292.6</v>
      </c>
      <c r="T42" s="117">
        <f>F42*M42</f>
        <v/>
      </c>
      <c r="U42" s="117">
        <f>T42-L42</f>
        <v/>
      </c>
      <c r="V42" s="120">
        <f>IF(L42&gt;0, U42/L42, 0)</f>
        <v/>
      </c>
      <c r="W42" s="120" t="n">
        <v>21.181736458255</v>
      </c>
      <c r="X42" s="115" t="n">
        <v>31</v>
      </c>
      <c r="Y42" s="115" t="inlineStr"/>
      <c r="Z42" s="115" t="inlineStr">
        <is>
          <t>No</t>
        </is>
      </c>
    </row>
    <row r="43">
      <c r="A43" s="124" t="inlineStr">
        <is>
          <t>ASTRAMICRO</t>
        </is>
      </c>
      <c r="B43" s="115" t="inlineStr">
        <is>
          <t>Small Cap</t>
        </is>
      </c>
      <c r="C43" s="115" t="inlineStr">
        <is>
          <t>Industrial</t>
        </is>
      </c>
      <c r="D43" s="115" t="inlineStr">
        <is>
          <t>Satellite</t>
        </is>
      </c>
      <c r="E43" s="115" t="inlineStr">
        <is>
          <t>Tranch 1</t>
        </is>
      </c>
      <c r="F43" s="115" t="n">
        <v>80</v>
      </c>
      <c r="G43" s="117" t="n">
        <v>1259.46</v>
      </c>
      <c r="H43" s="119">
        <f>IF(M43&gt;N43, "▲", IF(M43&lt;N43, "▼", "─"))</f>
        <v/>
      </c>
      <c r="I43" s="117" t="n">
        <v>1133.51</v>
      </c>
      <c r="J43" s="117">
        <f>M43-I43</f>
        <v/>
      </c>
      <c r="K43" s="120">
        <f>IF(M43&gt;0, (M43-I43)/M43, 0)</f>
        <v/>
      </c>
      <c r="L43" s="117" t="n">
        <v>100756.8</v>
      </c>
      <c r="M43" s="117">
        <f>IFERROR(INDEX(Price_Update!$F:$F, MATCH(A43, Price_Update!$A:$A, 0)), 1323.7)</f>
        <v/>
      </c>
      <c r="N43" s="117">
        <f>IFERROR(INDEX(Price_Update!$I:$I, MATCH(A43, Price_Update!$A:$A, 0)), 1316.2)</f>
        <v/>
      </c>
      <c r="O43" s="117" t="n">
        <v>1401.7</v>
      </c>
      <c r="P43" s="117" t="n">
        <v>1185.22</v>
      </c>
      <c r="Q43" s="117" t="n">
        <v>1172.38</v>
      </c>
      <c r="R43" s="117" t="n">
        <v>1160.83</v>
      </c>
      <c r="S43" s="117" t="n">
        <v>1090.33</v>
      </c>
      <c r="T43" s="117">
        <f>F43*M43</f>
        <v/>
      </c>
      <c r="U43" s="117">
        <f>T43-L43</f>
        <v/>
      </c>
      <c r="V43" s="120">
        <f>IF(L43&gt;0, U43/L43, 0)</f>
        <v/>
      </c>
      <c r="W43" s="120" t="n">
        <v>1.262720961420562</v>
      </c>
      <c r="X43" s="115" t="n">
        <v>38</v>
      </c>
      <c r="Y43" s="115" t="inlineStr"/>
      <c r="Z43" s="115" t="inlineStr">
        <is>
          <t>No</t>
        </is>
      </c>
    </row>
    <row r="44">
      <c r="A44" s="123" t="inlineStr">
        <is>
          <t>AUROPHARMA</t>
        </is>
      </c>
      <c r="B44" s="115" t="inlineStr">
        <is>
          <t>Mid Cap</t>
        </is>
      </c>
      <c r="C44" s="115" t="inlineStr">
        <is>
          <t>Health / Pharma / Chem</t>
        </is>
      </c>
      <c r="D44" s="115" t="inlineStr">
        <is>
          <t>Satellite</t>
        </is>
      </c>
      <c r="E44" s="115" t="inlineStr">
        <is>
          <t>Cheat 1</t>
        </is>
      </c>
      <c r="F44" s="115" t="n">
        <v>33</v>
      </c>
      <c r="G44" s="117" t="n">
        <v>1505.6</v>
      </c>
      <c r="H44" s="119">
        <f>IF(M44&gt;N44, "▲", IF(M44&lt;N44, "▼", "─"))</f>
        <v/>
      </c>
      <c r="I44" s="117" t="n">
        <v>1355.04</v>
      </c>
      <c r="J44" s="117">
        <f>M44-I44</f>
        <v/>
      </c>
      <c r="K44" s="120">
        <f>IF(M44&gt;0, (M44-I44)/M44, 0)</f>
        <v/>
      </c>
      <c r="L44" s="117" t="n">
        <v>49684.8</v>
      </c>
      <c r="M44" s="117">
        <f>IFERROR(INDEX(Price_Update!$F:$F, MATCH(A44, Price_Update!$A:$A, 0)), 1440.4)</f>
        <v/>
      </c>
      <c r="N44" s="117">
        <f>IFERROR(INDEX(Price_Update!$I:$I, MATCH(A44, Price_Update!$A:$A, 0)), 1433.7)</f>
        <v/>
      </c>
      <c r="O44" s="117" t="n">
        <v>1426.4</v>
      </c>
      <c r="P44" s="117" t="n">
        <v>1416.27</v>
      </c>
      <c r="Q44" s="117" t="n">
        <v>1409.53</v>
      </c>
      <c r="R44" s="117" t="n">
        <v>1402.75</v>
      </c>
      <c r="S44" s="117" t="n">
        <v>1343.73</v>
      </c>
      <c r="T44" s="117">
        <f>F44*M44</f>
        <v/>
      </c>
      <c r="U44" s="117">
        <f>T44-L44</f>
        <v/>
      </c>
      <c r="V44" s="120">
        <f>IF(L44&gt;0, U44/L44, 0)</f>
        <v/>
      </c>
      <c r="W44" s="120" t="n">
        <v>-0.6134587227644279</v>
      </c>
      <c r="X44" s="115" t="n">
        <v>17</v>
      </c>
      <c r="Y44" s="115" t="inlineStr"/>
      <c r="Z44" s="115" t="inlineStr">
        <is>
          <t>No</t>
        </is>
      </c>
    </row>
    <row r="45">
      <c r="A45" s="125" t="inlineStr">
        <is>
          <t>BALAMINES</t>
        </is>
      </c>
      <c r="B45" s="115" t="inlineStr">
        <is>
          <t>Small Cap</t>
        </is>
      </c>
      <c r="C45" s="115" t="inlineStr">
        <is>
          <t>Health / Pharma / Chem</t>
        </is>
      </c>
      <c r="D45" s="115" t="inlineStr">
        <is>
          <t>Satellite</t>
        </is>
      </c>
      <c r="E45" s="115" t="inlineStr">
        <is>
          <t>Tranch 1</t>
        </is>
      </c>
      <c r="F45" s="115" t="n">
        <v>56</v>
      </c>
      <c r="G45" s="117" t="n">
        <v>1762.28</v>
      </c>
      <c r="H45" s="119">
        <f>IF(M45&gt;N45, "▲", IF(M45&lt;N45, "▼", "─"))</f>
        <v/>
      </c>
      <c r="I45" s="117" t="n">
        <v>1586.05</v>
      </c>
      <c r="J45" s="117">
        <f>M45-I45</f>
        <v/>
      </c>
      <c r="K45" s="120">
        <f>IF(M45&gt;0, (M45-I45)/M45, 0)</f>
        <v/>
      </c>
      <c r="L45" s="117" t="n">
        <v>98687.67999999999</v>
      </c>
      <c r="M45" s="117">
        <f>IFERROR(INDEX(Price_Update!$F:$F, MATCH(A45, Price_Update!$A:$A, 0)), 2122.2)</f>
        <v/>
      </c>
      <c r="N45" s="117">
        <f>IFERROR(INDEX(Price_Update!$I:$I, MATCH(A45, Price_Update!$A:$A, 0)), 1751.8)</f>
        <v/>
      </c>
      <c r="O45" s="117" t="n">
        <v>1775.6</v>
      </c>
      <c r="P45" s="117" t="n">
        <v>1597.83</v>
      </c>
      <c r="Q45" s="117" t="n">
        <v>1567.74</v>
      </c>
      <c r="R45" s="117" t="n">
        <v>1541.17</v>
      </c>
      <c r="S45" s="117" t="n">
        <v>1398.52</v>
      </c>
      <c r="T45" s="117">
        <f>F45*M45</f>
        <v/>
      </c>
      <c r="U45" s="117">
        <f>T45-L45</f>
        <v/>
      </c>
      <c r="V45" s="120">
        <f>IF(L45&gt;0, U45/L45, 0)</f>
        <v/>
      </c>
      <c r="W45" s="120" t="n">
        <v>89.97452489181515</v>
      </c>
      <c r="X45" s="115" t="n">
        <v>17</v>
      </c>
      <c r="Y45" s="115" t="inlineStr"/>
      <c r="Z45" s="115" t="inlineStr">
        <is>
          <t>No</t>
        </is>
      </c>
    </row>
    <row r="46">
      <c r="A46" s="124" t="inlineStr">
        <is>
          <t>CGPOWER</t>
        </is>
      </c>
      <c r="B46" s="115" t="inlineStr">
        <is>
          <t>Large Cap</t>
        </is>
      </c>
      <c r="C46" s="115" t="inlineStr">
        <is>
          <t>Industrial</t>
        </is>
      </c>
      <c r="D46" s="115" t="inlineStr">
        <is>
          <t>Satellite</t>
        </is>
      </c>
      <c r="E46" s="115" t="inlineStr">
        <is>
          <t>Tranch 2</t>
        </is>
      </c>
      <c r="F46" s="115" t="n">
        <v>230</v>
      </c>
      <c r="G46" s="117" t="n">
        <v>864.34</v>
      </c>
      <c r="H46" s="119">
        <f>IF(M46&gt;N46, "▲", IF(M46&lt;N46, "▼", "─"))</f>
        <v/>
      </c>
      <c r="I46" s="117" t="n">
        <v>904.76</v>
      </c>
      <c r="J46" s="117">
        <f>M46-I46</f>
        <v/>
      </c>
      <c r="K46" s="120">
        <f>IF(M46&gt;0, (M46-I46)/M46, 0)</f>
        <v/>
      </c>
      <c r="L46" s="117" t="n">
        <v>198798.2</v>
      </c>
      <c r="M46" s="117">
        <f>IFERROR(INDEX(Price_Update!$F:$F, MATCH(A46, Price_Update!$A:$A, 0)), 906.65)</f>
        <v/>
      </c>
      <c r="N46" s="117">
        <f>IFERROR(INDEX(Price_Update!$I:$I, MATCH(A46, Price_Update!$A:$A, 0)), 894.35)</f>
        <v/>
      </c>
      <c r="O46" s="117" t="n">
        <v>917.45</v>
      </c>
      <c r="P46" s="117" t="n">
        <v>841.28</v>
      </c>
      <c r="Q46" s="117" t="n">
        <v>833.47</v>
      </c>
      <c r="R46" s="117" t="n">
        <v>826.1900000000001</v>
      </c>
      <c r="S46" s="117" t="n">
        <v>776.88</v>
      </c>
      <c r="T46" s="117">
        <f>F46*M46</f>
        <v/>
      </c>
      <c r="U46" s="117">
        <f>T46-L46</f>
        <v/>
      </c>
      <c r="V46" s="120">
        <f>IF(L46&gt;0, U46/L46, 0)</f>
        <v/>
      </c>
      <c r="W46" s="120" t="n">
        <v>0.4265911601880272</v>
      </c>
      <c r="X46" s="115" t="n">
        <v>112</v>
      </c>
      <c r="Y46" s="115" t="inlineStr"/>
      <c r="Z46" s="115" t="inlineStr">
        <is>
          <t>No</t>
        </is>
      </c>
    </row>
    <row r="47">
      <c r="A47" s="124" t="inlineStr">
        <is>
          <t>CUPID</t>
        </is>
      </c>
      <c r="B47" s="115" t="inlineStr">
        <is>
          <t>Small Cap</t>
        </is>
      </c>
      <c r="C47" s="115" t="inlineStr">
        <is>
          <t>Consumption</t>
        </is>
      </c>
      <c r="D47" s="115" t="inlineStr">
        <is>
          <t>Satellite</t>
        </is>
      </c>
      <c r="E47" s="115" t="inlineStr">
        <is>
          <t>Tranch 2</t>
        </is>
      </c>
      <c r="F47" s="115" t="n">
        <v>1825</v>
      </c>
      <c r="G47" s="117" t="n">
        <v>97.73999999999999</v>
      </c>
      <c r="H47" s="119">
        <f>IF(M47&gt;N47, "▲", IF(M47&lt;N47, "▼", "─"))</f>
        <v/>
      </c>
      <c r="I47" s="117" t="n">
        <v>104.64</v>
      </c>
      <c r="J47" s="117">
        <f>M47-I47</f>
        <v/>
      </c>
      <c r="K47" s="120">
        <f>IF(M47&gt;0, (M47-I47)/M47, 0)</f>
        <v/>
      </c>
      <c r="L47" s="117" t="n">
        <v>178375.5</v>
      </c>
      <c r="M47" s="117">
        <f>IFERROR(INDEX(Price_Update!$F:$F, MATCH(A47, Price_Update!$A:$A, 0)), 129.8)</f>
        <v/>
      </c>
      <c r="N47" s="117">
        <f>IFERROR(INDEX(Price_Update!$I:$I, MATCH(A47, Price_Update!$A:$A, 0)), 129.09)</f>
        <v/>
      </c>
      <c r="O47" s="117" t="n">
        <v>129.06</v>
      </c>
      <c r="P47" s="117" t="n">
        <v>117.3</v>
      </c>
      <c r="Q47" s="117" t="n">
        <v>115.73</v>
      </c>
      <c r="R47" s="117" t="n">
        <v>114.21</v>
      </c>
      <c r="S47" s="117" t="n">
        <v>101.57</v>
      </c>
      <c r="T47" s="117">
        <f>F47*M47</f>
        <v/>
      </c>
      <c r="U47" s="117">
        <f>T47-L47</f>
        <v/>
      </c>
      <c r="V47" s="120">
        <f>IF(L47&gt;0, U47/L47, 0)</f>
        <v/>
      </c>
      <c r="W47" s="120" t="n">
        <v>1.394810746545132</v>
      </c>
      <c r="X47" s="115" t="n">
        <v>149</v>
      </c>
      <c r="Y47" s="115" t="inlineStr">
        <is>
          <t>5:1 Split on 2026-03-09</t>
        </is>
      </c>
      <c r="Z47" s="115" t="inlineStr">
        <is>
          <t>No</t>
        </is>
      </c>
    </row>
    <row r="48">
      <c r="A48" s="125" t="inlineStr">
        <is>
          <t>EXIDEIND</t>
        </is>
      </c>
      <c r="B48" s="115" t="inlineStr">
        <is>
          <t>Small Cap</t>
        </is>
      </c>
      <c r="C48" s="115" t="inlineStr">
        <is>
          <t>Industrial</t>
        </is>
      </c>
      <c r="D48" s="115" t="inlineStr">
        <is>
          <t>Satellite</t>
        </is>
      </c>
      <c r="E48" s="115" t="inlineStr">
        <is>
          <t>Cheat 1</t>
        </is>
      </c>
      <c r="F48" s="115" t="n">
        <v>129</v>
      </c>
      <c r="G48" s="117" t="n">
        <v>389.65</v>
      </c>
      <c r="H48" s="119">
        <f>IF(M48&gt;N48, "▲", IF(M48&lt;N48, "▼", "─"))</f>
        <v/>
      </c>
      <c r="I48" s="117" t="n">
        <v>350.69</v>
      </c>
      <c r="J48" s="117">
        <f>M48-I48</f>
        <v/>
      </c>
      <c r="K48" s="120">
        <f>IF(M48&gt;0, (M48-I48)/M48, 0)</f>
        <v/>
      </c>
      <c r="L48" s="117" t="n">
        <v>50264.85</v>
      </c>
      <c r="M48" s="117">
        <f>IFERROR(INDEX(Price_Update!$F:$F, MATCH(A48, Price_Update!$A:$A, 0)), 398.95)</f>
        <v/>
      </c>
      <c r="N48" s="117">
        <f>IFERROR(INDEX(Price_Update!$I:$I, MATCH(A48, Price_Update!$A:$A, 0)), 392.25)</f>
        <v/>
      </c>
      <c r="O48" s="117" t="n">
        <v>386.5</v>
      </c>
      <c r="P48" s="117" t="n">
        <v>360.56</v>
      </c>
      <c r="Q48" s="117" t="n">
        <v>358.34</v>
      </c>
      <c r="R48" s="117" t="n">
        <v>356.5</v>
      </c>
      <c r="S48" s="117" t="n">
        <v>350.17</v>
      </c>
      <c r="T48" s="117">
        <f>F48*M48</f>
        <v/>
      </c>
      <c r="U48" s="117">
        <f>T48-L48</f>
        <v/>
      </c>
      <c r="V48" s="120">
        <f>IF(L48&gt;0, U48/L48, 0)</f>
        <v/>
      </c>
      <c r="W48" s="120" t="n">
        <v>16.63305822041509</v>
      </c>
      <c r="X48" s="115" t="n">
        <v>3</v>
      </c>
      <c r="Y48" s="115" t="inlineStr"/>
      <c r="Z48" s="115" t="inlineStr">
        <is>
          <t>No</t>
        </is>
      </c>
    </row>
    <row r="49">
      <c r="A49" s="123" t="inlineStr">
        <is>
          <t>GAEL</t>
        </is>
      </c>
      <c r="B49" s="115" t="inlineStr">
        <is>
          <t>Small Cap</t>
        </is>
      </c>
      <c r="C49" s="115" t="inlineStr">
        <is>
          <t>Consumption</t>
        </is>
      </c>
      <c r="D49" s="115" t="inlineStr">
        <is>
          <t>Satellite</t>
        </is>
      </c>
      <c r="E49" s="115" t="inlineStr">
        <is>
          <t>Cheat 2</t>
        </is>
      </c>
      <c r="F49" s="115" t="n">
        <v>362</v>
      </c>
      <c r="G49" s="117" t="n">
        <v>138.75</v>
      </c>
      <c r="H49" s="119">
        <f>IF(M49&gt;N49, "▲", IF(M49&lt;N49, "▼", "─"))</f>
        <v/>
      </c>
      <c r="I49" s="117" t="n">
        <v>124.88</v>
      </c>
      <c r="J49" s="117">
        <f>M49-I49</f>
        <v/>
      </c>
      <c r="K49" s="120">
        <f>IF(M49&gt;0, (M49-I49)/M49, 0)</f>
        <v/>
      </c>
      <c r="L49" s="117" t="n">
        <v>50227.5</v>
      </c>
      <c r="M49" s="117">
        <f>IFERROR(INDEX(Price_Update!$F:$F, MATCH(A49, Price_Update!$A:$A, 0)), 153.0)</f>
        <v/>
      </c>
      <c r="N49" s="117">
        <f>IFERROR(INDEX(Price_Update!$I:$I, MATCH(A49, Price_Update!$A:$A, 0)), 152.81)</f>
        <v/>
      </c>
      <c r="O49" s="117" t="n">
        <v>154.89</v>
      </c>
      <c r="P49" s="117" t="n">
        <v>154.81</v>
      </c>
      <c r="Q49" s="117" t="n">
        <v>154.05</v>
      </c>
      <c r="R49" s="117" t="n">
        <v>153.27</v>
      </c>
      <c r="S49" s="117" t="n">
        <v>145.87</v>
      </c>
      <c r="T49" s="117">
        <f>F49*M49</f>
        <v/>
      </c>
      <c r="U49" s="117">
        <f>T49-L49</f>
        <v/>
      </c>
      <c r="V49" s="120">
        <f>IF(L49&gt;0, U49/L49, 0)</f>
        <v/>
      </c>
      <c r="W49" s="120" t="n">
        <v>0.27679996646268</v>
      </c>
      <c r="X49" s="115" t="n">
        <v>153</v>
      </c>
      <c r="Y49" s="115" t="inlineStr"/>
      <c r="Z49" s="115" t="inlineStr">
        <is>
          <t>No</t>
        </is>
      </c>
    </row>
    <row r="50">
      <c r="A50" s="123" t="inlineStr">
        <is>
          <t>GPIL</t>
        </is>
      </c>
      <c r="B50" s="115" t="inlineStr">
        <is>
          <t>Small Cap</t>
        </is>
      </c>
      <c r="C50" s="115" t="inlineStr">
        <is>
          <t>Industrial</t>
        </is>
      </c>
      <c r="D50" s="115" t="inlineStr">
        <is>
          <t>Satellite</t>
        </is>
      </c>
      <c r="E50" s="115" t="inlineStr">
        <is>
          <t>Cheat 2</t>
        </is>
      </c>
      <c r="F50" s="115" t="n">
        <v>276</v>
      </c>
      <c r="G50" s="117" t="n">
        <v>278.74</v>
      </c>
      <c r="H50" s="119">
        <f>IF(M50&gt;N50, "▲", IF(M50&lt;N50, "▼", "─"))</f>
        <v/>
      </c>
      <c r="I50" s="117" t="n">
        <v>250.87</v>
      </c>
      <c r="J50" s="117">
        <f>M50-I50</f>
        <v/>
      </c>
      <c r="K50" s="120">
        <f>IF(M50&gt;0, (M50-I50)/M50, 0)</f>
        <v/>
      </c>
      <c r="L50" s="117" t="n">
        <v>76932.24000000001</v>
      </c>
      <c r="M50" s="117">
        <f>IFERROR(INDEX(Price_Update!$F:$F, MATCH(A50, Price_Update!$A:$A, 0)), 286.25)</f>
        <v/>
      </c>
      <c r="N50" s="117">
        <f>IFERROR(INDEX(Price_Update!$I:$I, MATCH(A50, Price_Update!$A:$A, 0)), 281.65)</f>
        <v/>
      </c>
      <c r="O50" s="117" t="n">
        <v>288.05</v>
      </c>
      <c r="P50" s="117" t="n">
        <v>286.66</v>
      </c>
      <c r="Q50" s="117" t="n">
        <v>285.85</v>
      </c>
      <c r="R50" s="117" t="n">
        <v>284.98</v>
      </c>
      <c r="S50" s="117" t="n">
        <v>276.01</v>
      </c>
      <c r="T50" s="117">
        <f>F50*M50</f>
        <v/>
      </c>
      <c r="U50" s="117">
        <f>T50-L50</f>
        <v/>
      </c>
      <c r="V50" s="120">
        <f>IF(L50&gt;0, U50/L50, 0)</f>
        <v/>
      </c>
      <c r="W50" s="120" t="n">
        <v>0.04564034131557616</v>
      </c>
      <c r="X50" s="115" t="n">
        <v>220</v>
      </c>
      <c r="Y50" s="115" t="inlineStr"/>
      <c r="Z50" s="115" t="inlineStr">
        <is>
          <t>No</t>
        </is>
      </c>
    </row>
    <row r="51">
      <c r="A51" s="123" t="inlineStr">
        <is>
          <t>HINDALCO</t>
        </is>
      </c>
      <c r="B51" s="115" t="inlineStr">
        <is>
          <t>Large Cap</t>
        </is>
      </c>
      <c r="C51" s="115" t="inlineStr">
        <is>
          <t>Industrial</t>
        </is>
      </c>
      <c r="D51" s="115" t="inlineStr">
        <is>
          <t>Satellite</t>
        </is>
      </c>
      <c r="E51" s="115" t="inlineStr">
        <is>
          <t>Tranch 4</t>
        </is>
      </c>
      <c r="F51" s="115" t="n">
        <v>340</v>
      </c>
      <c r="G51" s="117" t="n">
        <v>902.46</v>
      </c>
      <c r="H51" s="119">
        <f>IF(M51&gt;N51, "▲", IF(M51&lt;N51, "▼", "─"))</f>
        <v/>
      </c>
      <c r="I51" s="117" t="n">
        <v>995.53</v>
      </c>
      <c r="J51" s="117">
        <f>M51-I51</f>
        <v/>
      </c>
      <c r="K51" s="120">
        <f>IF(M51&gt;0, (M51-I51)/M51, 0)</f>
        <v/>
      </c>
      <c r="L51" s="117" t="n">
        <v>306836.4</v>
      </c>
      <c r="M51" s="117">
        <f>IFERROR(INDEX(Price_Update!$F:$F, MATCH(A51, Price_Update!$A:$A, 0)), 1138.9)</f>
        <v/>
      </c>
      <c r="N51" s="117">
        <f>IFERROR(INDEX(Price_Update!$I:$I, MATCH(A51, Price_Update!$A:$A, 0)), 1141.3)</f>
        <v/>
      </c>
      <c r="O51" s="117" t="n">
        <v>1126.7</v>
      </c>
      <c r="P51" s="117" t="n">
        <v>1067.87</v>
      </c>
      <c r="Q51" s="117" t="n">
        <v>1060.22</v>
      </c>
      <c r="R51" s="117" t="n">
        <v>1053.01</v>
      </c>
      <c r="S51" s="117" t="n">
        <v>995.53</v>
      </c>
      <c r="T51" s="117">
        <f>F51*M51</f>
        <v/>
      </c>
      <c r="U51" s="117">
        <f>T51-L51</f>
        <v/>
      </c>
      <c r="V51" s="120">
        <f>IF(L51&gt;0, U51/L51, 0)</f>
        <v/>
      </c>
      <c r="W51" s="120" t="n">
        <v>0.7135619742974024</v>
      </c>
      <c r="X51" s="115" t="n">
        <v>241</v>
      </c>
      <c r="Y51" s="115" t="inlineStr"/>
      <c r="Z51" s="115" t="inlineStr">
        <is>
          <t>No</t>
        </is>
      </c>
    </row>
    <row r="52">
      <c r="A52" s="124" t="inlineStr">
        <is>
          <t>LAURUSLABS</t>
        </is>
      </c>
      <c r="B52" s="115" t="inlineStr">
        <is>
          <t>Mid Cap</t>
        </is>
      </c>
      <c r="C52" s="115" t="inlineStr">
        <is>
          <t>Health / Pharma / Chem</t>
        </is>
      </c>
      <c r="D52" s="115" t="inlineStr">
        <is>
          <t>Satellite</t>
        </is>
      </c>
      <c r="E52" s="115" t="inlineStr">
        <is>
          <t>Tranch 1</t>
        </is>
      </c>
      <c r="F52" s="115" t="n">
        <v>75</v>
      </c>
      <c r="G52" s="117" t="n">
        <v>1350.41</v>
      </c>
      <c r="H52" s="119">
        <f>IF(M52&gt;N52, "▲", IF(M52&lt;N52, "▼", "─"))</f>
        <v/>
      </c>
      <c r="I52" s="117" t="n">
        <v>1215.37</v>
      </c>
      <c r="J52" s="117">
        <f>M52-I52</f>
        <v/>
      </c>
      <c r="K52" s="120">
        <f>IF(M52&gt;0, (M52-I52)/M52, 0)</f>
        <v/>
      </c>
      <c r="L52" s="117" t="n">
        <v>101280.75</v>
      </c>
      <c r="M52" s="117">
        <f>IFERROR(INDEX(Price_Update!$F:$F, MATCH(A52, Price_Update!$A:$A, 0)), 1394.3)</f>
        <v/>
      </c>
      <c r="N52" s="117">
        <f>IFERROR(INDEX(Price_Update!$I:$I, MATCH(A52, Price_Update!$A:$A, 0)), 1388.4)</f>
        <v/>
      </c>
      <c r="O52" s="117" t="n">
        <v>1362</v>
      </c>
      <c r="P52" s="117" t="n">
        <v>1254.02</v>
      </c>
      <c r="Q52" s="117" t="n">
        <v>1241.3</v>
      </c>
      <c r="R52" s="117" t="n">
        <v>1229.67</v>
      </c>
      <c r="S52" s="117" t="n">
        <v>1147.84</v>
      </c>
      <c r="T52" s="117">
        <f>F52*M52</f>
        <v/>
      </c>
      <c r="U52" s="117">
        <f>T52-L52</f>
        <v/>
      </c>
      <c r="V52" s="120">
        <f>IF(L52&gt;0, U52/L52, 0)</f>
        <v/>
      </c>
      <c r="W52" s="120" t="n">
        <v>1.450737408678821</v>
      </c>
      <c r="X52" s="115" t="n">
        <v>20</v>
      </c>
      <c r="Y52" s="115" t="inlineStr"/>
      <c r="Z52" s="115" t="inlineStr">
        <is>
          <t>No</t>
        </is>
      </c>
    </row>
    <row r="53">
      <c r="A53" s="126" t="inlineStr">
        <is>
          <t>NETWEB</t>
        </is>
      </c>
      <c r="B53" s="115" t="inlineStr">
        <is>
          <t>Small Cap</t>
        </is>
      </c>
      <c r="C53" s="115" t="inlineStr">
        <is>
          <t>Tech / Platform / IT</t>
        </is>
      </c>
      <c r="D53" s="115" t="inlineStr">
        <is>
          <t>Satellite</t>
        </is>
      </c>
      <c r="E53" s="115" t="inlineStr">
        <is>
          <t>Cheat 1</t>
        </is>
      </c>
      <c r="F53" s="115" t="n">
        <v>11</v>
      </c>
      <c r="G53" s="117" t="n">
        <v>4599.12</v>
      </c>
      <c r="H53" s="119">
        <f>IF(M53&gt;N53, "▲", IF(M53&lt;N53, "▼", "─"))</f>
        <v/>
      </c>
      <c r="I53" s="117" t="n">
        <v>4139.21</v>
      </c>
      <c r="J53" s="117">
        <f>M53-I53</f>
        <v/>
      </c>
      <c r="K53" s="120">
        <f>IF(M53&gt;0, (M53-I53)/M53, 0)</f>
        <v/>
      </c>
      <c r="L53" s="117" t="n">
        <v>50590.32</v>
      </c>
      <c r="M53" s="117">
        <f>IFERROR(INDEX(Price_Update!$F:$F, MATCH(A53, Price_Update!$A:$A, 0)), 4705.3)</f>
        <v/>
      </c>
      <c r="N53" s="117">
        <f>IFERROR(INDEX(Price_Update!$I:$I, MATCH(A53, Price_Update!$A:$A, 0)), 4620.1)</f>
        <v/>
      </c>
      <c r="O53" s="117" t="n">
        <v>4670.7</v>
      </c>
      <c r="P53" s="117" t="n">
        <v>4128.81</v>
      </c>
      <c r="Q53" s="117" t="n">
        <v>4083.71</v>
      </c>
      <c r="R53" s="117" t="n">
        <v>4042.73</v>
      </c>
      <c r="S53" s="117" t="n">
        <v>3762.12</v>
      </c>
      <c r="T53" s="117">
        <f>F53*M53</f>
        <v/>
      </c>
      <c r="U53" s="117">
        <f>T53-L53</f>
        <v/>
      </c>
      <c r="V53" s="120">
        <f>IF(L53&gt;0, U53/L53, 0)</f>
        <v/>
      </c>
      <c r="W53" s="120" t="n">
        <v>15.07125297009553</v>
      </c>
      <c r="X53" s="115" t="n">
        <v>3</v>
      </c>
      <c r="Y53" s="115" t="inlineStr"/>
      <c r="Z53" s="115" t="inlineStr">
        <is>
          <t>No</t>
        </is>
      </c>
    </row>
    <row r="54">
      <c r="A54" s="126" t="inlineStr">
        <is>
          <t>NRBBEARING</t>
        </is>
      </c>
      <c r="B54" s="115" t="inlineStr">
        <is>
          <t>Small Cap</t>
        </is>
      </c>
      <c r="C54" s="115" t="inlineStr">
        <is>
          <t>Industrial</t>
        </is>
      </c>
      <c r="D54" s="115" t="inlineStr">
        <is>
          <t>Satellite</t>
        </is>
      </c>
      <c r="E54" s="115" t="inlineStr">
        <is>
          <t>Cheat 2</t>
        </is>
      </c>
      <c r="F54" s="115" t="n">
        <v>133</v>
      </c>
      <c r="G54" s="117" t="n">
        <v>377.97</v>
      </c>
      <c r="H54" s="119">
        <f>IF(M54&gt;N54, "▲", IF(M54&lt;N54, "▼", "─"))</f>
        <v/>
      </c>
      <c r="I54" s="117" t="n">
        <v>340.17</v>
      </c>
      <c r="J54" s="117">
        <f>M54-I54</f>
        <v/>
      </c>
      <c r="K54" s="120">
        <f>IF(M54&gt;0, (M54-I54)/M54, 0)</f>
        <v/>
      </c>
      <c r="L54" s="117" t="n">
        <v>50270.01</v>
      </c>
      <c r="M54" s="117">
        <f>IFERROR(INDEX(Price_Update!$F:$F, MATCH(A54, Price_Update!$A:$A, 0)), 357.35)</f>
        <v/>
      </c>
      <c r="N54" s="117">
        <f>IFERROR(INDEX(Price_Update!$I:$I, MATCH(A54, Price_Update!$A:$A, 0)), 360.1)</f>
        <v/>
      </c>
      <c r="O54" s="117" t="n">
        <v>370</v>
      </c>
      <c r="P54" s="117" t="n">
        <v>327.13</v>
      </c>
      <c r="Q54" s="117" t="n">
        <v>323.15</v>
      </c>
      <c r="R54" s="117" t="n">
        <v>319.58</v>
      </c>
      <c r="S54" s="117" t="n">
        <v>298.27</v>
      </c>
      <c r="T54" s="117">
        <f>F54*M54</f>
        <v/>
      </c>
      <c r="U54" s="117">
        <f>T54-L54</f>
        <v/>
      </c>
      <c r="V54" s="120">
        <f>IF(L54&gt;0, U54/L54, 0)</f>
        <v/>
      </c>
      <c r="W54" s="120" t="n">
        <v>-0.8317147219691573</v>
      </c>
      <c r="X54" s="115" t="n">
        <v>13</v>
      </c>
      <c r="Y54" s="115" t="inlineStr"/>
      <c r="Z54" s="115" t="inlineStr">
        <is>
          <t>No</t>
        </is>
      </c>
    </row>
    <row r="55">
      <c r="A55" s="123" t="inlineStr">
        <is>
          <t>SEAMECLTD</t>
        </is>
      </c>
      <c r="B55" s="115" t="inlineStr">
        <is>
          <t>Small Cap</t>
        </is>
      </c>
      <c r="C55" s="115" t="inlineStr">
        <is>
          <t>Industrial</t>
        </is>
      </c>
      <c r="D55" s="115" t="inlineStr">
        <is>
          <t>Satellite</t>
        </is>
      </c>
      <c r="E55" s="115" t="inlineStr">
        <is>
          <t>Cheat 4</t>
        </is>
      </c>
      <c r="F55" s="115" t="n">
        <v>42</v>
      </c>
      <c r="G55" s="117" t="n">
        <v>1353.87</v>
      </c>
      <c r="H55" s="119">
        <f>IF(M55&gt;N55, "▲", IF(M55&lt;N55, "▼", "─"))</f>
        <v/>
      </c>
      <c r="I55" s="117" t="n">
        <v>1218.48</v>
      </c>
      <c r="J55" s="117">
        <f>M55-I55</f>
        <v/>
      </c>
      <c r="K55" s="120">
        <f>IF(M55&gt;0, (M55-I55)/M55, 0)</f>
        <v/>
      </c>
      <c r="L55" s="117" t="n">
        <v>56862.54</v>
      </c>
      <c r="M55" s="117">
        <f>IFERROR(INDEX(Price_Update!$F:$F, MATCH(A55, Price_Update!$A:$A, 0)), 1617.3)</f>
        <v/>
      </c>
      <c r="N55" s="117">
        <f>IFERROR(INDEX(Price_Update!$I:$I, MATCH(A55, Price_Update!$A:$A, 0)), 1624.4)</f>
        <v/>
      </c>
      <c r="O55" s="117" t="n">
        <v>1614.6</v>
      </c>
      <c r="P55" s="117" t="n">
        <v>1552.63</v>
      </c>
      <c r="Q55" s="117" t="n">
        <v>1541.66</v>
      </c>
      <c r="R55" s="117" t="n">
        <v>1530.54</v>
      </c>
      <c r="S55" s="117" t="n">
        <v>1422.77</v>
      </c>
      <c r="T55" s="117">
        <f>F55*M55</f>
        <v/>
      </c>
      <c r="U55" s="117">
        <f>T55-L55</f>
        <v/>
      </c>
      <c r="V55" s="120">
        <f>IF(L55&gt;0, U55/L55, 0)</f>
        <v/>
      </c>
      <c r="W55" s="120" t="n">
        <v>0.8254356002044063</v>
      </c>
      <c r="X55" s="115" t="n">
        <v>125</v>
      </c>
      <c r="Y55" s="115" t="inlineStr"/>
      <c r="Z55" s="115" t="inlineStr">
        <is>
          <t>No</t>
        </is>
      </c>
    </row>
    <row r="56">
      <c r="A56" s="127" t="inlineStr">
        <is>
          <t>SFL</t>
        </is>
      </c>
      <c r="B56" s="115" t="inlineStr">
        <is>
          <t>Small Cap</t>
        </is>
      </c>
      <c r="C56" s="115" t="inlineStr">
        <is>
          <t>Consumption</t>
        </is>
      </c>
      <c r="D56" s="115" t="inlineStr">
        <is>
          <t>Satellite</t>
        </is>
      </c>
      <c r="E56" s="115" t="inlineStr">
        <is>
          <t>Cheat 1</t>
        </is>
      </c>
      <c r="F56" s="115" t="n">
        <v>40</v>
      </c>
      <c r="G56" s="117" t="n">
        <v>639.2</v>
      </c>
      <c r="H56" s="119">
        <f>IF(M56&gt;N56, "▲", IF(M56&lt;N56, "▼", "─"))</f>
        <v/>
      </c>
      <c r="I56" s="117" t="n">
        <v>575.28</v>
      </c>
      <c r="J56" s="117">
        <f>M56-I56</f>
        <v/>
      </c>
      <c r="K56" s="120">
        <f>IF(M56&gt;0, (M56-I56)/M56, 0)</f>
        <v/>
      </c>
      <c r="L56" s="117" t="n">
        <v>25568</v>
      </c>
      <c r="M56" s="117">
        <f>IFERROR(INDEX(Price_Update!$F:$F, MATCH(A56, Price_Update!$A:$A, 0)), 597.5)</f>
        <v/>
      </c>
      <c r="N56" s="117">
        <f>IFERROR(INDEX(Price_Update!$I:$I, MATCH(A56, Price_Update!$A:$A, 0)), 606.5)</f>
        <v/>
      </c>
      <c r="O56" s="117" t="n">
        <v>605</v>
      </c>
      <c r="P56" s="117" t="n">
        <v>581.11</v>
      </c>
      <c r="Q56" s="117" t="n">
        <v>578.41</v>
      </c>
      <c r="R56" s="117" t="n">
        <v>576.21</v>
      </c>
      <c r="S56" s="117" t="n">
        <v>572.22</v>
      </c>
      <c r="T56" s="117">
        <f>F56*M56</f>
        <v/>
      </c>
      <c r="U56" s="117">
        <f>T56-L56</f>
        <v/>
      </c>
      <c r="V56" s="120">
        <f>IF(L56&gt;0, U56/L56, 0)</f>
        <v/>
      </c>
      <c r="W56" s="120" t="n">
        <v>-0.8495548282010327</v>
      </c>
      <c r="X56" s="115" t="n">
        <v>13</v>
      </c>
      <c r="Y56" s="115" t="inlineStr"/>
      <c r="Z56" s="115" t="inlineStr">
        <is>
          <t>No</t>
        </is>
      </c>
    </row>
    <row r="57">
      <c r="A57" s="125" t="inlineStr">
        <is>
          <t>SKIPPER</t>
        </is>
      </c>
      <c r="B57" s="115" t="inlineStr">
        <is>
          <t>Small Cap</t>
        </is>
      </c>
      <c r="C57" s="115" t="inlineStr">
        <is>
          <t>Industrial</t>
        </is>
      </c>
      <c r="D57" s="115" t="inlineStr">
        <is>
          <t>Satellite</t>
        </is>
      </c>
      <c r="E57" s="115" t="inlineStr">
        <is>
          <t>Cheat 1</t>
        </is>
      </c>
      <c r="F57" s="115" t="n">
        <v>92</v>
      </c>
      <c r="G57" s="117" t="n">
        <v>547</v>
      </c>
      <c r="H57" s="119">
        <f>IF(M57&gt;N57, "▲", IF(M57&lt;N57, "▼", "─"))</f>
        <v/>
      </c>
      <c r="I57" s="117" t="n">
        <v>492.3</v>
      </c>
      <c r="J57" s="117">
        <f>M57-I57</f>
        <v/>
      </c>
      <c r="K57" s="120">
        <f>IF(M57&gt;0, (M57-I57)/M57, 0)</f>
        <v/>
      </c>
      <c r="L57" s="117" t="n">
        <v>50324</v>
      </c>
      <c r="M57" s="117">
        <f>IFERROR(INDEX(Price_Update!$F:$F, MATCH(A57, Price_Update!$A:$A, 0)), 570.5)</f>
        <v/>
      </c>
      <c r="N57" s="117">
        <f>IFERROR(INDEX(Price_Update!$I:$I, MATCH(A57, Price_Update!$A:$A, 0)), 547.35)</f>
        <v/>
      </c>
      <c r="O57" s="117" t="n">
        <v>549.35</v>
      </c>
      <c r="P57" s="117" t="n">
        <v>481.33</v>
      </c>
      <c r="Q57" s="117" t="n">
        <v>475.48</v>
      </c>
      <c r="R57" s="117" t="n">
        <v>470.39</v>
      </c>
      <c r="S57" s="117" t="n">
        <v>446.55</v>
      </c>
      <c r="T57" s="117">
        <f>F57*M57</f>
        <v/>
      </c>
      <c r="U57" s="117">
        <f>T57-L57</f>
        <v/>
      </c>
      <c r="V57" s="120">
        <f>IF(L57&gt;0, U57/L57, 0)</f>
        <v/>
      </c>
      <c r="W57" s="120" t="n">
        <v>165.9728632579344</v>
      </c>
      <c r="X57" s="115" t="n">
        <v>3</v>
      </c>
      <c r="Y57" s="115" t="inlineStr"/>
      <c r="Z57" s="115" t="inlineStr">
        <is>
          <t>No</t>
        </is>
      </c>
    </row>
    <row r="58">
      <c r="A58" s="123" t="inlineStr">
        <is>
          <t>SUNPHARMA</t>
        </is>
      </c>
      <c r="B58" s="115" t="inlineStr">
        <is>
          <t>Large Cap</t>
        </is>
      </c>
      <c r="C58" s="115" t="inlineStr">
        <is>
          <t>Health / Pharma / Chem</t>
        </is>
      </c>
      <c r="D58" s="115" t="inlineStr">
        <is>
          <t>Satellite</t>
        </is>
      </c>
      <c r="E58" s="115" t="inlineStr">
        <is>
          <t>Cheat 1</t>
        </is>
      </c>
      <c r="F58" s="115" t="n">
        <v>26</v>
      </c>
      <c r="G58" s="117" t="n">
        <v>1899.2</v>
      </c>
      <c r="H58" s="119">
        <f>IF(M58&gt;N58, "▲", IF(M58&lt;N58, "▼", "─"))</f>
        <v/>
      </c>
      <c r="I58" s="117" t="n">
        <v>1709.28</v>
      </c>
      <c r="J58" s="117">
        <f>M58-I58</f>
        <v/>
      </c>
      <c r="K58" s="120">
        <f>IF(M58&gt;0, (M58-I58)/M58, 0)</f>
        <v/>
      </c>
      <c r="L58" s="117" t="n">
        <v>49379.2</v>
      </c>
      <c r="M58" s="117">
        <f>IFERROR(INDEX(Price_Update!$F:$F, MATCH(A58, Price_Update!$A:$A, 0)), 1788.5)</f>
        <v/>
      </c>
      <c r="N58" s="117">
        <f>IFERROR(INDEX(Price_Update!$I:$I, MATCH(A58, Price_Update!$A:$A, 0)), 1796.5)</f>
        <v/>
      </c>
      <c r="O58" s="117" t="n">
        <v>1799.2</v>
      </c>
      <c r="P58" s="117" t="n">
        <v>1788.75</v>
      </c>
      <c r="Q58" s="117" t="n">
        <v>1785.23</v>
      </c>
      <c r="R58" s="117" t="n">
        <v>1781.91</v>
      </c>
      <c r="S58" s="117" t="n">
        <v>1757.35</v>
      </c>
      <c r="T58" s="117">
        <f>F58*M58</f>
        <v/>
      </c>
      <c r="U58" s="117">
        <f>T58-L58</f>
        <v/>
      </c>
      <c r="V58" s="120">
        <f>IF(L58&gt;0, U58/L58, 0)</f>
        <v/>
      </c>
      <c r="W58" s="120" t="n">
        <v>-0.7245712111986204</v>
      </c>
      <c r="X58" s="115" t="n">
        <v>17</v>
      </c>
      <c r="Y58" s="115" t="inlineStr"/>
      <c r="Z58" s="115" t="inlineStr">
        <is>
          <t>No</t>
        </is>
      </c>
    </row>
    <row r="59">
      <c r="A59" s="123" t="inlineStr">
        <is>
          <t>TATATECH</t>
        </is>
      </c>
      <c r="B59" s="115" t="inlineStr">
        <is>
          <t>Small Cap</t>
        </is>
      </c>
      <c r="C59" s="115" t="inlineStr">
        <is>
          <t>Tech / Platform / IT</t>
        </is>
      </c>
      <c r="D59" s="115" t="inlineStr">
        <is>
          <t>Satellite</t>
        </is>
      </c>
      <c r="E59" s="115" t="inlineStr">
        <is>
          <t>Tranch 1</t>
        </is>
      </c>
      <c r="F59" s="115" t="n">
        <v>145</v>
      </c>
      <c r="G59" s="117" t="n">
        <v>691.04</v>
      </c>
      <c r="H59" s="119">
        <f>IF(M59&gt;N59, "▲", IF(M59&lt;N59, "▼", "─"))</f>
        <v/>
      </c>
      <c r="I59" s="117" t="n">
        <v>621.9400000000001</v>
      </c>
      <c r="J59" s="117">
        <f>M59-I59</f>
        <v/>
      </c>
      <c r="K59" s="120">
        <f>IF(M59&gt;0, (M59-I59)/M59, 0)</f>
        <v/>
      </c>
      <c r="L59" s="117" t="n">
        <v>100200.8</v>
      </c>
      <c r="M59" s="117">
        <f>IFERROR(INDEX(Price_Update!$F:$F, MATCH(A59, Price_Update!$A:$A, 0)), 731.05)</f>
        <v/>
      </c>
      <c r="N59" s="117">
        <f>IFERROR(INDEX(Price_Update!$I:$I, MATCH(A59, Price_Update!$A:$A, 0)), 714.8)</f>
        <v/>
      </c>
      <c r="O59" s="117" t="n">
        <v>705.3</v>
      </c>
      <c r="P59" s="117" t="n">
        <v>649.8099999999999</v>
      </c>
      <c r="Q59" s="117" t="n">
        <v>645.1900000000001</v>
      </c>
      <c r="R59" s="117" t="n">
        <v>641.4299999999999</v>
      </c>
      <c r="S59" s="117" t="n">
        <v>629.39</v>
      </c>
      <c r="T59" s="117">
        <f>F59*M59</f>
        <v/>
      </c>
      <c r="U59" s="117">
        <f>T59-L59</f>
        <v/>
      </c>
      <c r="V59" s="120">
        <f>IF(L59&gt;0, U59/L59, 0)</f>
        <v/>
      </c>
      <c r="W59" s="120" t="n">
        <v>5.382508646147854</v>
      </c>
      <c r="X59" s="115" t="n">
        <v>16</v>
      </c>
      <c r="Y59" s="115" t="inlineStr"/>
      <c r="Z59" s="115" t="inlineStr">
        <is>
          <t>No</t>
        </is>
      </c>
    </row>
    <row r="60">
      <c r="A60" s="125" t="inlineStr">
        <is>
          <t>THERMAX</t>
        </is>
      </c>
      <c r="B60" s="115" t="inlineStr">
        <is>
          <t>Mid Cap</t>
        </is>
      </c>
      <c r="C60" s="115" t="inlineStr">
        <is>
          <t>Industrial</t>
        </is>
      </c>
      <c r="D60" s="115" t="inlineStr">
        <is>
          <t>Satellite</t>
        </is>
      </c>
      <c r="E60" s="115" t="inlineStr">
        <is>
          <t>Cheat 2</t>
        </is>
      </c>
      <c r="F60" s="115" t="n">
        <v>11</v>
      </c>
      <c r="G60" s="117" t="n">
        <v>4962.78</v>
      </c>
      <c r="H60" s="119">
        <f>IF(M60&gt;N60, "▲", IF(M60&lt;N60, "▼", "─"))</f>
        <v/>
      </c>
      <c r="I60" s="117" t="n">
        <v>4466.5</v>
      </c>
      <c r="J60" s="117">
        <f>M60-I60</f>
        <v/>
      </c>
      <c r="K60" s="120">
        <f>IF(M60&gt;0, (M60-I60)/M60, 0)</f>
        <v/>
      </c>
      <c r="L60" s="117" t="n">
        <v>54590.58</v>
      </c>
      <c r="M60" s="117">
        <f>IFERROR(INDEX(Price_Update!$F:$F, MATCH(A60, Price_Update!$A:$A, 0)), 4784.5)</f>
        <v/>
      </c>
      <c r="N60" s="117">
        <f>IFERROR(INDEX(Price_Update!$I:$I, MATCH(A60, Price_Update!$A:$A, 0)), 4992.8)</f>
        <v/>
      </c>
      <c r="O60" s="117" t="n">
        <v>4982.7</v>
      </c>
      <c r="P60" s="117" t="n">
        <v>4402.31</v>
      </c>
      <c r="Q60" s="117" t="n">
        <v>4341.48</v>
      </c>
      <c r="R60" s="117" t="n">
        <v>4284.75</v>
      </c>
      <c r="S60" s="117" t="n">
        <v>3900.78</v>
      </c>
      <c r="T60" s="117">
        <f>F60*M60</f>
        <v/>
      </c>
      <c r="U60" s="117">
        <f>T60-L60</f>
        <v/>
      </c>
      <c r="V60" s="120">
        <f>IF(L60&gt;0, U60/L60, 0)</f>
        <v/>
      </c>
      <c r="W60" s="120" t="n">
        <v>-0.9244533055027605</v>
      </c>
      <c r="X60" s="115" t="n">
        <v>6</v>
      </c>
      <c r="Y60" s="115" t="inlineStr"/>
      <c r="Z60" s="115" t="inlineStr">
        <is>
          <t>No</t>
        </is>
      </c>
    </row>
    <row r="61">
      <c r="A61" s="125" t="inlineStr">
        <is>
          <t>ZYDUSLIFE</t>
        </is>
      </c>
      <c r="B61" s="115" t="inlineStr">
        <is>
          <t>Large Cap</t>
        </is>
      </c>
      <c r="C61" s="115" t="inlineStr">
        <is>
          <t>Health / Pharma / Chem</t>
        </is>
      </c>
      <c r="D61" s="115" t="inlineStr">
        <is>
          <t>Satellite</t>
        </is>
      </c>
      <c r="E61" s="115" t="inlineStr">
        <is>
          <t>Cheat 1</t>
        </is>
      </c>
      <c r="F61" s="115" t="n">
        <v>46</v>
      </c>
      <c r="G61" s="117" t="n">
        <v>1092.4</v>
      </c>
      <c r="H61" s="119">
        <f>IF(M61&gt;N61, "▲", IF(M61&lt;N61, "▼", "─"))</f>
        <v/>
      </c>
      <c r="I61" s="117" t="n">
        <v>983.16</v>
      </c>
      <c r="J61" s="117">
        <f>M61-I61</f>
        <v/>
      </c>
      <c r="K61" s="120">
        <f>IF(M61&gt;0, (M61-I61)/M61, 0)</f>
        <v/>
      </c>
      <c r="L61" s="117" t="n">
        <v>50250.4</v>
      </c>
      <c r="M61" s="117">
        <f>IFERROR(INDEX(Price_Update!$F:$F, MATCH(A61, Price_Update!$A:$A, 0)), 1076.6)</f>
        <v/>
      </c>
      <c r="N61" s="117">
        <f>IFERROR(INDEX(Price_Update!$I:$I, MATCH(A61, Price_Update!$A:$A, 0)), 1091.2)</f>
        <v/>
      </c>
      <c r="O61" s="117" t="n">
        <v>1077.7</v>
      </c>
      <c r="P61" s="117" t="n">
        <v>999.12</v>
      </c>
      <c r="Q61" s="117" t="n">
        <v>992.9299999999999</v>
      </c>
      <c r="R61" s="117" t="n">
        <v>987.53</v>
      </c>
      <c r="S61" s="117" t="n">
        <v>959.21</v>
      </c>
      <c r="T61" s="117">
        <f>F61*M61</f>
        <v/>
      </c>
      <c r="U61" s="117">
        <f>T61-L61</f>
        <v/>
      </c>
      <c r="V61" s="120">
        <f>IF(L61&gt;0, U61/L61, 0)</f>
        <v/>
      </c>
      <c r="W61" s="120" t="n">
        <v>-0.830106581607112</v>
      </c>
      <c r="X61" s="115" t="n">
        <v>3</v>
      </c>
      <c r="Y61" s="115" t="inlineStr"/>
      <c r="Z61" s="115" t="inlineStr">
        <is>
          <t>No</t>
        </is>
      </c>
    </row>
  </sheetData>
  <conditionalFormatting sqref="N2:N61">
    <cfRule type="expression" priority="1" dxfId="36">
      <formula>=$M2&gt;$N2</formula>
    </cfRule>
    <cfRule type="expression" priority="2" dxfId="37">
      <formula>=$M2&lt;=$N2</formula>
    </cfRule>
  </conditionalFormatting>
  <conditionalFormatting sqref="O2:O61">
    <cfRule type="expression" priority="3" dxfId="36">
      <formula>=$M2&gt;$O2</formula>
    </cfRule>
    <cfRule type="expression" priority="4" dxfId="37">
      <formula>=$M2&lt;=$O2</formula>
    </cfRule>
  </conditionalFormatting>
  <conditionalFormatting sqref="H2:H61">
    <cfRule type="cellIs" priority="5" operator="equal" dxfId="34">
      <formula>"▲"</formula>
    </cfRule>
    <cfRule type="cellIs" priority="6" operator="equal" dxfId="35">
      <formula>"▼"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61"/>
  <sheetViews>
    <sheetView zoomScaleNormal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B2" sqref="B2:B32"/>
    </sheetView>
  </sheetViews>
  <sheetFormatPr baseColWidth="8" defaultRowHeight="15"/>
  <cols>
    <col width="13.42578125" customWidth="1" style="87" min="1" max="1"/>
    <col width="33.42578125" customWidth="1" style="87" min="2" max="2"/>
    <col width="45.5703125" customWidth="1" style="87" min="3" max="3"/>
    <col width="37.7109375" customWidth="1" style="87" min="4" max="4"/>
    <col width="30.28515625" customWidth="1" style="87" min="5" max="5"/>
    <col width="28.140625" customWidth="1" style="87" min="6" max="6"/>
    <col width="22.85546875" customWidth="1" style="87" min="7" max="7"/>
    <col width="16" customWidth="1" style="87" min="9" max="9"/>
    <col width="11.5703125" customWidth="1" style="87" min="10" max="10"/>
    <col width="20.28515625" customWidth="1" style="87" min="16" max="16"/>
  </cols>
  <sheetData>
    <row r="1" ht="30" customHeight="1" s="87">
      <c r="A1" s="71" t="inlineStr">
        <is>
          <t>Month</t>
        </is>
      </c>
      <c r="B1" s="71" t="inlineStr">
        <is>
          <t>Company</t>
        </is>
      </c>
      <c r="C1" s="71" t="inlineStr">
        <is>
          <t>Company Name</t>
        </is>
      </c>
      <c r="D1" s="71" t="inlineStr">
        <is>
          <t>Sector</t>
        </is>
      </c>
      <c r="E1" s="71" t="inlineStr">
        <is>
          <t>Theme</t>
        </is>
      </c>
      <c r="F1" s="71" t="inlineStr">
        <is>
          <t>Market Cap (MC)</t>
        </is>
      </c>
      <c r="G1" s="71" t="inlineStr">
        <is>
          <t>Trend Status</t>
        </is>
      </c>
      <c r="H1" s="71" t="n"/>
      <c r="I1" s="72" t="n"/>
      <c r="J1" s="51" t="n"/>
      <c r="K1" s="81" t="n"/>
      <c r="L1" s="81" t="inlineStr">
        <is>
          <t>No of shares</t>
        </is>
      </c>
      <c r="P1" t="n">
        <v>3000000</v>
      </c>
    </row>
    <row r="2">
      <c r="A2" s="73" t="n">
        <v>46143</v>
      </c>
      <c r="B2" s="74" t="inlineStr">
        <is>
          <t>CARYSIL</t>
        </is>
      </c>
      <c r="C2" s="21" t="e">
        <v>#VALUE!</v>
      </c>
      <c r="D2" s="21">
        <f t="array" ref="D2">_FV(C2,"Industry")</f>
        <v/>
      </c>
      <c r="E2" s="21" t="inlineStr">
        <is>
          <t xml:space="preserve">Consumption </t>
        </is>
      </c>
      <c r="F2" s="21" t="inlineStr">
        <is>
          <t>SC (Small Cap)</t>
        </is>
      </c>
      <c r="G2" s="21" t="inlineStr">
        <is>
          <t>Strong Trend- Green</t>
        </is>
      </c>
      <c r="H2" s="21" t="n"/>
      <c r="I2" s="80">
        <f t="array" ref="I2">_FV(C2,"Price")</f>
        <v/>
      </c>
      <c r="J2" s="84">
        <f>$O$4/31</f>
        <v/>
      </c>
      <c r="K2" s="82">
        <f>J2/I2</f>
        <v/>
      </c>
      <c r="L2" s="83" t="n">
        <v>27.49266862170088</v>
      </c>
      <c r="P2" t="n">
        <v>100000</v>
      </c>
      <c r="Q2" s="83">
        <f>$P$2/I2</f>
        <v/>
      </c>
    </row>
    <row r="3">
      <c r="A3" s="73" t="n">
        <v>46143</v>
      </c>
      <c r="B3" s="21" t="inlineStr">
        <is>
          <t>HBLENGINE</t>
        </is>
      </c>
      <c r="C3" s="21" t="e">
        <v>#VALUE!</v>
      </c>
      <c r="D3" s="21">
        <f t="array" ref="D3">_FV(C3,"Industry")</f>
        <v/>
      </c>
      <c r="E3" s="21" t="inlineStr">
        <is>
          <t>Industrial</t>
        </is>
      </c>
      <c r="F3" s="21" t="inlineStr">
        <is>
          <t>SC (Small Cap)</t>
        </is>
      </c>
      <c r="G3" s="21" t="inlineStr">
        <is>
          <t>Strong Trend- Green</t>
        </is>
      </c>
      <c r="H3" s="21" t="n"/>
      <c r="I3" s="80">
        <f t="array" ref="I3">_FV(C3,"Price")</f>
        <v/>
      </c>
      <c r="J3" s="84">
        <f>$O$4/31</f>
        <v/>
      </c>
      <c r="K3" s="82">
        <f>J3/I3</f>
        <v/>
      </c>
      <c r="L3" s="83" t="n">
        <v>36.37443846960613</v>
      </c>
      <c r="M3" t="n">
        <v>7000000</v>
      </c>
      <c r="N3" t="n">
        <v>1600000</v>
      </c>
      <c r="Q3" s="83">
        <f>$P$2/I3</f>
        <v/>
      </c>
    </row>
    <row r="4">
      <c r="A4" s="73" t="n">
        <v>46143</v>
      </c>
      <c r="B4" s="21" t="inlineStr">
        <is>
          <t>NEULANDLAB</t>
        </is>
      </c>
      <c r="C4" s="21" t="e">
        <v>#VALUE!</v>
      </c>
      <c r="D4" s="21">
        <f t="array" ref="D4">_FV(C4,"Industry")</f>
        <v/>
      </c>
      <c r="E4" s="21" t="inlineStr">
        <is>
          <t>Health / Pharma / Chem</t>
        </is>
      </c>
      <c r="F4" s="21" t="inlineStr">
        <is>
          <t>SC (Small Cap)</t>
        </is>
      </c>
      <c r="G4" s="21" t="inlineStr">
        <is>
          <t>Strong Trend- Green</t>
        </is>
      </c>
      <c r="H4" s="21" t="n"/>
      <c r="I4" s="80">
        <f t="array" ref="I4">_FV(C4,"Price")</f>
        <v/>
      </c>
      <c r="J4" s="84">
        <f>$O$4/31</f>
        <v/>
      </c>
      <c r="K4" s="82">
        <f>J4/I4</f>
        <v/>
      </c>
      <c r="L4" s="83" t="n">
        <v>1.688118273317603</v>
      </c>
      <c r="M4">
        <f>M3-N3</f>
        <v/>
      </c>
      <c r="N4" t="n">
        <v>6</v>
      </c>
      <c r="O4">
        <f>M4/N4</f>
        <v/>
      </c>
      <c r="Q4" s="83">
        <f>$P$2/I4</f>
        <v/>
      </c>
    </row>
    <row r="5">
      <c r="A5" s="73" t="n">
        <v>46143</v>
      </c>
      <c r="B5" s="21" t="inlineStr">
        <is>
          <t>POWERINDIA</t>
        </is>
      </c>
      <c r="C5" s="21" t="e">
        <v>#VALUE!</v>
      </c>
      <c r="D5" s="21">
        <f t="array" ref="D5">_FV(C5,"Industry")</f>
        <v/>
      </c>
      <c r="E5" s="21" t="inlineStr">
        <is>
          <t>Industrial</t>
        </is>
      </c>
      <c r="F5" s="21" t="inlineStr">
        <is>
          <t>MC (Mid Cap)</t>
        </is>
      </c>
      <c r="G5" s="21" t="inlineStr">
        <is>
          <t>Strong Trend- Green</t>
        </is>
      </c>
      <c r="H5" s="21" t="n"/>
      <c r="I5" s="80">
        <f t="array" ref="I5">_FV(C5,"Price")</f>
        <v/>
      </c>
      <c r="J5" s="84">
        <f>$O$4/31</f>
        <v/>
      </c>
      <c r="K5" s="82">
        <f>J5/I5</f>
        <v/>
      </c>
      <c r="L5" s="83" t="n">
        <v>0.7980279841813119</v>
      </c>
      <c r="Q5" s="83">
        <f>$P$2/I5</f>
        <v/>
      </c>
    </row>
    <row r="6">
      <c r="A6" s="73" t="n">
        <v>46143</v>
      </c>
      <c r="B6" s="21" t="inlineStr">
        <is>
          <t>SYRMA</t>
        </is>
      </c>
      <c r="C6" s="21" t="e">
        <v>#VALUE!</v>
      </c>
      <c r="D6" s="21">
        <f t="array" ref="D6">_FV(C6,"Industry")</f>
        <v/>
      </c>
      <c r="E6" s="21" t="inlineStr">
        <is>
          <t>Industrial</t>
        </is>
      </c>
      <c r="F6" s="21" t="inlineStr">
        <is>
          <t>SC (Small Cap)</t>
        </is>
      </c>
      <c r="G6" s="21" t="inlineStr">
        <is>
          <t>Strong Trend- Green</t>
        </is>
      </c>
      <c r="H6" s="21" t="n"/>
      <c r="I6" s="80">
        <f t="array" ref="I6">_FV(C6,"Price")</f>
        <v/>
      </c>
      <c r="J6" s="84">
        <f>$O$4/31</f>
        <v/>
      </c>
      <c r="K6" s="82">
        <f>J6/I6</f>
        <v/>
      </c>
      <c r="L6" s="83" t="n">
        <v>26.21896330219103</v>
      </c>
      <c r="Q6" s="83">
        <f>$P$2/I6</f>
        <v/>
      </c>
    </row>
    <row r="7">
      <c r="A7" s="73" t="n">
        <v>46143</v>
      </c>
      <c r="B7" s="21" t="inlineStr">
        <is>
          <t>VBL</t>
        </is>
      </c>
      <c r="C7" s="21" t="e">
        <v>#VALUE!</v>
      </c>
      <c r="D7" s="21">
        <f t="array" ref="D7">_FV(C7,"Industry")</f>
        <v/>
      </c>
      <c r="E7" s="21" t="inlineStr">
        <is>
          <t xml:space="preserve">Consumption </t>
        </is>
      </c>
      <c r="F7" s="21" t="inlineStr">
        <is>
          <t>LC (Large Cap)</t>
        </is>
      </c>
      <c r="G7" s="21" t="inlineStr">
        <is>
          <t>Strong Trend- Green</t>
        </is>
      </c>
      <c r="H7" s="21" t="n"/>
      <c r="I7" s="80">
        <f t="array" ref="I7">_FV(C7,"Price")</f>
        <v/>
      </c>
      <c r="J7" s="84">
        <f>$O$4/31</f>
        <v/>
      </c>
      <c r="K7" s="82">
        <f>J7/I7</f>
        <v/>
      </c>
      <c r="L7" s="83" t="n">
        <v>55.24692305331328</v>
      </c>
      <c r="Q7" s="83">
        <f>$P$2/I7</f>
        <v/>
      </c>
    </row>
    <row r="8">
      <c r="A8" s="73" t="n">
        <v>46143</v>
      </c>
      <c r="B8" s="21" t="inlineStr">
        <is>
          <t>BAJAJ-AUTO</t>
        </is>
      </c>
      <c r="C8" s="21" t="e">
        <v>#VALUE!</v>
      </c>
      <c r="D8" s="21">
        <f t="array" ref="D8">_FV(C8,"Industry")</f>
        <v/>
      </c>
      <c r="E8" s="21" t="inlineStr">
        <is>
          <t xml:space="preserve">Consumption </t>
        </is>
      </c>
      <c r="F8" s="21" t="inlineStr">
        <is>
          <t>LC (Large Cap)</t>
        </is>
      </c>
      <c r="G8" s="21" t="inlineStr">
        <is>
          <t>Strong Trend- Green</t>
        </is>
      </c>
      <c r="H8" s="21" t="n"/>
      <c r="I8" s="80">
        <f t="array" ref="I8">_FV(C8,"Price")</f>
        <v/>
      </c>
      <c r="J8" s="84">
        <f>$O$4/31</f>
        <v/>
      </c>
      <c r="K8" s="82">
        <f>J8/I8</f>
        <v/>
      </c>
      <c r="L8" s="83" t="n">
        <v>2.79802024523093</v>
      </c>
      <c r="Q8" s="83">
        <f>$P$2/I8</f>
        <v/>
      </c>
    </row>
    <row r="9">
      <c r="A9" s="73" t="n">
        <v>46143</v>
      </c>
      <c r="B9" s="21" t="inlineStr">
        <is>
          <t>TIPSMUSIC</t>
        </is>
      </c>
      <c r="C9" s="21" t="e">
        <v>#VALUE!</v>
      </c>
      <c r="D9" s="21">
        <f t="array" ref="D9">_FV(C9,"Industry")</f>
        <v/>
      </c>
      <c r="E9" s="21" t="inlineStr">
        <is>
          <t>Technology</t>
        </is>
      </c>
      <c r="F9" s="21" t="inlineStr">
        <is>
          <t>SC (Small Cap)</t>
        </is>
      </c>
      <c r="G9" s="21" t="inlineStr">
        <is>
          <t>Strong Trend- Green</t>
        </is>
      </c>
      <c r="H9" s="21" t="n"/>
      <c r="I9" s="80">
        <f t="array" ref="I9">_FV(C9,"Price")</f>
        <v/>
      </c>
      <c r="J9" s="84">
        <f>$O$4/31</f>
        <v/>
      </c>
      <c r="K9" s="82">
        <f>J9/I9</f>
        <v/>
      </c>
      <c r="L9" s="83" t="n">
        <v>44.31052818149592</v>
      </c>
      <c r="Q9" s="83">
        <f>$P$2/I9</f>
        <v/>
      </c>
    </row>
    <row r="10">
      <c r="A10" s="73" t="n">
        <v>46143</v>
      </c>
      <c r="B10" s="21" t="inlineStr">
        <is>
          <t>AIAENG</t>
        </is>
      </c>
      <c r="C10" s="21" t="e">
        <v>#VALUE!</v>
      </c>
      <c r="D10" s="21">
        <f t="array" ref="D10">_FV(C10,"Industry")</f>
        <v/>
      </c>
      <c r="E10" s="21" t="inlineStr">
        <is>
          <t>Industrial</t>
        </is>
      </c>
      <c r="F10" s="21" t="inlineStr">
        <is>
          <t>SC (Small Cap)</t>
        </is>
      </c>
      <c r="G10" s="21" t="inlineStr">
        <is>
          <t>Strong Trend- Green</t>
        </is>
      </c>
      <c r="H10" s="21" t="n"/>
      <c r="I10" s="80">
        <f t="array" ref="I10">_FV(C10,"Price")</f>
        <v/>
      </c>
      <c r="J10" s="84">
        <f>$O$4/31</f>
        <v/>
      </c>
      <c r="K10" s="82">
        <f>J10/I10</f>
        <v/>
      </c>
      <c r="L10" s="83" t="n">
        <v>6.419231446816311</v>
      </c>
      <c r="Q10" s="83">
        <f>$P$2/I10</f>
        <v/>
      </c>
    </row>
    <row r="11">
      <c r="A11" s="73" t="n">
        <v>46143</v>
      </c>
      <c r="B11" s="21" t="inlineStr">
        <is>
          <t>ACUTAAS</t>
        </is>
      </c>
      <c r="C11" s="21" t="e">
        <v>#VALUE!</v>
      </c>
      <c r="D11" s="21">
        <f t="array" ref="D11">_FV(C11,"Industry")</f>
        <v/>
      </c>
      <c r="E11" s="21" t="inlineStr">
        <is>
          <t>Health / Pharma / Chem</t>
        </is>
      </c>
      <c r="F11" s="21" t="inlineStr">
        <is>
          <t>SC (Small Cap)</t>
        </is>
      </c>
      <c r="G11" s="21" t="inlineStr">
        <is>
          <t>Strong Trend- Green</t>
        </is>
      </c>
      <c r="H11" s="21" t="n"/>
      <c r="I11" s="80">
        <f t="array" ref="I11">_FV(C11,"Price")</f>
        <v/>
      </c>
      <c r="J11" s="84">
        <f>$O$4/31</f>
        <v/>
      </c>
      <c r="K11" s="82">
        <f>J11/I11</f>
        <v/>
      </c>
      <c r="L11" s="83" t="n">
        <v>9.616833305017101</v>
      </c>
      <c r="Q11" s="83">
        <f>$P$2/I11</f>
        <v/>
      </c>
    </row>
    <row r="12">
      <c r="A12" s="73" t="n">
        <v>46143</v>
      </c>
      <c r="B12" s="21" t="inlineStr">
        <is>
          <t>OFSS</t>
        </is>
      </c>
      <c r="C12" s="21" t="e">
        <v>#VALUE!</v>
      </c>
      <c r="D12" s="21">
        <f t="array" ref="D12">_FV(C12,"Industry")</f>
        <v/>
      </c>
      <c r="E12" s="21" t="inlineStr">
        <is>
          <t>Technology</t>
        </is>
      </c>
      <c r="F12" s="21" t="inlineStr">
        <is>
          <t>MC (Mid Cap)</t>
        </is>
      </c>
      <c r="G12" s="21" t="inlineStr">
        <is>
          <t>Strong Trend- Green</t>
        </is>
      </c>
      <c r="H12" s="21" t="n"/>
      <c r="I12" s="80">
        <f t="array" ref="I12">_FV(C12,"Price")</f>
        <v/>
      </c>
      <c r="J12" s="84">
        <f>$O$4/31</f>
        <v/>
      </c>
      <c r="K12" s="82">
        <f>J12/I12</f>
        <v/>
      </c>
      <c r="L12" s="83" t="n">
        <v>2.848813469190082</v>
      </c>
      <c r="Q12" s="83">
        <f>$P$2/I12</f>
        <v/>
      </c>
    </row>
    <row r="13">
      <c r="A13" s="73" t="n">
        <v>46143</v>
      </c>
      <c r="B13" s="21" t="inlineStr">
        <is>
          <t>APARINDS</t>
        </is>
      </c>
      <c r="C13" s="21" t="e">
        <v>#VALUE!</v>
      </c>
      <c r="D13" s="21">
        <f t="array" ref="D13">_FV(C13,"Industry")</f>
        <v/>
      </c>
      <c r="E13" s="21" t="inlineStr">
        <is>
          <t>Industrial</t>
        </is>
      </c>
      <c r="F13" s="21" t="inlineStr">
        <is>
          <t>MC (Mid Cap)</t>
        </is>
      </c>
      <c r="G13" s="21" t="inlineStr">
        <is>
          <t>Strong Trend- Green</t>
        </is>
      </c>
      <c r="H13" s="21" t="n"/>
      <c r="I13" s="80">
        <f t="array" ref="I13">_FV(C13,"Price")</f>
        <v/>
      </c>
      <c r="J13" s="84">
        <f>$O$4/31</f>
        <v/>
      </c>
      <c r="K13" s="82">
        <f>J13/I13</f>
        <v/>
      </c>
      <c r="L13" s="83" t="n">
        <v>2.267967976292175</v>
      </c>
      <c r="Q13" s="83">
        <f>$P$2/I13</f>
        <v/>
      </c>
    </row>
    <row r="14">
      <c r="A14" s="73" t="n">
        <v>46143</v>
      </c>
      <c r="B14" s="21" t="inlineStr">
        <is>
          <t>CRAFTSMAN</t>
        </is>
      </c>
      <c r="C14" s="21" t="e">
        <v>#VALUE!</v>
      </c>
      <c r="D14" s="21">
        <f t="array" ref="D14">_FV(C14,"Industry")</f>
        <v/>
      </c>
      <c r="E14" s="21" t="inlineStr">
        <is>
          <t>Industrial</t>
        </is>
      </c>
      <c r="F14" s="21" t="inlineStr">
        <is>
          <t>SC (Small Cap)</t>
        </is>
      </c>
      <c r="G14" s="21" t="inlineStr">
        <is>
          <t>Strong Trend- Green</t>
        </is>
      </c>
      <c r="H14" s="21" t="n"/>
      <c r="I14" s="80">
        <f t="array" ref="I14">_FV(C14,"Price")</f>
        <v/>
      </c>
      <c r="J14" s="84">
        <f>$O$4/31</f>
        <v/>
      </c>
      <c r="K14" s="82">
        <f>J14/I14</f>
        <v/>
      </c>
      <c r="L14" s="85" t="n">
        <v>3.309839601495312</v>
      </c>
      <c r="Q14" s="83">
        <f>$P$2/I14</f>
        <v/>
      </c>
    </row>
    <row r="15">
      <c r="A15" s="73" t="n">
        <v>46143</v>
      </c>
      <c r="B15" s="21" t="inlineStr">
        <is>
          <t>LALPATHLAB</t>
        </is>
      </c>
      <c r="C15" s="21" t="e">
        <v>#VALUE!</v>
      </c>
      <c r="D15" s="21">
        <f t="array" ref="D15">_FV(C15,"Industry")</f>
        <v/>
      </c>
      <c r="E15" s="21" t="inlineStr">
        <is>
          <t>Health / Pharma / Chem</t>
        </is>
      </c>
      <c r="F15" s="21" t="inlineStr">
        <is>
          <t>SC (Small Cap)</t>
        </is>
      </c>
      <c r="G15" s="21" t="inlineStr">
        <is>
          <t>Strong Trend- Green</t>
        </is>
      </c>
      <c r="H15" s="21" t="n"/>
      <c r="I15" s="80">
        <f t="array" ref="I15">_FV(C15,"Price")</f>
        <v/>
      </c>
      <c r="J15" s="84">
        <f>$O$4/31</f>
        <v/>
      </c>
      <c r="K15" s="82">
        <f>J15/I15</f>
        <v/>
      </c>
      <c r="L15" s="85" t="n">
        <v>18.40630068123764</v>
      </c>
      <c r="Q15" s="83">
        <f>$P$2/I15</f>
        <v/>
      </c>
    </row>
    <row r="16">
      <c r="A16" s="73" t="n">
        <v>46143</v>
      </c>
      <c r="B16" s="21" t="inlineStr">
        <is>
          <t>FCL</t>
        </is>
      </c>
      <c r="C16" s="21" t="e">
        <v>#VALUE!</v>
      </c>
      <c r="D16" s="21">
        <f t="array" ref="D16">_FV(C16,"Industry")</f>
        <v/>
      </c>
      <c r="E16" s="21" t="inlineStr">
        <is>
          <t>Health / Pharma / Chem</t>
        </is>
      </c>
      <c r="F16" s="21" t="inlineStr">
        <is>
          <t>SC (Small Cap)</t>
        </is>
      </c>
      <c r="G16" s="21" t="inlineStr">
        <is>
          <t>Strong Trend- Green</t>
        </is>
      </c>
      <c r="H16" s="21" t="n"/>
      <c r="I16" s="80">
        <f t="array" ref="I16">_FV(C16,"Price")</f>
        <v/>
      </c>
      <c r="J16" s="84">
        <f>$O$4/31</f>
        <v/>
      </c>
      <c r="K16" s="82">
        <f>J16/I16</f>
        <v/>
      </c>
      <c r="L16" s="85" t="n">
        <v>710.0087567746668</v>
      </c>
      <c r="Q16" s="83">
        <f>$P$2/I16</f>
        <v/>
      </c>
    </row>
    <row r="17">
      <c r="A17" s="73" t="n">
        <v>46143</v>
      </c>
      <c r="B17" s="21" t="inlineStr">
        <is>
          <t>KEI</t>
        </is>
      </c>
      <c r="C17" s="21" t="e">
        <v>#VALUE!</v>
      </c>
      <c r="D17" s="21">
        <f t="array" ref="D17">_FV(C17,"Industry")</f>
        <v/>
      </c>
      <c r="E17" s="21" t="inlineStr">
        <is>
          <t xml:space="preserve">Consumption </t>
        </is>
      </c>
      <c r="F17" s="21" t="inlineStr">
        <is>
          <t>MC (Mid Cap)</t>
        </is>
      </c>
      <c r="G17" s="21" t="inlineStr">
        <is>
          <t>Strong Trend- Green</t>
        </is>
      </c>
      <c r="H17" s="21" t="n"/>
      <c r="I17" s="80">
        <f t="array" ref="I17">_FV(C17,"Price")</f>
        <v/>
      </c>
      <c r="J17" s="84">
        <f>$O$4/31</f>
        <v/>
      </c>
      <c r="K17" s="82">
        <f>J17/I17</f>
        <v/>
      </c>
      <c r="L17" s="85" t="n">
        <v>5.611182463184408</v>
      </c>
      <c r="Q17" s="83">
        <f>$P$2/I17</f>
        <v/>
      </c>
    </row>
    <row r="18">
      <c r="A18" s="73" t="n">
        <v>46143</v>
      </c>
      <c r="B18" s="21" t="inlineStr">
        <is>
          <t>KRISHANA</t>
        </is>
      </c>
      <c r="C18" s="21" t="e">
        <v>#VALUE!</v>
      </c>
      <c r="D18" s="21">
        <f t="array" ref="D18">_FV(C18,"Industry")</f>
        <v/>
      </c>
      <c r="E18" s="21" t="inlineStr">
        <is>
          <t>Health / Pharma / Chem</t>
        </is>
      </c>
      <c r="F18" s="21" t="inlineStr">
        <is>
          <t>SC (Small Cap)</t>
        </is>
      </c>
      <c r="G18" s="21" t="inlineStr">
        <is>
          <t>Strong Trend- Green</t>
        </is>
      </c>
      <c r="H18" s="21" t="n"/>
      <c r="I18" s="80">
        <f t="array" ref="I18">_FV(C18,"Price")</f>
        <v/>
      </c>
      <c r="J18" s="84">
        <f>$O$4/31</f>
        <v/>
      </c>
      <c r="K18" s="82">
        <f>J18/I18</f>
        <v/>
      </c>
      <c r="L18" s="85" t="n">
        <v>42.71019943290347</v>
      </c>
      <c r="Q18" s="83">
        <f>$P$2/I18</f>
        <v/>
      </c>
    </row>
    <row r="19">
      <c r="A19" s="73" t="n">
        <v>46143</v>
      </c>
      <c r="B19" s="21" t="inlineStr">
        <is>
          <t>NH</t>
        </is>
      </c>
      <c r="C19" s="21" t="e">
        <v>#VALUE!</v>
      </c>
      <c r="D19" s="21">
        <f t="array" ref="D19">_FV(C19,"Industry")</f>
        <v/>
      </c>
      <c r="E19" s="21" t="inlineStr">
        <is>
          <t>Health / Pharma / Chem</t>
        </is>
      </c>
      <c r="F19" s="21" t="inlineStr">
        <is>
          <t>MC (Mid Cap)</t>
        </is>
      </c>
      <c r="G19" s="21" t="inlineStr">
        <is>
          <t>Strong Trend- Green</t>
        </is>
      </c>
      <c r="H19" s="21" t="n"/>
      <c r="I19" s="80">
        <f t="array" ref="I19">_FV(C19,"Price")</f>
        <v/>
      </c>
      <c r="J19" s="84">
        <f>$O$4/31</f>
        <v/>
      </c>
      <c r="K19" s="82">
        <f>J19/I19</f>
        <v/>
      </c>
      <c r="L19" s="85" t="n">
        <v>15.24403153820747</v>
      </c>
      <c r="Q19" s="83">
        <f>$P$2/I19</f>
        <v/>
      </c>
    </row>
    <row r="20">
      <c r="A20" s="73" t="n">
        <v>46143</v>
      </c>
      <c r="B20" s="21" t="inlineStr">
        <is>
          <t>POLYCAB</t>
        </is>
      </c>
      <c r="C20" s="21" t="e">
        <v>#VALUE!</v>
      </c>
      <c r="D20" s="21">
        <f t="array" ref="D20">_FV(C20,"Industry")</f>
        <v/>
      </c>
      <c r="E20" s="21" t="inlineStr">
        <is>
          <t xml:space="preserve">Consumption </t>
        </is>
      </c>
      <c r="F20" s="21" t="inlineStr">
        <is>
          <t>LC (Large Cap)</t>
        </is>
      </c>
      <c r="G20" s="21" t="inlineStr">
        <is>
          <t>Strong Trend- Green</t>
        </is>
      </c>
      <c r="H20" s="21" t="n"/>
      <c r="I20" s="80">
        <f t="array" ref="I20">_FV(C20,"Price")</f>
        <v/>
      </c>
      <c r="J20" s="84">
        <f>$O$4/31</f>
        <v/>
      </c>
      <c r="K20" s="82">
        <f>J20/I20</f>
        <v/>
      </c>
      <c r="L20" s="85" t="n">
        <v>3.062312964982451</v>
      </c>
      <c r="Q20" s="83">
        <f>$P$2/I20</f>
        <v/>
      </c>
    </row>
    <row r="21">
      <c r="A21" s="73" t="n">
        <v>46143</v>
      </c>
      <c r="B21" s="21" t="inlineStr">
        <is>
          <t>PSPPROJECT</t>
        </is>
      </c>
      <c r="C21" s="21" t="e">
        <v>#VALUE!</v>
      </c>
      <c r="D21" s="21">
        <f t="array" ref="D21">_FV(C21,"Industry")</f>
        <v/>
      </c>
      <c r="E21" s="21" t="inlineStr">
        <is>
          <t>Industrial</t>
        </is>
      </c>
      <c r="F21" s="21" t="inlineStr">
        <is>
          <t>SC (Small Cap)</t>
        </is>
      </c>
      <c r="G21" s="21" t="inlineStr">
        <is>
          <t>Strong Trend- Green</t>
        </is>
      </c>
      <c r="H21" s="21" t="n"/>
      <c r="I21" s="80">
        <f t="array" ref="I21">_FV(C21,"Price")</f>
        <v/>
      </c>
      <c r="J21" s="84">
        <f>$O$4/31</f>
        <v/>
      </c>
      <c r="K21" s="82">
        <f>J21/I21</f>
        <v/>
      </c>
      <c r="L21" s="85" t="n">
        <v>34.56838490744315</v>
      </c>
      <c r="Q21" s="83">
        <f>$P$2/I21</f>
        <v/>
      </c>
    </row>
    <row r="22">
      <c r="A22" s="73" t="n">
        <v>46143</v>
      </c>
      <c r="B22" s="21" t="inlineStr">
        <is>
          <t>RAINBOW</t>
        </is>
      </c>
      <c r="C22" s="21" t="e">
        <v>#VALUE!</v>
      </c>
      <c r="D22" s="21">
        <f t="array" ref="D22">_FV(C22,"Industry")</f>
        <v/>
      </c>
      <c r="E22" s="21" t="inlineStr">
        <is>
          <t>Health / Pharma / Chem</t>
        </is>
      </c>
      <c r="F22" s="21" t="inlineStr">
        <is>
          <t>SC (Small Cap)</t>
        </is>
      </c>
      <c r="G22" s="21" t="inlineStr">
        <is>
          <t>Strong Trend- Green</t>
        </is>
      </c>
      <c r="H22" s="21" t="n"/>
      <c r="I22" s="80">
        <f t="array" ref="I22">_FV(C22,"Price")</f>
        <v/>
      </c>
      <c r="J22" s="84">
        <f>$O$4/31</f>
        <v/>
      </c>
      <c r="K22" s="82">
        <f>J22/I22</f>
        <v/>
      </c>
      <c r="L22" s="85" t="n">
        <v>21.1976183298161</v>
      </c>
      <c r="Q22" s="83">
        <f>$P$2/I22</f>
        <v/>
      </c>
    </row>
    <row r="23">
      <c r="A23" s="73" t="n">
        <v>46143</v>
      </c>
      <c r="B23" s="21" t="inlineStr">
        <is>
          <t>SBCL</t>
        </is>
      </c>
      <c r="C23" s="21" t="e">
        <v>#VALUE!</v>
      </c>
      <c r="D23" s="21">
        <f t="array" ref="D23">_FV(C23,"Industry")</f>
        <v/>
      </c>
      <c r="E23" s="21" t="inlineStr">
        <is>
          <t>Industrial</t>
        </is>
      </c>
      <c r="F23" s="21" t="inlineStr">
        <is>
          <t>SC (Small Cap)</t>
        </is>
      </c>
      <c r="G23" s="21" t="inlineStr">
        <is>
          <t>Strong Trend- Green</t>
        </is>
      </c>
      <c r="H23" s="21" t="n"/>
      <c r="I23" s="80">
        <f t="array" ref="I23">_FV(C23,"Price")</f>
        <v/>
      </c>
      <c r="J23" s="84">
        <f>$O$4/31</f>
        <v/>
      </c>
      <c r="K23" s="82">
        <f>J23/I23</f>
        <v/>
      </c>
      <c r="L23" s="85" t="n">
        <v>39.72668043858256</v>
      </c>
      <c r="Q23" s="83">
        <f>$P$2/I23</f>
        <v/>
      </c>
    </row>
    <row r="24">
      <c r="A24" s="73" t="n">
        <v>46143</v>
      </c>
      <c r="B24" s="21" t="inlineStr">
        <is>
          <t>TIMKEN</t>
        </is>
      </c>
      <c r="C24" s="21" t="e">
        <v>#VALUE!</v>
      </c>
      <c r="D24" s="21">
        <f t="array" ref="D24">_FV(C24,"Industry")</f>
        <v/>
      </c>
      <c r="E24" s="21" t="inlineStr">
        <is>
          <t>Industrial</t>
        </is>
      </c>
      <c r="F24" s="21" t="inlineStr">
        <is>
          <t>SC (Small Cap)</t>
        </is>
      </c>
      <c r="G24" s="21" t="inlineStr">
        <is>
          <t>Strong Trend- Green</t>
        </is>
      </c>
      <c r="H24" s="21" t="n"/>
      <c r="I24" s="80">
        <f t="array" ref="I24">_FV(C24,"Price")</f>
        <v/>
      </c>
      <c r="J24" s="84">
        <f>$O$4/31</f>
        <v/>
      </c>
      <c r="K24" s="82">
        <f>J24/I24</f>
        <v/>
      </c>
      <c r="L24" s="85" t="n">
        <v>8.18040520273771</v>
      </c>
      <c r="Q24" s="83">
        <f>$P$2/I24</f>
        <v/>
      </c>
    </row>
    <row r="25">
      <c r="A25" s="73" t="n">
        <v>46143</v>
      </c>
      <c r="B25" s="21" t="inlineStr">
        <is>
          <t>SOLARINDS</t>
        </is>
      </c>
      <c r="C25" s="21" t="e">
        <v>#VALUE!</v>
      </c>
      <c r="D25" s="21">
        <f t="array" ref="D25">_FV(C25,"Industry")</f>
        <v/>
      </c>
      <c r="E25" s="21" t="inlineStr">
        <is>
          <t>Industrial</t>
        </is>
      </c>
      <c r="F25" s="21" t="inlineStr">
        <is>
          <t>LC (Large Cap)</t>
        </is>
      </c>
      <c r="G25" s="21" t="inlineStr">
        <is>
          <t>Strong Trend- Green</t>
        </is>
      </c>
      <c r="H25" s="21" t="n"/>
      <c r="I25" s="80">
        <f t="array" ref="I25">_FV(C25,"Price")</f>
        <v/>
      </c>
      <c r="J25" s="84">
        <f>$O$4/31</f>
        <v/>
      </c>
      <c r="K25" s="82">
        <f>J25/I25</f>
        <v/>
      </c>
      <c r="L25" s="85" t="n">
        <v>1.594916116272929</v>
      </c>
      <c r="Q25" s="83">
        <f>$P$2/I25</f>
        <v/>
      </c>
    </row>
    <row r="26">
      <c r="A26" s="73" t="n">
        <v>46143</v>
      </c>
      <c r="B26" s="21" t="inlineStr">
        <is>
          <t>METROPOLIS</t>
        </is>
      </c>
      <c r="C26" s="21" t="e">
        <v>#VALUE!</v>
      </c>
      <c r="D26" s="21">
        <f t="array" ref="D26">_FV(C26,"Industry")</f>
        <v/>
      </c>
      <c r="E26" s="21" t="inlineStr">
        <is>
          <t>Health / Pharma / Chem</t>
        </is>
      </c>
      <c r="F26" s="21" t="inlineStr">
        <is>
          <t>SC (Small Cap)</t>
        </is>
      </c>
      <c r="G26" s="21" t="inlineStr">
        <is>
          <t>Strong Trend- Green</t>
        </is>
      </c>
      <c r="H26" s="21" t="n"/>
      <c r="I26" s="80">
        <f t="array" ref="I26">_FV(C26,"Price")</f>
        <v/>
      </c>
      <c r="J26" s="84">
        <f>$O$4/31</f>
        <v/>
      </c>
      <c r="K26" s="82">
        <f>J26/I26</f>
        <v/>
      </c>
      <c r="L26" s="85" t="n">
        <v>53.67894622264237</v>
      </c>
      <c r="Q26" s="83">
        <f>$P$2/I26</f>
        <v/>
      </c>
    </row>
    <row r="27">
      <c r="A27" s="73" t="n">
        <v>46143</v>
      </c>
      <c r="B27" s="21" t="inlineStr">
        <is>
          <t>NAVINFLUOR</t>
        </is>
      </c>
      <c r="C27" s="21" t="e">
        <v>#VALUE!</v>
      </c>
      <c r="D27" s="21">
        <f t="array" ref="D27">_FV(C27,"Industry")</f>
        <v/>
      </c>
      <c r="E27" s="21" t="inlineStr">
        <is>
          <t>Health / Pharma / Chem</t>
        </is>
      </c>
      <c r="F27" s="21" t="inlineStr">
        <is>
          <t>SC (Small Cap)</t>
        </is>
      </c>
      <c r="G27" s="21" t="inlineStr">
        <is>
          <t>Strong Trend- Green</t>
        </is>
      </c>
      <c r="H27" s="21" t="n"/>
      <c r="I27" s="80">
        <f t="array" ref="I27">_FV(C27,"Price")</f>
        <v/>
      </c>
      <c r="J27" s="84">
        <f>$O$4/31</f>
        <v/>
      </c>
      <c r="K27" s="82">
        <f>J27/I27</f>
        <v/>
      </c>
      <c r="L27" s="85" t="n">
        <v>4.14835437086749</v>
      </c>
      <c r="Q27" s="83">
        <f>$P$2/I27</f>
        <v/>
      </c>
    </row>
    <row r="28">
      <c r="A28" s="73" t="n">
        <v>46143</v>
      </c>
      <c r="B28" s="21" t="inlineStr">
        <is>
          <t>NGLFINE</t>
        </is>
      </c>
      <c r="C28" s="21" t="e">
        <v>#VALUE!</v>
      </c>
      <c r="D28" s="21">
        <f t="array" ref="D28">_FV(C28,"Industry")</f>
        <v/>
      </c>
      <c r="E28" s="21" t="inlineStr">
        <is>
          <t>Health / Pharma / Chem</t>
        </is>
      </c>
      <c r="F28" s="21" t="inlineStr">
        <is>
          <t>SC (Small Cap)</t>
        </is>
      </c>
      <c r="G28" s="21" t="inlineStr">
        <is>
          <t>Strong Trend- Green</t>
        </is>
      </c>
      <c r="H28" s="21" t="n"/>
      <c r="I28" s="80">
        <f t="array" ref="I28">_FV(C28,"Price")</f>
        <v/>
      </c>
      <c r="J28" s="84">
        <f>$O$4/31</f>
        <v/>
      </c>
      <c r="K28" s="82">
        <f>J28/I28</f>
        <v/>
      </c>
      <c r="L28" s="85" t="n">
        <v>10.59571462208618</v>
      </c>
      <c r="Q28" s="83">
        <f>$P$2/I28</f>
        <v/>
      </c>
    </row>
    <row r="29">
      <c r="A29" s="73" t="n">
        <v>46143</v>
      </c>
      <c r="B29" s="21" t="inlineStr">
        <is>
          <t>CAPLIPOINT</t>
        </is>
      </c>
      <c r="C29" s="21" t="e">
        <v>#VALUE!</v>
      </c>
      <c r="D29" s="21">
        <f t="array" ref="D29">_FV(C29,"Industry")</f>
        <v/>
      </c>
      <c r="E29" s="21" t="inlineStr">
        <is>
          <t>Health / Pharma / Chem</t>
        </is>
      </c>
      <c r="F29" s="21" t="inlineStr">
        <is>
          <t>SC (Small Cap)</t>
        </is>
      </c>
      <c r="G29" s="21" t="inlineStr">
        <is>
          <t>Strong Trend- Green</t>
        </is>
      </c>
      <c r="H29" s="21" t="n"/>
      <c r="I29" s="80">
        <f t="array" ref="I29">_FV(C29,"Price")</f>
        <v/>
      </c>
      <c r="J29" s="84">
        <f>$O$4/31</f>
        <v/>
      </c>
      <c r="K29" s="82">
        <f>J29/I29</f>
        <v/>
      </c>
      <c r="L29" s="85" t="n">
        <v>14.52411729677129</v>
      </c>
      <c r="Q29" s="83">
        <f>$P$2/I29</f>
        <v/>
      </c>
    </row>
    <row r="30">
      <c r="A30" s="73" t="n">
        <v>46143</v>
      </c>
      <c r="B30" s="21" t="inlineStr">
        <is>
          <t>TRITURBINE</t>
        </is>
      </c>
      <c r="C30" s="21" t="e">
        <v>#VALUE!</v>
      </c>
      <c r="D30" s="21">
        <f t="array" ref="D30">_FV(C30,"Industry")</f>
        <v/>
      </c>
      <c r="E30" s="21" t="inlineStr">
        <is>
          <t>Industrial</t>
        </is>
      </c>
      <c r="F30" s="21" t="inlineStr">
        <is>
          <t>SC (Small Cap)</t>
        </is>
      </c>
      <c r="G30" s="21" t="inlineStr">
        <is>
          <t>Strong Trend- Green</t>
        </is>
      </c>
      <c r="H30" s="21" t="n"/>
      <c r="I30" s="80">
        <f t="array" ref="I30">_FV(C30,"Price")</f>
        <v/>
      </c>
      <c r="J30" s="84">
        <f>$O$4/31</f>
        <v/>
      </c>
      <c r="K30" s="82">
        <f>J30/I30</f>
        <v/>
      </c>
      <c r="L30" s="85" t="n">
        <v>41.80310736431408</v>
      </c>
      <c r="Q30" s="83">
        <f>$P$2/I30</f>
        <v/>
      </c>
    </row>
    <row r="31">
      <c r="A31" s="73" t="n">
        <v>46143</v>
      </c>
      <c r="B31" s="21" t="inlineStr">
        <is>
          <t>TDPOWERSYS</t>
        </is>
      </c>
      <c r="C31" s="21" t="e">
        <v>#VALUE!</v>
      </c>
      <c r="D31" s="21">
        <f t="array" ref="D31">_FV(C31,"Industry")</f>
        <v/>
      </c>
      <c r="E31" s="21" t="inlineStr">
        <is>
          <t>Industrial</t>
        </is>
      </c>
      <c r="F31" s="21" t="inlineStr">
        <is>
          <t>SC (Small Cap)</t>
        </is>
      </c>
      <c r="G31" s="21" t="inlineStr">
        <is>
          <t>Strong Trend- Green</t>
        </is>
      </c>
      <c r="H31" s="21" t="n"/>
      <c r="I31" s="80">
        <f t="array" ref="I31">_FV(C31,"Price")</f>
        <v/>
      </c>
      <c r="J31" s="84">
        <f>$O$4/31</f>
        <v/>
      </c>
      <c r="K31" s="82">
        <f>J31/I31</f>
        <v/>
      </c>
      <c r="L31" s="83" t="n">
        <v>23.59003661697906</v>
      </c>
      <c r="Q31" s="83">
        <f>$P$2/I31</f>
        <v/>
      </c>
    </row>
    <row r="32">
      <c r="A32" s="73" t="n">
        <v>46143</v>
      </c>
      <c r="B32" s="21" t="inlineStr">
        <is>
          <t>GVT&amp;D</t>
        </is>
      </c>
      <c r="C32" s="21" t="e">
        <v>#VALUE!</v>
      </c>
      <c r="D32" s="21">
        <f t="array" ref="D32">_FV(C32,"Industry")</f>
        <v/>
      </c>
      <c r="E32" s="21" t="inlineStr">
        <is>
          <t>Industrial</t>
        </is>
      </c>
      <c r="F32" s="21" t="inlineStr">
        <is>
          <t>MC (Mid Cap)</t>
        </is>
      </c>
      <c r="G32" s="21" t="inlineStr">
        <is>
          <t>Strong Trend- Green</t>
        </is>
      </c>
      <c r="H32" s="21" t="n"/>
      <c r="I32" s="80">
        <f t="array" ref="I32">_FV(C32,"Price")</f>
        <v/>
      </c>
      <c r="J32" s="84">
        <f>$O$4/31</f>
        <v/>
      </c>
      <c r="K32" s="82">
        <f>J32/I32</f>
        <v/>
      </c>
      <c r="L32" s="83" t="n">
        <v>6.105627353210543</v>
      </c>
      <c r="Q32" s="83">
        <f>$P$2/I32</f>
        <v/>
      </c>
    </row>
    <row r="33">
      <c r="A33" s="73" t="n">
        <v>46143</v>
      </c>
      <c r="B33" s="75" t="inlineStr">
        <is>
          <t>POWERGRID</t>
        </is>
      </c>
      <c r="C33" s="21" t="e">
        <v>#VALUE!</v>
      </c>
      <c r="D33" s="21">
        <f t="array" ref="D33">_FV(C33,"Industry")</f>
        <v/>
      </c>
      <c r="E33" s="21" t="inlineStr">
        <is>
          <t>Industrial</t>
        </is>
      </c>
      <c r="F33" s="21" t="inlineStr">
        <is>
          <t>LC (Large Cap)</t>
        </is>
      </c>
      <c r="G33" s="21" t="inlineStr">
        <is>
          <t>Medium Trend</t>
        </is>
      </c>
      <c r="H33" s="21" t="n"/>
    </row>
    <row r="34">
      <c r="A34" s="73" t="n">
        <v>46143</v>
      </c>
      <c r="B34" s="21" t="inlineStr">
        <is>
          <t>TATAPOWER</t>
        </is>
      </c>
      <c r="C34" s="21" t="e">
        <v>#VALUE!</v>
      </c>
      <c r="D34" s="21">
        <f t="array" ref="D34">_FV(C34,"Industry")</f>
        <v/>
      </c>
      <c r="E34" s="21" t="inlineStr">
        <is>
          <t>Industrial</t>
        </is>
      </c>
      <c r="F34" s="21" t="inlineStr">
        <is>
          <t>LC (Large Cap)</t>
        </is>
      </c>
      <c r="G34" s="21" t="inlineStr">
        <is>
          <t>Medium Trend</t>
        </is>
      </c>
      <c r="H34" s="21" t="n"/>
    </row>
    <row r="35">
      <c r="A35" s="73" t="n">
        <v>46143</v>
      </c>
      <c r="B35" s="21" t="inlineStr">
        <is>
          <t>SCHAEFFLER</t>
        </is>
      </c>
      <c r="C35" s="21" t="e">
        <v>#VALUE!</v>
      </c>
      <c r="D35" s="21">
        <f t="array" ref="D35">_FV(C35,"Industry")</f>
        <v/>
      </c>
      <c r="E35" s="21" t="inlineStr">
        <is>
          <t>Industrial</t>
        </is>
      </c>
      <c r="F35" s="21" t="inlineStr">
        <is>
          <t>MC (Mid Cap)</t>
        </is>
      </c>
      <c r="G35" s="21" t="inlineStr">
        <is>
          <t>Medium Trend</t>
        </is>
      </c>
      <c r="H35" s="21" t="n"/>
    </row>
    <row r="36">
      <c r="A36" s="73" t="n">
        <v>46143</v>
      </c>
      <c r="B36" s="21" t="inlineStr">
        <is>
          <t>SUNPHARMA</t>
        </is>
      </c>
      <c r="C36" s="21" t="e">
        <v>#VALUE!</v>
      </c>
      <c r="D36" s="21">
        <f t="array" ref="D36">_FV(C36,"Industry")</f>
        <v/>
      </c>
      <c r="E36" s="21" t="inlineStr">
        <is>
          <t>Health / Pharma / Chem</t>
        </is>
      </c>
      <c r="F36" s="21" t="inlineStr">
        <is>
          <t>LC (Large Cap)</t>
        </is>
      </c>
      <c r="G36" s="21" t="inlineStr">
        <is>
          <t>Medium Trend</t>
        </is>
      </c>
      <c r="H36" s="21" t="n"/>
    </row>
    <row r="37">
      <c r="A37" s="73" t="n">
        <v>46143</v>
      </c>
      <c r="B37" s="21" t="inlineStr">
        <is>
          <t>APLAPOLLO</t>
        </is>
      </c>
      <c r="C37" s="21" t="e">
        <v>#VALUE!</v>
      </c>
      <c r="D37" s="21">
        <f t="array" ref="D37">_FV(C37,"Industry")</f>
        <v/>
      </c>
      <c r="E37" s="21" t="inlineStr">
        <is>
          <t>Industrial</t>
        </is>
      </c>
      <c r="F37" s="21" t="inlineStr">
        <is>
          <t>MC (Mid Cap)</t>
        </is>
      </c>
      <c r="G37" s="21" t="inlineStr">
        <is>
          <t>Medium Trend</t>
        </is>
      </c>
      <c r="H37" s="21" t="n"/>
    </row>
    <row r="38">
      <c r="A38" s="73" t="n">
        <v>46143</v>
      </c>
      <c r="B38" s="21" t="inlineStr">
        <is>
          <t>ESABINDIA</t>
        </is>
      </c>
      <c r="C38" s="21" t="e">
        <v>#VALUE!</v>
      </c>
      <c r="D38" s="21">
        <f t="array" ref="D38">_FV(C38,"Industry")</f>
        <v/>
      </c>
      <c r="E38" s="21" t="inlineStr">
        <is>
          <t>Industrial</t>
        </is>
      </c>
      <c r="F38" s="21" t="inlineStr">
        <is>
          <t>SC (Small Cap)</t>
        </is>
      </c>
      <c r="G38" s="21" t="inlineStr">
        <is>
          <t>Medium Trend</t>
        </is>
      </c>
      <c r="H38" s="21" t="n"/>
    </row>
    <row r="39">
      <c r="A39" s="73" t="n">
        <v>46143</v>
      </c>
      <c r="B39" s="21" t="inlineStr">
        <is>
          <t>FIEMIND</t>
        </is>
      </c>
      <c r="C39" s="21" t="e">
        <v>#VALUE!</v>
      </c>
      <c r="D39" s="21">
        <f t="array" ref="D39">_FV(C39,"Industry")</f>
        <v/>
      </c>
      <c r="E39" s="21" t="inlineStr">
        <is>
          <t>Industrial</t>
        </is>
      </c>
      <c r="F39" s="21" t="inlineStr">
        <is>
          <t>SC (Small Cap)</t>
        </is>
      </c>
      <c r="G39" s="21" t="inlineStr">
        <is>
          <t>Medium Trend</t>
        </is>
      </c>
      <c r="H39" s="21" t="n"/>
    </row>
    <row r="40">
      <c r="A40" s="73" t="n">
        <v>46143</v>
      </c>
      <c r="B40" s="21" t="inlineStr">
        <is>
          <t>SIEMENS</t>
        </is>
      </c>
      <c r="C40" s="21" t="e">
        <v>#VALUE!</v>
      </c>
      <c r="D40" s="21">
        <f t="array" ref="D40">_FV(C40,"Industry")</f>
        <v/>
      </c>
      <c r="E40" s="21" t="inlineStr">
        <is>
          <t>Industrial</t>
        </is>
      </c>
      <c r="F40" s="21" t="inlineStr">
        <is>
          <t>LC (Large Cap)</t>
        </is>
      </c>
      <c r="G40" s="21" t="inlineStr">
        <is>
          <t>Medium Trend</t>
        </is>
      </c>
      <c r="H40" s="21" t="n"/>
    </row>
    <row r="41">
      <c r="A41" s="73" t="n">
        <v>46143</v>
      </c>
      <c r="B41" s="21" t="inlineStr">
        <is>
          <t>SIRCA</t>
        </is>
      </c>
      <c r="C41" s="21" t="e">
        <v>#VALUE!</v>
      </c>
      <c r="D41" s="21">
        <f t="array" ref="D41">_FV(C41,"Industry")</f>
        <v/>
      </c>
      <c r="E41" s="21" t="inlineStr">
        <is>
          <t xml:space="preserve">Consumption </t>
        </is>
      </c>
      <c r="F41" s="21" t="inlineStr">
        <is>
          <t>SC (Small Cap)</t>
        </is>
      </c>
      <c r="G41" s="21" t="inlineStr">
        <is>
          <t>Medium Trend</t>
        </is>
      </c>
      <c r="H41" s="21" t="n"/>
    </row>
    <row r="42">
      <c r="A42" s="73" t="n">
        <v>46143</v>
      </c>
      <c r="B42" s="21" t="inlineStr">
        <is>
          <t>TITAN</t>
        </is>
      </c>
      <c r="C42" s="21" t="e">
        <v>#VALUE!</v>
      </c>
      <c r="D42" s="21">
        <f t="array" ref="D42">_FV(C42,"Industry")</f>
        <v/>
      </c>
      <c r="E42" s="21" t="inlineStr">
        <is>
          <t xml:space="preserve">Consumption </t>
        </is>
      </c>
      <c r="F42" s="21" t="inlineStr">
        <is>
          <t>LC (Large Cap)</t>
        </is>
      </c>
      <c r="G42" s="21" t="inlineStr">
        <is>
          <t>Medium Trend</t>
        </is>
      </c>
      <c r="H42" s="21" t="n"/>
    </row>
    <row r="43">
      <c r="A43" s="73" t="n">
        <v>46143</v>
      </c>
      <c r="B43" s="21" t="inlineStr">
        <is>
          <t>DATAPATTNS</t>
        </is>
      </c>
      <c r="C43" s="21" t="e">
        <v>#VALUE!</v>
      </c>
      <c r="D43" s="21">
        <f t="array" ref="D43">_FV(C43,"Industry")</f>
        <v/>
      </c>
      <c r="E43" s="21" t="inlineStr">
        <is>
          <t>Industrial</t>
        </is>
      </c>
      <c r="F43" s="21" t="inlineStr">
        <is>
          <t>SC (Small Cap)</t>
        </is>
      </c>
      <c r="G43" s="21" t="inlineStr">
        <is>
          <t>Medium Trend</t>
        </is>
      </c>
      <c r="H43" s="21" t="n"/>
    </row>
    <row r="44">
      <c r="A44" s="73" t="n">
        <v>46143</v>
      </c>
      <c r="B44" s="21" t="inlineStr">
        <is>
          <t>CUB</t>
        </is>
      </c>
      <c r="C44" s="21" t="e">
        <v>#VALUE!</v>
      </c>
      <c r="D44" s="21">
        <f t="array" ref="D44">_FV(C44,"Industry")</f>
        <v/>
      </c>
      <c r="E44" s="21" t="inlineStr">
        <is>
          <t>Financials</t>
        </is>
      </c>
      <c r="F44" s="21" t="inlineStr">
        <is>
          <t>SC (Small Cap)</t>
        </is>
      </c>
      <c r="G44" s="21" t="inlineStr">
        <is>
          <t>Medium Trend</t>
        </is>
      </c>
      <c r="H44" s="21" t="n"/>
    </row>
    <row r="45">
      <c r="A45" s="73" t="n">
        <v>46143</v>
      </c>
      <c r="B45" s="21" t="inlineStr">
        <is>
          <t>DIVISLAB</t>
        </is>
      </c>
      <c r="C45" s="21" t="e">
        <v>#VALUE!</v>
      </c>
      <c r="D45" s="21">
        <f t="array" ref="D45">_FV(C45,"Industry")</f>
        <v/>
      </c>
      <c r="E45" s="21" t="inlineStr">
        <is>
          <t>Health / Pharma / Chem</t>
        </is>
      </c>
      <c r="F45" s="21" t="inlineStr">
        <is>
          <t>LC (Large Cap)</t>
        </is>
      </c>
      <c r="G45" s="21" t="inlineStr">
        <is>
          <t>Medium Trend</t>
        </is>
      </c>
      <c r="H45" s="21" t="n"/>
    </row>
    <row r="46">
      <c r="A46" s="73" t="n">
        <v>46143</v>
      </c>
      <c r="B46" s="21" t="inlineStr">
        <is>
          <t>DMART</t>
        </is>
      </c>
      <c r="C46" s="21" t="e">
        <v>#VALUE!</v>
      </c>
      <c r="D46" s="21">
        <f t="array" ref="D46">_FV(C46,"Industry")</f>
        <v/>
      </c>
      <c r="E46" s="21" t="inlineStr">
        <is>
          <t xml:space="preserve">Consumption </t>
        </is>
      </c>
      <c r="F46" s="21" t="inlineStr">
        <is>
          <t>LC (Large Cap)</t>
        </is>
      </c>
      <c r="G46" s="21" t="inlineStr">
        <is>
          <t>Medium Trend</t>
        </is>
      </c>
      <c r="H46" s="21" t="n"/>
    </row>
    <row r="47">
      <c r="A47" s="73" t="n">
        <v>46143</v>
      </c>
      <c r="B47" s="21" t="inlineStr">
        <is>
          <t>EICHERMOT</t>
        </is>
      </c>
      <c r="C47" s="21" t="e">
        <v>#VALUE!</v>
      </c>
      <c r="D47" s="21">
        <f t="array" ref="D47">_FV(C47,"Industry")</f>
        <v/>
      </c>
      <c r="E47" s="21" t="inlineStr">
        <is>
          <t xml:space="preserve">Consumption </t>
        </is>
      </c>
      <c r="F47" s="21" t="inlineStr">
        <is>
          <t>LC (Large Cap)</t>
        </is>
      </c>
      <c r="G47" s="21" t="inlineStr">
        <is>
          <t>Medium Trend</t>
        </is>
      </c>
      <c r="H47" s="21" t="n"/>
    </row>
    <row r="48">
      <c r="A48" s="73" t="n">
        <v>46143</v>
      </c>
      <c r="B48" s="21" t="inlineStr">
        <is>
          <t>UNOMINDA</t>
        </is>
      </c>
      <c r="C48" s="21" t="e">
        <v>#VALUE!</v>
      </c>
      <c r="D48" s="21">
        <f t="array" ref="D48">_FV(C48,"Industry")</f>
        <v/>
      </c>
      <c r="E48" s="21" t="inlineStr">
        <is>
          <t>Industrial</t>
        </is>
      </c>
      <c r="F48" s="21" t="inlineStr">
        <is>
          <t>MC (Mid Cap)</t>
        </is>
      </c>
      <c r="G48" s="21" t="inlineStr">
        <is>
          <t>Medium Trend</t>
        </is>
      </c>
      <c r="H48" s="21" t="n"/>
    </row>
    <row r="49">
      <c r="A49" s="73" t="n">
        <v>46143</v>
      </c>
      <c r="B49" s="21" t="inlineStr">
        <is>
          <t>NESCO</t>
        </is>
      </c>
      <c r="C49" s="21" t="e">
        <v>#VALUE!</v>
      </c>
      <c r="D49" s="21">
        <f t="array" ref="D49">_FV(C49,"Industry")</f>
        <v/>
      </c>
      <c r="E49" s="21" t="inlineStr">
        <is>
          <t>Industrial</t>
        </is>
      </c>
      <c r="F49" s="21" t="inlineStr">
        <is>
          <t>SC (Small Cap)</t>
        </is>
      </c>
      <c r="G49" s="21" t="inlineStr">
        <is>
          <t>Medium Trend</t>
        </is>
      </c>
      <c r="H49" s="21" t="n"/>
    </row>
    <row r="50">
      <c r="A50" s="73" t="n">
        <v>46143</v>
      </c>
      <c r="B50" s="21" t="inlineStr">
        <is>
          <t>NESTLEIND</t>
        </is>
      </c>
      <c r="C50" s="21" t="e">
        <v>#VALUE!</v>
      </c>
      <c r="D50" s="21">
        <f t="array" ref="D50">_FV(C50,"Industry")</f>
        <v/>
      </c>
      <c r="E50" s="21" t="inlineStr">
        <is>
          <t xml:space="preserve">Consumption </t>
        </is>
      </c>
      <c r="F50" s="21" t="inlineStr">
        <is>
          <t>LC (Large Cap)</t>
        </is>
      </c>
      <c r="G50" s="21" t="inlineStr">
        <is>
          <t>Medium Trend</t>
        </is>
      </c>
      <c r="H50" s="21" t="n"/>
    </row>
    <row r="51">
      <c r="A51" s="73" t="n">
        <v>46143</v>
      </c>
      <c r="B51" s="21" t="inlineStr">
        <is>
          <t>PRIVISCL</t>
        </is>
      </c>
      <c r="C51" s="21" t="e">
        <v>#VALUE!</v>
      </c>
      <c r="D51" s="21">
        <f t="array" ref="D51">_FV(C51,"Industry")</f>
        <v/>
      </c>
      <c r="E51" s="21" t="inlineStr">
        <is>
          <t>Health / Pharma / Chem</t>
        </is>
      </c>
      <c r="F51" s="21" t="inlineStr">
        <is>
          <t>SC (Small Cap)</t>
        </is>
      </c>
      <c r="G51" s="21" t="inlineStr">
        <is>
          <t>Medium Trend</t>
        </is>
      </c>
      <c r="H51" s="21" t="n"/>
    </row>
    <row r="52">
      <c r="A52" s="73" t="n">
        <v>46143</v>
      </c>
      <c r="B52" s="21" t="inlineStr">
        <is>
          <t>TATACONSUM</t>
        </is>
      </c>
      <c r="C52" s="21" t="e">
        <v>#VALUE!</v>
      </c>
      <c r="D52" s="21">
        <f t="array" ref="D52">_FV(C52,"Industry")</f>
        <v/>
      </c>
      <c r="E52" s="21" t="inlineStr">
        <is>
          <t xml:space="preserve">Consumption </t>
        </is>
      </c>
      <c r="F52" s="21" t="inlineStr">
        <is>
          <t>LC (Large Cap)</t>
        </is>
      </c>
      <c r="G52" s="21" t="inlineStr">
        <is>
          <t>Medium Trend</t>
        </is>
      </c>
      <c r="H52" s="21" t="n"/>
    </row>
    <row r="53">
      <c r="A53" s="73" t="n">
        <v>46143</v>
      </c>
      <c r="B53" s="21" t="inlineStr">
        <is>
          <t>RPGLIFE</t>
        </is>
      </c>
      <c r="C53" s="21" t="e">
        <v>#VALUE!</v>
      </c>
      <c r="D53" s="21">
        <f t="array" ref="D53">_FV(C53,"Industry")</f>
        <v/>
      </c>
      <c r="E53" s="21" t="inlineStr">
        <is>
          <t>Health / Pharma / Chem</t>
        </is>
      </c>
      <c r="F53" s="21" t="inlineStr">
        <is>
          <t>SC (Small Cap)</t>
        </is>
      </c>
      <c r="G53" s="21" t="inlineStr">
        <is>
          <t>Medium Trend</t>
        </is>
      </c>
      <c r="H53" s="21" t="n"/>
    </row>
    <row r="54">
      <c r="A54" s="73" t="n">
        <v>46143</v>
      </c>
      <c r="B54" s="21" t="inlineStr">
        <is>
          <t>TORNTPHARM</t>
        </is>
      </c>
      <c r="C54" s="21" t="e">
        <v>#VALUE!</v>
      </c>
      <c r="D54" s="21">
        <f t="array" ref="D54">_FV(C54,"Industry")</f>
        <v/>
      </c>
      <c r="E54" s="21" t="inlineStr">
        <is>
          <t>Health / Pharma / Chem</t>
        </is>
      </c>
      <c r="F54" s="21" t="inlineStr">
        <is>
          <t>LC (Large Cap)</t>
        </is>
      </c>
      <c r="G54" s="21" t="inlineStr">
        <is>
          <t>Medium Trend</t>
        </is>
      </c>
      <c r="H54" s="21" t="n"/>
    </row>
    <row r="55">
      <c r="A55" s="73" t="n">
        <v>46143</v>
      </c>
      <c r="B55" s="21" t="inlineStr">
        <is>
          <t>CCL</t>
        </is>
      </c>
      <c r="C55" s="21" t="e">
        <v>#VALUE!</v>
      </c>
      <c r="D55" s="21">
        <f t="array" ref="D55">_FV(C55,"Industry")</f>
        <v/>
      </c>
      <c r="E55" s="21" t="inlineStr">
        <is>
          <t xml:space="preserve">Consumption </t>
        </is>
      </c>
      <c r="F55" s="21" t="inlineStr">
        <is>
          <t>SC (Small Cap)</t>
        </is>
      </c>
      <c r="G55" s="21" t="inlineStr">
        <is>
          <t>Medium Trend</t>
        </is>
      </c>
      <c r="H55" s="21" t="n"/>
    </row>
    <row r="56">
      <c r="A56" s="73" t="n">
        <v>46143</v>
      </c>
      <c r="B56" s="21" t="inlineStr">
        <is>
          <t>MANORAMA</t>
        </is>
      </c>
      <c r="C56" s="21" t="e">
        <v>#VALUE!</v>
      </c>
      <c r="D56" s="21">
        <f t="array" ref="D56">_FV(C56,"Industry")</f>
        <v/>
      </c>
      <c r="E56" s="21" t="inlineStr">
        <is>
          <t xml:space="preserve">Consumption </t>
        </is>
      </c>
      <c r="F56" s="21" t="inlineStr">
        <is>
          <t>SC (Small Cap)</t>
        </is>
      </c>
      <c r="G56" s="21" t="inlineStr">
        <is>
          <t>Medium Trend</t>
        </is>
      </c>
      <c r="H56" s="21" t="n"/>
    </row>
    <row r="57">
      <c r="A57" s="73" t="n">
        <v>46143</v>
      </c>
      <c r="B57" s="21" t="inlineStr">
        <is>
          <t>BEL</t>
        </is>
      </c>
      <c r="C57" s="21" t="e">
        <v>#VALUE!</v>
      </c>
      <c r="D57" s="21">
        <f t="array" ref="D57">_FV(C57,"Industry")</f>
        <v/>
      </c>
      <c r="E57" s="21" t="inlineStr">
        <is>
          <t>Industrial</t>
        </is>
      </c>
      <c r="F57" s="21" t="inlineStr">
        <is>
          <t>LC (Large Cap)</t>
        </is>
      </c>
      <c r="G57" s="21" t="inlineStr">
        <is>
          <t>Medium Trend</t>
        </is>
      </c>
      <c r="H57" s="21" t="n"/>
    </row>
    <row r="58">
      <c r="A58" s="73" t="n">
        <v>46143</v>
      </c>
      <c r="B58" s="21" t="inlineStr">
        <is>
          <t>M&amp;M</t>
        </is>
      </c>
      <c r="C58" s="21" t="e">
        <v>#VALUE!</v>
      </c>
      <c r="D58" s="21">
        <f t="array" ref="D58">_FV(C58,"Industry")</f>
        <v/>
      </c>
      <c r="E58" s="21" t="inlineStr">
        <is>
          <t>Industrial</t>
        </is>
      </c>
      <c r="F58" s="21" t="inlineStr">
        <is>
          <t>LC (Large Cap)</t>
        </is>
      </c>
      <c r="G58" s="21" t="inlineStr">
        <is>
          <t>Medium Trend</t>
        </is>
      </c>
      <c r="H58" s="21" t="n"/>
    </row>
    <row r="59">
      <c r="A59" s="73" t="n">
        <v>46143</v>
      </c>
      <c r="B59" s="21" t="inlineStr">
        <is>
          <t>FEDERALBNK</t>
        </is>
      </c>
      <c r="C59" s="21" t="e">
        <v>#VALUE!</v>
      </c>
      <c r="D59" s="21">
        <f t="array" ref="D59">_FV(C59,"Industry")</f>
        <v/>
      </c>
      <c r="E59" s="21" t="inlineStr">
        <is>
          <t>Financials</t>
        </is>
      </c>
      <c r="F59" s="21" t="inlineStr">
        <is>
          <t>MC (Mid Cap)</t>
        </is>
      </c>
      <c r="G59" s="21" t="inlineStr">
        <is>
          <t>Medium Trend</t>
        </is>
      </c>
      <c r="H59" s="21" t="n"/>
    </row>
    <row r="60">
      <c r="A60" s="73" t="n">
        <v>46143</v>
      </c>
      <c r="B60" s="21" t="inlineStr">
        <is>
          <t>TVSMOTOR</t>
        </is>
      </c>
      <c r="C60" s="21" t="e">
        <v>#VALUE!</v>
      </c>
      <c r="D60" s="21">
        <f t="array" ref="D60">_FV(C60,"Industry")</f>
        <v/>
      </c>
      <c r="E60" s="21" t="inlineStr">
        <is>
          <t xml:space="preserve">Consumption </t>
        </is>
      </c>
      <c r="F60" s="21" t="inlineStr">
        <is>
          <t>LC (Large Cap)</t>
        </is>
      </c>
      <c r="G60" s="21" t="inlineStr">
        <is>
          <t>Medium Trend</t>
        </is>
      </c>
      <c r="H60" s="21" t="n"/>
    </row>
    <row r="61">
      <c r="A61" s="73" t="n">
        <v>46143</v>
      </c>
      <c r="B61" s="21" t="inlineStr">
        <is>
          <t>PRICOLLTD</t>
        </is>
      </c>
      <c r="C61" s="21" t="e">
        <v>#VALUE!</v>
      </c>
      <c r="D61" s="21">
        <f t="array" ref="D61">_FV(C61,"Industry")</f>
        <v/>
      </c>
      <c r="E61" s="21" t="inlineStr">
        <is>
          <t>Industrial</t>
        </is>
      </c>
      <c r="F61" s="21" t="inlineStr">
        <is>
          <t>SC (Small Cap)</t>
        </is>
      </c>
      <c r="G61" s="21" t="inlineStr">
        <is>
          <t>Medium Trend</t>
        </is>
      </c>
      <c r="H61" s="21" t="n"/>
    </row>
    <row r="62">
      <c r="A62" s="73" t="n">
        <v>46143</v>
      </c>
      <c r="B62" s="21" t="inlineStr">
        <is>
          <t>LUPIN</t>
        </is>
      </c>
      <c r="C62" s="21" t="e">
        <v>#VALUE!</v>
      </c>
      <c r="D62" s="21">
        <f t="array" ref="D62">_FV(C62,"Industry")</f>
        <v/>
      </c>
      <c r="E62" s="21" t="inlineStr">
        <is>
          <t>Health / Pharma / Chem</t>
        </is>
      </c>
      <c r="F62" s="21" t="inlineStr">
        <is>
          <t>MC (Mid Cap)</t>
        </is>
      </c>
      <c r="G62" s="21" t="inlineStr">
        <is>
          <t>Medium Trend</t>
        </is>
      </c>
      <c r="H62" s="21" t="n"/>
    </row>
    <row r="63">
      <c r="A63" s="73" t="n">
        <v>46143</v>
      </c>
      <c r="B63" s="76" t="inlineStr">
        <is>
          <t>CONTROLPR</t>
        </is>
      </c>
      <c r="C63" s="21" t="e">
        <v>#VALUE!</v>
      </c>
      <c r="D63" s="21">
        <f t="array" ref="D63">_FV(C63,"Industry")</f>
        <v/>
      </c>
      <c r="E63" s="21" t="inlineStr">
        <is>
          <t>Technology</t>
        </is>
      </c>
      <c r="F63" s="21" t="inlineStr">
        <is>
          <t>SC (Small Cap)</t>
        </is>
      </c>
      <c r="G63" s="21" t="inlineStr">
        <is>
          <t>Weak Trend- Red</t>
        </is>
      </c>
      <c r="H63" s="21" t="n"/>
    </row>
    <row r="64">
      <c r="A64" s="73" t="n">
        <v>46143</v>
      </c>
      <c r="B64" s="21" t="inlineStr">
        <is>
          <t>NEWGEN</t>
        </is>
      </c>
      <c r="C64" s="21" t="e">
        <v>#VALUE!</v>
      </c>
      <c r="D64" s="21">
        <f t="array" ref="D64">_FV(C64,"Industry")</f>
        <v/>
      </c>
      <c r="E64" s="21" t="inlineStr">
        <is>
          <t>Technology</t>
        </is>
      </c>
      <c r="F64" s="21" t="inlineStr">
        <is>
          <t>SC (Small Cap)</t>
        </is>
      </c>
      <c r="G64" s="21" t="inlineStr">
        <is>
          <t>Weak Trend- Red</t>
        </is>
      </c>
      <c r="H64" s="21" t="n"/>
    </row>
    <row r="65">
      <c r="A65" s="73" t="n">
        <v>46143</v>
      </c>
      <c r="B65" s="21" t="inlineStr">
        <is>
          <t>TRENT</t>
        </is>
      </c>
      <c r="C65" s="21" t="e">
        <v>#VALUE!</v>
      </c>
      <c r="D65" s="21">
        <f t="array" ref="D65">_FV(C65,"Industry")</f>
        <v/>
      </c>
      <c r="E65" s="21" t="inlineStr">
        <is>
          <t xml:space="preserve">Consumption </t>
        </is>
      </c>
      <c r="F65" s="21" t="inlineStr">
        <is>
          <t>LC (Large Cap)</t>
        </is>
      </c>
      <c r="G65" s="21" t="inlineStr">
        <is>
          <t>Weak Trend- Red</t>
        </is>
      </c>
      <c r="H65" s="21" t="n"/>
    </row>
    <row r="66">
      <c r="A66" s="73" t="n">
        <v>46143</v>
      </c>
      <c r="B66" s="21" t="inlineStr">
        <is>
          <t>ACE</t>
        </is>
      </c>
      <c r="C66" s="21" t="e">
        <v>#VALUE!</v>
      </c>
      <c r="D66" s="21">
        <f t="array" ref="D66">_FV(C66,"Industry")</f>
        <v/>
      </c>
      <c r="E66" s="21" t="inlineStr">
        <is>
          <t xml:space="preserve">Consumption </t>
        </is>
      </c>
      <c r="F66" s="21" t="inlineStr">
        <is>
          <t>SC (Small Cap)</t>
        </is>
      </c>
      <c r="G66" s="21" t="inlineStr">
        <is>
          <t>Weak Trend- Red</t>
        </is>
      </c>
      <c r="H66" s="21" t="n"/>
    </row>
    <row r="67">
      <c r="A67" s="73" t="n">
        <v>46143</v>
      </c>
      <c r="B67" s="21" t="inlineStr">
        <is>
          <t>POLYMED</t>
        </is>
      </c>
      <c r="C67" s="21" t="e">
        <v>#VALUE!</v>
      </c>
      <c r="D67" s="21">
        <f t="array" ref="D67">_FV(C67,"Industry")</f>
        <v/>
      </c>
      <c r="E67" s="21" t="inlineStr">
        <is>
          <t>Health / Pharma / Chem</t>
        </is>
      </c>
      <c r="F67" s="21" t="inlineStr">
        <is>
          <t>SC (Small Cap)</t>
        </is>
      </c>
      <c r="G67" s="21" t="inlineStr">
        <is>
          <t>Weak Trend- Red</t>
        </is>
      </c>
      <c r="H67" s="21" t="n"/>
    </row>
    <row r="68">
      <c r="A68" s="73" t="n">
        <v>46143</v>
      </c>
      <c r="B68" s="21" t="inlineStr">
        <is>
          <t>JASH</t>
        </is>
      </c>
      <c r="C68" s="21" t="e">
        <v>#VALUE!</v>
      </c>
      <c r="D68" s="21">
        <f t="array" ref="D68">_FV(C68,"Industry")</f>
        <v/>
      </c>
      <c r="E68" s="21" t="inlineStr">
        <is>
          <t>Industrial</t>
        </is>
      </c>
      <c r="F68" s="21" t="inlineStr">
        <is>
          <t>SC (Small Cap)</t>
        </is>
      </c>
      <c r="G68" s="21" t="inlineStr">
        <is>
          <t>Weak Trend- Red</t>
        </is>
      </c>
      <c r="H68" s="21" t="n"/>
    </row>
    <row r="69">
      <c r="A69" s="73" t="n">
        <v>46143</v>
      </c>
      <c r="B69" s="21" t="inlineStr">
        <is>
          <t>COLPAL</t>
        </is>
      </c>
      <c r="C69" s="21" t="e">
        <v>#VALUE!</v>
      </c>
      <c r="D69" s="21">
        <f t="array" ref="D69">_FV(C69,"Industry")</f>
        <v/>
      </c>
      <c r="E69" s="21" t="inlineStr">
        <is>
          <t xml:space="preserve">Consumption </t>
        </is>
      </c>
      <c r="F69" s="21" t="inlineStr">
        <is>
          <t>MC (Mid Cap)</t>
        </is>
      </c>
      <c r="G69" s="21" t="inlineStr">
        <is>
          <t>Weak Trend- Red</t>
        </is>
      </c>
      <c r="H69" s="21" t="n"/>
    </row>
    <row r="70">
      <c r="A70" s="73" t="n">
        <v>46143</v>
      </c>
      <c r="B70" s="21" t="inlineStr">
        <is>
          <t>FINEORG</t>
        </is>
      </c>
      <c r="C70" s="21" t="e">
        <v>#VALUE!</v>
      </c>
      <c r="D70" s="21">
        <f t="array" ref="D70">_FV(C70,"Industry")</f>
        <v/>
      </c>
      <c r="E70" s="21" t="inlineStr">
        <is>
          <t>Health / Pharma / Chem</t>
        </is>
      </c>
      <c r="F70" s="21" t="inlineStr">
        <is>
          <t>SC (Small Cap)</t>
        </is>
      </c>
      <c r="G70" s="21" t="inlineStr">
        <is>
          <t>Weak Trend- Red</t>
        </is>
      </c>
      <c r="H70" s="21" t="n"/>
    </row>
    <row r="71">
      <c r="A71" s="73" t="n">
        <v>46143</v>
      </c>
      <c r="B71" s="21" t="inlineStr">
        <is>
          <t>ABBOTINDIA</t>
        </is>
      </c>
      <c r="C71" s="21" t="e">
        <v>#VALUE!</v>
      </c>
      <c r="D71" s="21">
        <f t="array" ref="D71">_FV(C71,"Industry")</f>
        <v/>
      </c>
      <c r="E71" s="21" t="inlineStr">
        <is>
          <t>Health / Pharma / Chem</t>
        </is>
      </c>
      <c r="F71" s="21" t="inlineStr">
        <is>
          <t>MC (Mid Cap)</t>
        </is>
      </c>
      <c r="G71" s="21" t="inlineStr">
        <is>
          <t>Weak Trend- Red</t>
        </is>
      </c>
      <c r="H71" s="21" t="n"/>
    </row>
    <row r="72">
      <c r="A72" s="73" t="n">
        <v>46143</v>
      </c>
      <c r="B72" s="21" t="inlineStr">
        <is>
          <t>SONATSOFTW</t>
        </is>
      </c>
      <c r="C72" s="21" t="e">
        <v>#VALUE!</v>
      </c>
      <c r="D72" s="21">
        <f t="array" ref="D72">_FV(C72,"Industry")</f>
        <v/>
      </c>
      <c r="E72" s="21" t="inlineStr">
        <is>
          <t>Technology</t>
        </is>
      </c>
      <c r="F72" s="21" t="inlineStr">
        <is>
          <t>SC (Small Cap)</t>
        </is>
      </c>
      <c r="G72" s="21" t="inlineStr">
        <is>
          <t>Weak Trend- Red</t>
        </is>
      </c>
      <c r="H72" s="21" t="n"/>
    </row>
    <row r="73">
      <c r="A73" s="73" t="n">
        <v>46143</v>
      </c>
      <c r="B73" s="21" t="inlineStr">
        <is>
          <t>MSTCLTD</t>
        </is>
      </c>
      <c r="C73" s="21" t="e">
        <v>#VALUE!</v>
      </c>
      <c r="D73" s="21">
        <f t="array" ref="D73">_FV(C73,"Industry")</f>
        <v/>
      </c>
      <c r="E73" s="21" t="inlineStr">
        <is>
          <t>Technology</t>
        </is>
      </c>
      <c r="F73" s="21" t="inlineStr">
        <is>
          <t>SC (Small Cap)</t>
        </is>
      </c>
      <c r="G73" s="21" t="inlineStr">
        <is>
          <t>Weak Trend- Red</t>
        </is>
      </c>
      <c r="H73" s="21" t="n"/>
    </row>
    <row r="74">
      <c r="A74" s="73" t="n">
        <v>46143</v>
      </c>
      <c r="B74" s="21" t="inlineStr">
        <is>
          <t>BALAMINES</t>
        </is>
      </c>
      <c r="C74" s="21" t="e">
        <v>#VALUE!</v>
      </c>
      <c r="D74" s="21">
        <f t="array" ref="D74">_FV(C74,"Industry")</f>
        <v/>
      </c>
      <c r="E74" s="21" t="inlineStr">
        <is>
          <t>Health / Pharma / Chem</t>
        </is>
      </c>
      <c r="F74" s="21" t="inlineStr">
        <is>
          <t>SC (Small Cap)</t>
        </is>
      </c>
      <c r="G74" s="21" t="inlineStr">
        <is>
          <t>Weak Trend- Red</t>
        </is>
      </c>
      <c r="H74" s="21" t="n"/>
    </row>
    <row r="75">
      <c r="A75" s="73" t="n">
        <v>46143</v>
      </c>
      <c r="B75" s="21" t="inlineStr">
        <is>
          <t>SHANTIGEAR</t>
        </is>
      </c>
      <c r="C75" s="21" t="e">
        <v>#VALUE!</v>
      </c>
      <c r="D75" s="21">
        <f t="array" ref="D75">_FV(C75,"Industry")</f>
        <v/>
      </c>
      <c r="E75" s="21" t="inlineStr">
        <is>
          <t>Industrial</t>
        </is>
      </c>
      <c r="F75" s="21" t="inlineStr">
        <is>
          <t>SC (Small Cap)</t>
        </is>
      </c>
      <c r="G75" s="21" t="inlineStr">
        <is>
          <t>Weak Trend- Red</t>
        </is>
      </c>
      <c r="H75" s="21" t="n"/>
    </row>
    <row r="76">
      <c r="A76" s="73" t="n">
        <v>46143</v>
      </c>
      <c r="B76" s="21" t="inlineStr">
        <is>
          <t>COFORGE</t>
        </is>
      </c>
      <c r="C76" s="21" t="e">
        <v>#VALUE!</v>
      </c>
      <c r="D76" s="21">
        <f t="array" ref="D76">_FV(C76,"Industry")</f>
        <v/>
      </c>
      <c r="E76" s="21" t="inlineStr">
        <is>
          <t>Technology</t>
        </is>
      </c>
      <c r="F76" s="21" t="inlineStr">
        <is>
          <t>MC (Mid Cap)</t>
        </is>
      </c>
      <c r="G76" s="21" t="inlineStr">
        <is>
          <t>Weak Trend- Red</t>
        </is>
      </c>
      <c r="H76" s="21" t="n"/>
    </row>
    <row r="77">
      <c r="A77" s="73" t="n">
        <v>46143</v>
      </c>
      <c r="B77" s="21" t="inlineStr">
        <is>
          <t>KSB</t>
        </is>
      </c>
      <c r="C77" s="21" t="e">
        <v>#VALUE!</v>
      </c>
      <c r="D77" s="21">
        <f t="array" ref="D77">_FV(C77,"Industry")</f>
        <v/>
      </c>
      <c r="E77" s="21" t="inlineStr">
        <is>
          <t>Industrial</t>
        </is>
      </c>
      <c r="F77" s="21" t="inlineStr">
        <is>
          <t>SC (Small Cap)</t>
        </is>
      </c>
      <c r="G77" s="21" t="inlineStr">
        <is>
          <t>Weak Trend- Red</t>
        </is>
      </c>
      <c r="H77" s="21" t="n"/>
    </row>
    <row r="78">
      <c r="A78" s="73" t="n">
        <v>46143</v>
      </c>
      <c r="B78" s="21" t="inlineStr">
        <is>
          <t>BECTORFOOD</t>
        </is>
      </c>
      <c r="C78" s="21" t="e">
        <v>#VALUE!</v>
      </c>
      <c r="D78" s="21">
        <f t="array" ref="D78">_FV(C78,"Industry")</f>
        <v/>
      </c>
      <c r="E78" s="21" t="inlineStr">
        <is>
          <t xml:space="preserve">Consumption </t>
        </is>
      </c>
      <c r="F78" s="21" t="inlineStr">
        <is>
          <t>SC (Small Cap)</t>
        </is>
      </c>
      <c r="G78" s="21" t="inlineStr">
        <is>
          <t>Weak Trend- Red</t>
        </is>
      </c>
      <c r="H78" s="21" t="n"/>
    </row>
    <row r="79">
      <c r="A79" s="73" t="n">
        <v>46143</v>
      </c>
      <c r="B79" s="21" t="inlineStr">
        <is>
          <t>CIPLA</t>
        </is>
      </c>
      <c r="C79" s="21" t="e">
        <v>#VALUE!</v>
      </c>
      <c r="D79" s="21">
        <f t="array" ref="D79">_FV(C79,"Industry")</f>
        <v/>
      </c>
      <c r="E79" s="21" t="inlineStr">
        <is>
          <t>Health / Pharma / Chem</t>
        </is>
      </c>
      <c r="F79" s="21" t="inlineStr">
        <is>
          <t>LC (Large Cap)</t>
        </is>
      </c>
      <c r="G79" s="21" t="inlineStr">
        <is>
          <t>Weak Trend- Red</t>
        </is>
      </c>
      <c r="H79" s="21" t="n"/>
    </row>
    <row r="80">
      <c r="A80" s="73" t="n">
        <v>46143</v>
      </c>
      <c r="B80" s="21" t="inlineStr">
        <is>
          <t>BRITANNIA</t>
        </is>
      </c>
      <c r="C80" s="21" t="e">
        <v>#VALUE!</v>
      </c>
      <c r="D80" s="21">
        <f t="array" ref="D80">_FV(C80,"Industry")</f>
        <v/>
      </c>
      <c r="E80" s="21" t="inlineStr">
        <is>
          <t xml:space="preserve">Consumption </t>
        </is>
      </c>
      <c r="F80" s="21" t="inlineStr">
        <is>
          <t>LC (Large Cap)</t>
        </is>
      </c>
      <c r="G80" s="21" t="inlineStr">
        <is>
          <t>Weak Trend- Red</t>
        </is>
      </c>
      <c r="H80" s="21" t="n"/>
    </row>
    <row r="81">
      <c r="A81" s="73" t="n">
        <v>46143</v>
      </c>
      <c r="B81" s="21" t="inlineStr">
        <is>
          <t>GILLETTE</t>
        </is>
      </c>
      <c r="C81" s="21" t="e">
        <v>#VALUE!</v>
      </c>
      <c r="D81" s="21">
        <f t="array" ref="D81">_FV(C81,"Industry")</f>
        <v/>
      </c>
      <c r="E81" s="21" t="inlineStr">
        <is>
          <t xml:space="preserve">Consumption </t>
        </is>
      </c>
      <c r="F81" s="21" t="inlineStr">
        <is>
          <t>SC (Small Cap)</t>
        </is>
      </c>
      <c r="G81" s="21" t="inlineStr">
        <is>
          <t>Weak Trend- Red</t>
        </is>
      </c>
      <c r="H81" s="21" t="n"/>
    </row>
    <row r="82">
      <c r="A82" s="73" t="n">
        <v>46143</v>
      </c>
      <c r="B82" s="21" t="inlineStr">
        <is>
          <t>AFFLE</t>
        </is>
      </c>
      <c r="C82" s="21" t="e">
        <v>#VALUE!</v>
      </c>
      <c r="D82" s="21">
        <f t="array" ref="D82">_FV(C82,"Industry")</f>
        <v/>
      </c>
      <c r="E82" s="21" t="inlineStr">
        <is>
          <t>Technology</t>
        </is>
      </c>
      <c r="F82" s="21" t="inlineStr">
        <is>
          <t>SC (Small Cap)</t>
        </is>
      </c>
      <c r="G82" s="21" t="inlineStr">
        <is>
          <t>Weak Trend- Red</t>
        </is>
      </c>
      <c r="H82" s="21" t="n"/>
    </row>
    <row r="83">
      <c r="A83" s="73" t="n">
        <v>46143</v>
      </c>
      <c r="B83" s="21" t="inlineStr">
        <is>
          <t>ASIANPAINT</t>
        </is>
      </c>
      <c r="C83" s="21" t="e">
        <v>#VALUE!</v>
      </c>
      <c r="D83" s="21">
        <f t="array" ref="D83">_FV(C83,"Industry")</f>
        <v/>
      </c>
      <c r="E83" s="21" t="inlineStr">
        <is>
          <t xml:space="preserve">Consumption </t>
        </is>
      </c>
      <c r="F83" s="21" t="inlineStr">
        <is>
          <t>LC (Large Cap)</t>
        </is>
      </c>
      <c r="G83" s="21" t="inlineStr">
        <is>
          <t>Weak Trend- Red</t>
        </is>
      </c>
      <c r="H83" s="21" t="n"/>
    </row>
    <row r="84">
      <c r="A84" s="73" t="n">
        <v>46143</v>
      </c>
      <c r="B84" s="21" t="inlineStr">
        <is>
          <t>ASTEC</t>
        </is>
      </c>
      <c r="C84" s="21" t="e">
        <v>#VALUE!</v>
      </c>
      <c r="D84" s="21">
        <f t="array" ref="D84">_FV(C84,"Industry")</f>
        <v/>
      </c>
      <c r="E84" s="21" t="inlineStr">
        <is>
          <t>Health / Pharma / Chem</t>
        </is>
      </c>
      <c r="F84" s="21" t="inlineStr">
        <is>
          <t>SC (Small Cap)</t>
        </is>
      </c>
      <c r="G84" s="21" t="inlineStr">
        <is>
          <t>Weak Trend- Red</t>
        </is>
      </c>
      <c r="H84" s="21" t="n"/>
    </row>
    <row r="85">
      <c r="A85" s="73" t="n">
        <v>46143</v>
      </c>
      <c r="B85" s="21" t="inlineStr">
        <is>
          <t>ASTRAL</t>
        </is>
      </c>
      <c r="C85" s="21" t="e">
        <v>#VALUE!</v>
      </c>
      <c r="D85" s="21">
        <f t="array" ref="D85">_FV(C85,"Industry")</f>
        <v/>
      </c>
      <c r="E85" s="21" t="inlineStr">
        <is>
          <t xml:space="preserve">Consumption </t>
        </is>
      </c>
      <c r="F85" s="21" t="inlineStr">
        <is>
          <t>MC (Mid Cap)</t>
        </is>
      </c>
      <c r="G85" s="21" t="inlineStr">
        <is>
          <t>Weak Trend- Red</t>
        </is>
      </c>
      <c r="H85" s="21" t="n"/>
    </row>
    <row r="86">
      <c r="A86" s="73" t="n">
        <v>46143</v>
      </c>
      <c r="B86" s="21" t="inlineStr">
        <is>
          <t>BALKRISIND</t>
        </is>
      </c>
      <c r="C86" s="21" t="e">
        <v>#VALUE!</v>
      </c>
      <c r="D86" s="21">
        <f t="array" ref="D86">_FV(C86,"Industry")</f>
        <v/>
      </c>
      <c r="E86" s="21" t="inlineStr">
        <is>
          <t>Industrial</t>
        </is>
      </c>
      <c r="F86" s="21" t="inlineStr">
        <is>
          <t>MC (Mid Cap)</t>
        </is>
      </c>
      <c r="G86" s="21" t="inlineStr">
        <is>
          <t>Weak Trend- Red</t>
        </is>
      </c>
      <c r="H86" s="21" t="n"/>
    </row>
    <row r="87">
      <c r="A87" s="73" t="n">
        <v>46143</v>
      </c>
      <c r="B87" s="21" t="inlineStr">
        <is>
          <t>CHOLAFIN</t>
        </is>
      </c>
      <c r="C87" s="21" t="e">
        <v>#VALUE!</v>
      </c>
      <c r="D87" s="21">
        <f t="array" ref="D87">_FV(C87,"Industry")</f>
        <v/>
      </c>
      <c r="E87" s="21" t="inlineStr">
        <is>
          <t>Financials</t>
        </is>
      </c>
      <c r="F87" s="21" t="inlineStr">
        <is>
          <t>LC (Large Cap)</t>
        </is>
      </c>
      <c r="G87" s="21" t="inlineStr">
        <is>
          <t>Weak Trend- Red</t>
        </is>
      </c>
      <c r="H87" s="21" t="n"/>
    </row>
    <row r="88">
      <c r="A88" s="73" t="n">
        <v>46143</v>
      </c>
      <c r="B88" s="21" t="inlineStr">
        <is>
          <t>DEEPAKNTR</t>
        </is>
      </c>
      <c r="C88" s="21" t="e">
        <v>#VALUE!</v>
      </c>
      <c r="D88" s="21">
        <f t="array" ref="D88">_FV(C88,"Industry")</f>
        <v/>
      </c>
      <c r="E88" s="21" t="inlineStr">
        <is>
          <t>Health / Pharma / Chem</t>
        </is>
      </c>
      <c r="F88" s="21" t="inlineStr">
        <is>
          <t>SC (Small Cap)</t>
        </is>
      </c>
      <c r="G88" s="21" t="inlineStr">
        <is>
          <t>Weak Trend- Red</t>
        </is>
      </c>
      <c r="H88" s="21" t="n"/>
    </row>
    <row r="89">
      <c r="A89" s="73" t="n">
        <v>46143</v>
      </c>
      <c r="B89" s="21" t="inlineStr">
        <is>
          <t>GMMPFAUDLR</t>
        </is>
      </c>
      <c r="C89" s="21" t="e">
        <v>#VALUE!</v>
      </c>
      <c r="D89" s="21">
        <f t="array" ref="D89">_FV(C89,"Industry")</f>
        <v/>
      </c>
      <c r="E89" s="21" t="inlineStr">
        <is>
          <t>Industrial</t>
        </is>
      </c>
      <c r="F89" s="21" t="inlineStr">
        <is>
          <t>SC (Small Cap)</t>
        </is>
      </c>
      <c r="G89" s="21" t="inlineStr">
        <is>
          <t>Weak Trend- Red</t>
        </is>
      </c>
      <c r="H89" s="21" t="n"/>
    </row>
    <row r="90">
      <c r="A90" s="73" t="n">
        <v>46143</v>
      </c>
      <c r="B90" s="21" t="inlineStr">
        <is>
          <t>GUFICBIO</t>
        </is>
      </c>
      <c r="C90" s="21" t="e">
        <v>#VALUE!</v>
      </c>
      <c r="D90" s="21">
        <f t="array" ref="D90">_FV(C90,"Industry")</f>
        <v/>
      </c>
      <c r="E90" s="21" t="inlineStr">
        <is>
          <t>Health / Pharma / Chem</t>
        </is>
      </c>
      <c r="F90" s="21" t="inlineStr">
        <is>
          <t>SC (Small Cap)</t>
        </is>
      </c>
      <c r="G90" s="21" t="inlineStr">
        <is>
          <t>Weak Trend- Red</t>
        </is>
      </c>
      <c r="H90" s="21" t="n"/>
    </row>
    <row r="91">
      <c r="A91" s="73" t="n">
        <v>46143</v>
      </c>
      <c r="B91" s="21" t="inlineStr">
        <is>
          <t>HAL</t>
        </is>
      </c>
      <c r="C91" s="21" t="e">
        <v>#VALUE!</v>
      </c>
      <c r="D91" s="21">
        <f t="array" ref="D91">_FV(C91,"Industry")</f>
        <v/>
      </c>
      <c r="E91" s="21" t="inlineStr">
        <is>
          <t>Industrial</t>
        </is>
      </c>
      <c r="F91" s="21" t="inlineStr">
        <is>
          <t>LC (Large Cap)</t>
        </is>
      </c>
      <c r="G91" s="21" t="inlineStr">
        <is>
          <t>Weak Trend- Red</t>
        </is>
      </c>
      <c r="H91" s="21" t="n"/>
    </row>
    <row r="92">
      <c r="A92" s="73" t="n">
        <v>46143</v>
      </c>
      <c r="B92" s="21" t="inlineStr">
        <is>
          <t>HNDFDS</t>
        </is>
      </c>
      <c r="C92" s="21" t="e">
        <v>#VALUE!</v>
      </c>
      <c r="D92" s="21">
        <f t="array" ref="D92">_FV(C92,"Industry")</f>
        <v/>
      </c>
      <c r="E92" s="21" t="inlineStr">
        <is>
          <t xml:space="preserve">Consumption </t>
        </is>
      </c>
      <c r="F92" s="21" t="inlineStr">
        <is>
          <t>SC (Small Cap)</t>
        </is>
      </c>
      <c r="G92" s="21" t="inlineStr">
        <is>
          <t>Weak Trend- Red</t>
        </is>
      </c>
      <c r="H92" s="21" t="n"/>
    </row>
    <row r="93">
      <c r="A93" s="73" t="n">
        <v>46143</v>
      </c>
      <c r="B93" s="21" t="inlineStr">
        <is>
          <t>IONEXCHANG</t>
        </is>
      </c>
      <c r="C93" s="21" t="e">
        <v>#VALUE!</v>
      </c>
      <c r="D93" s="21">
        <f t="array" ref="D93">_FV(C93,"Industry")</f>
        <v/>
      </c>
      <c r="E93" s="21" t="inlineStr">
        <is>
          <t>Industrial</t>
        </is>
      </c>
      <c r="F93" s="21" t="inlineStr">
        <is>
          <t>SC (Small Cap)</t>
        </is>
      </c>
      <c r="G93" s="21" t="inlineStr">
        <is>
          <t>Weak Trend- Red</t>
        </is>
      </c>
      <c r="H93" s="21" t="n"/>
    </row>
    <row r="94">
      <c r="A94" s="73" t="n">
        <v>46143</v>
      </c>
      <c r="B94" s="21" t="inlineStr">
        <is>
          <t>KPITTECH</t>
        </is>
      </c>
      <c r="C94" s="21" t="e">
        <v>#VALUE!</v>
      </c>
      <c r="D94" s="21">
        <f t="array" ref="D94">_FV(C94,"Industry")</f>
        <v/>
      </c>
      <c r="E94" s="21" t="inlineStr">
        <is>
          <t>Technology</t>
        </is>
      </c>
      <c r="F94" s="21" t="inlineStr">
        <is>
          <t>SC (Small Cap)</t>
        </is>
      </c>
      <c r="G94" s="21" t="inlineStr">
        <is>
          <t>Weak Trend- Red</t>
        </is>
      </c>
      <c r="H94" s="21" t="n"/>
    </row>
    <row r="95">
      <c r="A95" s="73" t="n">
        <v>46143</v>
      </c>
      <c r="B95" s="21" t="inlineStr">
        <is>
          <t>LTM</t>
        </is>
      </c>
      <c r="C95" s="21" t="e">
        <v>#VALUE!</v>
      </c>
      <c r="D95" s="21">
        <f t="array" ref="D95">_FV(C95,"Industry")</f>
        <v/>
      </c>
      <c r="E95" s="21" t="inlineStr">
        <is>
          <t>Technology</t>
        </is>
      </c>
      <c r="F95" s="21" t="inlineStr">
        <is>
          <t>LC (Large Cap)</t>
        </is>
      </c>
      <c r="G95" s="21" t="inlineStr">
        <is>
          <t>Weak Trend- Red</t>
        </is>
      </c>
      <c r="H95" s="21" t="n"/>
    </row>
    <row r="96">
      <c r="A96" s="73" t="n">
        <v>46143</v>
      </c>
      <c r="B96" s="21" t="inlineStr">
        <is>
          <t>MOLDTKPAC</t>
        </is>
      </c>
      <c r="C96" s="21" t="e">
        <v>#VALUE!</v>
      </c>
      <c r="D96" s="21">
        <f t="array" ref="D96">_FV(C96,"Industry")</f>
        <v/>
      </c>
      <c r="E96" s="21" t="inlineStr">
        <is>
          <t xml:space="preserve">Consumption </t>
        </is>
      </c>
      <c r="F96" s="21" t="inlineStr">
        <is>
          <t>SC (Small Cap)</t>
        </is>
      </c>
      <c r="G96" s="21" t="inlineStr">
        <is>
          <t>Weak Trend- Red</t>
        </is>
      </c>
      <c r="H96" s="21" t="n"/>
    </row>
    <row r="97">
      <c r="A97" s="73" t="n">
        <v>46143</v>
      </c>
      <c r="B97" s="21" t="inlineStr">
        <is>
          <t>PAGEIND</t>
        </is>
      </c>
      <c r="C97" s="21" t="e">
        <v>#VALUE!</v>
      </c>
      <c r="D97" s="21">
        <f t="array" ref="D97">_FV(C97,"Industry")</f>
        <v/>
      </c>
      <c r="E97" s="21" t="inlineStr">
        <is>
          <t xml:space="preserve">Consumption </t>
        </is>
      </c>
      <c r="F97" s="21" t="inlineStr">
        <is>
          <t>MC (Mid Cap)</t>
        </is>
      </c>
      <c r="G97" s="21" t="inlineStr">
        <is>
          <t>Weak Trend- Red</t>
        </is>
      </c>
      <c r="H97" s="21" t="n"/>
    </row>
    <row r="98">
      <c r="A98" s="73" t="n">
        <v>46143</v>
      </c>
      <c r="B98" s="21" t="inlineStr">
        <is>
          <t>PERSISTENT</t>
        </is>
      </c>
      <c r="C98" s="21" t="e">
        <v>#VALUE!</v>
      </c>
      <c r="D98" s="21">
        <f t="array" ref="D98">_FV(C98,"Industry")</f>
        <v/>
      </c>
      <c r="E98" s="21" t="inlineStr">
        <is>
          <t>Technology</t>
        </is>
      </c>
      <c r="F98" s="21" t="inlineStr">
        <is>
          <t>MC (Mid Cap)</t>
        </is>
      </c>
      <c r="G98" s="21" t="inlineStr">
        <is>
          <t>Weak Trend- Red</t>
        </is>
      </c>
      <c r="H98" s="21" t="n"/>
    </row>
    <row r="99">
      <c r="A99" s="73" t="n">
        <v>46143</v>
      </c>
      <c r="B99" s="21" t="inlineStr">
        <is>
          <t>PIIND</t>
        </is>
      </c>
      <c r="C99" s="21" t="e">
        <v>#VALUE!</v>
      </c>
      <c r="D99" s="21">
        <f t="array" ref="D99">_FV(C99,"Industry")</f>
        <v/>
      </c>
      <c r="E99" s="21" t="inlineStr">
        <is>
          <t>Health / Pharma / Chem</t>
        </is>
      </c>
      <c r="F99" s="21" t="inlineStr">
        <is>
          <t>MC (Mid Cap)</t>
        </is>
      </c>
      <c r="G99" s="21" t="inlineStr">
        <is>
          <t>Weak Trend- Red</t>
        </is>
      </c>
      <c r="H99" s="21" t="n"/>
    </row>
    <row r="100">
      <c r="A100" s="73" t="n">
        <v>46143</v>
      </c>
      <c r="B100" s="21" t="inlineStr">
        <is>
          <t>PIDILITIND</t>
        </is>
      </c>
      <c r="C100" s="21" t="e">
        <v>#VALUE!</v>
      </c>
      <c r="D100" s="21">
        <f t="array" ref="D100">_FV(C100,"Industry")</f>
        <v/>
      </c>
      <c r="E100" s="21" t="inlineStr">
        <is>
          <t>Health / Pharma / Chem</t>
        </is>
      </c>
      <c r="F100" s="21" t="inlineStr">
        <is>
          <t>LC (Large Cap)</t>
        </is>
      </c>
      <c r="G100" s="21" t="inlineStr">
        <is>
          <t>Weak Trend- Red</t>
        </is>
      </c>
      <c r="H100" s="21" t="n"/>
    </row>
    <row r="101">
      <c r="A101" s="73" t="n">
        <v>46143</v>
      </c>
      <c r="B101" s="21" t="inlineStr">
        <is>
          <t>RAJRATAN</t>
        </is>
      </c>
      <c r="C101" s="21" t="e">
        <v>#VALUE!</v>
      </c>
      <c r="D101" s="21">
        <f t="array" ref="D101">_FV(C101,"Industry")</f>
        <v/>
      </c>
      <c r="E101" s="21" t="inlineStr">
        <is>
          <t>Industrial</t>
        </is>
      </c>
      <c r="F101" s="21" t="inlineStr">
        <is>
          <t>SC (Small Cap)</t>
        </is>
      </c>
      <c r="G101" s="21" t="inlineStr">
        <is>
          <t>Weak Trend- Red</t>
        </is>
      </c>
      <c r="H101" s="21" t="n"/>
    </row>
    <row r="102">
      <c r="A102" s="73" t="n">
        <v>46143</v>
      </c>
      <c r="B102" s="21" t="inlineStr">
        <is>
          <t>RHIM</t>
        </is>
      </c>
      <c r="C102" s="21" t="e">
        <v>#VALUE!</v>
      </c>
      <c r="D102" s="21">
        <f t="array" ref="D102">_FV(C102,"Industry")</f>
        <v/>
      </c>
      <c r="E102" s="21" t="inlineStr">
        <is>
          <t>Industrial</t>
        </is>
      </c>
      <c r="F102" s="21" t="inlineStr">
        <is>
          <t>SC (Small Cap)</t>
        </is>
      </c>
      <c r="G102" s="21" t="inlineStr">
        <is>
          <t>Weak Trend- Red</t>
        </is>
      </c>
      <c r="H102" s="21" t="n"/>
    </row>
    <row r="103">
      <c r="A103" s="73" t="n">
        <v>46143</v>
      </c>
      <c r="B103" s="21" t="inlineStr">
        <is>
          <t>SAKSOFT</t>
        </is>
      </c>
      <c r="C103" s="21" t="e">
        <v>#VALUE!</v>
      </c>
      <c r="D103" s="21">
        <f t="array" ref="D103">_FV(C103,"Industry")</f>
        <v/>
      </c>
      <c r="E103" s="21" t="inlineStr">
        <is>
          <t>Technology</t>
        </is>
      </c>
      <c r="F103" s="21" t="inlineStr">
        <is>
          <t>SC (Small Cap)</t>
        </is>
      </c>
      <c r="G103" s="21" t="inlineStr">
        <is>
          <t>Weak Trend- Red</t>
        </is>
      </c>
      <c r="H103" s="21" t="n"/>
    </row>
    <row r="104">
      <c r="A104" s="73" t="n">
        <v>46143</v>
      </c>
      <c r="B104" s="21" t="inlineStr">
        <is>
          <t>SRF</t>
        </is>
      </c>
      <c r="C104" s="21" t="e">
        <v>#VALUE!</v>
      </c>
      <c r="D104" s="21">
        <f t="array" ref="D104">_FV(C104,"Industry")</f>
        <v/>
      </c>
      <c r="E104" s="21" t="inlineStr">
        <is>
          <t>Health / Pharma / Chem</t>
        </is>
      </c>
      <c r="F104" s="21" t="inlineStr">
        <is>
          <t>MC (Mid Cap)</t>
        </is>
      </c>
      <c r="G104" s="21" t="inlineStr">
        <is>
          <t>Weak Trend- Red</t>
        </is>
      </c>
      <c r="H104" s="21" t="n"/>
    </row>
    <row r="105">
      <c r="A105" s="73" t="n">
        <v>46143</v>
      </c>
      <c r="B105" s="21" t="inlineStr">
        <is>
          <t>SUMICHEM</t>
        </is>
      </c>
      <c r="C105" s="21" t="e">
        <v>#VALUE!</v>
      </c>
      <c r="D105" s="21">
        <f t="array" ref="D105">_FV(C105,"Industry")</f>
        <v/>
      </c>
      <c r="E105" s="21" t="inlineStr">
        <is>
          <t>Health / Pharma / Chem</t>
        </is>
      </c>
      <c r="F105" s="21" t="inlineStr">
        <is>
          <t>SC (Small Cap)</t>
        </is>
      </c>
      <c r="G105" s="21" t="inlineStr">
        <is>
          <t>Weak Trend- Red</t>
        </is>
      </c>
      <c r="H105" s="21" t="n"/>
    </row>
    <row r="106">
      <c r="A106" s="73" t="n">
        <v>46143</v>
      </c>
      <c r="B106" s="21" t="inlineStr">
        <is>
          <t>SUPREMEIND</t>
        </is>
      </c>
      <c r="C106" s="21" t="e">
        <v>#VALUE!</v>
      </c>
      <c r="D106" s="21">
        <f t="array" ref="D106">_FV(C106,"Industry")</f>
        <v/>
      </c>
      <c r="E106" s="21" t="inlineStr">
        <is>
          <t>Industrial</t>
        </is>
      </c>
      <c r="F106" s="21" t="inlineStr">
        <is>
          <t>MC (Mid Cap)</t>
        </is>
      </c>
      <c r="G106" s="21" t="inlineStr">
        <is>
          <t>Weak Trend- Red</t>
        </is>
      </c>
      <c r="H106" s="21" t="n"/>
    </row>
    <row r="107">
      <c r="A107" s="73" t="n">
        <v>46143</v>
      </c>
      <c r="B107" s="21" t="inlineStr">
        <is>
          <t>TATAELXSI</t>
        </is>
      </c>
      <c r="C107" s="21" t="e">
        <v>#VALUE!</v>
      </c>
      <c r="D107" s="21">
        <f t="array" ref="D107">_FV(C107,"Industry")</f>
        <v/>
      </c>
      <c r="E107" s="21" t="inlineStr">
        <is>
          <t>Technology</t>
        </is>
      </c>
      <c r="F107" s="21" t="inlineStr">
        <is>
          <t>SC (Small Cap)</t>
        </is>
      </c>
      <c r="G107" s="21" t="inlineStr">
        <is>
          <t>Weak Trend- Red</t>
        </is>
      </c>
      <c r="H107" s="21" t="n"/>
    </row>
    <row r="108">
      <c r="A108" s="73" t="n">
        <v>46143</v>
      </c>
      <c r="B108" s="21" t="inlineStr">
        <is>
          <t>TCIEXP</t>
        </is>
      </c>
      <c r="C108" s="21" t="e">
        <v>#VALUE!</v>
      </c>
      <c r="D108" s="21">
        <f t="array" ref="D108">_FV(C108,"Industry")</f>
        <v/>
      </c>
      <c r="E108" s="21" t="inlineStr">
        <is>
          <t xml:space="preserve">Consumption </t>
        </is>
      </c>
      <c r="F108" s="21" t="inlineStr">
        <is>
          <t>SC (Small Cap)</t>
        </is>
      </c>
      <c r="G108" s="21" t="inlineStr">
        <is>
          <t>Weak Trend- Red</t>
        </is>
      </c>
      <c r="H108" s="21" t="n"/>
    </row>
    <row r="109">
      <c r="A109" s="73" t="n">
        <v>46143</v>
      </c>
      <c r="B109" s="21" t="inlineStr">
        <is>
          <t>TIINDIA</t>
        </is>
      </c>
      <c r="C109" s="21" t="e">
        <v>#VALUE!</v>
      </c>
      <c r="D109" s="21">
        <f t="array" ref="D109">_FV(C109,"Industry")</f>
        <v/>
      </c>
      <c r="E109" s="21" t="inlineStr">
        <is>
          <t>Industrial</t>
        </is>
      </c>
      <c r="F109" s="21" t="inlineStr">
        <is>
          <t>MC (Mid Cap)</t>
        </is>
      </c>
      <c r="G109" s="21" t="inlineStr">
        <is>
          <t>Weak Trend- Red</t>
        </is>
      </c>
      <c r="H109" s="21" t="n"/>
    </row>
    <row r="110">
      <c r="A110" s="73" t="n">
        <v>46143</v>
      </c>
      <c r="B110" s="21" t="inlineStr">
        <is>
          <t>VGUARD</t>
        </is>
      </c>
      <c r="C110" s="21" t="e">
        <v>#VALUE!</v>
      </c>
      <c r="D110" s="21">
        <f t="array" ref="D110">_FV(C110,"Industry")</f>
        <v/>
      </c>
      <c r="E110" s="21" t="inlineStr">
        <is>
          <t xml:space="preserve">Consumption </t>
        </is>
      </c>
      <c r="F110" s="21" t="inlineStr">
        <is>
          <t>SC (Small Cap)</t>
        </is>
      </c>
      <c r="G110" s="21" t="inlineStr">
        <is>
          <t>Weak Trend- Red</t>
        </is>
      </c>
      <c r="H110" s="21" t="n"/>
    </row>
    <row r="111">
      <c r="A111" s="73" t="n">
        <v>46143</v>
      </c>
      <c r="B111" s="21" t="inlineStr">
        <is>
          <t>VINATIORGA</t>
        </is>
      </c>
      <c r="C111" s="21" t="e">
        <v>#VALUE!</v>
      </c>
      <c r="D111" s="21">
        <f t="array" ref="D111">_FV(C111,"Industry")</f>
        <v/>
      </c>
      <c r="E111" s="21" t="inlineStr">
        <is>
          <t>Health / Pharma / Chem</t>
        </is>
      </c>
      <c r="F111" s="21" t="inlineStr">
        <is>
          <t>SC (Small Cap)</t>
        </is>
      </c>
      <c r="G111" s="21" t="inlineStr">
        <is>
          <t>Weak Trend- Red</t>
        </is>
      </c>
      <c r="H111" s="21" t="n"/>
    </row>
    <row r="112">
      <c r="A112" s="73" t="n">
        <v>46143</v>
      </c>
      <c r="B112" s="21" t="inlineStr">
        <is>
          <t>SAREGAMA</t>
        </is>
      </c>
      <c r="C112" s="21" t="e">
        <v>#VALUE!</v>
      </c>
      <c r="D112" s="21">
        <f t="array" ref="D112">_FV(C112,"Industry")</f>
        <v/>
      </c>
      <c r="E112" s="21" t="inlineStr">
        <is>
          <t>Technology</t>
        </is>
      </c>
      <c r="F112" s="21" t="inlineStr">
        <is>
          <t>SC (Small Cap)</t>
        </is>
      </c>
      <c r="G112" s="21" t="inlineStr">
        <is>
          <t>Weak Trend- Red</t>
        </is>
      </c>
      <c r="H112" s="21" t="n"/>
    </row>
    <row r="113">
      <c r="A113" s="73" t="n">
        <v>46143</v>
      </c>
      <c r="B113" s="21" t="inlineStr">
        <is>
          <t>LIKHITHA</t>
        </is>
      </c>
      <c r="C113" s="21" t="e">
        <v>#VALUE!</v>
      </c>
      <c r="D113" s="21">
        <f t="array" ref="D113">_FV(C113,"Industry")</f>
        <v/>
      </c>
      <c r="E113" s="21" t="inlineStr">
        <is>
          <t>Industrial</t>
        </is>
      </c>
      <c r="F113" s="21" t="inlineStr">
        <is>
          <t>SC (Small Cap)</t>
        </is>
      </c>
      <c r="G113" s="21" t="inlineStr">
        <is>
          <t>Weak Trend- Red</t>
        </is>
      </c>
      <c r="H113" s="21" t="n"/>
    </row>
    <row r="114">
      <c r="A114" s="73" t="n">
        <v>46143</v>
      </c>
      <c r="B114" s="21" t="inlineStr">
        <is>
          <t>ICICIBANK</t>
        </is>
      </c>
      <c r="C114" s="21" t="e">
        <v>#VALUE!</v>
      </c>
      <c r="D114" s="21">
        <f t="array" ref="D114">_FV(C114,"Industry")</f>
        <v/>
      </c>
      <c r="E114" s="21" t="inlineStr">
        <is>
          <t>Financials</t>
        </is>
      </c>
      <c r="F114" s="21" t="inlineStr">
        <is>
          <t>LC (Large Cap)</t>
        </is>
      </c>
      <c r="G114" s="21" t="inlineStr">
        <is>
          <t>Weak Trend- Red</t>
        </is>
      </c>
      <c r="H114" s="21" t="n"/>
    </row>
    <row r="115">
      <c r="A115" s="73" t="n">
        <v>46143</v>
      </c>
      <c r="B115" s="21" t="inlineStr">
        <is>
          <t>3MINDIA</t>
        </is>
      </c>
      <c r="C115" s="21" t="e">
        <v>#VALUE!</v>
      </c>
      <c r="D115" s="21">
        <f t="array" ref="D115">_FV(C115,"Industry")</f>
        <v/>
      </c>
      <c r="E115" s="21" t="inlineStr">
        <is>
          <t>Industrial</t>
        </is>
      </c>
      <c r="F115" s="21" t="inlineStr">
        <is>
          <t>MC (Mid Cap)</t>
        </is>
      </c>
      <c r="G115" s="21" t="inlineStr">
        <is>
          <t>Weak Trend- Red</t>
        </is>
      </c>
      <c r="H115" s="21" t="n"/>
    </row>
    <row r="116">
      <c r="A116" s="73" t="n">
        <v>46143</v>
      </c>
      <c r="B116" s="21" t="inlineStr">
        <is>
          <t>AARTIIND</t>
        </is>
      </c>
      <c r="C116" s="21" t="e">
        <v>#VALUE!</v>
      </c>
      <c r="D116" s="21">
        <f t="array" ref="D116">_FV(C116,"Industry")</f>
        <v/>
      </c>
      <c r="E116" s="21" t="inlineStr">
        <is>
          <t>Health / Pharma / Chem</t>
        </is>
      </c>
      <c r="F116" s="21" t="inlineStr">
        <is>
          <t>SC (Small Cap)</t>
        </is>
      </c>
      <c r="G116" s="21" t="inlineStr">
        <is>
          <t>Weak Trend- Red</t>
        </is>
      </c>
      <c r="H116" s="21" t="n"/>
    </row>
    <row r="117">
      <c r="A117" s="73" t="n">
        <v>46143</v>
      </c>
      <c r="B117" s="21" t="inlineStr">
        <is>
          <t>ALKYLAMINE</t>
        </is>
      </c>
      <c r="C117" s="21" t="e">
        <v>#VALUE!</v>
      </c>
      <c r="D117" s="21">
        <f t="array" ref="D117">_FV(C117,"Industry")</f>
        <v/>
      </c>
      <c r="E117" s="21" t="inlineStr">
        <is>
          <t>Health / Pharma / Chem</t>
        </is>
      </c>
      <c r="F117" s="21" t="inlineStr">
        <is>
          <t>SC (Small Cap)</t>
        </is>
      </c>
      <c r="G117" s="21" t="inlineStr">
        <is>
          <t>Weak Trend- Red</t>
        </is>
      </c>
      <c r="H117" s="21" t="n"/>
    </row>
    <row r="118">
      <c r="A118" s="73" t="n">
        <v>46143</v>
      </c>
      <c r="B118" s="21" t="inlineStr">
        <is>
          <t>BAJFINANCE</t>
        </is>
      </c>
      <c r="C118" s="21" t="e">
        <v>#VALUE!</v>
      </c>
      <c r="D118" s="21">
        <f t="array" ref="D118">_FV(C118,"Industry")</f>
        <v/>
      </c>
      <c r="E118" s="21" t="inlineStr">
        <is>
          <t>Financials</t>
        </is>
      </c>
      <c r="F118" s="21" t="inlineStr">
        <is>
          <t>LC (Large Cap)</t>
        </is>
      </c>
      <c r="G118" s="21" t="inlineStr">
        <is>
          <t>Weak Trend- Red</t>
        </is>
      </c>
      <c r="H118" s="21" t="n"/>
    </row>
    <row r="119">
      <c r="A119" s="73" t="n">
        <v>46143</v>
      </c>
      <c r="B119" s="21" t="inlineStr">
        <is>
          <t>BHARATRAS</t>
        </is>
      </c>
      <c r="C119" s="21" t="e">
        <v>#VALUE!</v>
      </c>
      <c r="D119" s="21">
        <f t="array" ref="D119">_FV(C119,"Industry")</f>
        <v/>
      </c>
      <c r="E119" s="21" t="inlineStr">
        <is>
          <t>Health / Pharma / Chem</t>
        </is>
      </c>
      <c r="F119" s="21" t="inlineStr">
        <is>
          <t>SC (Small Cap)</t>
        </is>
      </c>
      <c r="G119" s="21" t="inlineStr">
        <is>
          <t>Weak Trend- Red</t>
        </is>
      </c>
      <c r="H119" s="21" t="n"/>
    </row>
    <row r="120">
      <c r="A120" s="73" t="n">
        <v>46143</v>
      </c>
      <c r="B120" s="21" t="inlineStr">
        <is>
          <t>CERA</t>
        </is>
      </c>
      <c r="C120" s="21" t="e">
        <v>#VALUE!</v>
      </c>
      <c r="D120" s="21">
        <f t="array" ref="D120">_FV(C120,"Industry")</f>
        <v/>
      </c>
      <c r="E120" s="21" t="inlineStr">
        <is>
          <t xml:space="preserve">Consumption </t>
        </is>
      </c>
      <c r="F120" s="21" t="inlineStr">
        <is>
          <t>SC (Small Cap)</t>
        </is>
      </c>
      <c r="G120" s="21" t="inlineStr">
        <is>
          <t>Weak Trend- Red</t>
        </is>
      </c>
      <c r="H120" s="21" t="n"/>
    </row>
    <row r="121">
      <c r="A121" s="73" t="n">
        <v>46143</v>
      </c>
      <c r="B121" s="21" t="inlineStr">
        <is>
          <t>CRISIL</t>
        </is>
      </c>
      <c r="C121" s="21" t="e">
        <v>#VALUE!</v>
      </c>
      <c r="D121" s="21">
        <f t="array" ref="D121">_FV(C121,"Industry")</f>
        <v/>
      </c>
      <c r="E121" s="21" t="inlineStr">
        <is>
          <t>Financials</t>
        </is>
      </c>
      <c r="F121" s="21" t="inlineStr">
        <is>
          <t>MC (Mid Cap)</t>
        </is>
      </c>
      <c r="G121" s="21" t="inlineStr">
        <is>
          <t>Weak Trend- Red</t>
        </is>
      </c>
      <c r="H121" s="21" t="n"/>
    </row>
    <row r="122">
      <c r="A122" s="73" t="n">
        <v>46143</v>
      </c>
      <c r="B122" s="21" t="inlineStr">
        <is>
          <t>DIXON</t>
        </is>
      </c>
      <c r="C122" s="21" t="e">
        <v>#VALUE!</v>
      </c>
      <c r="D122" s="21">
        <f t="array" ref="D122">_FV(C122,"Industry")</f>
        <v/>
      </c>
      <c r="E122" s="21" t="inlineStr">
        <is>
          <t xml:space="preserve">Consumption </t>
        </is>
      </c>
      <c r="F122" s="21" t="inlineStr">
        <is>
          <t>MC (Mid Cap)</t>
        </is>
      </c>
      <c r="G122" s="21" t="inlineStr">
        <is>
          <t>Weak Trend- Red</t>
        </is>
      </c>
      <c r="H122" s="21" t="n"/>
    </row>
    <row r="123">
      <c r="A123" s="73" t="n">
        <v>46143</v>
      </c>
      <c r="B123" s="21" t="inlineStr">
        <is>
          <t>FAIRCHEMOR</t>
        </is>
      </c>
      <c r="C123" s="21" t="e">
        <v>#VALUE!</v>
      </c>
      <c r="D123" s="21">
        <f t="array" ref="D123">_FV(C123,"Industry")</f>
        <v/>
      </c>
      <c r="E123" s="21" t="inlineStr">
        <is>
          <t>Health / Pharma / Chem</t>
        </is>
      </c>
      <c r="F123" s="21" t="inlineStr">
        <is>
          <t>SC (Small Cap)</t>
        </is>
      </c>
      <c r="G123" s="21" t="inlineStr">
        <is>
          <t>Weak Trend- Red</t>
        </is>
      </c>
      <c r="H123" s="21" t="n"/>
    </row>
    <row r="124">
      <c r="A124" s="73" t="n">
        <v>46143</v>
      </c>
      <c r="B124" s="21" t="inlineStr">
        <is>
          <t>GALAXYSURF</t>
        </is>
      </c>
      <c r="C124" s="21" t="e">
        <v>#VALUE!</v>
      </c>
      <c r="D124" s="21">
        <f t="array" ref="D124">_FV(C124,"Industry")</f>
        <v/>
      </c>
      <c r="E124" s="21" t="inlineStr">
        <is>
          <t>Health / Pharma / Chem</t>
        </is>
      </c>
      <c r="F124" s="21" t="inlineStr">
        <is>
          <t>SC (Small Cap)</t>
        </is>
      </c>
      <c r="G124" s="21" t="inlineStr">
        <is>
          <t>Weak Trend- Red</t>
        </is>
      </c>
      <c r="H124" s="21" t="n"/>
    </row>
    <row r="125">
      <c r="A125" s="73" t="n">
        <v>46143</v>
      </c>
      <c r="B125" s="21" t="inlineStr">
        <is>
          <t>GUJGASLTD</t>
        </is>
      </c>
      <c r="C125" s="21" t="e">
        <v>#VALUE!</v>
      </c>
      <c r="D125" s="21">
        <f t="array" ref="D125">_FV(C125,"Industry")</f>
        <v/>
      </c>
      <c r="E125" s="21" t="inlineStr">
        <is>
          <t>Industrial</t>
        </is>
      </c>
      <c r="F125" s="21" t="inlineStr">
        <is>
          <t>SC (Small Cap)</t>
        </is>
      </c>
      <c r="G125" s="21" t="inlineStr">
        <is>
          <t>Weak Trend- Red</t>
        </is>
      </c>
      <c r="H125" s="21" t="n"/>
    </row>
    <row r="126">
      <c r="A126" s="73" t="n">
        <v>46143</v>
      </c>
      <c r="B126" s="21" t="inlineStr">
        <is>
          <t>HAVELLS</t>
        </is>
      </c>
      <c r="C126" s="21" t="e">
        <v>#VALUE!</v>
      </c>
      <c r="D126" s="21">
        <f t="array" ref="D126">_FV(C126,"Industry")</f>
        <v/>
      </c>
      <c r="E126" s="21" t="inlineStr">
        <is>
          <t xml:space="preserve">Consumption </t>
        </is>
      </c>
      <c r="F126" s="21" t="inlineStr">
        <is>
          <t>MC (Mid Cap)</t>
        </is>
      </c>
      <c r="G126" s="21" t="inlineStr">
        <is>
          <t>Weak Trend- Red</t>
        </is>
      </c>
      <c r="H126" s="21" t="n"/>
    </row>
    <row r="127">
      <c r="A127" s="73" t="n">
        <v>46143</v>
      </c>
      <c r="B127" s="21" t="inlineStr">
        <is>
          <t>HDFCBANK</t>
        </is>
      </c>
      <c r="C127" s="21" t="e">
        <v>#VALUE!</v>
      </c>
      <c r="D127" s="21">
        <f t="array" ref="D127">_FV(C127,"Industry")</f>
        <v/>
      </c>
      <c r="E127" s="21" t="inlineStr">
        <is>
          <t>Financials</t>
        </is>
      </c>
      <c r="F127" s="21" t="inlineStr">
        <is>
          <t>LC (Large Cap)</t>
        </is>
      </c>
      <c r="G127" s="21" t="inlineStr">
        <is>
          <t>Weak Trend- Red</t>
        </is>
      </c>
      <c r="H127" s="21" t="n"/>
    </row>
    <row r="128">
      <c r="A128" s="73" t="n">
        <v>46143</v>
      </c>
      <c r="B128" s="21" t="inlineStr">
        <is>
          <t>HDFCLIFE</t>
        </is>
      </c>
      <c r="C128" s="21" t="e">
        <v>#VALUE!</v>
      </c>
      <c r="D128" s="21">
        <f t="array" ref="D128">_FV(C128,"Industry")</f>
        <v/>
      </c>
      <c r="E128" s="21" t="inlineStr">
        <is>
          <t>Financials</t>
        </is>
      </c>
      <c r="F128" s="21" t="inlineStr">
        <is>
          <t>LC (Large Cap)</t>
        </is>
      </c>
      <c r="G128" s="21" t="inlineStr">
        <is>
          <t>Weak Trend- Red</t>
        </is>
      </c>
      <c r="H128" s="21" t="n"/>
    </row>
    <row r="129">
      <c r="A129" s="73" t="n">
        <v>46143</v>
      </c>
      <c r="B129" s="21" t="inlineStr">
        <is>
          <t>HDFCLIFE</t>
        </is>
      </c>
      <c r="C129" s="21" t="e">
        <v>#VALUE!</v>
      </c>
      <c r="D129" s="21">
        <f t="array" ref="D129">_FV(C129,"Industry")</f>
        <v/>
      </c>
      <c r="E129" s="21" t="inlineStr">
        <is>
          <t>Industrial</t>
        </is>
      </c>
      <c r="F129" s="21" t="inlineStr">
        <is>
          <t>SC (Small Cap)</t>
        </is>
      </c>
      <c r="G129" s="21" t="inlineStr">
        <is>
          <t>Weak Trend- Red</t>
        </is>
      </c>
      <c r="H129" s="21" t="n"/>
    </row>
    <row r="130">
      <c r="A130" s="73" t="n">
        <v>46143</v>
      </c>
      <c r="B130" s="21" t="inlineStr">
        <is>
          <t>ICICIGI</t>
        </is>
      </c>
      <c r="C130" s="21" t="e">
        <v>#VALUE!</v>
      </c>
      <c r="D130" s="21">
        <f t="array" ref="D130">_FV(C130,"Industry")</f>
        <v/>
      </c>
      <c r="E130" s="21" t="inlineStr">
        <is>
          <t>Financials</t>
        </is>
      </c>
      <c r="F130" s="21" t="inlineStr">
        <is>
          <t>MC (Mid Cap)</t>
        </is>
      </c>
      <c r="G130" s="21" t="inlineStr">
        <is>
          <t>Weak Trend- Red</t>
        </is>
      </c>
      <c r="H130" s="21" t="n"/>
    </row>
    <row r="131">
      <c r="A131" s="73" t="n">
        <v>46143</v>
      </c>
      <c r="B131" s="21" t="inlineStr">
        <is>
          <t>IEX</t>
        </is>
      </c>
      <c r="C131" s="21" t="e">
        <v>#VALUE!</v>
      </c>
      <c r="D131" s="21">
        <f t="array" ref="D131">_FV(C131,"Industry")</f>
        <v/>
      </c>
      <c r="E131" s="21" t="inlineStr">
        <is>
          <t>Technology</t>
        </is>
      </c>
      <c r="F131" s="21" t="inlineStr">
        <is>
          <t>SC (Small Cap)</t>
        </is>
      </c>
      <c r="G131" s="21" t="inlineStr">
        <is>
          <t>Weak Trend- Red</t>
        </is>
      </c>
      <c r="H131" s="21" t="n"/>
    </row>
    <row r="132">
      <c r="A132" s="73" t="n">
        <v>46143</v>
      </c>
      <c r="B132" s="21" t="inlineStr">
        <is>
          <t>IGL</t>
        </is>
      </c>
      <c r="C132" s="21" t="e">
        <v>#VALUE!</v>
      </c>
      <c r="D132" s="21">
        <f t="array" ref="D132">_FV(C132,"Industry")</f>
        <v/>
      </c>
      <c r="E132" s="21" t="inlineStr">
        <is>
          <t>Industrial</t>
        </is>
      </c>
      <c r="F132" s="21" t="inlineStr">
        <is>
          <t>SC (Small Cap)</t>
        </is>
      </c>
      <c r="G132" s="21" t="inlineStr">
        <is>
          <t>Weak Trend- Red</t>
        </is>
      </c>
      <c r="H132" s="21" t="n"/>
    </row>
    <row r="133">
      <c r="A133" s="73" t="n">
        <v>46143</v>
      </c>
      <c r="B133" s="21" t="inlineStr">
        <is>
          <t>NAUKRI</t>
        </is>
      </c>
      <c r="C133" s="21" t="e">
        <v>#VALUE!</v>
      </c>
      <c r="D133" s="21">
        <f t="array" ref="D133">_FV(C133,"Industry")</f>
        <v/>
      </c>
      <c r="E133" s="21" t="inlineStr">
        <is>
          <t>Technology</t>
        </is>
      </c>
      <c r="F133" s="21" t="inlineStr">
        <is>
          <t>MC (Mid Cap)</t>
        </is>
      </c>
      <c r="G133" s="21" t="inlineStr">
        <is>
          <t>Weak Trend- Red</t>
        </is>
      </c>
      <c r="H133" s="21" t="n"/>
    </row>
    <row r="134">
      <c r="A134" s="73" t="n">
        <v>46143</v>
      </c>
      <c r="B134" s="21" t="inlineStr">
        <is>
          <t>IRCTC</t>
        </is>
      </c>
      <c r="C134" s="21" t="e">
        <v>#VALUE!</v>
      </c>
      <c r="D134" s="21">
        <f t="array" ref="D134">_FV(C134,"Industry")</f>
        <v/>
      </c>
      <c r="E134" s="21" t="inlineStr">
        <is>
          <t>Technology</t>
        </is>
      </c>
      <c r="F134" s="21" t="inlineStr">
        <is>
          <t>MC (Mid Cap)</t>
        </is>
      </c>
      <c r="G134" s="21" t="inlineStr">
        <is>
          <t>Weak Trend- Red</t>
        </is>
      </c>
      <c r="H134" s="21" t="n"/>
    </row>
    <row r="135">
      <c r="A135" s="73" t="n">
        <v>46143</v>
      </c>
      <c r="B135" s="21" t="inlineStr">
        <is>
          <t>KAJARIACER</t>
        </is>
      </c>
      <c r="C135" s="21" t="e">
        <v>#VALUE!</v>
      </c>
      <c r="D135" s="21">
        <f t="array" ref="D135">_FV(C135,"Industry")</f>
        <v/>
      </c>
      <c r="E135" s="21" t="inlineStr">
        <is>
          <t xml:space="preserve">Consumption </t>
        </is>
      </c>
      <c r="F135" s="21" t="inlineStr">
        <is>
          <t>SC (Small Cap)</t>
        </is>
      </c>
      <c r="G135" s="21" t="inlineStr">
        <is>
          <t>Weak Trend- Red</t>
        </is>
      </c>
      <c r="H135" s="21" t="n"/>
    </row>
    <row r="136">
      <c r="A136" s="73" t="n">
        <v>46143</v>
      </c>
      <c r="B136" s="21" t="inlineStr">
        <is>
          <t>KOTAKBANK</t>
        </is>
      </c>
      <c r="C136" s="21" t="e">
        <v>#VALUE!</v>
      </c>
      <c r="D136" s="21">
        <f t="array" ref="D136">_FV(C136,"Industry")</f>
        <v/>
      </c>
      <c r="E136" s="21" t="inlineStr">
        <is>
          <t>Financials</t>
        </is>
      </c>
      <c r="F136" s="21" t="inlineStr">
        <is>
          <t>LC (Large Cap)</t>
        </is>
      </c>
      <c r="G136" s="21" t="inlineStr">
        <is>
          <t>Weak Trend- Red</t>
        </is>
      </c>
      <c r="H136" s="21" t="n"/>
    </row>
    <row r="137">
      <c r="A137" s="73" t="n">
        <v>46143</v>
      </c>
      <c r="B137" s="21" t="inlineStr">
        <is>
          <t>MASTEK</t>
        </is>
      </c>
      <c r="C137" s="21" t="e">
        <v>#VALUE!</v>
      </c>
      <c r="D137" s="21">
        <f t="array" ref="D137">_FV(C137,"Industry")</f>
        <v/>
      </c>
      <c r="E137" s="21" t="inlineStr">
        <is>
          <t>Technology</t>
        </is>
      </c>
      <c r="F137" s="21" t="inlineStr">
        <is>
          <t>SC (Small Cap)</t>
        </is>
      </c>
      <c r="G137" s="21" t="inlineStr">
        <is>
          <t>Weak Trend- Red</t>
        </is>
      </c>
      <c r="H137" s="21" t="n"/>
    </row>
    <row r="138">
      <c r="A138" s="73" t="n">
        <v>46143</v>
      </c>
      <c r="B138" s="21" t="inlineStr">
        <is>
          <t>MGL</t>
        </is>
      </c>
      <c r="C138" s="21" t="e">
        <v>#VALUE!</v>
      </c>
      <c r="D138" s="21">
        <f t="array" ref="D138">_FV(C138,"Industry")</f>
        <v/>
      </c>
      <c r="E138" s="21" t="inlineStr">
        <is>
          <t>Industrial</t>
        </is>
      </c>
      <c r="F138" s="21" t="inlineStr">
        <is>
          <t>SC (Small Cap)</t>
        </is>
      </c>
      <c r="G138" s="21" t="inlineStr">
        <is>
          <t>Weak Trend- Red</t>
        </is>
      </c>
      <c r="H138" s="21" t="n"/>
    </row>
    <row r="139">
      <c r="A139" s="73" t="n">
        <v>46143</v>
      </c>
      <c r="B139" s="21" t="inlineStr">
        <is>
          <t>MRF</t>
        </is>
      </c>
      <c r="C139" s="21" t="e">
        <v>#VALUE!</v>
      </c>
      <c r="D139" s="21">
        <f t="array" ref="D139">_FV(C139,"Industry")</f>
        <v/>
      </c>
      <c r="E139" s="21" t="inlineStr">
        <is>
          <t>Industrial</t>
        </is>
      </c>
      <c r="F139" s="21" t="inlineStr">
        <is>
          <t>MC (Mid Cap)</t>
        </is>
      </c>
      <c r="G139" s="21" t="inlineStr">
        <is>
          <t>Weak Trend- Red</t>
        </is>
      </c>
      <c r="H139" s="21" t="n"/>
    </row>
    <row r="140">
      <c r="A140" s="73" t="n">
        <v>46143</v>
      </c>
      <c r="B140" s="21" t="inlineStr">
        <is>
          <t>RELAXO</t>
        </is>
      </c>
      <c r="C140" s="21" t="e">
        <v>#VALUE!</v>
      </c>
      <c r="D140" s="21">
        <f t="array" ref="D140">_FV(C140,"Industry")</f>
        <v/>
      </c>
      <c r="E140" s="21" t="inlineStr">
        <is>
          <t xml:space="preserve">Consumption </t>
        </is>
      </c>
      <c r="F140" s="21" t="inlineStr">
        <is>
          <t>SC (Small Cap)</t>
        </is>
      </c>
      <c r="G140" s="21" t="inlineStr">
        <is>
          <t>Weak Trend- Red</t>
        </is>
      </c>
      <c r="H140" s="21" t="n"/>
    </row>
    <row r="141">
      <c r="A141" s="73" t="n">
        <v>46143</v>
      </c>
      <c r="B141" s="21" t="inlineStr">
        <is>
          <t>TCS</t>
        </is>
      </c>
      <c r="C141" s="21" t="e">
        <v>#VALUE!</v>
      </c>
      <c r="D141" s="21">
        <f t="array" ref="D141">_FV(C141,"Industry")</f>
        <v/>
      </c>
      <c r="E141" s="21" t="inlineStr">
        <is>
          <t>Technology</t>
        </is>
      </c>
      <c r="F141" s="21" t="inlineStr">
        <is>
          <t>LC (Large Cap)</t>
        </is>
      </c>
      <c r="G141" s="21" t="inlineStr">
        <is>
          <t>Weak Trend- Red</t>
        </is>
      </c>
      <c r="H141" s="21" t="n"/>
    </row>
    <row r="142">
      <c r="A142" s="73" t="n">
        <v>46143</v>
      </c>
      <c r="B142" s="21" t="inlineStr">
        <is>
          <t>INDIAMART</t>
        </is>
      </c>
      <c r="C142" s="21" t="e">
        <v>#VALUE!</v>
      </c>
      <c r="D142" s="21">
        <f t="array" ref="D142">_FV(C142,"Industry")</f>
        <v/>
      </c>
      <c r="E142" s="21" t="inlineStr">
        <is>
          <t>Technology</t>
        </is>
      </c>
      <c r="F142" s="21" t="inlineStr">
        <is>
          <t>SC (Small Cap)</t>
        </is>
      </c>
      <c r="G142" s="21" t="inlineStr">
        <is>
          <t>Weak Trend- Red</t>
        </is>
      </c>
      <c r="H142" s="21" t="n"/>
    </row>
    <row r="143">
      <c r="A143" s="73" t="n">
        <v>46143</v>
      </c>
      <c r="B143" s="21" t="inlineStr">
        <is>
          <t>SAFARI</t>
        </is>
      </c>
      <c r="C143" s="21" t="e">
        <v>#VALUE!</v>
      </c>
      <c r="D143" s="21">
        <f t="array" ref="D143">_FV(C143,"Industry")</f>
        <v/>
      </c>
      <c r="E143" s="21" t="inlineStr">
        <is>
          <t xml:space="preserve">Consumption </t>
        </is>
      </c>
      <c r="F143" s="21" t="inlineStr">
        <is>
          <t>SC (Small Cap)</t>
        </is>
      </c>
      <c r="G143" s="21" t="inlineStr">
        <is>
          <t>Weak Trend- Red</t>
        </is>
      </c>
      <c r="H143" s="21" t="n"/>
    </row>
    <row r="144">
      <c r="A144" s="73" t="n">
        <v>46143</v>
      </c>
      <c r="B144" s="21" t="inlineStr">
        <is>
          <t>VIPIND</t>
        </is>
      </c>
      <c r="C144" s="21" t="e">
        <v>#VALUE!</v>
      </c>
      <c r="D144" s="21">
        <f t="array" ref="D144">_FV(C144,"Industry")</f>
        <v/>
      </c>
      <c r="E144" s="21" t="inlineStr">
        <is>
          <t xml:space="preserve">Consumption </t>
        </is>
      </c>
      <c r="F144" s="21" t="inlineStr">
        <is>
          <t>SC (Small Cap)</t>
        </is>
      </c>
      <c r="G144" s="21" t="inlineStr">
        <is>
          <t>Weak Trend- Red</t>
        </is>
      </c>
      <c r="H144" s="21" t="n"/>
    </row>
    <row r="145">
      <c r="A145" s="73" t="n">
        <v>46143</v>
      </c>
      <c r="B145" s="21" t="inlineStr">
        <is>
          <t>ELGIEQUIP</t>
        </is>
      </c>
      <c r="C145" s="21" t="e">
        <v>#VALUE!</v>
      </c>
      <c r="D145" s="21">
        <f t="array" ref="D145">_FV(C145,"Industry")</f>
        <v/>
      </c>
      <c r="E145" s="21" t="inlineStr">
        <is>
          <t>Industrial</t>
        </is>
      </c>
      <c r="F145" s="21" t="inlineStr">
        <is>
          <t>SC (Small Cap)</t>
        </is>
      </c>
      <c r="G145" s="21" t="inlineStr">
        <is>
          <t>Weak Trend- Red</t>
        </is>
      </c>
      <c r="H145" s="21" t="n"/>
    </row>
    <row r="146">
      <c r="A146" s="73" t="n">
        <v>46143</v>
      </c>
      <c r="B146" s="21" t="inlineStr">
        <is>
          <t>CARBORUNIV</t>
        </is>
      </c>
      <c r="C146" s="21" t="e">
        <v>#VALUE!</v>
      </c>
      <c r="D146" s="21">
        <f t="array" ref="D146">_FV(C146,"Industry")</f>
        <v/>
      </c>
      <c r="E146" s="21" t="inlineStr">
        <is>
          <t>Industrial</t>
        </is>
      </c>
      <c r="F146" s="21" t="inlineStr">
        <is>
          <t>SC (Small Cap)</t>
        </is>
      </c>
      <c r="G146" s="21" t="inlineStr">
        <is>
          <t>Weak Trend- Red</t>
        </is>
      </c>
      <c r="H146" s="21" t="n"/>
    </row>
    <row r="147">
      <c r="A147" s="73" t="n">
        <v>46143</v>
      </c>
      <c r="B147" s="21" t="inlineStr">
        <is>
          <t>BAJAJFINSV</t>
        </is>
      </c>
      <c r="C147" s="21" t="e">
        <v>#VALUE!</v>
      </c>
      <c r="D147" s="21">
        <f t="array" ref="D147">_FV(C147,"Industry")</f>
        <v/>
      </c>
      <c r="E147" s="21" t="inlineStr">
        <is>
          <t>Financials</t>
        </is>
      </c>
      <c r="F147" s="21" t="inlineStr">
        <is>
          <t>LC (Large Cap)</t>
        </is>
      </c>
      <c r="G147" s="21" t="inlineStr">
        <is>
          <t>Weak Trend- Red</t>
        </is>
      </c>
      <c r="H147" s="21" t="n"/>
    </row>
    <row r="148">
      <c r="A148" s="73" t="n">
        <v>46143</v>
      </c>
      <c r="B148" s="21" t="inlineStr">
        <is>
          <t>BLS</t>
        </is>
      </c>
      <c r="C148" s="21" t="e">
        <v>#VALUE!</v>
      </c>
      <c r="D148" s="21">
        <f t="array" ref="D148">_FV(C148,"Industry")</f>
        <v/>
      </c>
      <c r="E148" s="21" t="inlineStr">
        <is>
          <t>Technology</t>
        </is>
      </c>
      <c r="F148" s="21" t="inlineStr">
        <is>
          <t>SC (Small Cap)</t>
        </is>
      </c>
      <c r="G148" s="21" t="inlineStr">
        <is>
          <t>Weak Trend- Red</t>
        </is>
      </c>
      <c r="H148" s="21" t="n"/>
    </row>
    <row r="149">
      <c r="A149" s="73" t="n">
        <v>46143</v>
      </c>
      <c r="B149" s="21" t="inlineStr">
        <is>
          <t>BLUESTARCO</t>
        </is>
      </c>
      <c r="C149" s="21" t="e">
        <v>#VALUE!</v>
      </c>
      <c r="D149" s="21">
        <f t="array" ref="D149">_FV(C149,"Industry")</f>
        <v/>
      </c>
      <c r="E149" s="21" t="inlineStr">
        <is>
          <t xml:space="preserve">Consumption </t>
        </is>
      </c>
      <c r="F149" s="21" t="inlineStr">
        <is>
          <t>MC (Mid Cap)</t>
        </is>
      </c>
      <c r="G149" s="21" t="inlineStr">
        <is>
          <t>Weak Trend- Red</t>
        </is>
      </c>
      <c r="H149" s="21" t="n"/>
    </row>
    <row r="150">
      <c r="A150" s="73" t="n">
        <v>46143</v>
      </c>
      <c r="B150" s="21" t="inlineStr">
        <is>
          <t>KOVAI</t>
        </is>
      </c>
      <c r="C150" s="21" t="e">
        <v>#VALUE!</v>
      </c>
      <c r="D150" s="21">
        <f t="array" ref="D150">_FV(C150,"Industry")</f>
        <v/>
      </c>
      <c r="E150" s="21" t="inlineStr">
        <is>
          <t>Health / Pharma / Chem</t>
        </is>
      </c>
      <c r="F150" s="21" t="inlineStr">
        <is>
          <t>SC (Small Cap)</t>
        </is>
      </c>
      <c r="G150" s="21" t="inlineStr">
        <is>
          <t>Weak Trend- Red</t>
        </is>
      </c>
      <c r="H150" s="21" t="n"/>
    </row>
    <row r="151">
      <c r="A151" s="73" t="n">
        <v>46143</v>
      </c>
      <c r="B151" s="21" t="inlineStr">
        <is>
          <t>ANUP</t>
        </is>
      </c>
      <c r="C151" s="21" t="e">
        <v>#VALUE!</v>
      </c>
      <c r="D151" s="21">
        <f t="array" ref="D151">_FV(C151,"Industry")</f>
        <v/>
      </c>
      <c r="E151" s="21" t="inlineStr">
        <is>
          <t>Industrial</t>
        </is>
      </c>
      <c r="F151" s="21" t="inlineStr">
        <is>
          <t>SC (Small Cap)</t>
        </is>
      </c>
      <c r="G151" s="21" t="inlineStr">
        <is>
          <t>Weak Trend- Red</t>
        </is>
      </c>
      <c r="H151" s="21" t="n"/>
    </row>
    <row r="152">
      <c r="A152" s="73" t="n">
        <v>46143</v>
      </c>
      <c r="B152" s="21" t="inlineStr">
        <is>
          <t>BIKAJI</t>
        </is>
      </c>
      <c r="C152" s="21" t="e">
        <v>#VALUE!</v>
      </c>
      <c r="D152" s="21">
        <f t="array" ref="D152">_FV(C152,"Industry")</f>
        <v/>
      </c>
      <c r="E152" s="21" t="inlineStr">
        <is>
          <t xml:space="preserve">Consumption </t>
        </is>
      </c>
      <c r="F152" s="21" t="inlineStr">
        <is>
          <t>SC (Small Cap)</t>
        </is>
      </c>
      <c r="G152" s="21" t="inlineStr">
        <is>
          <t>Weak Trend- Red</t>
        </is>
      </c>
      <c r="H152" s="21" t="n"/>
    </row>
    <row r="153">
      <c r="A153" s="73" t="n">
        <v>46143</v>
      </c>
      <c r="B153" s="77" t="inlineStr">
        <is>
          <t>ANGELONE</t>
        </is>
      </c>
      <c r="C153" s="21" t="e">
        <v>#VALUE!</v>
      </c>
      <c r="D153" s="21">
        <f t="array" ref="D153">_FV(C153,"Industry")</f>
        <v/>
      </c>
      <c r="E153" s="21" t="inlineStr">
        <is>
          <t>Financials</t>
        </is>
      </c>
      <c r="F153" s="21" t="inlineStr">
        <is>
          <t>SC (Small Cap)</t>
        </is>
      </c>
      <c r="G153" s="21" t="inlineStr">
        <is>
          <t>Core-Weekly</t>
        </is>
      </c>
      <c r="H153" s="21" t="n"/>
    </row>
    <row r="154">
      <c r="A154" s="73" t="n">
        <v>46143</v>
      </c>
      <c r="B154" s="21" t="inlineStr">
        <is>
          <t>CDSL</t>
        </is>
      </c>
      <c r="C154" s="21" t="e">
        <v>#VALUE!</v>
      </c>
      <c r="D154" s="21">
        <f t="array" ref="D154">_FV(C154,"Industry")</f>
        <v/>
      </c>
      <c r="E154" s="21" t="inlineStr">
        <is>
          <t>Technology</t>
        </is>
      </c>
      <c r="F154" s="21" t="inlineStr">
        <is>
          <t>SC (Small Cap)</t>
        </is>
      </c>
      <c r="G154" s="21" t="inlineStr">
        <is>
          <t>Core-Weekly</t>
        </is>
      </c>
      <c r="H154" s="21" t="n"/>
    </row>
    <row r="155">
      <c r="A155" s="73" t="n">
        <v>46143</v>
      </c>
      <c r="B155" s="21" t="inlineStr">
        <is>
          <t>CAMS</t>
        </is>
      </c>
      <c r="C155" s="21" t="e">
        <v>#VALUE!</v>
      </c>
      <c r="D155" s="21">
        <f t="array" ref="D155">_FV(C155,"Industry")</f>
        <v/>
      </c>
      <c r="E155" s="21" t="inlineStr">
        <is>
          <t>Technology</t>
        </is>
      </c>
      <c r="F155" s="21" t="inlineStr">
        <is>
          <t>SC (Small Cap)</t>
        </is>
      </c>
      <c r="G155" s="21" t="inlineStr">
        <is>
          <t>Core-Weekly</t>
        </is>
      </c>
      <c r="H155" s="21" t="n"/>
    </row>
    <row r="156">
      <c r="A156" s="73" t="n">
        <v>46143</v>
      </c>
      <c r="B156" s="21" t="inlineStr">
        <is>
          <t>BSE</t>
        </is>
      </c>
      <c r="C156" s="21" t="e">
        <v>#VALUE!</v>
      </c>
      <c r="D156" s="21">
        <f t="array" ref="D156">_FV(C156,"Industry")</f>
        <v/>
      </c>
      <c r="E156" s="21" t="inlineStr">
        <is>
          <t>Technology</t>
        </is>
      </c>
      <c r="F156" s="21" t="inlineStr">
        <is>
          <t>MC (Mid Cap)</t>
        </is>
      </c>
      <c r="G156" s="21" t="inlineStr">
        <is>
          <t>Core-Weekly</t>
        </is>
      </c>
      <c r="H156" s="21" t="n"/>
    </row>
    <row r="157">
      <c r="A157" s="73" t="n">
        <v>46143</v>
      </c>
      <c r="B157" s="21" t="inlineStr">
        <is>
          <t>MOTILALOFS</t>
        </is>
      </c>
      <c r="C157" s="21" t="e">
        <v>#VALUE!</v>
      </c>
      <c r="D157" s="21">
        <f t="array" ref="D157">_FV(C157,"Industry")</f>
        <v/>
      </c>
      <c r="E157" s="21" t="inlineStr">
        <is>
          <t>Financials</t>
        </is>
      </c>
      <c r="F157" s="21" t="inlineStr">
        <is>
          <t>MC (Mid Cap)</t>
        </is>
      </c>
      <c r="G157" s="21" t="inlineStr">
        <is>
          <t>Core-Weekly</t>
        </is>
      </c>
      <c r="H157" s="21" t="n"/>
    </row>
    <row r="158">
      <c r="A158" s="73" t="n">
        <v>46143</v>
      </c>
      <c r="B158" s="21" t="inlineStr">
        <is>
          <t>KFINTECH</t>
        </is>
      </c>
      <c r="C158" s="21" t="e">
        <v>#VALUE!</v>
      </c>
      <c r="D158" s="21">
        <f t="array" ref="D158">_FV(C158,"Industry")</f>
        <v/>
      </c>
      <c r="E158" s="21" t="inlineStr">
        <is>
          <t>Technology</t>
        </is>
      </c>
      <c r="F158" s="21" t="inlineStr">
        <is>
          <t>SC (Small Cap)</t>
        </is>
      </c>
      <c r="G158" s="21" t="inlineStr">
        <is>
          <t>Core-Weekly</t>
        </is>
      </c>
      <c r="H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</row>
  </sheetData>
  <autoFilter ref="A1:G158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72"/>
  <sheetViews>
    <sheetView workbookViewId="0">
      <pane ySplit="1" topLeftCell="A2" activePane="bottomLeft" state="frozen"/>
      <selection pane="bottomLeft" activeCell="B17" sqref="B17"/>
    </sheetView>
  </sheetViews>
  <sheetFormatPr baseColWidth="8" defaultRowHeight="15"/>
  <cols>
    <col width="21" bestFit="1" customWidth="1" style="87" min="1" max="1"/>
    <col width="12" bestFit="1" customWidth="1" style="87" min="2" max="2"/>
    <col width="10" bestFit="1" customWidth="1" style="87" min="3" max="3"/>
    <col width="14" bestFit="1" customWidth="1" style="87" min="4" max="4"/>
    <col width="40" bestFit="1" customWidth="1" style="12" min="5" max="5"/>
    <col width="40" bestFit="1" customWidth="1" style="87" min="6" max="6"/>
    <col width="21" bestFit="1" customWidth="1" style="87" min="7" max="7"/>
    <col width="16" bestFit="1" customWidth="1" style="87" min="8" max="8"/>
    <col width="17" bestFit="1" customWidth="1" style="87" min="9" max="10"/>
    <col width="17" customWidth="1" style="87" min="10" max="10"/>
    <col width="10" customWidth="1" style="87" min="11" max="11"/>
    <col width="10" bestFit="1" customWidth="1" style="87" min="12" max="12"/>
    <col width="12" bestFit="1" customWidth="1" style="87" min="13" max="13"/>
    <col width="16" bestFit="1" customWidth="1" style="87" min="14" max="14"/>
    <col width="22" bestFit="1" customWidth="1" style="87" min="15" max="15"/>
    <col width="17" bestFit="1" customWidth="1" style="87" min="16" max="16"/>
    <col width="23" bestFit="1" customWidth="1" style="87" min="17" max="17"/>
  </cols>
  <sheetData>
    <row r="1">
      <c r="A1" s="114" t="inlineStr">
        <is>
          <t>Date</t>
        </is>
      </c>
      <c r="B1" s="114" t="inlineStr">
        <is>
          <t>Stock</t>
        </is>
      </c>
      <c r="C1" s="114" t="inlineStr">
        <is>
          <t>Color</t>
        </is>
      </c>
      <c r="D1" s="114" t="inlineStr">
        <is>
          <t>Company Name</t>
        </is>
      </c>
      <c r="E1" s="114" t="inlineStr">
        <is>
          <t>Price</t>
        </is>
      </c>
      <c r="F1" s="114" t="inlineStr">
        <is>
          <t xml:space="preserve">Previous Close </t>
        </is>
      </c>
      <c r="G1" s="114" t="inlineStr">
        <is>
          <t>Previous week Close</t>
        </is>
      </c>
      <c r="H1" s="114" t="inlineStr">
        <is>
          <t>EMA 9 (weekly)</t>
        </is>
      </c>
      <c r="I1" s="114" t="inlineStr">
        <is>
          <t>EMA 11 (weekly)</t>
        </is>
      </c>
      <c r="J1" s="114" t="inlineStr">
        <is>
          <t>EMA 21 (weekly)</t>
        </is>
      </c>
      <c r="K1" s="114" t="n"/>
      <c r="L1" s="114" t="n"/>
      <c r="M1" s="114" t="n"/>
      <c r="N1" s="114" t="n"/>
      <c r="O1" s="114" t="n"/>
      <c r="P1" s="114" t="n"/>
      <c r="Q1" s="114" t="n"/>
    </row>
    <row r="2">
      <c r="A2" s="128" t="n">
        <v>46158</v>
      </c>
      <c r="B2" s="129" t="inlineStr">
        <is>
          <t>BALAMINES</t>
        </is>
      </c>
      <c r="C2" s="129" t="inlineStr">
        <is>
          <t>Blue</t>
        </is>
      </c>
      <c r="D2" s="129" t="e">
        <v>#VALUE!</v>
      </c>
      <c r="E2" s="130">
        <f t="array" ref="E2">_FV(D2,"Price")</f>
        <v/>
      </c>
      <c r="F2" s="131">
        <f t="array" ref="F2">_FV(D2,"Previous close",TRUE)</f>
        <v/>
      </c>
      <c r="G2" s="117" t="n">
        <v>1775.6</v>
      </c>
      <c r="H2" s="117" t="n">
        <v>1597.83</v>
      </c>
      <c r="I2" s="117" t="n">
        <v>1541.17</v>
      </c>
      <c r="J2" s="117" t="n">
        <v>1398.52</v>
      </c>
      <c r="K2" s="115" t="n"/>
      <c r="L2" s="132" t="inlineStr">
        <is>
          <t>Color</t>
        </is>
      </c>
      <c r="M2" s="132" t="inlineStr">
        <is>
          <t>Price</t>
        </is>
      </c>
      <c r="N2" s="132" t="inlineStr">
        <is>
          <t>Prev Day Close</t>
        </is>
      </c>
      <c r="O2" s="132" t="inlineStr">
        <is>
          <t>Diff vs Prev Day (%)</t>
        </is>
      </c>
      <c r="P2" s="132" t="inlineStr">
        <is>
          <t>Prev Week Close</t>
        </is>
      </c>
      <c r="Q2" s="132" t="inlineStr">
        <is>
          <t>Diff vs Prev Week (%)</t>
        </is>
      </c>
    </row>
    <row r="3">
      <c r="A3" s="128" t="n">
        <v>46158</v>
      </c>
      <c r="B3" s="129" t="inlineStr">
        <is>
          <t>IDEAFORGE</t>
        </is>
      </c>
      <c r="C3" s="129" t="inlineStr">
        <is>
          <t>Blue</t>
        </is>
      </c>
      <c r="D3" s="129" t="e">
        <v>#VALUE!</v>
      </c>
      <c r="E3" s="130">
        <f t="array" ref="E3">_FV(D3,"Price")</f>
        <v/>
      </c>
      <c r="F3" s="131">
        <f t="array" ref="F3">_FV(D3,"Previous close",TRUE)</f>
        <v/>
      </c>
      <c r="G3" s="117" t="n">
        <v>845</v>
      </c>
      <c r="H3" s="117" t="n">
        <v>707.85</v>
      </c>
      <c r="I3" s="117" t="n">
        <v>679.1900000000001</v>
      </c>
      <c r="J3" s="117" t="n">
        <v>595.27</v>
      </c>
      <c r="K3" s="115" t="n"/>
      <c r="L3" s="133" t="inlineStr">
        <is>
          <t>Blue</t>
        </is>
      </c>
      <c r="M3" s="134" t="inlineStr">
        <is>
          <t>₹ 169.14</t>
        </is>
      </c>
      <c r="N3" s="134" t="inlineStr">
        <is>
          <t>₹ 161.80</t>
        </is>
      </c>
      <c r="O3" s="135" t="n">
        <v>0.0454</v>
      </c>
      <c r="P3" s="134" t="inlineStr">
        <is>
          <t>₹ 148.21</t>
        </is>
      </c>
      <c r="Q3" s="135" t="n">
        <v>0.1412</v>
      </c>
    </row>
    <row r="4">
      <c r="A4" s="128" t="n">
        <v>46158</v>
      </c>
      <c r="B4" s="129" t="inlineStr">
        <is>
          <t>OIL</t>
        </is>
      </c>
      <c r="C4" s="129" t="inlineStr">
        <is>
          <t>Blue</t>
        </is>
      </c>
      <c r="D4" s="129" t="e">
        <v>#VALUE!</v>
      </c>
      <c r="E4" s="130">
        <f t="array" ref="E4">_FV(D4,"Price")</f>
        <v/>
      </c>
      <c r="F4" s="131">
        <f t="array" ref="F4">_FV(D4,"Previous close",TRUE)</f>
        <v/>
      </c>
      <c r="G4" s="117" t="n">
        <v>476.15</v>
      </c>
      <c r="H4" s="117" t="n">
        <v>483.08</v>
      </c>
      <c r="I4" s="117" t="n">
        <v>481.34</v>
      </c>
      <c r="J4" s="117" t="n">
        <v>470.71</v>
      </c>
      <c r="K4" s="115" t="n"/>
      <c r="L4" s="133" t="inlineStr">
        <is>
          <t>Blue</t>
        </is>
      </c>
      <c r="M4" s="134" t="inlineStr">
        <is>
          <t>₹ 716.90</t>
        </is>
      </c>
      <c r="N4" s="134" t="inlineStr">
        <is>
          <t>₹ 690.45</t>
        </is>
      </c>
      <c r="O4" s="135" t="n">
        <v>0.0383</v>
      </c>
      <c r="P4" s="134" t="inlineStr">
        <is>
          <t>₹ 706.95</t>
        </is>
      </c>
      <c r="Q4" s="135" t="n">
        <v>0.0141</v>
      </c>
    </row>
    <row r="5">
      <c r="A5" s="128" t="n">
        <v>46158</v>
      </c>
      <c r="B5" s="129" t="inlineStr">
        <is>
          <t>GRINDWELL</t>
        </is>
      </c>
      <c r="C5" s="129" t="inlineStr">
        <is>
          <t>Blue</t>
        </is>
      </c>
      <c r="D5" s="129" t="e">
        <v>#VALUE!</v>
      </c>
      <c r="E5" s="130">
        <f t="array" ref="E5">_FV(D5,"Price")</f>
        <v/>
      </c>
      <c r="F5" s="131">
        <f t="array" ref="F5">_FV(D5,"Previous close",TRUE)</f>
        <v/>
      </c>
      <c r="G5" s="117" t="n">
        <v>1839.8</v>
      </c>
      <c r="H5" s="117" t="n">
        <v>1747.71</v>
      </c>
      <c r="I5" s="117" t="n">
        <v>1723.56</v>
      </c>
      <c r="J5" s="117" t="n">
        <v>1661.98</v>
      </c>
      <c r="K5" s="115" t="n"/>
      <c r="L5" s="133" t="inlineStr">
        <is>
          <t>Blue</t>
        </is>
      </c>
      <c r="M5" s="134" t="inlineStr">
        <is>
          <t>₹ 1,088.60</t>
        </is>
      </c>
      <c r="N5" s="134" t="inlineStr">
        <is>
          <t>₹ 1,079.05</t>
        </is>
      </c>
      <c r="O5" s="135" t="n">
        <v>0.0089</v>
      </c>
      <c r="P5" s="134" t="inlineStr">
        <is>
          <t>₹ 1,038.95</t>
        </is>
      </c>
      <c r="Q5" s="135" t="n">
        <v>0.0478</v>
      </c>
    </row>
    <row r="6">
      <c r="A6" s="128" t="n">
        <v>46158</v>
      </c>
      <c r="B6" s="129" t="inlineStr">
        <is>
          <t>ONGC</t>
        </is>
      </c>
      <c r="C6" s="129" t="inlineStr">
        <is>
          <t>Blue</t>
        </is>
      </c>
      <c r="D6" s="129" t="e">
        <v>#VALUE!</v>
      </c>
      <c r="E6" s="130">
        <f t="array" ref="E6">_FV(D6,"Price")</f>
        <v/>
      </c>
      <c r="F6" s="131">
        <f t="array" ref="F6">_FV(D6,"Previous close",TRUE)</f>
        <v/>
      </c>
      <c r="G6" s="117" t="n">
        <v>265.4</v>
      </c>
      <c r="H6" s="117" t="n">
        <v>278.65</v>
      </c>
      <c r="I6" s="117" t="n">
        <v>278.28</v>
      </c>
      <c r="J6" s="117" t="n">
        <v>272.2</v>
      </c>
      <c r="K6" s="115" t="n"/>
      <c r="L6" s="133" t="inlineStr">
        <is>
          <t>Blue</t>
        </is>
      </c>
      <c r="M6" s="134" t="inlineStr">
        <is>
          <t>₹ 735.35</t>
        </is>
      </c>
      <c r="N6" s="134" t="inlineStr">
        <is>
          <t>₹ 725.55</t>
        </is>
      </c>
      <c r="O6" s="135" t="n">
        <v>0.0135</v>
      </c>
      <c r="P6" s="134" t="inlineStr">
        <is>
          <t>₹ 595.50</t>
        </is>
      </c>
      <c r="Q6" s="135" t="n">
        <v>0.2348</v>
      </c>
    </row>
    <row r="7">
      <c r="A7" s="128" t="n">
        <v>46158</v>
      </c>
      <c r="B7" s="129" t="inlineStr">
        <is>
          <t>CARBORUNIV</t>
        </is>
      </c>
      <c r="C7" s="129" t="inlineStr">
        <is>
          <t>Blue</t>
        </is>
      </c>
      <c r="D7" s="129" t="e">
        <v>#VALUE!</v>
      </c>
      <c r="E7" s="130">
        <f t="array" ref="E7">_FV(D7,"Price")</f>
        <v/>
      </c>
      <c r="F7" s="131">
        <f t="array" ref="F7">_FV(D7,"Previous close",TRUE)</f>
        <v/>
      </c>
      <c r="G7" s="117" t="n">
        <v>1029.05</v>
      </c>
      <c r="H7" s="117" t="n">
        <v>989.91</v>
      </c>
      <c r="I7" s="117" t="n">
        <v>974.91</v>
      </c>
      <c r="J7" s="117" t="n">
        <v>930.72</v>
      </c>
      <c r="K7" s="115" t="n"/>
      <c r="L7" s="133" t="inlineStr">
        <is>
          <t>Blue</t>
        </is>
      </c>
      <c r="M7" s="134" t="inlineStr">
        <is>
          <t>₹ 710.05</t>
        </is>
      </c>
      <c r="N7" s="134" t="inlineStr">
        <is>
          <t>₹ 691.25</t>
        </is>
      </c>
      <c r="O7" s="135" t="n">
        <v>0.0272</v>
      </c>
      <c r="P7" s="134" t="inlineStr">
        <is>
          <t>₹ 622.50</t>
        </is>
      </c>
      <c r="Q7" s="135" t="n">
        <v>0.1406</v>
      </c>
    </row>
    <row r="8">
      <c r="A8" s="128" t="n">
        <v>46158</v>
      </c>
      <c r="B8" s="129" t="inlineStr">
        <is>
          <t>APOLLOPIPE</t>
        </is>
      </c>
      <c r="C8" s="129" t="inlineStr">
        <is>
          <t>Blue</t>
        </is>
      </c>
      <c r="D8" s="129" t="e">
        <v>#VALUE!</v>
      </c>
      <c r="E8" s="130">
        <f t="array" ref="E8">_FV(D8,"Price")</f>
        <v/>
      </c>
      <c r="F8" s="131">
        <f t="array" ref="F8">_FV(D8,"Previous close",TRUE)</f>
        <v/>
      </c>
      <c r="G8" s="117" t="n">
        <v>508.85</v>
      </c>
      <c r="H8" s="117" t="n">
        <v>475.54</v>
      </c>
      <c r="I8" s="117" t="n">
        <v>466.15</v>
      </c>
      <c r="J8" s="117" t="n">
        <v>429.08</v>
      </c>
      <c r="K8" s="115" t="n"/>
      <c r="L8" s="133" t="inlineStr">
        <is>
          <t>Blue</t>
        </is>
      </c>
      <c r="M8" s="134" t="inlineStr">
        <is>
          <t>₹ 735.50</t>
        </is>
      </c>
      <c r="N8" s="134" t="inlineStr">
        <is>
          <t>₹ 730.50</t>
        </is>
      </c>
      <c r="O8" s="135" t="n">
        <v>0.0068</v>
      </c>
      <c r="P8" s="134" t="inlineStr">
        <is>
          <t>₹ 714.45</t>
        </is>
      </c>
      <c r="Q8" s="135" t="n">
        <v>0.0295</v>
      </c>
    </row>
    <row r="9">
      <c r="A9" s="128" t="n">
        <v>46158</v>
      </c>
      <c r="B9" s="129" t="inlineStr">
        <is>
          <t>HINDCOPPER</t>
        </is>
      </c>
      <c r="C9" s="129" t="inlineStr">
        <is>
          <t>Blue</t>
        </is>
      </c>
      <c r="D9" s="129" t="e">
        <v>#VALUE!</v>
      </c>
      <c r="E9" s="130">
        <f t="array" ref="E9">_FV(D9,"Price")</f>
        <v/>
      </c>
      <c r="F9" s="131">
        <f t="array" ref="F9">_FV(D9,"Previous close",TRUE)</f>
        <v/>
      </c>
      <c r="G9" s="117" t="n">
        <v>538.7</v>
      </c>
      <c r="H9" s="117" t="n">
        <v>544.89</v>
      </c>
      <c r="I9" s="117" t="n">
        <v>542.84</v>
      </c>
      <c r="J9" s="117" t="n">
        <v>522.0700000000001</v>
      </c>
      <c r="K9" s="115" t="n"/>
      <c r="L9" s="133" t="inlineStr">
        <is>
          <t>Blue</t>
        </is>
      </c>
      <c r="M9" s="134" t="inlineStr">
        <is>
          <t>₹ 809.40</t>
        </is>
      </c>
      <c r="N9" s="134" t="inlineStr">
        <is>
          <t>₹ 780.95</t>
        </is>
      </c>
      <c r="O9" s="135" t="n">
        <v>0.0364</v>
      </c>
      <c r="P9" s="134" t="inlineStr">
        <is>
          <t>₹ 774.10</t>
        </is>
      </c>
      <c r="Q9" s="135" t="n">
        <v>0.0456</v>
      </c>
    </row>
    <row r="10">
      <c r="A10" s="128" t="n">
        <v>46158</v>
      </c>
      <c r="B10" s="129" t="inlineStr">
        <is>
          <t>APOLLO</t>
        </is>
      </c>
      <c r="C10" s="129" t="inlineStr">
        <is>
          <t>Blue</t>
        </is>
      </c>
      <c r="D10" s="129" t="e">
        <v>#VALUE!</v>
      </c>
      <c r="E10" s="130">
        <f t="array" ref="E10">_FV(D10,"Price")</f>
        <v/>
      </c>
      <c r="F10" s="131">
        <f t="array" ref="F10">_FV(D10,"Previous close",TRUE)</f>
        <v/>
      </c>
      <c r="G10" s="117" t="n">
        <v>409</v>
      </c>
      <c r="H10" s="117" t="n">
        <v>337.88</v>
      </c>
      <c r="I10" s="117" t="n">
        <v>325.54</v>
      </c>
      <c r="J10" s="117" t="n">
        <v>292.6</v>
      </c>
      <c r="K10" s="115" t="n"/>
      <c r="L10" s="133" t="inlineStr">
        <is>
          <t>Blue</t>
        </is>
      </c>
      <c r="M10" s="134" t="inlineStr">
        <is>
          <t>₹ 497.20</t>
        </is>
      </c>
      <c r="N10" s="134" t="inlineStr">
        <is>
          <t>₹ 491.00</t>
        </is>
      </c>
      <c r="O10" s="135" t="n">
        <v>0.0126</v>
      </c>
      <c r="P10" s="134" t="inlineStr">
        <is>
          <t>₹ 476.20</t>
        </is>
      </c>
      <c r="Q10" s="135" t="n">
        <v>0.0441</v>
      </c>
    </row>
    <row r="11">
      <c r="A11" s="128" t="n">
        <v>46158</v>
      </c>
      <c r="B11" s="129" t="inlineStr">
        <is>
          <t>HFCL</t>
        </is>
      </c>
      <c r="C11" s="129" t="inlineStr">
        <is>
          <t>Blue</t>
        </is>
      </c>
      <c r="D11" s="129" t="e">
        <v>#VALUE!</v>
      </c>
      <c r="E11" s="130">
        <f t="array" ref="E11">_FV(D11,"Price")</f>
        <v/>
      </c>
      <c r="F11" s="131">
        <f t="array" ref="F11">_FV(D11,"Previous close",TRUE)</f>
        <v/>
      </c>
      <c r="G11" s="117" t="n">
        <v>179.94</v>
      </c>
      <c r="H11" s="117" t="n">
        <v>141.59</v>
      </c>
      <c r="I11" s="117" t="n">
        <v>134.09</v>
      </c>
      <c r="J11" s="117" t="n">
        <v>111.74</v>
      </c>
      <c r="K11" s="115" t="n"/>
      <c r="L11" s="133" t="inlineStr">
        <is>
          <t>Blue</t>
        </is>
      </c>
      <c r="M11" s="134" t="inlineStr">
        <is>
          <t>₹ 603.45</t>
        </is>
      </c>
      <c r="N11" s="134" t="inlineStr">
        <is>
          <t>₹ 576.00</t>
        </is>
      </c>
      <c r="O11" s="135" t="n">
        <v>0.0477</v>
      </c>
      <c r="P11" s="134" t="inlineStr">
        <is>
          <t>₹ 551.25</t>
        </is>
      </c>
      <c r="Q11" s="135" t="n">
        <v>0.09470000000000001</v>
      </c>
    </row>
    <row r="12">
      <c r="A12" s="128" t="n">
        <v>46158</v>
      </c>
      <c r="B12" s="129" t="inlineStr">
        <is>
          <t>DEEPAKNTR</t>
        </is>
      </c>
      <c r="C12" s="129" t="inlineStr">
        <is>
          <t>Blue</t>
        </is>
      </c>
      <c r="D12" s="129" t="e">
        <v>#VALUE!</v>
      </c>
      <c r="E12" s="130">
        <f t="array" ref="E12">_FV(D12,"Price")</f>
        <v/>
      </c>
      <c r="F12" s="131">
        <f t="array" ref="F12">_FV(D12,"Previous close",TRUE)</f>
        <v/>
      </c>
      <c r="G12" s="117" t="n">
        <v>1682</v>
      </c>
      <c r="H12" s="117" t="n">
        <v>1683.33</v>
      </c>
      <c r="I12" s="117" t="n">
        <v>1670.99</v>
      </c>
      <c r="J12" s="117" t="n">
        <v>1648.2</v>
      </c>
      <c r="K12" s="115" t="n"/>
      <c r="L12" s="133" t="inlineStr">
        <is>
          <t>Blue</t>
        </is>
      </c>
      <c r="M12" s="134" t="inlineStr">
        <is>
          <t>₹ 2,046.00</t>
        </is>
      </c>
      <c r="N12" s="134" t="inlineStr">
        <is>
          <t>₹ 2,035.80</t>
        </is>
      </c>
      <c r="O12" s="135" t="n">
        <v>0.005</v>
      </c>
      <c r="P12" s="134" t="inlineStr">
        <is>
          <t>₹ 2,028.00</t>
        </is>
      </c>
      <c r="Q12" s="135" t="n">
        <v>0.0089</v>
      </c>
    </row>
    <row r="13">
      <c r="A13" s="128" t="n">
        <v>46158</v>
      </c>
      <c r="B13" s="129" t="inlineStr">
        <is>
          <t>AUROPHARMA</t>
        </is>
      </c>
      <c r="C13" s="129" t="inlineStr">
        <is>
          <t>Blue</t>
        </is>
      </c>
      <c r="D13" s="129" t="e">
        <v>#VALUE!</v>
      </c>
      <c r="E13" s="130">
        <f t="array" ref="E13">_FV(D13,"Price")</f>
        <v/>
      </c>
      <c r="F13" s="131">
        <f t="array" ref="F13">_FV(D13,"Previous close",TRUE)</f>
        <v/>
      </c>
      <c r="G13" s="117" t="n">
        <v>1426.4</v>
      </c>
      <c r="H13" s="117" t="n">
        <v>1416.27</v>
      </c>
      <c r="I13" s="117" t="n">
        <v>1402.75</v>
      </c>
      <c r="J13" s="117" t="n">
        <v>1343.73</v>
      </c>
      <c r="K13" s="115" t="n"/>
      <c r="L13" s="133" t="inlineStr">
        <is>
          <t>Blue</t>
        </is>
      </c>
      <c r="M13" s="134" t="inlineStr">
        <is>
          <t>₹ 4,545.50</t>
        </is>
      </c>
      <c r="N13" s="134" t="inlineStr">
        <is>
          <t>₹ 4,435.80</t>
        </is>
      </c>
      <c r="O13" s="135" t="n">
        <v>0.0247</v>
      </c>
      <c r="P13" s="134" t="inlineStr">
        <is>
          <t>₹ 4,454.60</t>
        </is>
      </c>
      <c r="Q13" s="135" t="n">
        <v>0.0204</v>
      </c>
    </row>
    <row r="14">
      <c r="A14" s="128" t="n">
        <v>46158</v>
      </c>
      <c r="B14" s="129" t="inlineStr">
        <is>
          <t>ANTELOPUS</t>
        </is>
      </c>
      <c r="C14" s="129" t="inlineStr">
        <is>
          <t>Blue</t>
        </is>
      </c>
      <c r="D14" s="129" t="e">
        <v>#VALUE!</v>
      </c>
      <c r="E14" s="130">
        <f t="array" ref="E14">_FV(D14,"Price")</f>
        <v/>
      </c>
      <c r="F14" s="131">
        <f t="array" ref="F14">_FV(D14,"Previous close",TRUE)</f>
        <v/>
      </c>
      <c r="G14" s="117" t="n">
        <v>774.85</v>
      </c>
      <c r="H14" s="117" t="n">
        <v>712.21</v>
      </c>
      <c r="I14" s="117" t="n">
        <v>693.88</v>
      </c>
      <c r="J14" s="117" t="n">
        <v>635.62</v>
      </c>
      <c r="K14" s="115" t="n"/>
      <c r="L14" s="133" t="inlineStr">
        <is>
          <t>Blue</t>
        </is>
      </c>
      <c r="M14" s="134" t="inlineStr">
        <is>
          <t>₹ 270.85</t>
        </is>
      </c>
      <c r="N14" s="134" t="inlineStr">
        <is>
          <t>₹ 267.55</t>
        </is>
      </c>
      <c r="O14" s="135" t="n">
        <v>0.0123</v>
      </c>
      <c r="P14" s="134" t="inlineStr">
        <is>
          <t>₹ 264.50</t>
        </is>
      </c>
      <c r="Q14" s="135" t="n">
        <v>0.024</v>
      </c>
    </row>
    <row r="15">
      <c r="A15" s="128" t="n">
        <v>46158</v>
      </c>
      <c r="B15" s="129" t="inlineStr">
        <is>
          <t>CARERATING</t>
        </is>
      </c>
      <c r="C15" s="129" t="inlineStr">
        <is>
          <t>Blue</t>
        </is>
      </c>
      <c r="D15" s="129" t="e">
        <v>#VALUE!</v>
      </c>
      <c r="E15" s="130">
        <f t="array" ref="E15">_FV(D15,"Price")</f>
        <v/>
      </c>
      <c r="F15" s="131">
        <f t="array" ref="F15">_FV(D15,"Previous close",TRUE)</f>
        <v/>
      </c>
      <c r="G15" s="117" t="n">
        <v>1618.2</v>
      </c>
      <c r="H15" s="117" t="n">
        <v>1647.94</v>
      </c>
      <c r="I15" s="117" t="n">
        <v>1641.97</v>
      </c>
      <c r="J15" s="117" t="n">
        <v>1621.78</v>
      </c>
      <c r="K15" s="115" t="n"/>
      <c r="L15" s="133" t="inlineStr">
        <is>
          <t>Blue</t>
        </is>
      </c>
      <c r="M15" s="134" t="inlineStr">
        <is>
          <t>₹ 1,529.80</t>
        </is>
      </c>
      <c r="N15" s="134" t="inlineStr">
        <is>
          <t>₹ 1,463.30</t>
        </is>
      </c>
      <c r="O15" s="135" t="n">
        <v>0.0454</v>
      </c>
      <c r="P15" s="134" t="inlineStr">
        <is>
          <t>₹ 1,367.90</t>
        </is>
      </c>
      <c r="Q15" s="135" t="n">
        <v>0.1184</v>
      </c>
    </row>
    <row r="16">
      <c r="A16" s="128" t="n">
        <v>46158</v>
      </c>
      <c r="B16" s="129" t="inlineStr">
        <is>
          <t>ALKYLAMINE</t>
        </is>
      </c>
      <c r="C16" s="129" t="inlineStr">
        <is>
          <t>Blue</t>
        </is>
      </c>
      <c r="D16" s="129" t="e">
        <v>#VALUE!</v>
      </c>
      <c r="E16" s="130">
        <f t="array" ref="E16">_FV(D16,"Price")</f>
        <v/>
      </c>
      <c r="F16" s="131">
        <f t="array" ref="F16">_FV(D16,"Previous close",TRUE)</f>
        <v/>
      </c>
      <c r="G16" s="117" t="n">
        <v>1651.3</v>
      </c>
      <c r="H16" s="117" t="n">
        <v>1626.6</v>
      </c>
      <c r="I16" s="117" t="n">
        <v>1607.17</v>
      </c>
      <c r="J16" s="117" t="n">
        <v>1585.02</v>
      </c>
      <c r="K16" s="115" t="n"/>
      <c r="L16" s="136" t="inlineStr">
        <is>
          <t>Green</t>
        </is>
      </c>
      <c r="M16" s="134" t="inlineStr">
        <is>
          <t>₹ 385.75</t>
        </is>
      </c>
      <c r="N16" s="134" t="inlineStr">
        <is>
          <t>₹ 384.60</t>
        </is>
      </c>
      <c r="O16" s="135" t="n">
        <v>0.003</v>
      </c>
      <c r="P16" s="134" t="inlineStr">
        <is>
          <t>₹ 373.90</t>
        </is>
      </c>
      <c r="Q16" s="135" t="n">
        <v>0.0317</v>
      </c>
    </row>
    <row r="17">
      <c r="A17" s="128" t="n">
        <v>46158</v>
      </c>
      <c r="B17" s="129" t="inlineStr">
        <is>
          <t>ZYDUSLIFE</t>
        </is>
      </c>
      <c r="C17" s="129" t="inlineStr">
        <is>
          <t>Blue</t>
        </is>
      </c>
      <c r="D17" s="129" t="e">
        <v>#VALUE!</v>
      </c>
      <c r="E17" s="130">
        <f t="array" ref="E17">_FV(D17,"Price")</f>
        <v/>
      </c>
      <c r="F17" s="131">
        <f t="array" ref="F17">_FV(D17,"Previous close",TRUE)</f>
        <v/>
      </c>
      <c r="G17" s="117" t="n">
        <v>1077.7</v>
      </c>
      <c r="H17" s="117" t="n">
        <v>999.12</v>
      </c>
      <c r="I17" s="117" t="n">
        <v>987.53</v>
      </c>
      <c r="J17" s="117" t="n">
        <v>959.21</v>
      </c>
      <c r="K17" s="115" t="n"/>
      <c r="L17" s="136" t="inlineStr">
        <is>
          <t>Green</t>
        </is>
      </c>
      <c r="M17" s="134" t="inlineStr">
        <is>
          <t>₹ 5,026.70</t>
        </is>
      </c>
      <c r="N17" s="134" t="inlineStr">
        <is>
          <t>₹ 4,848.30</t>
        </is>
      </c>
      <c r="O17" s="135" t="n">
        <v>0.0368</v>
      </c>
      <c r="P17" s="134" t="inlineStr">
        <is>
          <t>₹ 4,849.50</t>
        </is>
      </c>
      <c r="Q17" s="135" t="n">
        <v>0.0365</v>
      </c>
    </row>
    <row r="18">
      <c r="A18" s="128" t="n">
        <v>46158</v>
      </c>
      <c r="B18" s="129" t="inlineStr">
        <is>
          <t>MCLEODRUSS</t>
        </is>
      </c>
      <c r="C18" s="129" t="inlineStr">
        <is>
          <t>Blue</t>
        </is>
      </c>
      <c r="D18" s="129" t="e">
        <v>#VALUE!</v>
      </c>
      <c r="E18" s="130">
        <f t="array" ref="E18">_FV(D18,"Price")</f>
        <v/>
      </c>
      <c r="F18" s="131">
        <f t="array" ref="F18">_FV(D18,"Previous close",TRUE)</f>
        <v/>
      </c>
      <c r="G18" s="117" t="n">
        <v>78.41</v>
      </c>
      <c r="H18" s="117" t="n">
        <v>63.22</v>
      </c>
      <c r="I18" s="117" t="n">
        <v>60.86</v>
      </c>
      <c r="J18" s="117" t="n">
        <v>54.33</v>
      </c>
      <c r="K18" s="115" t="n"/>
      <c r="L18" s="136" t="inlineStr">
        <is>
          <t>Green</t>
        </is>
      </c>
      <c r="M18" s="134" t="inlineStr">
        <is>
          <t>₹ 422.30</t>
        </is>
      </c>
      <c r="N18" s="134" t="inlineStr">
        <is>
          <t>₹ 412.10</t>
        </is>
      </c>
      <c r="O18" s="135" t="n">
        <v>0.0248</v>
      </c>
      <c r="P18" s="134" t="inlineStr">
        <is>
          <t>₹ 355.05</t>
        </is>
      </c>
      <c r="Q18" s="135" t="n">
        <v>0.1894</v>
      </c>
    </row>
    <row r="19">
      <c r="A19" s="128" t="n">
        <v>46158</v>
      </c>
      <c r="B19" s="129" t="inlineStr">
        <is>
          <t>SUNPHARMA</t>
        </is>
      </c>
      <c r="C19" s="129" t="inlineStr">
        <is>
          <t>Blue</t>
        </is>
      </c>
      <c r="D19" s="129" t="e">
        <v>#VALUE!</v>
      </c>
      <c r="E19" s="130">
        <f t="array" ref="E19">_FV(D19,"Price")</f>
        <v/>
      </c>
      <c r="F19" s="131">
        <f t="array" ref="F19">_FV(D19,"Previous close",TRUE)</f>
        <v/>
      </c>
      <c r="G19" s="117" t="n">
        <v>1799.2</v>
      </c>
      <c r="H19" s="117" t="n">
        <v>1788.75</v>
      </c>
      <c r="I19" s="117" t="n">
        <v>1781.91</v>
      </c>
      <c r="J19" s="117" t="n">
        <v>1757.35</v>
      </c>
      <c r="K19" s="115" t="n"/>
      <c r="L19" s="136" t="inlineStr">
        <is>
          <t>Green</t>
        </is>
      </c>
      <c r="M19" s="134" t="inlineStr">
        <is>
          <t>₹ 2,843.90</t>
        </is>
      </c>
      <c r="N19" s="134" t="inlineStr">
        <is>
          <t>₹ 2,819.80</t>
        </is>
      </c>
      <c r="O19" s="135" t="n">
        <v>0.008500000000000001</v>
      </c>
      <c r="P19" s="134" t="inlineStr">
        <is>
          <t>₹ 2,735.80</t>
        </is>
      </c>
      <c r="Q19" s="135" t="n">
        <v>0.0395</v>
      </c>
    </row>
    <row r="20">
      <c r="A20" s="128" t="n">
        <v>46158</v>
      </c>
      <c r="B20" s="129" t="inlineStr">
        <is>
          <t>AJANTPHARM</t>
        </is>
      </c>
      <c r="C20" s="129" t="inlineStr">
        <is>
          <t>Blue</t>
        </is>
      </c>
      <c r="D20" s="129" t="e">
        <v>#VALUE!</v>
      </c>
      <c r="E20" s="130">
        <f t="array" ref="E20">_FV(D20,"Price")</f>
        <v/>
      </c>
      <c r="F20" s="131">
        <f t="array" ref="F20">_FV(D20,"Previous close",TRUE)</f>
        <v/>
      </c>
      <c r="G20" s="117" t="n">
        <v>2928.9</v>
      </c>
      <c r="H20" s="117" t="n">
        <v>2948.66</v>
      </c>
      <c r="I20" s="117" t="n">
        <v>2937.72</v>
      </c>
      <c r="J20" s="117" t="n">
        <v>2880.61</v>
      </c>
      <c r="K20" s="115" t="n"/>
      <c r="L20" s="136" t="inlineStr">
        <is>
          <t>Green</t>
        </is>
      </c>
      <c r="M20" s="134" t="inlineStr">
        <is>
          <t>₹ 1,816.40</t>
        </is>
      </c>
      <c r="N20" s="134" t="inlineStr">
        <is>
          <t>₹ 1,731.50</t>
        </is>
      </c>
      <c r="O20" s="135" t="n">
        <v>0.049</v>
      </c>
      <c r="P20" s="134" t="inlineStr">
        <is>
          <t>₹ 1,734.40</t>
        </is>
      </c>
      <c r="Q20" s="135" t="n">
        <v>0.0473</v>
      </c>
    </row>
    <row r="21">
      <c r="A21" s="128" t="n">
        <v>46158</v>
      </c>
      <c r="B21" s="129" t="inlineStr">
        <is>
          <t>MENONBE</t>
        </is>
      </c>
      <c r="C21" s="129" t="inlineStr">
        <is>
          <t>Blue</t>
        </is>
      </c>
      <c r="D21" s="129" t="e">
        <v>#VALUE!</v>
      </c>
      <c r="E21" s="130">
        <f t="array" ref="E21">_FV(D21,"Price")</f>
        <v/>
      </c>
      <c r="F21" s="131">
        <f t="array" ref="F21">_FV(D21,"Previous close",TRUE)</f>
        <v/>
      </c>
      <c r="G21" s="117" t="n">
        <v>145.17</v>
      </c>
      <c r="H21" s="117" t="n">
        <v>136.45</v>
      </c>
      <c r="I21" s="117" t="n">
        <v>134.43</v>
      </c>
      <c r="J21" s="117" t="n">
        <v>128.25</v>
      </c>
      <c r="K21" s="115" t="n"/>
      <c r="L21" s="136" t="inlineStr">
        <is>
          <t>Green</t>
        </is>
      </c>
      <c r="M21" s="134" t="inlineStr">
        <is>
          <t>₹ 917.00</t>
        </is>
      </c>
      <c r="N21" s="134" t="inlineStr">
        <is>
          <t>₹ 879.15</t>
        </is>
      </c>
      <c r="O21" s="135" t="n">
        <v>0.0431</v>
      </c>
      <c r="P21" s="134" t="inlineStr">
        <is>
          <t>₹ 865.70</t>
        </is>
      </c>
      <c r="Q21" s="135" t="n">
        <v>0.0593</v>
      </c>
    </row>
    <row r="22">
      <c r="A22" s="128" t="n">
        <v>46158</v>
      </c>
      <c r="B22" s="129" t="inlineStr">
        <is>
          <t>SFL</t>
        </is>
      </c>
      <c r="C22" s="129" t="inlineStr">
        <is>
          <t>Blue</t>
        </is>
      </c>
      <c r="D22" s="129" t="e">
        <v>#VALUE!</v>
      </c>
      <c r="E22" s="130">
        <f t="array" ref="E22">_FV(D22,"Price")</f>
        <v/>
      </c>
      <c r="F22" s="131">
        <f t="array" ref="F22">_FV(D22,"Previous close",TRUE)</f>
        <v/>
      </c>
      <c r="G22" s="117" t="n">
        <v>605</v>
      </c>
      <c r="H22" s="117" t="n">
        <v>581.11</v>
      </c>
      <c r="I22" s="117" t="n">
        <v>576.21</v>
      </c>
      <c r="J22" s="117" t="n">
        <v>572.22</v>
      </c>
      <c r="K22" s="115" t="n"/>
      <c r="L22" s="136" t="inlineStr">
        <is>
          <t>Green</t>
        </is>
      </c>
      <c r="M22" s="134" t="inlineStr">
        <is>
          <t>₹ 1,379.00</t>
        </is>
      </c>
      <c r="N22" s="134" t="inlineStr">
        <is>
          <t>₹ 1,357.00</t>
        </is>
      </c>
      <c r="O22" s="135" t="n">
        <v>0.0162</v>
      </c>
      <c r="P22" s="134" t="inlineStr">
        <is>
          <t>₹ 1,174.90</t>
        </is>
      </c>
      <c r="Q22" s="135" t="n">
        <v>0.1737</v>
      </c>
    </row>
    <row r="23">
      <c r="A23" s="128" t="n">
        <v>46158</v>
      </c>
      <c r="B23" s="129" t="inlineStr">
        <is>
          <t>MEDANTA</t>
        </is>
      </c>
      <c r="C23" s="129" t="inlineStr">
        <is>
          <t>Blue</t>
        </is>
      </c>
      <c r="D23" s="129" t="e">
        <v>#VALUE!</v>
      </c>
      <c r="E23" s="130">
        <f t="array" ref="E23">_FV(D23,"Price")</f>
        <v/>
      </c>
      <c r="F23" s="131">
        <f t="array" ref="F23">_FV(D23,"Previous close",TRUE)</f>
        <v/>
      </c>
      <c r="G23" s="117" t="n">
        <v>1189</v>
      </c>
      <c r="H23" s="117" t="n">
        <v>1168.98</v>
      </c>
      <c r="I23" s="117" t="n">
        <v>1161.01</v>
      </c>
      <c r="J23" s="117" t="n">
        <v>1151.26</v>
      </c>
      <c r="K23" s="115" t="n"/>
      <c r="L23" s="136" t="inlineStr">
        <is>
          <t>Green</t>
        </is>
      </c>
      <c r="M23" s="134" t="inlineStr">
        <is>
          <t>₹ 766.45</t>
        </is>
      </c>
      <c r="N23" s="134" t="inlineStr">
        <is>
          <t>₹ 746.55</t>
        </is>
      </c>
      <c r="O23" s="135" t="n">
        <v>0.0267</v>
      </c>
      <c r="P23" s="134" t="inlineStr">
        <is>
          <t>₹ 704.90</t>
        </is>
      </c>
      <c r="Q23" s="135" t="n">
        <v>0.0873</v>
      </c>
    </row>
    <row r="24">
      <c r="A24" s="128" t="n">
        <v>46158</v>
      </c>
      <c r="B24" s="129" t="inlineStr">
        <is>
          <t>MANKIND</t>
        </is>
      </c>
      <c r="C24" s="129" t="inlineStr">
        <is>
          <t>Blue</t>
        </is>
      </c>
      <c r="D24" s="129" t="e">
        <v>#VALUE!</v>
      </c>
      <c r="E24" s="130">
        <f t="array" ref="E24">_FV(D24,"Price")</f>
        <v/>
      </c>
      <c r="F24" s="131">
        <f t="array" ref="F24">_FV(D24,"Previous close",TRUE)</f>
        <v/>
      </c>
      <c r="G24" s="117" t="n">
        <v>2375.6</v>
      </c>
      <c r="H24" s="117" t="n">
        <v>2317.16</v>
      </c>
      <c r="I24" s="117" t="n">
        <v>2299.46</v>
      </c>
      <c r="J24" s="117" t="n">
        <v>2259.9</v>
      </c>
      <c r="K24" s="115" t="n"/>
      <c r="L24" s="136" t="inlineStr">
        <is>
          <t>Green</t>
        </is>
      </c>
      <c r="M24" s="134" t="inlineStr">
        <is>
          <t>₹ 345.90</t>
        </is>
      </c>
      <c r="N24" s="134" t="inlineStr">
        <is>
          <t>₹ 344.45</t>
        </is>
      </c>
      <c r="O24" s="135" t="n">
        <v>0.0042</v>
      </c>
      <c r="P24" s="134" t="inlineStr">
        <is>
          <t>₹ 339.35</t>
        </is>
      </c>
      <c r="Q24" s="135" t="n">
        <v>0.0193</v>
      </c>
    </row>
    <row r="25">
      <c r="A25" s="128" t="n">
        <v>46158</v>
      </c>
      <c r="B25" s="129" t="inlineStr">
        <is>
          <t>IPCALAB</t>
        </is>
      </c>
      <c r="C25" s="129" t="inlineStr">
        <is>
          <t>Blue</t>
        </is>
      </c>
      <c r="D25" s="129" t="e">
        <v>#VALUE!</v>
      </c>
      <c r="E25" s="130">
        <f t="array" ref="E25">_FV(D25,"Price")</f>
        <v/>
      </c>
      <c r="F25" s="131">
        <f t="array" ref="F25">_FV(D25,"Previous close",TRUE)</f>
        <v/>
      </c>
      <c r="G25" s="117" t="n">
        <v>1524.4</v>
      </c>
      <c r="H25" s="117" t="n">
        <v>1537.6</v>
      </c>
      <c r="I25" s="117" t="n">
        <v>1534.3</v>
      </c>
      <c r="J25" s="117" t="n">
        <v>1513.46</v>
      </c>
      <c r="K25" s="115" t="n"/>
      <c r="L25" s="136" t="inlineStr">
        <is>
          <t>Green</t>
        </is>
      </c>
      <c r="M25" s="134" t="inlineStr">
        <is>
          <t>₹ 3,988.10</t>
        </is>
      </c>
      <c r="N25" s="134" t="inlineStr">
        <is>
          <t>₹ 3,851.70</t>
        </is>
      </c>
      <c r="O25" s="135" t="n">
        <v>0.0354</v>
      </c>
      <c r="P25" s="134" t="inlineStr">
        <is>
          <t>₹ 3,851.30</t>
        </is>
      </c>
      <c r="Q25" s="135" t="n">
        <v>0.0355</v>
      </c>
    </row>
    <row r="26">
      <c r="A26" s="128" t="n">
        <v>46158</v>
      </c>
      <c r="B26" s="129" t="inlineStr">
        <is>
          <t>NLCINDIA</t>
        </is>
      </c>
      <c r="C26" s="129" t="inlineStr">
        <is>
          <t>Blue</t>
        </is>
      </c>
      <c r="D26" s="129" t="e">
        <v>#VALUE!</v>
      </c>
      <c r="E26" s="130">
        <f t="array" ref="E26">_FV(D26,"Price")</f>
        <v/>
      </c>
      <c r="F26" s="131">
        <f t="array" ref="F26">_FV(D26,"Previous close",TRUE)</f>
        <v/>
      </c>
      <c r="G26" s="117" t="n">
        <v>347.55</v>
      </c>
      <c r="H26" s="117" t="n">
        <v>326.09</v>
      </c>
      <c r="I26" s="117" t="n">
        <v>320</v>
      </c>
      <c r="J26" s="117" t="n">
        <v>298.8</v>
      </c>
      <c r="K26" s="115" t="n"/>
      <c r="L26" s="136" t="inlineStr">
        <is>
          <t>Green</t>
        </is>
      </c>
      <c r="M26" s="134" t="inlineStr">
        <is>
          <t>₹ 92.37</t>
        </is>
      </c>
      <c r="N26" s="134" t="inlineStr">
        <is>
          <t>₹ 90.67</t>
        </is>
      </c>
      <c r="O26" s="135" t="n">
        <v>0.0187</v>
      </c>
      <c r="P26" s="134" t="inlineStr">
        <is>
          <t>₹ 87.85</t>
        </is>
      </c>
      <c r="Q26" s="135" t="n">
        <v>0.0515</v>
      </c>
    </row>
    <row r="27">
      <c r="A27" s="128" t="n">
        <v>46158</v>
      </c>
      <c r="B27" s="129" t="inlineStr">
        <is>
          <t>TIPSMUSIC</t>
        </is>
      </c>
      <c r="C27" s="129" t="inlineStr">
        <is>
          <t>Blue</t>
        </is>
      </c>
      <c r="D27" s="129" t="e">
        <v>#VALUE!</v>
      </c>
      <c r="E27" s="130">
        <f t="array" ref="E27">_FV(D27,"Price")</f>
        <v/>
      </c>
      <c r="F27" s="131">
        <f t="array" ref="F27">_FV(D27,"Previous close",TRUE)</f>
        <v/>
      </c>
      <c r="G27" s="117" t="n">
        <v>662.45</v>
      </c>
      <c r="H27" s="117" t="n">
        <v>637.1900000000001</v>
      </c>
      <c r="I27" s="117" t="n">
        <v>627.74</v>
      </c>
      <c r="J27" s="117" t="n">
        <v>598.25</v>
      </c>
      <c r="K27" s="115" t="n"/>
      <c r="L27" s="115" t="n"/>
      <c r="M27" s="115" t="n"/>
      <c r="N27" s="115" t="n"/>
      <c r="O27" s="115" t="n"/>
      <c r="P27" s="115" t="n"/>
      <c r="Q27" s="115" t="n"/>
    </row>
    <row r="28">
      <c r="A28" s="128" t="n">
        <v>46158</v>
      </c>
      <c r="B28" s="129" t="inlineStr">
        <is>
          <t>MOLDTKPAC</t>
        </is>
      </c>
      <c r="C28" s="129" t="inlineStr">
        <is>
          <t>Blue</t>
        </is>
      </c>
      <c r="D28" s="129" t="e">
        <v>#VALUE!</v>
      </c>
      <c r="E28" s="130">
        <f t="array" ref="E28">_FV(D28,"Price")</f>
        <v/>
      </c>
      <c r="F28" s="131">
        <f t="array" ref="F28">_FV(D28,"Previous close",TRUE)</f>
        <v/>
      </c>
      <c r="G28" s="117" t="n">
        <v>702.6</v>
      </c>
      <c r="H28" s="117" t="n">
        <v>642.27</v>
      </c>
      <c r="I28" s="117" t="n">
        <v>631.74</v>
      </c>
      <c r="J28" s="117" t="n">
        <v>612.01</v>
      </c>
      <c r="K28" s="115" t="n"/>
      <c r="L28" s="115" t="n"/>
      <c r="M28" s="115" t="n"/>
      <c r="N28" s="115" t="n"/>
      <c r="O28" s="115" t="n"/>
      <c r="P28" s="115" t="n"/>
      <c r="Q28" s="115" t="n"/>
    </row>
    <row r="29">
      <c r="A29" s="128" t="n">
        <v>46158</v>
      </c>
      <c r="B29" s="129" t="inlineStr">
        <is>
          <t>MARKSANS</t>
        </is>
      </c>
      <c r="C29" s="129" t="inlineStr">
        <is>
          <t>Blue</t>
        </is>
      </c>
      <c r="D29" s="129" t="e">
        <v>#VALUE!</v>
      </c>
      <c r="E29" s="130">
        <f t="array" ref="E29">_FV(D29,"Price")</f>
        <v/>
      </c>
      <c r="F29" s="131">
        <f t="array" ref="F29">_FV(D29,"Previous close",TRUE)</f>
        <v/>
      </c>
      <c r="G29" s="117" t="n">
        <v>246.19</v>
      </c>
      <c r="H29" s="117" t="n">
        <v>210.63</v>
      </c>
      <c r="I29" s="117" t="n">
        <v>206.24</v>
      </c>
      <c r="J29" s="117" t="n">
        <v>195.43</v>
      </c>
      <c r="K29" s="115" t="n"/>
      <c r="L29" s="115" t="n"/>
      <c r="M29" s="115" t="n"/>
      <c r="N29" s="115" t="n"/>
      <c r="O29" s="115" t="n"/>
      <c r="P29" s="115" t="n"/>
      <c r="Q29" s="115" t="n"/>
    </row>
    <row r="30">
      <c r="A30" s="128" t="n">
        <v>46158</v>
      </c>
      <c r="B30" s="129" t="inlineStr">
        <is>
          <t>SOLARA</t>
        </is>
      </c>
      <c r="C30" s="129" t="inlineStr">
        <is>
          <t>Blue</t>
        </is>
      </c>
      <c r="D30" s="129" t="e">
        <v>#VALUE!</v>
      </c>
      <c r="E30" s="130">
        <f t="array" ref="E30">_FV(D30,"Price")</f>
        <v/>
      </c>
      <c r="F30" s="131">
        <f t="array" ref="F30">_FV(D30,"Previous close",TRUE)</f>
        <v/>
      </c>
      <c r="G30" s="117" t="n">
        <v>532.7</v>
      </c>
      <c r="H30" s="117" t="n">
        <v>524.4400000000001</v>
      </c>
      <c r="I30" s="117" t="n">
        <v>520.5700000000001</v>
      </c>
      <c r="J30" s="117" t="n">
        <v>517.54</v>
      </c>
      <c r="K30" s="115" t="n"/>
      <c r="L30" s="115" t="n"/>
      <c r="M30" s="115" t="n"/>
      <c r="N30" s="115" t="n"/>
      <c r="O30" s="115" t="n"/>
      <c r="P30" s="115" t="n"/>
      <c r="Q30" s="115" t="n"/>
    </row>
    <row r="31">
      <c r="A31" s="128" t="n">
        <v>46158</v>
      </c>
      <c r="B31" s="129" t="inlineStr">
        <is>
          <t>ARTEMISMED</t>
        </is>
      </c>
      <c r="C31" s="129" t="inlineStr">
        <is>
          <t>Blue</t>
        </is>
      </c>
      <c r="D31" s="129" t="e">
        <v>#VALUE!</v>
      </c>
      <c r="E31" s="130">
        <f t="array" ref="E31">_FV(D31,"Price")</f>
        <v/>
      </c>
      <c r="F31" s="131">
        <f t="array" ref="F31">_FV(D31,"Previous close",TRUE)</f>
        <v/>
      </c>
      <c r="G31" s="117" t="n">
        <v>273.36</v>
      </c>
      <c r="H31" s="117" t="n">
        <v>259.5</v>
      </c>
      <c r="I31" s="117" t="n">
        <v>256.95</v>
      </c>
      <c r="J31" s="117" t="n">
        <v>251.43</v>
      </c>
      <c r="K31" s="115" t="n"/>
      <c r="L31" s="115" t="n"/>
      <c r="M31" s="115" t="n"/>
      <c r="N31" s="115" t="n"/>
      <c r="O31" s="115" t="n"/>
      <c r="P31" s="115" t="n"/>
      <c r="Q31" s="115" t="n"/>
    </row>
    <row r="32">
      <c r="A32" s="128" t="n">
        <v>46158</v>
      </c>
      <c r="B32" s="129" t="inlineStr">
        <is>
          <t>SATIN</t>
        </is>
      </c>
      <c r="C32" s="129" t="inlineStr">
        <is>
          <t>Blue</t>
        </is>
      </c>
      <c r="D32" s="129" t="e">
        <v>#VALUE!</v>
      </c>
      <c r="E32" s="130">
        <f t="array" ref="E32">_FV(D32,"Price")</f>
        <v/>
      </c>
      <c r="F32" s="131">
        <f t="array" ref="F32">_FV(D32,"Previous close",TRUE)</f>
        <v/>
      </c>
      <c r="G32" s="117" t="n">
        <v>217.82</v>
      </c>
      <c r="H32" s="117" t="n">
        <v>201.15</v>
      </c>
      <c r="I32" s="117" t="n">
        <v>195.96</v>
      </c>
      <c r="J32" s="117" t="n">
        <v>180.01</v>
      </c>
      <c r="K32" s="115" t="n"/>
      <c r="L32" s="115" t="n"/>
      <c r="M32" s="115" t="n"/>
      <c r="N32" s="115" t="n"/>
      <c r="O32" s="115" t="n"/>
      <c r="P32" s="115" t="n"/>
      <c r="Q32" s="115" t="n"/>
    </row>
    <row r="33">
      <c r="A33" s="128" t="n">
        <v>46158</v>
      </c>
      <c r="B33" s="129" t="inlineStr">
        <is>
          <t>PRICOLLTD</t>
        </is>
      </c>
      <c r="C33" s="129" t="inlineStr">
        <is>
          <t>Blue</t>
        </is>
      </c>
      <c r="D33" s="129" t="e">
        <v>#VALUE!</v>
      </c>
      <c r="E33" s="130">
        <f t="array" ref="E33">_FV(D33,"Price")</f>
        <v/>
      </c>
      <c r="F33" s="131">
        <f t="array" ref="F33">_FV(D33,"Previous close",TRUE)</f>
        <v/>
      </c>
      <c r="G33" s="117" t="n">
        <v>562.1</v>
      </c>
      <c r="H33" s="117" t="n">
        <v>575.6799999999999</v>
      </c>
      <c r="I33" s="117" t="n">
        <v>576.09</v>
      </c>
      <c r="J33" s="117" t="n">
        <v>574.9299999999999</v>
      </c>
      <c r="K33" s="115" t="n"/>
      <c r="L33" s="115" t="n"/>
      <c r="M33" s="115" t="n"/>
      <c r="N33" s="115" t="n"/>
      <c r="O33" s="115" t="n"/>
      <c r="P33" s="115" t="n"/>
      <c r="Q33" s="115" t="n"/>
    </row>
    <row r="34">
      <c r="A34" s="128" t="n">
        <v>46158</v>
      </c>
      <c r="B34" s="129" t="inlineStr">
        <is>
          <t>ZENTEC</t>
        </is>
      </c>
      <c r="C34" s="129" t="inlineStr">
        <is>
          <t>Blue</t>
        </is>
      </c>
      <c r="D34" s="129" t="e">
        <v>#VALUE!</v>
      </c>
      <c r="E34" s="130">
        <f t="array" ref="E34">_FV(D34,"Price")</f>
        <v/>
      </c>
      <c r="F34" s="131">
        <f t="array" ref="F34">_FV(D34,"Previous close",TRUE)</f>
        <v/>
      </c>
      <c r="G34" s="117" t="n">
        <v>1664.7</v>
      </c>
      <c r="H34" s="117" t="n">
        <v>1597.63</v>
      </c>
      <c r="I34" s="117" t="n">
        <v>1580.49</v>
      </c>
      <c r="J34" s="117" t="n">
        <v>1524.98</v>
      </c>
      <c r="K34" s="115" t="n"/>
      <c r="L34" s="115" t="n"/>
      <c r="M34" s="115" t="n"/>
      <c r="N34" s="115" t="n"/>
      <c r="O34" s="115" t="n"/>
      <c r="P34" s="115" t="n"/>
      <c r="Q34" s="115" t="n"/>
    </row>
    <row r="35">
      <c r="A35" s="128" t="n">
        <v>46158</v>
      </c>
      <c r="B35" s="129" t="inlineStr">
        <is>
          <t>TDPOWERSYS</t>
        </is>
      </c>
      <c r="C35" s="129" t="inlineStr">
        <is>
          <t>Orange</t>
        </is>
      </c>
      <c r="D35" s="129" t="e">
        <v>#VALUE!</v>
      </c>
      <c r="E35" s="130">
        <f t="array" ref="E35">_FV(D35,"Price")</f>
        <v/>
      </c>
      <c r="F35" s="131">
        <f t="array" ref="F35">_FV(D35,"Previous close",TRUE)</f>
        <v/>
      </c>
      <c r="G35" s="117" t="n">
        <v>1318.6</v>
      </c>
      <c r="H35" s="117" t="n">
        <v>1176.11</v>
      </c>
      <c r="I35" s="117" t="n">
        <v>1143.8</v>
      </c>
      <c r="J35" s="117" t="n">
        <v>1018.52</v>
      </c>
      <c r="K35" s="115" t="n"/>
      <c r="L35" s="115" t="n"/>
      <c r="M35" s="115" t="n"/>
      <c r="N35" s="115" t="n"/>
      <c r="O35" s="115" t="n"/>
      <c r="P35" s="115" t="n"/>
      <c r="Q35" s="115" t="n"/>
    </row>
    <row r="36">
      <c r="A36" s="128" t="n">
        <v>46158</v>
      </c>
      <c r="B36" s="129" t="inlineStr">
        <is>
          <t>MTARTECH</t>
        </is>
      </c>
      <c r="C36" s="129" t="inlineStr">
        <is>
          <t>Orange</t>
        </is>
      </c>
      <c r="D36" s="129" t="e">
        <v>#VALUE!</v>
      </c>
      <c r="E36" s="130">
        <f t="array" ref="E36">_FV(D36,"Price")</f>
        <v/>
      </c>
      <c r="F36" s="131">
        <f t="array" ref="F36">_FV(D36,"Previous close",TRUE)</f>
        <v/>
      </c>
      <c r="G36" s="117" t="n">
        <v>7879.5</v>
      </c>
      <c r="H36" s="117" t="n">
        <v>6506.47</v>
      </c>
      <c r="I36" s="117" t="n">
        <v>6210.04</v>
      </c>
      <c r="J36" s="117" t="n">
        <v>5134.94</v>
      </c>
      <c r="K36" s="115" t="n"/>
      <c r="L36" s="115" t="n"/>
      <c r="M36" s="115" t="n"/>
      <c r="N36" s="115" t="n"/>
      <c r="O36" s="115" t="n"/>
      <c r="P36" s="115" t="n"/>
      <c r="Q36" s="115" t="n"/>
    </row>
    <row r="37">
      <c r="A37" s="128" t="n">
        <v>46158</v>
      </c>
      <c r="B37" s="129" t="inlineStr">
        <is>
          <t>MCX</t>
        </is>
      </c>
      <c r="C37" s="129" t="inlineStr">
        <is>
          <t>Orange</t>
        </is>
      </c>
      <c r="D37" s="129" t="e">
        <v>#VALUE!</v>
      </c>
      <c r="E37" s="130">
        <f t="array" ref="E37">_FV(D37,"Price")</f>
        <v/>
      </c>
      <c r="F37" s="131">
        <f t="array" ref="F37">_FV(D37,"Previous close",TRUE)</f>
        <v/>
      </c>
      <c r="G37" s="117" t="n">
        <v>2954.5</v>
      </c>
      <c r="H37" s="117" t="n">
        <v>2940.36</v>
      </c>
      <c r="I37" s="117" t="n">
        <v>2897.27</v>
      </c>
      <c r="J37" s="117" t="n">
        <v>2690.47</v>
      </c>
      <c r="K37" s="115" t="n"/>
      <c r="L37" s="115" t="n"/>
      <c r="M37" s="115" t="n"/>
      <c r="N37" s="115" t="n"/>
      <c r="O37" s="115" t="n"/>
      <c r="P37" s="115" t="n"/>
      <c r="Q37" s="115" t="n"/>
    </row>
    <row r="38">
      <c r="A38" s="128" t="n">
        <v>46158</v>
      </c>
      <c r="B38" s="129" t="inlineStr">
        <is>
          <t>BBOX</t>
        </is>
      </c>
      <c r="C38" s="129" t="inlineStr">
        <is>
          <t>Orange</t>
        </is>
      </c>
      <c r="D38" s="129" t="e">
        <v>#VALUE!</v>
      </c>
      <c r="E38" s="130">
        <f t="array" ref="E38">_FV(D38,"Price")</f>
        <v/>
      </c>
      <c r="F38" s="131">
        <f t="array" ref="F38">_FV(D38,"Previous close",TRUE)</f>
        <v/>
      </c>
      <c r="G38" s="117" t="n">
        <v>1037.15</v>
      </c>
      <c r="H38" s="117" t="n">
        <v>823.6799999999999</v>
      </c>
      <c r="I38" s="117" t="n">
        <v>787.59</v>
      </c>
      <c r="J38" s="117" t="n">
        <v>685.09</v>
      </c>
      <c r="K38" s="115" t="n"/>
      <c r="L38" s="115" t="n"/>
      <c r="M38" s="115" t="n"/>
      <c r="N38" s="115" t="n"/>
      <c r="O38" s="115" t="n"/>
      <c r="P38" s="115" t="n"/>
      <c r="Q38" s="115" t="n"/>
    </row>
    <row r="39">
      <c r="A39" s="128" t="n">
        <v>46158</v>
      </c>
      <c r="B39" s="129" t="inlineStr">
        <is>
          <t>WHEELS</t>
        </is>
      </c>
      <c r="C39" s="129" t="inlineStr">
        <is>
          <t>Orange</t>
        </is>
      </c>
      <c r="D39" s="129" t="e">
        <v>#VALUE!</v>
      </c>
      <c r="E39" s="130">
        <f t="array" ref="E39">_FV(D39,"Price")</f>
        <v/>
      </c>
      <c r="F39" s="131">
        <f t="array" ref="F39">_FV(D39,"Previous close",TRUE)</f>
        <v/>
      </c>
      <c r="G39" s="117" t="n">
        <v>1575.8</v>
      </c>
      <c r="H39" s="117" t="n">
        <v>1371.31</v>
      </c>
      <c r="I39" s="117" t="n">
        <v>1325.4</v>
      </c>
      <c r="J39" s="117" t="n">
        <v>1171.7</v>
      </c>
      <c r="K39" s="115" t="n"/>
      <c r="L39" s="115" t="n"/>
      <c r="M39" s="115" t="n"/>
      <c r="N39" s="115" t="n"/>
      <c r="O39" s="115" t="n"/>
      <c r="P39" s="115" t="n"/>
      <c r="Q39" s="115" t="n"/>
    </row>
    <row r="40">
      <c r="A40" s="128" t="n">
        <v>46158</v>
      </c>
      <c r="B40" s="129" t="inlineStr">
        <is>
          <t>STLTECH</t>
        </is>
      </c>
      <c r="C40" s="129" t="inlineStr">
        <is>
          <t>Orange</t>
        </is>
      </c>
      <c r="D40" s="129" t="e">
        <v>#VALUE!</v>
      </c>
      <c r="E40" s="130">
        <f t="array" ref="E40">_FV(D40,"Price")</f>
        <v/>
      </c>
      <c r="F40" s="131">
        <f t="array" ref="F40">_FV(D40,"Previous close",TRUE)</f>
        <v/>
      </c>
      <c r="G40" s="117" t="n">
        <v>536.15</v>
      </c>
      <c r="H40" s="117" t="n">
        <v>408.71</v>
      </c>
      <c r="I40" s="117" t="n">
        <v>381.86</v>
      </c>
      <c r="J40" s="117" t="n">
        <v>296.71</v>
      </c>
      <c r="K40" s="115" t="n"/>
      <c r="L40" s="115" t="n"/>
      <c r="M40" s="115" t="n"/>
      <c r="N40" s="115" t="n"/>
      <c r="O40" s="115" t="n"/>
      <c r="P40" s="115" t="n"/>
      <c r="Q40" s="115" t="n"/>
    </row>
    <row r="41">
      <c r="A41" s="128" t="n">
        <v>46158</v>
      </c>
      <c r="B41" s="129" t="inlineStr">
        <is>
          <t>CUPID</t>
        </is>
      </c>
      <c r="C41" s="129" t="inlineStr">
        <is>
          <t>Orange</t>
        </is>
      </c>
      <c r="D41" s="129" t="e">
        <v>#VALUE!</v>
      </c>
      <c r="E41" s="130">
        <f t="array" ref="E41">_FV(D41,"Price")</f>
        <v/>
      </c>
      <c r="F41" s="131">
        <f t="array" ref="F41">_FV(D41,"Previous close",TRUE)</f>
        <v/>
      </c>
      <c r="G41" s="117" t="n">
        <v>129.06</v>
      </c>
      <c r="H41" s="117" t="n">
        <v>117.3</v>
      </c>
      <c r="I41" s="117" t="n">
        <v>114.21</v>
      </c>
      <c r="J41" s="117" t="n">
        <v>101.57</v>
      </c>
      <c r="K41" s="115" t="n"/>
      <c r="L41" s="115" t="n"/>
      <c r="M41" s="115" t="n"/>
      <c r="N41" s="115" t="n"/>
      <c r="O41" s="115" t="n"/>
      <c r="P41" s="115" t="n"/>
      <c r="Q41" s="115" t="n"/>
    </row>
    <row r="42">
      <c r="A42" s="128" t="n">
        <v>46158</v>
      </c>
      <c r="B42" s="129" t="inlineStr">
        <is>
          <t>LAURUSLABS</t>
        </is>
      </c>
      <c r="C42" s="129" t="inlineStr">
        <is>
          <t>Orange</t>
        </is>
      </c>
      <c r="D42" s="129" t="e">
        <v>#VALUE!</v>
      </c>
      <c r="E42" s="130">
        <f t="array" ref="E42">_FV(D42,"Price")</f>
        <v/>
      </c>
      <c r="F42" s="131">
        <f t="array" ref="F42">_FV(D42,"Previous close",TRUE)</f>
        <v/>
      </c>
      <c r="G42" s="117" t="n">
        <v>1362</v>
      </c>
      <c r="H42" s="117" t="n">
        <v>1254.02</v>
      </c>
      <c r="I42" s="117" t="n">
        <v>1229.67</v>
      </c>
      <c r="J42" s="117" t="n">
        <v>1147.84</v>
      </c>
      <c r="K42" s="115" t="n"/>
      <c r="L42" s="115" t="n"/>
      <c r="M42" s="115" t="n"/>
      <c r="N42" s="115" t="n"/>
      <c r="O42" s="115" t="n"/>
      <c r="P42" s="115" t="n"/>
      <c r="Q42" s="115" t="n"/>
    </row>
    <row r="43">
      <c r="A43" s="128" t="n">
        <v>46158</v>
      </c>
      <c r="B43" s="129" t="inlineStr">
        <is>
          <t>KIRLOSENG</t>
        </is>
      </c>
      <c r="C43" s="129" t="inlineStr">
        <is>
          <t>Orange</t>
        </is>
      </c>
      <c r="D43" s="129" t="e">
        <v>#VALUE!</v>
      </c>
      <c r="E43" s="130">
        <f t="array" ref="E43">_FV(D43,"Price")</f>
        <v/>
      </c>
      <c r="F43" s="131">
        <f t="array" ref="F43">_FV(D43,"Previous close",TRUE)</f>
        <v/>
      </c>
      <c r="G43" s="117" t="n">
        <v>1928</v>
      </c>
      <c r="H43" s="117" t="n">
        <v>1707.89</v>
      </c>
      <c r="I43" s="117" t="n">
        <v>1672.41</v>
      </c>
      <c r="J43" s="117" t="n">
        <v>1529.2</v>
      </c>
      <c r="K43" s="115" t="n"/>
      <c r="L43" s="115" t="n"/>
      <c r="M43" s="115" t="n"/>
      <c r="N43" s="115" t="n"/>
      <c r="O43" s="115" t="n"/>
      <c r="P43" s="115" t="n"/>
      <c r="Q43" s="115" t="n"/>
    </row>
    <row r="44">
      <c r="A44" s="128" t="n">
        <v>46158</v>
      </c>
      <c r="B44" s="129" t="inlineStr">
        <is>
          <t>BSE</t>
        </is>
      </c>
      <c r="C44" s="129" t="inlineStr">
        <is>
          <t>Orange</t>
        </is>
      </c>
      <c r="D44" s="129" t="e">
        <v>#VALUE!</v>
      </c>
      <c r="E44" s="130">
        <f t="array" ref="E44">_FV(D44,"Price")</f>
        <v/>
      </c>
      <c r="F44" s="131">
        <f t="array" ref="F44">_FV(D44,"Previous close",TRUE)</f>
        <v/>
      </c>
      <c r="G44" s="117" t="n">
        <v>4146.1</v>
      </c>
      <c r="H44" s="117" t="n">
        <v>3769.07</v>
      </c>
      <c r="I44" s="117" t="n">
        <v>3684.5</v>
      </c>
      <c r="J44" s="117" t="n">
        <v>3375.34</v>
      </c>
      <c r="K44" s="115" t="n"/>
      <c r="L44" s="115" t="n"/>
      <c r="M44" s="115" t="n"/>
      <c r="N44" s="115" t="n"/>
      <c r="O44" s="115" t="n"/>
      <c r="P44" s="115" t="n"/>
      <c r="Q44" s="115" t="n"/>
    </row>
    <row r="45">
      <c r="A45" s="128" t="n">
        <v>46158</v>
      </c>
      <c r="B45" s="129" t="inlineStr">
        <is>
          <t>CUMMINSIND</t>
        </is>
      </c>
      <c r="C45" s="129" t="inlineStr">
        <is>
          <t>Orange</t>
        </is>
      </c>
      <c r="D45" s="129" t="e">
        <v>#VALUE!</v>
      </c>
      <c r="E45" s="130">
        <f t="array" ref="E45">_FV(D45,"Price")</f>
        <v/>
      </c>
      <c r="F45" s="131">
        <f t="array" ref="F45">_FV(D45,"Previous close",TRUE)</f>
        <v/>
      </c>
      <c r="G45" s="117" t="n">
        <v>5881</v>
      </c>
      <c r="H45" s="117" t="n">
        <v>5385.91</v>
      </c>
      <c r="I45" s="117" t="n">
        <v>5308.99</v>
      </c>
      <c r="J45" s="117" t="n">
        <v>5008.01</v>
      </c>
      <c r="K45" s="115" t="n"/>
      <c r="L45" s="115" t="n"/>
      <c r="M45" s="115" t="n"/>
      <c r="N45" s="115" t="n"/>
      <c r="O45" s="115" t="n"/>
      <c r="P45" s="115" t="n"/>
      <c r="Q45" s="115" t="n"/>
    </row>
    <row r="46">
      <c r="A46" s="128" t="n">
        <v>46158</v>
      </c>
      <c r="B46" s="129" t="inlineStr">
        <is>
          <t>ADANIPORTS</t>
        </is>
      </c>
      <c r="C46" s="129" t="inlineStr">
        <is>
          <t>Orange</t>
        </is>
      </c>
      <c r="D46" s="129" t="e">
        <v>#VALUE!</v>
      </c>
      <c r="E46" s="130">
        <f t="array" ref="E46">_FV(D46,"Price")</f>
        <v/>
      </c>
      <c r="F46" s="131">
        <f t="array" ref="F46">_FV(D46,"Previous close",TRUE)</f>
        <v/>
      </c>
      <c r="G46" s="117" t="n">
        <v>1804.6</v>
      </c>
      <c r="H46" s="117" t="n">
        <v>1705.08</v>
      </c>
      <c r="I46" s="117" t="n">
        <v>1679.34</v>
      </c>
      <c r="J46" s="117" t="n">
        <v>1597.81</v>
      </c>
      <c r="K46" s="115" t="n"/>
      <c r="L46" s="115" t="n"/>
      <c r="M46" s="115" t="n"/>
      <c r="N46" s="115" t="n"/>
      <c r="O46" s="115" t="n"/>
      <c r="P46" s="115" t="n"/>
      <c r="Q46" s="115" t="n"/>
    </row>
    <row r="47">
      <c r="A47" s="128" t="n">
        <v>46158</v>
      </c>
      <c r="B47" s="129" t="inlineStr">
        <is>
          <t>SAKAR</t>
        </is>
      </c>
      <c r="C47" s="129" t="inlineStr">
        <is>
          <t>Orange</t>
        </is>
      </c>
      <c r="D47" s="129" t="e">
        <v>#VALUE!</v>
      </c>
      <c r="E47" s="130">
        <f t="array" ref="E47">_FV(D47,"Price")</f>
        <v/>
      </c>
      <c r="F47" s="131">
        <f t="array" ref="F47">_FV(D47,"Previous close",TRUE)</f>
        <v/>
      </c>
      <c r="G47" s="117" t="n">
        <v>796.5</v>
      </c>
      <c r="H47" s="117" t="n">
        <v>693.3099999999999</v>
      </c>
      <c r="I47" s="117" t="n">
        <v>671.08</v>
      </c>
      <c r="J47" s="117" t="n">
        <v>592.9</v>
      </c>
      <c r="K47" s="115" t="n"/>
      <c r="L47" s="115" t="n"/>
      <c r="M47" s="115" t="n"/>
      <c r="N47" s="115" t="n"/>
      <c r="O47" s="115" t="n"/>
      <c r="P47" s="115" t="n"/>
      <c r="Q47" s="115" t="n"/>
    </row>
    <row r="48">
      <c r="A48" s="128" t="n">
        <v>46158</v>
      </c>
      <c r="B48" s="129" t="inlineStr">
        <is>
          <t>MANINDS</t>
        </is>
      </c>
      <c r="C48" s="129" t="inlineStr">
        <is>
          <t>Orange</t>
        </is>
      </c>
      <c r="D48" s="129" t="e">
        <v>#VALUE!</v>
      </c>
      <c r="E48" s="130">
        <f t="array" ref="E48">_FV(D48,"Price")</f>
        <v/>
      </c>
      <c r="F48" s="131">
        <f t="array" ref="F48">_FV(D48,"Previous close",TRUE)</f>
        <v/>
      </c>
      <c r="G48" s="117" t="n">
        <v>500.5</v>
      </c>
      <c r="H48" s="117" t="n">
        <v>506.18</v>
      </c>
      <c r="I48" s="117" t="n">
        <v>498.2</v>
      </c>
      <c r="J48" s="117" t="n">
        <v>467.36</v>
      </c>
      <c r="K48" s="115" t="n"/>
      <c r="L48" s="115" t="n"/>
      <c r="M48" s="115" t="n"/>
      <c r="N48" s="115" t="n"/>
      <c r="O48" s="115" t="n"/>
      <c r="P48" s="115" t="n"/>
      <c r="Q48" s="115" t="n"/>
    </row>
    <row r="49">
      <c r="A49" s="128" t="n">
        <v>46158</v>
      </c>
      <c r="B49" s="129" t="inlineStr">
        <is>
          <t>VIJAYA</t>
        </is>
      </c>
      <c r="C49" s="129" t="inlineStr">
        <is>
          <t>Orange</t>
        </is>
      </c>
      <c r="D49" s="129" t="e">
        <v>#VALUE!</v>
      </c>
      <c r="E49" s="130">
        <f t="array" ref="E49">_FV(D49,"Price")</f>
        <v/>
      </c>
      <c r="F49" s="131">
        <f t="array" ref="F49">_FV(D49,"Previous close",TRUE)</f>
        <v/>
      </c>
      <c r="G49" s="117" t="n">
        <v>1308.5</v>
      </c>
      <c r="H49" s="117" t="n">
        <v>1201.87</v>
      </c>
      <c r="I49" s="117" t="n">
        <v>1177.69</v>
      </c>
      <c r="J49" s="117" t="n">
        <v>1108.12</v>
      </c>
      <c r="K49" s="115" t="n"/>
      <c r="L49" s="115" t="n"/>
      <c r="M49" s="115" t="n"/>
      <c r="N49" s="115" t="n"/>
      <c r="O49" s="115" t="n"/>
      <c r="P49" s="115" t="n"/>
      <c r="Q49" s="115" t="n"/>
    </row>
    <row r="50">
      <c r="A50" s="128" t="n">
        <v>46158</v>
      </c>
      <c r="B50" s="129" t="inlineStr">
        <is>
          <t>ACUTAAS</t>
        </is>
      </c>
      <c r="C50" s="129" t="inlineStr">
        <is>
          <t>Orange</t>
        </is>
      </c>
      <c r="D50" s="129" t="e">
        <v>#VALUE!</v>
      </c>
      <c r="E50" s="130">
        <f t="array" ref="E50">_FV(D50,"Price")</f>
        <v/>
      </c>
      <c r="F50" s="131">
        <f t="array" ref="F50">_FV(D50,"Previous close",TRUE)</f>
        <v/>
      </c>
      <c r="G50" s="117" t="n">
        <v>3132.5</v>
      </c>
      <c r="H50" s="117" t="n">
        <v>2755.15</v>
      </c>
      <c r="I50" s="117" t="n">
        <v>2687.67</v>
      </c>
      <c r="J50" s="117" t="n">
        <v>2426.15</v>
      </c>
      <c r="K50" s="115" t="n"/>
      <c r="L50" s="115" t="n"/>
      <c r="M50" s="115" t="n"/>
      <c r="N50" s="115" t="n"/>
      <c r="O50" s="115" t="n"/>
      <c r="P50" s="115" t="n"/>
      <c r="Q50" s="115" t="n"/>
    </row>
    <row r="51">
      <c r="A51" s="128" t="n">
        <v>46158</v>
      </c>
      <c r="B51" s="129" t="inlineStr">
        <is>
          <t>BHARATFORG</t>
        </is>
      </c>
      <c r="C51" s="129" t="inlineStr">
        <is>
          <t>Orange</t>
        </is>
      </c>
      <c r="D51" s="129" t="e">
        <v>#VALUE!</v>
      </c>
      <c r="E51" s="130">
        <f t="array" ref="E51">_FV(D51,"Price")</f>
        <v/>
      </c>
      <c r="F51" s="131">
        <f t="array" ref="F51">_FV(D51,"Previous close",TRUE)</f>
        <v/>
      </c>
      <c r="G51" s="117" t="n">
        <v>1957.2</v>
      </c>
      <c r="H51" s="117" t="n">
        <v>1881.04</v>
      </c>
      <c r="I51" s="117" t="n">
        <v>1862.67</v>
      </c>
      <c r="J51" s="117" t="n">
        <v>1766.47</v>
      </c>
      <c r="K51" s="115" t="n"/>
      <c r="L51" s="115" t="n"/>
      <c r="M51" s="115" t="n"/>
      <c r="N51" s="115" t="n"/>
      <c r="O51" s="115" t="n"/>
      <c r="P51" s="115" t="n"/>
      <c r="Q51" s="115" t="n"/>
    </row>
    <row r="52">
      <c r="A52" s="128" t="n">
        <v>46158</v>
      </c>
      <c r="B52" s="129" t="inlineStr">
        <is>
          <t>RADICO</t>
        </is>
      </c>
      <c r="C52" s="129" t="inlineStr">
        <is>
          <t>Orange</t>
        </is>
      </c>
      <c r="D52" s="129" t="e">
        <v>#VALUE!</v>
      </c>
      <c r="E52" s="130">
        <f t="array" ref="E52">_FV(D52,"Price")</f>
        <v/>
      </c>
      <c r="F52" s="131">
        <f t="array" ref="F52">_FV(D52,"Previous close",TRUE)</f>
        <v/>
      </c>
      <c r="G52" s="117" t="n">
        <v>3518.6</v>
      </c>
      <c r="H52" s="117" t="n">
        <v>3344.67</v>
      </c>
      <c r="I52" s="117" t="n">
        <v>3296.8</v>
      </c>
      <c r="J52" s="117" t="n">
        <v>3155.91</v>
      </c>
      <c r="K52" s="115" t="n"/>
      <c r="L52" s="115" t="n"/>
      <c r="M52" s="115" t="n"/>
      <c r="N52" s="115" t="n"/>
      <c r="O52" s="115" t="n"/>
      <c r="P52" s="115" t="n"/>
      <c r="Q52" s="115" t="n"/>
    </row>
    <row r="53">
      <c r="A53" s="128" t="n">
        <v>46158</v>
      </c>
      <c r="B53" s="129" t="inlineStr">
        <is>
          <t>NATIONALUM</t>
        </is>
      </c>
      <c r="C53" s="129" t="inlineStr">
        <is>
          <t>Orange</t>
        </is>
      </c>
      <c r="D53" s="129" t="e">
        <v>#VALUE!</v>
      </c>
      <c r="E53" s="130">
        <f t="array" ref="E53">_FV(D53,"Price")</f>
        <v/>
      </c>
      <c r="F53" s="131">
        <f t="array" ref="F53">_FV(D53,"Previous close",TRUE)</f>
        <v/>
      </c>
      <c r="G53" s="117" t="n">
        <v>424.45</v>
      </c>
      <c r="H53" s="117" t="n">
        <v>412.03</v>
      </c>
      <c r="I53" s="117" t="n">
        <v>407.59</v>
      </c>
      <c r="J53" s="117" t="n">
        <v>381.71</v>
      </c>
      <c r="K53" s="115" t="n"/>
      <c r="L53" s="115" t="n"/>
      <c r="M53" s="115" t="n"/>
      <c r="N53" s="115" t="n"/>
      <c r="O53" s="115" t="n"/>
      <c r="P53" s="115" t="n"/>
      <c r="Q53" s="115" t="n"/>
    </row>
    <row r="54">
      <c r="A54" s="128" t="n">
        <v>46158</v>
      </c>
      <c r="B54" s="129" t="inlineStr">
        <is>
          <t>GESHIP</t>
        </is>
      </c>
      <c r="C54" s="129" t="inlineStr">
        <is>
          <t>Orange</t>
        </is>
      </c>
      <c r="D54" s="129" t="e">
        <v>#VALUE!</v>
      </c>
      <c r="E54" s="130">
        <f t="array" ref="E54">_FV(D54,"Price")</f>
        <v/>
      </c>
      <c r="F54" s="131">
        <f t="array" ref="F54">_FV(D54,"Previous close",TRUE)</f>
        <v/>
      </c>
      <c r="G54" s="117" t="n">
        <v>1418.9</v>
      </c>
      <c r="H54" s="117" t="n">
        <v>1491.69</v>
      </c>
      <c r="I54" s="117" t="n">
        <v>1476.21</v>
      </c>
      <c r="J54" s="117" t="n">
        <v>1394.46</v>
      </c>
      <c r="K54" s="115" t="n"/>
      <c r="L54" s="115" t="n"/>
      <c r="M54" s="115" t="n"/>
      <c r="N54" s="115" t="n"/>
      <c r="O54" s="115" t="n"/>
      <c r="P54" s="115" t="n"/>
      <c r="Q54" s="115" t="n"/>
    </row>
    <row r="55">
      <c r="A55" s="128" t="n">
        <v>46158</v>
      </c>
      <c r="B55" s="129" t="inlineStr">
        <is>
          <t>ATHERENERG</t>
        </is>
      </c>
      <c r="C55" s="129" t="inlineStr">
        <is>
          <t>Orange</t>
        </is>
      </c>
      <c r="D55" s="129" t="e">
        <v>#VALUE!</v>
      </c>
      <c r="E55" s="130">
        <f t="array" ref="E55">_FV(D55,"Price")</f>
        <v/>
      </c>
      <c r="F55" s="131">
        <f t="array" ref="F55">_FV(D55,"Previous close",TRUE)</f>
        <v/>
      </c>
      <c r="G55" s="117" t="n">
        <v>964.1</v>
      </c>
      <c r="H55" s="117" t="n">
        <v>900.84</v>
      </c>
      <c r="I55" s="117" t="n">
        <v>885.38</v>
      </c>
      <c r="J55" s="117" t="n">
        <v>819.16</v>
      </c>
      <c r="K55" s="115" t="n"/>
      <c r="L55" s="115" t="n"/>
      <c r="M55" s="115" t="n"/>
      <c r="N55" s="115" t="n"/>
      <c r="O55" s="115" t="n"/>
      <c r="P55" s="115" t="n"/>
      <c r="Q55" s="115" t="n"/>
    </row>
    <row r="56">
      <c r="A56" s="128" t="n">
        <v>46158</v>
      </c>
      <c r="B56" s="129" t="inlineStr">
        <is>
          <t>KEI</t>
        </is>
      </c>
      <c r="C56" s="129" t="inlineStr">
        <is>
          <t>Orange</t>
        </is>
      </c>
      <c r="D56" s="129" t="e">
        <v>#VALUE!</v>
      </c>
      <c r="E56" s="130">
        <f t="array" ref="E56">_FV(D56,"Price")</f>
        <v/>
      </c>
      <c r="F56" s="131">
        <f t="array" ref="F56">_FV(D56,"Previous close",TRUE)</f>
        <v/>
      </c>
      <c r="G56" s="117" t="n">
        <v>5267.5</v>
      </c>
      <c r="H56" s="117" t="n">
        <v>5012.85</v>
      </c>
      <c r="I56" s="117" t="n">
        <v>4951.08</v>
      </c>
      <c r="J56" s="117" t="n">
        <v>4728.62</v>
      </c>
      <c r="K56" s="115" t="n"/>
      <c r="L56" s="115" t="n"/>
      <c r="M56" s="115" t="n"/>
      <c r="N56" s="115" t="n"/>
      <c r="O56" s="115" t="n"/>
      <c r="P56" s="115" t="n"/>
      <c r="Q56" s="115" t="n"/>
    </row>
    <row r="57">
      <c r="A57" s="128" t="n">
        <v>46158</v>
      </c>
      <c r="B57" s="129" t="inlineStr">
        <is>
          <t>ANANDRATHI</t>
        </is>
      </c>
      <c r="C57" s="129" t="inlineStr">
        <is>
          <t>Orange</t>
        </is>
      </c>
      <c r="D57" s="129" t="e">
        <v>#VALUE!</v>
      </c>
      <c r="E57" s="130">
        <f t="array" ref="E57">_FV(D57,"Price")</f>
        <v/>
      </c>
      <c r="F57" s="131">
        <f t="array" ref="F57">_FV(D57,"Previous close",TRUE)</f>
        <v/>
      </c>
      <c r="G57" s="117" t="n">
        <v>1725.35</v>
      </c>
      <c r="H57" s="117" t="n">
        <v>1744.08</v>
      </c>
      <c r="I57" s="117" t="n">
        <v>1730.07</v>
      </c>
      <c r="J57" s="117" t="n">
        <v>1662.27</v>
      </c>
      <c r="K57" s="115" t="n"/>
      <c r="L57" s="115" t="n"/>
      <c r="M57" s="115" t="n"/>
      <c r="N57" s="115" t="n"/>
      <c r="O57" s="115" t="n"/>
      <c r="P57" s="115" t="n"/>
      <c r="Q57" s="115" t="n"/>
    </row>
    <row r="58">
      <c r="A58" s="128" t="n">
        <v>46158</v>
      </c>
      <c r="B58" s="129" t="inlineStr">
        <is>
          <t>VEDL</t>
        </is>
      </c>
      <c r="C58" s="129" t="inlineStr">
        <is>
          <t>Orange</t>
        </is>
      </c>
      <c r="D58" s="129" t="e">
        <v>#VALUE!</v>
      </c>
      <c r="E58" s="130">
        <f t="array" ref="E58">_FV(D58,"Price")</f>
        <v/>
      </c>
      <c r="F58" s="131">
        <f t="array" ref="F58">_FV(D58,"Previous close",TRUE)</f>
        <v/>
      </c>
      <c r="G58" s="117" t="n">
        <v>352.6</v>
      </c>
      <c r="H58" s="117" t="n">
        <v>426.74</v>
      </c>
      <c r="I58" s="117" t="n">
        <v>450.59</v>
      </c>
      <c r="J58" s="117" t="n">
        <v>510.33</v>
      </c>
      <c r="K58" s="115" t="n"/>
      <c r="L58" s="115" t="n"/>
      <c r="M58" s="115" t="n"/>
      <c r="N58" s="115" t="n"/>
      <c r="O58" s="115" t="n"/>
      <c r="P58" s="115" t="n"/>
      <c r="Q58" s="115" t="n"/>
    </row>
    <row r="59">
      <c r="A59" s="128" t="n">
        <v>46158</v>
      </c>
      <c r="B59" s="129" t="inlineStr">
        <is>
          <t>KRISHANA</t>
        </is>
      </c>
      <c r="C59" s="129" t="inlineStr">
        <is>
          <t>Orange</t>
        </is>
      </c>
      <c r="D59" s="129" t="e">
        <v>#VALUE!</v>
      </c>
      <c r="E59" s="130">
        <f t="array" ref="E59">_FV(D59,"Price")</f>
        <v/>
      </c>
      <c r="F59" s="131">
        <f t="array" ref="F59">_FV(D59,"Previous close",TRUE)</f>
        <v/>
      </c>
      <c r="G59" s="117" t="n">
        <v>668.1</v>
      </c>
      <c r="H59" s="117" t="n">
        <v>640.95</v>
      </c>
      <c r="I59" s="117" t="n">
        <v>629.37</v>
      </c>
      <c r="J59" s="117" t="n">
        <v>589.08</v>
      </c>
      <c r="K59" s="115" t="n"/>
      <c r="L59" s="115" t="n"/>
      <c r="M59" s="115" t="n"/>
      <c r="N59" s="115" t="n"/>
      <c r="O59" s="115" t="n"/>
      <c r="P59" s="115" t="n"/>
      <c r="Q59" s="115" t="n"/>
    </row>
    <row r="60">
      <c r="A60" s="128" t="n">
        <v>46158</v>
      </c>
      <c r="B60" s="129" t="inlineStr">
        <is>
          <t>ATLANTAELE</t>
        </is>
      </c>
      <c r="C60" s="129" t="inlineStr">
        <is>
          <t>Orange</t>
        </is>
      </c>
      <c r="D60" s="129" t="e">
        <v>#VALUE!</v>
      </c>
      <c r="E60" s="130">
        <f t="array" ref="E60">_FV(D60,"Price")</f>
        <v/>
      </c>
      <c r="F60" s="131">
        <f t="array" ref="F60">_FV(D60,"Previous close",TRUE)</f>
        <v/>
      </c>
      <c r="G60" s="117" t="n">
        <v>1971.9</v>
      </c>
      <c r="H60" s="117" t="n">
        <v>1682.66</v>
      </c>
      <c r="I60" s="117" t="n">
        <v>1622.53</v>
      </c>
      <c r="J60" s="117" t="n">
        <v>1409.99</v>
      </c>
      <c r="K60" s="115" t="n"/>
      <c r="L60" s="115" t="n"/>
      <c r="M60" s="115" t="n"/>
      <c r="N60" s="115" t="n"/>
      <c r="O60" s="115" t="n"/>
      <c r="P60" s="115" t="n"/>
      <c r="Q60" s="115" t="n"/>
    </row>
    <row r="61">
      <c r="A61" s="128" t="n">
        <v>46158</v>
      </c>
      <c r="B61" s="129" t="inlineStr">
        <is>
          <t>KRN</t>
        </is>
      </c>
      <c r="C61" s="129" t="inlineStr">
        <is>
          <t>Orange</t>
        </is>
      </c>
      <c r="D61" s="129" t="e">
        <v>#VALUE!</v>
      </c>
      <c r="E61" s="130">
        <f t="array" ref="E61">_FV(D61,"Price")</f>
        <v/>
      </c>
      <c r="F61" s="131">
        <f t="array" ref="F61">_FV(D61,"Previous close",TRUE)</f>
        <v/>
      </c>
      <c r="G61" s="117" t="n">
        <v>1107.3</v>
      </c>
      <c r="H61" s="117" t="n">
        <v>1117.25</v>
      </c>
      <c r="I61" s="117" t="n">
        <v>1100.41</v>
      </c>
      <c r="J61" s="117" t="n">
        <v>1021.45</v>
      </c>
      <c r="K61" s="115" t="n"/>
      <c r="L61" s="115" t="n"/>
      <c r="M61" s="115" t="n"/>
      <c r="N61" s="115" t="n"/>
      <c r="O61" s="115" t="n"/>
      <c r="P61" s="115" t="n"/>
      <c r="Q61" s="115" t="n"/>
    </row>
    <row r="62">
      <c r="A62" s="128" t="n">
        <v>46158</v>
      </c>
      <c r="B62" s="129" t="inlineStr">
        <is>
          <t>AZAD</t>
        </is>
      </c>
      <c r="C62" s="129" t="inlineStr">
        <is>
          <t>Orange</t>
        </is>
      </c>
      <c r="D62" s="129" t="e">
        <v>#VALUE!</v>
      </c>
      <c r="E62" s="130">
        <f t="array" ref="E62">_FV(D62,"Price")</f>
        <v/>
      </c>
      <c r="F62" s="131">
        <f t="array" ref="F62">_FV(D62,"Previous close",TRUE)</f>
        <v/>
      </c>
      <c r="G62" s="117" t="n">
        <v>2016.7</v>
      </c>
      <c r="H62" s="117" t="n">
        <v>1997.55</v>
      </c>
      <c r="I62" s="117" t="n">
        <v>1966.03</v>
      </c>
      <c r="J62" s="117" t="n">
        <v>1851.11</v>
      </c>
      <c r="K62" s="115" t="n"/>
      <c r="L62" s="115" t="n"/>
      <c r="M62" s="115" t="n"/>
      <c r="N62" s="115" t="n"/>
      <c r="O62" s="115" t="n"/>
      <c r="P62" s="115" t="n"/>
      <c r="Q62" s="115" t="n"/>
    </row>
    <row r="63">
      <c r="A63" s="128" t="n">
        <v>46158</v>
      </c>
      <c r="B63" s="129" t="inlineStr">
        <is>
          <t>SMSPHARMA</t>
        </is>
      </c>
      <c r="C63" s="129" t="inlineStr">
        <is>
          <t>Orange</t>
        </is>
      </c>
      <c r="D63" s="129" t="e">
        <v>#VALUE!</v>
      </c>
      <c r="E63" s="130">
        <f t="array" ref="E63">_FV(D63,"Price")</f>
        <v/>
      </c>
      <c r="F63" s="131">
        <f t="array" ref="F63">_FV(D63,"Previous close",TRUE)</f>
        <v/>
      </c>
      <c r="G63" s="117" t="n">
        <v>369.25</v>
      </c>
      <c r="H63" s="117" t="n">
        <v>384.64</v>
      </c>
      <c r="I63" s="117" t="n">
        <v>384.05</v>
      </c>
      <c r="J63" s="117" t="n">
        <v>371.27</v>
      </c>
      <c r="K63" s="115" t="n"/>
      <c r="L63" s="115" t="n"/>
      <c r="M63" s="115" t="n"/>
      <c r="N63" s="115" t="n"/>
      <c r="O63" s="115" t="n"/>
      <c r="P63" s="115" t="n"/>
      <c r="Q63" s="115" t="n"/>
    </row>
    <row r="64">
      <c r="A64" s="128" t="n">
        <v>46158</v>
      </c>
      <c r="B64" s="129" t="inlineStr">
        <is>
          <t>NAVINFLUOR</t>
        </is>
      </c>
      <c r="C64" s="129" t="inlineStr">
        <is>
          <t>Orange</t>
        </is>
      </c>
      <c r="D64" s="129" t="e">
        <v>#VALUE!</v>
      </c>
      <c r="E64" s="130">
        <f t="array" ref="E64">_FV(D64,"Price")</f>
        <v/>
      </c>
      <c r="F64" s="131">
        <f t="array" ref="F64">_FV(D64,"Previous close",TRUE)</f>
        <v/>
      </c>
      <c r="G64" s="117" t="n">
        <v>7129</v>
      </c>
      <c r="H64" s="117" t="n">
        <v>6835.15</v>
      </c>
      <c r="I64" s="117" t="n">
        <v>6765.35</v>
      </c>
      <c r="J64" s="117" t="n">
        <v>6479.58</v>
      </c>
      <c r="K64" s="115" t="n"/>
      <c r="L64" s="115" t="n"/>
      <c r="M64" s="115" t="n"/>
      <c r="N64" s="115" t="n"/>
      <c r="O64" s="115" t="n"/>
      <c r="P64" s="115" t="n"/>
      <c r="Q64" s="115" t="n"/>
    </row>
    <row r="65">
      <c r="A65" s="128" t="n">
        <v>46158</v>
      </c>
      <c r="B65" s="129" t="inlineStr">
        <is>
          <t>GRAPHITE</t>
        </is>
      </c>
      <c r="C65" s="129" t="inlineStr">
        <is>
          <t>Orange</t>
        </is>
      </c>
      <c r="D65" s="129" t="e">
        <v>#VALUE!</v>
      </c>
      <c r="E65" s="130">
        <f t="array" ref="E65">_FV(D65,"Price")</f>
        <v/>
      </c>
      <c r="F65" s="131">
        <f t="array" ref="F65">_FV(D65,"Previous close",TRUE)</f>
        <v/>
      </c>
      <c r="G65" s="117" t="n">
        <v>727.75</v>
      </c>
      <c r="H65" s="117" t="n">
        <v>716.24</v>
      </c>
      <c r="I65" s="117" t="n">
        <v>709.46</v>
      </c>
      <c r="J65" s="117" t="n">
        <v>679.3</v>
      </c>
      <c r="K65" s="115" t="n"/>
      <c r="L65" s="115" t="n"/>
      <c r="M65" s="115" t="n"/>
      <c r="N65" s="115" t="n"/>
      <c r="O65" s="115" t="n"/>
      <c r="P65" s="115" t="n"/>
      <c r="Q65" s="115" t="n"/>
    </row>
    <row r="66">
      <c r="A66" s="128" t="n">
        <v>46158</v>
      </c>
      <c r="B66" s="129" t="inlineStr">
        <is>
          <t>ASTERDM</t>
        </is>
      </c>
      <c r="C66" s="129" t="inlineStr">
        <is>
          <t>Orange</t>
        </is>
      </c>
      <c r="D66" s="129" t="e">
        <v>#VALUE!</v>
      </c>
      <c r="E66" s="130">
        <f t="array" ref="E66">_FV(D66,"Price")</f>
        <v/>
      </c>
      <c r="F66" s="131">
        <f t="array" ref="F66">_FV(D66,"Previous close",TRUE)</f>
        <v/>
      </c>
      <c r="G66" s="117" t="n">
        <v>728.35</v>
      </c>
      <c r="H66" s="117" t="n">
        <v>717.35</v>
      </c>
      <c r="I66" s="117" t="n">
        <v>710.45</v>
      </c>
      <c r="J66" s="117" t="n">
        <v>683.99</v>
      </c>
      <c r="K66" s="115" t="n"/>
      <c r="L66" s="115" t="n"/>
      <c r="M66" s="115" t="n"/>
      <c r="N66" s="115" t="n"/>
      <c r="O66" s="115" t="n"/>
      <c r="P66" s="115" t="n"/>
      <c r="Q66" s="115" t="n"/>
    </row>
    <row r="67">
      <c r="A67" s="128" t="n">
        <v>46158</v>
      </c>
      <c r="B67" s="129" t="inlineStr">
        <is>
          <t>NRBBEARING</t>
        </is>
      </c>
      <c r="C67" s="129" t="inlineStr">
        <is>
          <t>Green</t>
        </is>
      </c>
      <c r="D67" s="129" t="e">
        <v>#VALUE!</v>
      </c>
      <c r="E67" s="130">
        <f t="array" ref="E67">_FV(D67,"Price")</f>
        <v/>
      </c>
      <c r="F67" s="131">
        <f t="array" ref="F67">_FV(D67,"Previous close",TRUE)</f>
        <v/>
      </c>
      <c r="G67" s="117" t="n">
        <v>370</v>
      </c>
      <c r="H67" s="117" t="n">
        <v>327.13</v>
      </c>
      <c r="I67" s="117" t="n">
        <v>319.58</v>
      </c>
      <c r="J67" s="117" t="n">
        <v>298.27</v>
      </c>
      <c r="K67" s="115" t="n"/>
      <c r="L67" s="115" t="n"/>
      <c r="M67" s="115" t="n"/>
      <c r="N67" s="115" t="n"/>
      <c r="O67" s="115" t="n"/>
      <c r="P67" s="115" t="n"/>
      <c r="Q67" s="115" t="n"/>
    </row>
    <row r="68">
      <c r="A68" s="128" t="n">
        <v>46158</v>
      </c>
      <c r="B68" s="129" t="inlineStr">
        <is>
          <t>SOLARINDS</t>
        </is>
      </c>
      <c r="C68" s="129" t="inlineStr">
        <is>
          <t>Green</t>
        </is>
      </c>
      <c r="D68" s="129" t="e">
        <v>#VALUE!</v>
      </c>
      <c r="E68" s="130">
        <f t="array" ref="E68">_FV(D68,"Price")</f>
        <v/>
      </c>
      <c r="F68" s="131">
        <f t="array" ref="F68">_FV(D68,"Previous close",TRUE)</f>
        <v/>
      </c>
      <c r="G68" s="117" t="n">
        <v>18247</v>
      </c>
      <c r="H68" s="117" t="n">
        <v>16697.24</v>
      </c>
      <c r="I68" s="117" t="n">
        <v>16356.68</v>
      </c>
      <c r="J68" s="117" t="n">
        <v>15322.98</v>
      </c>
      <c r="K68" s="115" t="n"/>
      <c r="L68" s="115" t="n"/>
      <c r="M68" s="115" t="n"/>
      <c r="N68" s="115" t="n"/>
      <c r="O68" s="115" t="n"/>
      <c r="P68" s="115" t="n"/>
      <c r="Q68" s="115" t="n"/>
    </row>
    <row r="69">
      <c r="A69" s="128" t="n">
        <v>46158</v>
      </c>
      <c r="B69" s="129" t="inlineStr">
        <is>
          <t>SHAILY</t>
        </is>
      </c>
      <c r="C69" s="129" t="inlineStr">
        <is>
          <t>Green</t>
        </is>
      </c>
      <c r="D69" s="129" t="e">
        <v>#VALUE!</v>
      </c>
      <c r="E69" s="130">
        <f t="array" ref="E69">_FV(D69,"Price")</f>
        <v/>
      </c>
      <c r="F69" s="131">
        <f t="array" ref="F69">_FV(D69,"Previous close",TRUE)</f>
        <v/>
      </c>
      <c r="G69" s="117" t="n">
        <v>2989.5</v>
      </c>
      <c r="H69" s="117" t="n">
        <v>2657.4</v>
      </c>
      <c r="I69" s="117" t="n">
        <v>2596.25</v>
      </c>
      <c r="J69" s="117" t="n">
        <v>2424.3</v>
      </c>
      <c r="K69" s="115" t="n"/>
      <c r="L69" s="115" t="n"/>
      <c r="M69" s="115" t="n"/>
      <c r="N69" s="115" t="n"/>
      <c r="O69" s="115" t="n"/>
      <c r="P69" s="115" t="n"/>
      <c r="Q69" s="115" t="n"/>
    </row>
    <row r="70">
      <c r="A70" s="128" t="n">
        <v>46158</v>
      </c>
      <c r="B70" s="129" t="inlineStr">
        <is>
          <t>POCL</t>
        </is>
      </c>
      <c r="C70" s="129" t="inlineStr">
        <is>
          <t>Green</t>
        </is>
      </c>
      <c r="D70" s="129" t="e">
        <v>#VALUE!</v>
      </c>
      <c r="E70" s="130">
        <f t="array" ref="E70">_FV(D70,"Price")</f>
        <v/>
      </c>
      <c r="F70" s="131">
        <f t="array" ref="F70">_FV(D70,"Previous close",TRUE)</f>
        <v/>
      </c>
      <c r="G70" s="117" t="n">
        <v>1285.3</v>
      </c>
      <c r="H70" s="117" t="n">
        <v>1334.72</v>
      </c>
      <c r="I70" s="117" t="n">
        <v>1321.66</v>
      </c>
      <c r="J70" s="117" t="n">
        <v>1282.84</v>
      </c>
      <c r="K70" s="115" t="n"/>
      <c r="L70" s="115" t="n"/>
      <c r="M70" s="115" t="n"/>
      <c r="N70" s="115" t="n"/>
      <c r="O70" s="115" t="n"/>
      <c r="P70" s="115" t="n"/>
      <c r="Q70" s="115" t="n"/>
    </row>
    <row r="71">
      <c r="A71" s="128" t="n">
        <v>46158</v>
      </c>
      <c r="B71" s="129" t="inlineStr">
        <is>
          <t>SHILPAMED</t>
        </is>
      </c>
      <c r="C71" s="129" t="inlineStr">
        <is>
          <t>Green</t>
        </is>
      </c>
      <c r="D71" s="129" t="e">
        <v>#VALUE!</v>
      </c>
      <c r="E71" s="130">
        <f t="array" ref="E71">_FV(D71,"Price")</f>
        <v/>
      </c>
      <c r="F71" s="131">
        <f t="array" ref="F71">_FV(D71,"Previous close",TRUE)</f>
        <v/>
      </c>
      <c r="G71" s="117" t="n">
        <v>498.95</v>
      </c>
      <c r="H71" s="117" t="n">
        <v>456.01</v>
      </c>
      <c r="I71" s="117" t="n">
        <v>444.49</v>
      </c>
      <c r="J71" s="117" t="n">
        <v>409.44</v>
      </c>
      <c r="K71" s="115" t="n"/>
      <c r="L71" s="115" t="n"/>
      <c r="M71" s="115" t="n"/>
      <c r="N71" s="115" t="n"/>
      <c r="O71" s="115" t="n"/>
      <c r="P71" s="115" t="n"/>
      <c r="Q71" s="115" t="n"/>
    </row>
    <row r="72">
      <c r="A72" s="128" t="n">
        <v>46158</v>
      </c>
      <c r="B72" s="129" t="inlineStr">
        <is>
          <t>NMDC</t>
        </is>
      </c>
      <c r="C72" s="129" t="inlineStr">
        <is>
          <t>Green</t>
        </is>
      </c>
      <c r="D72" s="129" t="e">
        <v>#VALUE!</v>
      </c>
      <c r="E72" s="130">
        <f t="array" ref="E72">_FV(D72,"Price")</f>
        <v/>
      </c>
      <c r="F72" s="131">
        <f t="array" ref="F72">_FV(D72,"Previous close",TRUE)</f>
        <v/>
      </c>
      <c r="G72" s="117" t="n">
        <v>87.98999999999999</v>
      </c>
      <c r="H72" s="117" t="n">
        <v>88.81</v>
      </c>
      <c r="I72" s="117" t="n">
        <v>87.98</v>
      </c>
      <c r="J72" s="117" t="n">
        <v>84.62</v>
      </c>
      <c r="K72" s="115" t="n"/>
      <c r="L72" s="115" t="n"/>
      <c r="M72" s="115" t="n"/>
      <c r="N72" s="115" t="n"/>
      <c r="O72" s="115" t="n"/>
      <c r="P72" s="115" t="n"/>
      <c r="Q72" s="115" t="n"/>
    </row>
    <row r="73">
      <c r="A73" s="128" t="n">
        <v>46158</v>
      </c>
      <c r="B73" s="129" t="inlineStr">
        <is>
          <t>GRWRHITECH</t>
        </is>
      </c>
      <c r="C73" s="129" t="inlineStr">
        <is>
          <t>Green</t>
        </is>
      </c>
      <c r="D73" s="129" t="e">
        <v>#VALUE!</v>
      </c>
      <c r="E73" s="130">
        <f t="array" ref="E73">_FV(D73,"Price")</f>
        <v/>
      </c>
      <c r="F73" s="131">
        <f t="array" ref="F73">_FV(D73,"Previous close",TRUE)</f>
        <v/>
      </c>
      <c r="G73" s="117" t="n">
        <v>6117.9</v>
      </c>
      <c r="H73" s="117" t="n">
        <v>5094.03</v>
      </c>
      <c r="I73" s="117" t="n">
        <v>4938.55</v>
      </c>
      <c r="J73" s="117" t="n">
        <v>4459.39</v>
      </c>
      <c r="K73" s="115" t="n"/>
      <c r="L73" s="115" t="n"/>
      <c r="M73" s="115" t="n"/>
      <c r="N73" s="115" t="n"/>
      <c r="O73" s="115" t="n"/>
      <c r="P73" s="115" t="n"/>
      <c r="Q73" s="115" t="n"/>
    </row>
    <row r="74">
      <c r="A74" s="128" t="n">
        <v>46158</v>
      </c>
      <c r="B74" s="129" t="inlineStr">
        <is>
          <t>CGPOWER</t>
        </is>
      </c>
      <c r="C74" s="129" t="inlineStr">
        <is>
          <t>Green</t>
        </is>
      </c>
      <c r="D74" s="129" t="e">
        <v>#VALUE!</v>
      </c>
      <c r="E74" s="130">
        <f t="array" ref="E74">_FV(D74,"Price")</f>
        <v/>
      </c>
      <c r="F74" s="131">
        <f t="array" ref="F74">_FV(D74,"Previous close",TRUE)</f>
        <v/>
      </c>
      <c r="G74" s="117" t="n">
        <v>917.45</v>
      </c>
      <c r="H74" s="117" t="n">
        <v>841.28</v>
      </c>
      <c r="I74" s="117" t="n">
        <v>826.1900000000001</v>
      </c>
      <c r="J74" s="117" t="n">
        <v>776.88</v>
      </c>
      <c r="K74" s="115" t="n"/>
      <c r="L74" s="115" t="n"/>
      <c r="M74" s="115" t="n"/>
      <c r="N74" s="115" t="n"/>
      <c r="O74" s="115" t="n"/>
      <c r="P74" s="115" t="n"/>
      <c r="Q74" s="115" t="n"/>
    </row>
    <row r="75">
      <c r="A75" s="128" t="n">
        <v>46158</v>
      </c>
      <c r="B75" s="129" t="inlineStr">
        <is>
          <t>NYKAA</t>
        </is>
      </c>
      <c r="C75" s="129" t="inlineStr">
        <is>
          <t>Green</t>
        </is>
      </c>
      <c r="D75" s="129" t="e">
        <v>#VALUE!</v>
      </c>
      <c r="E75" s="130">
        <f t="array" ref="E75">_FV(D75,"Price")</f>
        <v/>
      </c>
      <c r="F75" s="131">
        <f t="array" ref="F75">_FV(D75,"Previous close",TRUE)</f>
        <v/>
      </c>
      <c r="G75" s="117" t="n">
        <v>262.3</v>
      </c>
      <c r="H75" s="117" t="n">
        <v>266.17</v>
      </c>
      <c r="I75" s="117" t="n">
        <v>265.06</v>
      </c>
      <c r="J75" s="117" t="n">
        <v>260.34</v>
      </c>
      <c r="K75" s="115" t="n"/>
      <c r="L75" s="115" t="n"/>
      <c r="M75" s="115" t="n"/>
      <c r="N75" s="115" t="n"/>
      <c r="O75" s="115" t="n"/>
      <c r="P75" s="115" t="n"/>
      <c r="Q75" s="115" t="n"/>
    </row>
    <row r="76">
      <c r="A76" s="128" t="n">
        <v>46158</v>
      </c>
      <c r="B76" s="129" t="inlineStr">
        <is>
          <t>ASTRAMICRO</t>
        </is>
      </c>
      <c r="C76" s="129" t="inlineStr">
        <is>
          <t>Green</t>
        </is>
      </c>
      <c r="D76" s="129" t="e">
        <v>#VALUE!</v>
      </c>
      <c r="E76" s="130">
        <f t="array" ref="E76">_FV(D76,"Price")</f>
        <v/>
      </c>
      <c r="F76" s="131">
        <f t="array" ref="F76">_FV(D76,"Previous close",TRUE)</f>
        <v/>
      </c>
      <c r="G76" s="117" t="n">
        <v>1401.7</v>
      </c>
      <c r="H76" s="117" t="n">
        <v>1185.22</v>
      </c>
      <c r="I76" s="117" t="n">
        <v>1160.83</v>
      </c>
      <c r="J76" s="117" t="n">
        <v>1090.33</v>
      </c>
      <c r="K76" s="115" t="n"/>
      <c r="L76" s="115" t="n"/>
      <c r="M76" s="115" t="n"/>
      <c r="N76" s="115" t="n"/>
      <c r="O76" s="115" t="n"/>
      <c r="P76" s="115" t="n"/>
      <c r="Q76" s="115" t="n"/>
    </row>
    <row r="77">
      <c r="A77" s="128" t="n">
        <v>46158</v>
      </c>
      <c r="B77" s="129" t="inlineStr">
        <is>
          <t>ANURAS</t>
        </is>
      </c>
      <c r="C77" s="129" t="inlineStr">
        <is>
          <t>Green</t>
        </is>
      </c>
      <c r="D77" s="129" t="e">
        <v>#VALUE!</v>
      </c>
      <c r="E77" s="130">
        <f t="array" ref="E77">_FV(D77,"Price")</f>
        <v/>
      </c>
      <c r="F77" s="131">
        <f t="array" ref="F77">_FV(D77,"Previous close",TRUE)</f>
        <v/>
      </c>
      <c r="G77" s="117" t="n">
        <v>1293.9</v>
      </c>
      <c r="H77" s="117" t="n">
        <v>1324.61</v>
      </c>
      <c r="I77" s="117" t="n">
        <v>1320.12</v>
      </c>
      <c r="J77" s="117" t="n">
        <v>1294.4</v>
      </c>
      <c r="K77" s="115" t="n"/>
      <c r="L77" s="115" t="n"/>
      <c r="M77" s="115" t="n"/>
      <c r="N77" s="115" t="n"/>
      <c r="O77" s="115" t="n"/>
      <c r="P77" s="115" t="n"/>
      <c r="Q77" s="115" t="n"/>
    </row>
    <row r="78">
      <c r="A78" s="128" t="n">
        <v>46158</v>
      </c>
      <c r="B78" s="129" t="inlineStr">
        <is>
          <t>HSCL</t>
        </is>
      </c>
      <c r="C78" s="129" t="inlineStr">
        <is>
          <t>Green</t>
        </is>
      </c>
      <c r="D78" s="129" t="e">
        <v>#VALUE!</v>
      </c>
      <c r="E78" s="130">
        <f t="array" ref="E78">_FV(D78,"Price")</f>
        <v/>
      </c>
      <c r="F78" s="131">
        <f t="array" ref="F78">_FV(D78,"Previous close",TRUE)</f>
        <v/>
      </c>
      <c r="G78" s="117" t="n">
        <v>606.45</v>
      </c>
      <c r="H78" s="117" t="n">
        <v>573.51</v>
      </c>
      <c r="I78" s="117" t="n">
        <v>563.5599999999999</v>
      </c>
      <c r="J78" s="117" t="n">
        <v>530.55</v>
      </c>
      <c r="K78" s="115" t="n"/>
      <c r="L78" s="115" t="n"/>
      <c r="M78" s="115" t="n"/>
      <c r="N78" s="115" t="n"/>
      <c r="O78" s="115" t="n"/>
      <c r="P78" s="115" t="n"/>
      <c r="Q78" s="115" t="n"/>
    </row>
    <row r="79">
      <c r="A79" s="128" t="n">
        <v>46158</v>
      </c>
      <c r="B79" s="129" t="inlineStr">
        <is>
          <t>BIOCON</t>
        </is>
      </c>
      <c r="C79" s="129" t="inlineStr">
        <is>
          <t>Red</t>
        </is>
      </c>
      <c r="D79" s="129" t="e">
        <v>#VALUE!</v>
      </c>
      <c r="E79" s="130">
        <f t="array" ref="E79">_FV(D79,"Price")</f>
        <v/>
      </c>
      <c r="F79" s="131">
        <f t="array" ref="F79">_FV(D79,"Previous close",TRUE)</f>
        <v/>
      </c>
      <c r="G79" s="117" t="n">
        <v>428.65</v>
      </c>
      <c r="H79" s="117" t="n">
        <v>401.1</v>
      </c>
      <c r="I79" s="117" t="n">
        <v>397.41</v>
      </c>
      <c r="J79" s="117" t="n">
        <v>387.99</v>
      </c>
      <c r="K79" s="115" t="n"/>
      <c r="L79" s="115" t="n"/>
      <c r="M79" s="115" t="n"/>
      <c r="N79" s="115" t="n"/>
      <c r="O79" s="115" t="n"/>
      <c r="P79" s="115" t="n"/>
      <c r="Q79" s="115" t="n"/>
    </row>
    <row r="80">
      <c r="A80" s="128" t="n">
        <v>46158</v>
      </c>
      <c r="B80" s="129" t="inlineStr">
        <is>
          <t>DIACABS</t>
        </is>
      </c>
      <c r="C80" s="129" t="inlineStr">
        <is>
          <t>Red</t>
        </is>
      </c>
      <c r="D80" s="129" t="e">
        <v>#VALUE!</v>
      </c>
      <c r="E80" s="130">
        <f t="array" ref="E80">_FV(D80,"Price")</f>
        <v/>
      </c>
      <c r="F80" s="131">
        <f t="array" ref="F80">_FV(D80,"Previous close",TRUE)</f>
        <v/>
      </c>
      <c r="G80" s="117" t="n">
        <v>194.31</v>
      </c>
      <c r="H80" s="117" t="n">
        <v>176.07</v>
      </c>
      <c r="I80" s="117" t="n">
        <v>171.69</v>
      </c>
      <c r="J80" s="117" t="n">
        <v>158.8</v>
      </c>
      <c r="K80" s="115" t="n"/>
      <c r="L80" s="115" t="n"/>
      <c r="M80" s="115" t="n"/>
      <c r="N80" s="115" t="n"/>
      <c r="O80" s="115" t="n"/>
      <c r="P80" s="115" t="n"/>
      <c r="Q80" s="115" t="n"/>
    </row>
    <row r="81">
      <c r="A81" s="128" t="n">
        <v>46158</v>
      </c>
      <c r="B81" s="129" t="inlineStr">
        <is>
          <t>ADANIENT</t>
        </is>
      </c>
      <c r="C81" s="129" t="inlineStr">
        <is>
          <t>Red</t>
        </is>
      </c>
      <c r="D81" s="129" t="e">
        <v>#VALUE!</v>
      </c>
      <c r="E81" s="130">
        <f t="array" ref="E81">_FV(D81,"Price")</f>
        <v/>
      </c>
      <c r="F81" s="131">
        <f t="array" ref="F81">_FV(D81,"Previous close",TRUE)</f>
        <v/>
      </c>
      <c r="G81" s="117" t="n">
        <v>2937.4</v>
      </c>
      <c r="H81" s="117" t="n">
        <v>2601.46</v>
      </c>
      <c r="I81" s="117" t="n">
        <v>2542.68</v>
      </c>
      <c r="J81" s="117" t="n">
        <v>2398.05</v>
      </c>
      <c r="K81" s="115" t="n"/>
      <c r="L81" s="115" t="n"/>
      <c r="M81" s="115" t="n"/>
      <c r="N81" s="115" t="n"/>
      <c r="O81" s="115" t="n"/>
      <c r="P81" s="115" t="n"/>
      <c r="Q81" s="115" t="n"/>
    </row>
    <row r="82">
      <c r="A82" s="128" t="n">
        <v>46158</v>
      </c>
      <c r="B82" s="129" t="inlineStr">
        <is>
          <t>GRSE</t>
        </is>
      </c>
      <c r="C82" s="129" t="inlineStr">
        <is>
          <t>Red</t>
        </is>
      </c>
      <c r="D82" s="129" t="e">
        <v>#VALUE!</v>
      </c>
      <c r="E82" s="130">
        <f t="array" ref="E82">_FV(D82,"Price")</f>
        <v/>
      </c>
      <c r="F82" s="131">
        <f t="array" ref="F82">_FV(D82,"Previous close",TRUE)</f>
        <v/>
      </c>
      <c r="G82" s="117" t="n">
        <v>2654.8</v>
      </c>
      <c r="H82" s="117" t="n">
        <v>2671.44</v>
      </c>
      <c r="I82" s="117" t="n">
        <v>2656.61</v>
      </c>
      <c r="J82" s="117" t="n">
        <v>2600.35</v>
      </c>
      <c r="K82" s="115" t="n"/>
      <c r="L82" s="115" t="n"/>
      <c r="M82" s="115" t="n"/>
      <c r="N82" s="115" t="n"/>
      <c r="O82" s="115" t="n"/>
      <c r="P82" s="115" t="n"/>
      <c r="Q82" s="115" t="n"/>
    </row>
    <row r="83">
      <c r="A83" s="128" t="n">
        <v>46158</v>
      </c>
      <c r="B83" s="129" t="inlineStr">
        <is>
          <t>KSCL</t>
        </is>
      </c>
      <c r="C83" s="129" t="inlineStr">
        <is>
          <t>Red</t>
        </is>
      </c>
      <c r="D83" s="129" t="e">
        <v>#VALUE!</v>
      </c>
      <c r="E83" s="130">
        <f t="array" ref="E83">_FV(D83,"Price")</f>
        <v/>
      </c>
      <c r="F83" s="131">
        <f t="array" ref="F83">_FV(D83,"Previous close",TRUE)</f>
        <v/>
      </c>
      <c r="G83" s="117" t="n">
        <v>866.6</v>
      </c>
      <c r="H83" s="117" t="n">
        <v>896.0599999999999</v>
      </c>
      <c r="I83" s="117" t="n">
        <v>895.65</v>
      </c>
      <c r="J83" s="117" t="n">
        <v>904.47</v>
      </c>
      <c r="K83" s="115" t="n"/>
      <c r="L83" s="115" t="n"/>
      <c r="M83" s="115" t="n"/>
      <c r="N83" s="115" t="n"/>
      <c r="O83" s="115" t="n"/>
      <c r="P83" s="115" t="n"/>
      <c r="Q83" s="115" t="n"/>
    </row>
    <row r="84">
      <c r="A84" s="128" t="n">
        <v>46158</v>
      </c>
      <c r="B84" s="129" t="inlineStr">
        <is>
          <t>SCHAEFFLER</t>
        </is>
      </c>
      <c r="C84" s="129" t="inlineStr">
        <is>
          <t>Red</t>
        </is>
      </c>
      <c r="D84" s="129" t="e">
        <v>#VALUE!</v>
      </c>
      <c r="E84" s="130">
        <f t="array" ref="E84">_FV(D84,"Price")</f>
        <v/>
      </c>
      <c r="F84" s="131">
        <f t="array" ref="F84">_FV(D84,"Previous close",TRUE)</f>
        <v/>
      </c>
      <c r="G84" s="117" t="n">
        <v>4128.7</v>
      </c>
      <c r="H84" s="117" t="n">
        <v>4074.87</v>
      </c>
      <c r="I84" s="117" t="n">
        <v>4063.23</v>
      </c>
      <c r="J84" s="117" t="n">
        <v>4013.17</v>
      </c>
      <c r="K84" s="115" t="n"/>
      <c r="L84" s="115" t="n"/>
      <c r="M84" s="115" t="n"/>
      <c r="N84" s="115" t="n"/>
      <c r="O84" s="115" t="n"/>
      <c r="P84" s="115" t="n"/>
      <c r="Q84" s="115" t="n"/>
    </row>
    <row r="85">
      <c r="A85" s="128" t="n">
        <v>46158</v>
      </c>
      <c r="B85" s="129" t="inlineStr">
        <is>
          <t>AVALON</t>
        </is>
      </c>
      <c r="C85" s="129" t="inlineStr">
        <is>
          <t>Red</t>
        </is>
      </c>
      <c r="D85" s="129" t="e">
        <v>#VALUE!</v>
      </c>
      <c r="E85" s="130">
        <f t="array" ref="E85">_FV(D85,"Price")</f>
        <v/>
      </c>
      <c r="F85" s="131">
        <f t="array" ref="F85">_FV(D85,"Previous close",TRUE)</f>
        <v/>
      </c>
      <c r="G85" s="117" t="n">
        <v>1520.5</v>
      </c>
      <c r="H85" s="117" t="n">
        <v>1316.94</v>
      </c>
      <c r="I85" s="117" t="n">
        <v>1278.61</v>
      </c>
      <c r="J85" s="117" t="n">
        <v>1162.54</v>
      </c>
      <c r="K85" s="115" t="n"/>
      <c r="L85" s="115" t="n"/>
      <c r="M85" s="115" t="n"/>
      <c r="N85" s="115" t="n"/>
      <c r="O85" s="115" t="n"/>
      <c r="P85" s="115" t="n"/>
      <c r="Q85" s="115" t="n"/>
    </row>
    <row r="86">
      <c r="A86" s="128" t="n">
        <v>46158</v>
      </c>
      <c r="B86" s="129" t="inlineStr">
        <is>
          <t>COALINDIA</t>
        </is>
      </c>
      <c r="C86" s="129" t="inlineStr">
        <is>
          <t>Red</t>
        </is>
      </c>
      <c r="D86" s="129" t="e">
        <v>#VALUE!</v>
      </c>
      <c r="E86" s="130">
        <f t="array" ref="E86">_FV(D86,"Price")</f>
        <v/>
      </c>
      <c r="F86" s="131">
        <f t="array" ref="F86">_FV(D86,"Previous close",TRUE)</f>
        <v/>
      </c>
      <c r="G86" s="117" t="n">
        <v>457.9</v>
      </c>
      <c r="H86" s="117" t="n">
        <v>458.53</v>
      </c>
      <c r="I86" s="117" t="n">
        <v>456.15</v>
      </c>
      <c r="J86" s="117" t="n">
        <v>443.26</v>
      </c>
      <c r="K86" s="115" t="n"/>
      <c r="L86" s="115" t="n"/>
      <c r="M86" s="115" t="n"/>
      <c r="N86" s="115" t="n"/>
      <c r="O86" s="115" t="n"/>
      <c r="P86" s="115" t="n"/>
      <c r="Q86" s="115" t="n"/>
    </row>
    <row r="87">
      <c r="A87" s="128" t="n">
        <v>46158</v>
      </c>
      <c r="B87" s="129" t="inlineStr">
        <is>
          <t>AVANTIFEED</t>
        </is>
      </c>
      <c r="C87" s="129" t="inlineStr">
        <is>
          <t>Red</t>
        </is>
      </c>
      <c r="D87" s="129" t="e">
        <v>#VALUE!</v>
      </c>
      <c r="E87" s="130">
        <f t="array" ref="E87">_FV(D87,"Price")</f>
        <v/>
      </c>
      <c r="F87" s="131">
        <f t="array" ref="F87">_FV(D87,"Previous close",TRUE)</f>
        <v/>
      </c>
      <c r="G87" s="117" t="n">
        <v>1203.6</v>
      </c>
      <c r="H87" s="117" t="n">
        <v>1276.64</v>
      </c>
      <c r="I87" s="117" t="n">
        <v>1272.28</v>
      </c>
      <c r="J87" s="117" t="n">
        <v>1202.99</v>
      </c>
      <c r="K87" s="115" t="n"/>
      <c r="L87" s="115" t="n"/>
      <c r="M87" s="115" t="n"/>
      <c r="N87" s="115" t="n"/>
      <c r="O87" s="115" t="n"/>
      <c r="P87" s="115" t="n"/>
      <c r="Q87" s="115" t="n"/>
    </row>
    <row r="88">
      <c r="A88" s="128" t="n">
        <v>46158</v>
      </c>
      <c r="B88" s="129" t="inlineStr">
        <is>
          <t>UNIONBANK</t>
        </is>
      </c>
      <c r="C88" s="129" t="inlineStr">
        <is>
          <t>Red</t>
        </is>
      </c>
      <c r="D88" s="129" t="e">
        <v>#VALUE!</v>
      </c>
      <c r="E88" s="130">
        <f t="array" ref="E88">_FV(D88,"Price")</f>
        <v/>
      </c>
      <c r="F88" s="131">
        <f t="array" ref="F88">_FV(D88,"Previous close",TRUE)</f>
        <v/>
      </c>
      <c r="G88" s="117" t="n">
        <v>167.88</v>
      </c>
      <c r="H88" s="117" t="n">
        <v>168.42</v>
      </c>
      <c r="I88" s="117" t="n">
        <v>169.36</v>
      </c>
      <c r="J88" s="117" t="n">
        <v>169.46</v>
      </c>
      <c r="K88" s="115" t="n"/>
      <c r="L88" s="115" t="n"/>
      <c r="M88" s="115" t="n"/>
      <c r="N88" s="115" t="n"/>
      <c r="O88" s="115" t="n"/>
      <c r="P88" s="115" t="n"/>
      <c r="Q88" s="115" t="n"/>
    </row>
    <row r="89">
      <c r="A89" s="128" t="n">
        <v>46158</v>
      </c>
      <c r="B89" s="129" t="inlineStr">
        <is>
          <t>BAJAJCON</t>
        </is>
      </c>
      <c r="C89" s="129" t="inlineStr">
        <is>
          <t>Red</t>
        </is>
      </c>
      <c r="D89" s="129" t="e">
        <v>#VALUE!</v>
      </c>
      <c r="E89" s="130">
        <f t="array" ref="E89">_FV(D89,"Price")</f>
        <v/>
      </c>
      <c r="F89" s="131">
        <f t="array" ref="F89">_FV(D89,"Previous close",TRUE)</f>
        <v/>
      </c>
      <c r="G89" s="117" t="n">
        <v>552.8</v>
      </c>
      <c r="H89" s="117" t="n">
        <v>510.56</v>
      </c>
      <c r="I89" s="117" t="n">
        <v>495.49</v>
      </c>
      <c r="J89" s="117" t="n">
        <v>437.68</v>
      </c>
      <c r="K89" s="115" t="n"/>
      <c r="L89" s="115" t="n"/>
      <c r="M89" s="115" t="n"/>
      <c r="N89" s="115" t="n"/>
      <c r="O89" s="115" t="n"/>
      <c r="P89" s="115" t="n"/>
      <c r="Q89" s="115" t="n"/>
    </row>
    <row r="90">
      <c r="A90" s="128" t="n">
        <v>46158</v>
      </c>
      <c r="B90" s="129" t="inlineStr">
        <is>
          <t>COCHINSHIP</t>
        </is>
      </c>
      <c r="C90" s="129" t="inlineStr">
        <is>
          <t>Red</t>
        </is>
      </c>
      <c r="D90" s="129" t="e">
        <v>#VALUE!</v>
      </c>
      <c r="E90" s="130">
        <f t="array" ref="E90">_FV(D90,"Price")</f>
        <v/>
      </c>
      <c r="F90" s="131">
        <f t="array" ref="F90">_FV(D90,"Previous close",TRUE)</f>
        <v/>
      </c>
      <c r="G90" s="117" t="n">
        <v>1467.4</v>
      </c>
      <c r="H90" s="117" t="n">
        <v>1537.14</v>
      </c>
      <c r="I90" s="117" t="n">
        <v>1537.03</v>
      </c>
      <c r="J90" s="117" t="n">
        <v>1546.4</v>
      </c>
      <c r="K90" s="115" t="n"/>
      <c r="L90" s="115" t="n"/>
      <c r="M90" s="115" t="n"/>
      <c r="N90" s="115" t="n"/>
      <c r="O90" s="115" t="n"/>
      <c r="P90" s="115" t="n"/>
      <c r="Q90" s="115" t="n"/>
    </row>
    <row r="91">
      <c r="A91" s="128" t="n">
        <v>46158</v>
      </c>
      <c r="B91" s="129" t="inlineStr">
        <is>
          <t>SOUTHWEST</t>
        </is>
      </c>
      <c r="C91" s="129" t="inlineStr">
        <is>
          <t>Red</t>
        </is>
      </c>
      <c r="D91" s="129" t="e">
        <v>#VALUE!</v>
      </c>
      <c r="E91" s="130">
        <f t="array" ref="E91">_FV(D91,"Price")</f>
        <v/>
      </c>
      <c r="F91" s="131">
        <f t="array" ref="F91">_FV(D91,"Previous close",TRUE)</f>
        <v/>
      </c>
      <c r="G91" s="117" t="n">
        <v>259.86</v>
      </c>
      <c r="H91" s="117" t="n">
        <v>241.84</v>
      </c>
      <c r="I91" s="117" t="n">
        <v>237.64</v>
      </c>
      <c r="J91" s="117" t="n">
        <v>221.07</v>
      </c>
      <c r="K91" s="115" t="n"/>
      <c r="L91" s="115" t="n"/>
      <c r="M91" s="115" t="n"/>
      <c r="N91" s="115" t="n"/>
      <c r="O91" s="115" t="n"/>
      <c r="P91" s="115" t="n"/>
      <c r="Q91" s="115" t="n"/>
    </row>
    <row r="92">
      <c r="A92" s="128" t="n">
        <v>46158</v>
      </c>
      <c r="B92" s="129" t="inlineStr">
        <is>
          <t>RRKABEL</t>
        </is>
      </c>
      <c r="C92" s="129" t="inlineStr">
        <is>
          <t>Red</t>
        </is>
      </c>
      <c r="D92" s="129" t="e">
        <v>#VALUE!</v>
      </c>
      <c r="E92" s="130">
        <f t="array" ref="E92">_FV(D92,"Price")</f>
        <v/>
      </c>
      <c r="F92" s="131">
        <f t="array" ref="F92">_FV(D92,"Previous close",TRUE)</f>
        <v/>
      </c>
      <c r="G92" s="117" t="n">
        <v>2056.3</v>
      </c>
      <c r="H92" s="117" t="n">
        <v>1816.72</v>
      </c>
      <c r="I92" s="117" t="n">
        <v>1772.59</v>
      </c>
      <c r="J92" s="117" t="n">
        <v>1637.14</v>
      </c>
      <c r="K92" s="115" t="n"/>
      <c r="L92" s="115" t="n"/>
      <c r="M92" s="115" t="n"/>
      <c r="N92" s="115" t="n"/>
      <c r="O92" s="115" t="n"/>
      <c r="P92" s="115" t="n"/>
      <c r="Q92" s="115" t="n"/>
    </row>
    <row r="93">
      <c r="A93" s="128" t="n">
        <v>46158</v>
      </c>
      <c r="B93" s="129" t="inlineStr">
        <is>
          <t>HDFCBANK</t>
        </is>
      </c>
      <c r="C93" s="129" t="inlineStr">
        <is>
          <t>Red</t>
        </is>
      </c>
      <c r="D93" s="129" t="e">
        <v>#VALUE!</v>
      </c>
      <c r="E93" s="130">
        <f t="array" ref="E93">_FV(D93,"Price")</f>
        <v/>
      </c>
      <c r="F93" s="131">
        <f t="array" ref="F93">_FV(D93,"Previous close",TRUE)</f>
        <v/>
      </c>
      <c r="G93" s="117" t="n">
        <v>744.55</v>
      </c>
      <c r="H93" s="117" t="n">
        <v>773.16</v>
      </c>
      <c r="I93" s="117" t="n">
        <v>781.15</v>
      </c>
      <c r="J93" s="117" t="n">
        <v>820</v>
      </c>
      <c r="K93" s="115" t="n"/>
      <c r="L93" s="115" t="n"/>
      <c r="M93" s="115" t="n"/>
      <c r="N93" s="115" t="n"/>
      <c r="O93" s="115" t="n"/>
      <c r="P93" s="115" t="n"/>
      <c r="Q93" s="115" t="n"/>
    </row>
    <row r="94">
      <c r="A94" s="128" t="n">
        <v>46158</v>
      </c>
      <c r="B94" s="129" t="inlineStr">
        <is>
          <t>CPPLUS</t>
        </is>
      </c>
      <c r="C94" s="129" t="inlineStr">
        <is>
          <t>Red</t>
        </is>
      </c>
      <c r="D94" s="129" t="e">
        <v>#VALUE!</v>
      </c>
      <c r="E94" s="130">
        <f t="array" ref="E94">_FV(D94,"Price")</f>
        <v/>
      </c>
      <c r="F94" s="131">
        <f t="array" ref="F94">_FV(D94,"Previous close",TRUE)</f>
        <v/>
      </c>
      <c r="G94" s="117" t="n">
        <v>2903.5</v>
      </c>
      <c r="H94" s="117" t="n">
        <v>2529.09</v>
      </c>
      <c r="I94" s="117" t="n">
        <v>2439.04</v>
      </c>
      <c r="J94" s="117" t="n">
        <v>2136.25</v>
      </c>
      <c r="K94" s="115" t="n"/>
      <c r="L94" s="115" t="n"/>
      <c r="M94" s="115" t="n"/>
      <c r="N94" s="115" t="n"/>
      <c r="O94" s="115" t="n"/>
      <c r="P94" s="115" t="n"/>
      <c r="Q94" s="115" t="n"/>
    </row>
    <row r="95">
      <c r="A95" s="128" t="n">
        <v>46166</v>
      </c>
      <c r="B95" s="137" t="inlineStr">
        <is>
          <t>BALAMINES</t>
        </is>
      </c>
      <c r="C95" s="137" t="inlineStr">
        <is>
          <t>Blue</t>
        </is>
      </c>
      <c r="D95" s="137" t="e">
        <v>#VALUE!</v>
      </c>
      <c r="E95" s="130">
        <f t="array" ref="E95">_FV(D95,"Price")</f>
        <v/>
      </c>
      <c r="F95" s="131">
        <f t="array" ref="F95">_FV(D95,"Previous close",TRUE)</f>
        <v/>
      </c>
      <c r="G95" s="117" t="n">
        <v>1775.6</v>
      </c>
      <c r="H95" s="117" t="n">
        <v>1597.83</v>
      </c>
      <c r="I95" s="117" t="n">
        <v>1541.17</v>
      </c>
      <c r="J95" s="117" t="n">
        <v>1398.52</v>
      </c>
      <c r="K95" s="115" t="n"/>
      <c r="L95" s="115" t="n"/>
      <c r="M95" s="115" t="n"/>
      <c r="N95" s="115" t="n"/>
      <c r="O95" s="115" t="n"/>
      <c r="P95" s="115" t="n"/>
      <c r="Q95" s="115" t="n"/>
    </row>
    <row r="96">
      <c r="A96" s="128" t="n">
        <v>46166</v>
      </c>
      <c r="B96" s="137" t="inlineStr">
        <is>
          <t>SFL</t>
        </is>
      </c>
      <c r="C96" s="137" t="inlineStr">
        <is>
          <t>Blue</t>
        </is>
      </c>
      <c r="D96" s="137" t="e">
        <v>#VALUE!</v>
      </c>
      <c r="E96" s="130">
        <f t="array" ref="E96">_FV(D96,"Price")</f>
        <v/>
      </c>
      <c r="F96" s="131">
        <f t="array" ref="F96">_FV(D96,"Previous close",TRUE)</f>
        <v/>
      </c>
      <c r="G96" s="117" t="n">
        <v>605</v>
      </c>
      <c r="H96" s="117" t="n">
        <v>581.11</v>
      </c>
      <c r="I96" s="117" t="n">
        <v>576.21</v>
      </c>
      <c r="J96" s="117" t="n">
        <v>572.22</v>
      </c>
      <c r="K96" s="115" t="n"/>
      <c r="L96" s="115" t="n"/>
      <c r="M96" s="115" t="n"/>
      <c r="N96" s="115" t="n"/>
      <c r="O96" s="115" t="n"/>
      <c r="P96" s="115" t="n"/>
      <c r="Q96" s="115" t="n"/>
    </row>
    <row r="97">
      <c r="A97" s="128" t="n">
        <v>46166</v>
      </c>
      <c r="B97" s="137" t="inlineStr">
        <is>
          <t>HFCL</t>
        </is>
      </c>
      <c r="C97" s="137" t="inlineStr">
        <is>
          <t>Blue</t>
        </is>
      </c>
      <c r="D97" s="137" t="e">
        <v>#VALUE!</v>
      </c>
      <c r="E97" s="130">
        <f t="array" ref="E97">_FV(D97,"Price")</f>
        <v/>
      </c>
      <c r="F97" s="131">
        <f t="array" ref="F97">_FV(D97,"Previous close",TRUE)</f>
        <v/>
      </c>
      <c r="G97" s="117" t="n">
        <v>179.94</v>
      </c>
      <c r="H97" s="117" t="n">
        <v>141.59</v>
      </c>
      <c r="I97" s="117" t="n">
        <v>134.09</v>
      </c>
      <c r="J97" s="117" t="n">
        <v>111.74</v>
      </c>
      <c r="K97" s="115" t="n"/>
      <c r="L97" s="115" t="n"/>
      <c r="M97" s="115" t="n"/>
      <c r="N97" s="115" t="n"/>
      <c r="O97" s="115" t="n"/>
      <c r="P97" s="115" t="n"/>
      <c r="Q97" s="115" t="n"/>
    </row>
    <row r="98">
      <c r="A98" s="128" t="n">
        <v>46166</v>
      </c>
      <c r="B98" s="137" t="inlineStr">
        <is>
          <t>TRITURBINE</t>
        </is>
      </c>
      <c r="C98" s="137" t="inlineStr">
        <is>
          <t>Blue</t>
        </is>
      </c>
      <c r="D98" s="137" t="e">
        <v>#VALUE!</v>
      </c>
      <c r="E98" s="130">
        <f t="array" ref="E98">_FV(D98,"Price")</f>
        <v/>
      </c>
      <c r="F98" s="131">
        <f t="array" ref="F98">_FV(D98,"Previous close",TRUE)</f>
        <v/>
      </c>
      <c r="G98" s="117" t="n">
        <v>741.5</v>
      </c>
      <c r="H98" s="117" t="n">
        <v>625.97</v>
      </c>
      <c r="I98" s="117" t="n">
        <v>610.6</v>
      </c>
      <c r="J98" s="117" t="n">
        <v>570.03</v>
      </c>
      <c r="K98" s="115" t="n"/>
      <c r="L98" s="115" t="n"/>
      <c r="M98" s="115" t="n"/>
      <c r="N98" s="115" t="n"/>
      <c r="O98" s="115" t="n"/>
      <c r="P98" s="115" t="n"/>
      <c r="Q98" s="115" t="n"/>
    </row>
    <row r="99">
      <c r="A99" s="128" t="n">
        <v>46166</v>
      </c>
      <c r="B99" s="137" t="inlineStr">
        <is>
          <t>NIBE</t>
        </is>
      </c>
      <c r="C99" s="137" t="inlineStr">
        <is>
          <t>Blue</t>
        </is>
      </c>
      <c r="D99" s="137" t="e">
        <v>#VALUE!</v>
      </c>
      <c r="E99" s="130">
        <f t="array" ref="E99">_FV(D99,"Price")</f>
        <v/>
      </c>
      <c r="F99" s="131">
        <f t="array" ref="F99">_FV(D99,"Previous close",TRUE)</f>
        <v/>
      </c>
      <c r="G99" s="117" t="n">
        <v>1442.9</v>
      </c>
      <c r="H99" s="117" t="n">
        <v>1247.58</v>
      </c>
      <c r="I99" s="117" t="n">
        <v>1216.54</v>
      </c>
      <c r="J99" s="117" t="n">
        <v>1157.84</v>
      </c>
      <c r="K99" s="115" t="n"/>
      <c r="L99" s="115" t="n"/>
      <c r="M99" s="115" t="n"/>
      <c r="N99" s="115" t="n"/>
      <c r="O99" s="115" t="n"/>
      <c r="P99" s="115" t="n"/>
      <c r="Q99" s="115" t="n"/>
    </row>
    <row r="100">
      <c r="A100" s="128" t="n">
        <v>46166</v>
      </c>
      <c r="B100" s="137" t="inlineStr">
        <is>
          <t>VBL</t>
        </is>
      </c>
      <c r="C100" s="137" t="inlineStr">
        <is>
          <t>Blue</t>
        </is>
      </c>
      <c r="D100" s="137" t="e">
        <v>#VALUE!</v>
      </c>
      <c r="E100" s="130">
        <f t="array" ref="E100">_FV(D100,"Price")</f>
        <v/>
      </c>
      <c r="F100" s="131">
        <f t="array" ref="F100">_FV(D100,"Previous close",TRUE)</f>
        <v/>
      </c>
      <c r="G100" s="117" t="n">
        <v>528</v>
      </c>
      <c r="H100" s="117" t="n">
        <v>504.6</v>
      </c>
      <c r="I100" s="117" t="n">
        <v>498.17</v>
      </c>
      <c r="J100" s="117" t="n">
        <v>481.95</v>
      </c>
      <c r="K100" s="115" t="n"/>
      <c r="L100" s="115" t="n"/>
      <c r="M100" s="115" t="n"/>
      <c r="N100" s="115" t="n"/>
      <c r="O100" s="115" t="n"/>
      <c r="P100" s="115" t="n"/>
      <c r="Q100" s="115" t="n"/>
    </row>
    <row r="101">
      <c r="A101" s="128" t="n">
        <v>46166</v>
      </c>
      <c r="B101" s="137" t="inlineStr">
        <is>
          <t>GRINDWELL</t>
        </is>
      </c>
      <c r="C101" s="137" t="inlineStr">
        <is>
          <t>Blue</t>
        </is>
      </c>
      <c r="D101" s="137" t="e">
        <v>#VALUE!</v>
      </c>
      <c r="E101" s="130">
        <f t="array" ref="E101">_FV(D101,"Price")</f>
        <v/>
      </c>
      <c r="F101" s="131">
        <f t="array" ref="F101">_FV(D101,"Previous close",TRUE)</f>
        <v/>
      </c>
      <c r="G101" s="117" t="n">
        <v>1839.8</v>
      </c>
      <c r="H101" s="117" t="n">
        <v>1747.71</v>
      </c>
      <c r="I101" s="117" t="n">
        <v>1723.56</v>
      </c>
      <c r="J101" s="117" t="n">
        <v>1661.98</v>
      </c>
      <c r="K101" s="115" t="n"/>
      <c r="L101" s="115" t="n"/>
      <c r="M101" s="115" t="n"/>
      <c r="N101" s="115" t="n"/>
      <c r="O101" s="115" t="n"/>
      <c r="P101" s="115" t="n"/>
      <c r="Q101" s="115" t="n"/>
    </row>
    <row r="102">
      <c r="A102" s="128" t="n">
        <v>46166</v>
      </c>
      <c r="B102" s="137" t="inlineStr">
        <is>
          <t>IDEAFORGE</t>
        </is>
      </c>
      <c r="C102" s="137" t="inlineStr">
        <is>
          <t>Blue</t>
        </is>
      </c>
      <c r="D102" s="137" t="e">
        <v>#VALUE!</v>
      </c>
      <c r="E102" s="130">
        <f t="array" ref="E102">_FV(D102,"Price")</f>
        <v/>
      </c>
      <c r="F102" s="131">
        <f t="array" ref="F102">_FV(D102,"Previous close",TRUE)</f>
        <v/>
      </c>
      <c r="G102" s="117" t="n">
        <v>845</v>
      </c>
      <c r="H102" s="117" t="n">
        <v>707.85</v>
      </c>
      <c r="I102" s="117" t="n">
        <v>679.1900000000001</v>
      </c>
      <c r="J102" s="117" t="n">
        <v>595.27</v>
      </c>
      <c r="K102" s="115" t="n"/>
      <c r="L102" s="115" t="n"/>
      <c r="M102" s="115" t="n"/>
      <c r="N102" s="115" t="n"/>
      <c r="O102" s="115" t="n"/>
      <c r="P102" s="115" t="n"/>
      <c r="Q102" s="115" t="n"/>
    </row>
    <row r="103">
      <c r="A103" s="128" t="n">
        <v>46166</v>
      </c>
      <c r="B103" s="137" t="inlineStr">
        <is>
          <t>ZYDUSLIFE</t>
        </is>
      </c>
      <c r="C103" s="137" t="inlineStr">
        <is>
          <t>Blue</t>
        </is>
      </c>
      <c r="D103" s="137" t="e">
        <v>#VALUE!</v>
      </c>
      <c r="E103" s="130">
        <f t="array" ref="E103">_FV(D103,"Price")</f>
        <v/>
      </c>
      <c r="F103" s="131">
        <f t="array" ref="F103">_FV(D103,"Previous close",TRUE)</f>
        <v/>
      </c>
      <c r="G103" s="117" t="n">
        <v>1077.7</v>
      </c>
      <c r="H103" s="117" t="n">
        <v>999.12</v>
      </c>
      <c r="I103" s="117" t="n">
        <v>987.53</v>
      </c>
      <c r="J103" s="117" t="n">
        <v>959.21</v>
      </c>
      <c r="K103" s="115" t="n"/>
      <c r="L103" s="115" t="n"/>
      <c r="M103" s="115" t="n"/>
      <c r="N103" s="115" t="n"/>
      <c r="O103" s="115" t="n"/>
      <c r="P103" s="115" t="n"/>
      <c r="Q103" s="115" t="n"/>
    </row>
    <row r="104">
      <c r="A104" s="128" t="n">
        <v>46166</v>
      </c>
      <c r="B104" s="137" t="inlineStr">
        <is>
          <t>GLAND</t>
        </is>
      </c>
      <c r="C104" s="137" t="inlineStr">
        <is>
          <t>Blue</t>
        </is>
      </c>
      <c r="D104" s="137" t="e">
        <v>#VALUE!</v>
      </c>
      <c r="E104" s="130">
        <f t="array" ref="E104">_FV(D104,"Price")</f>
        <v/>
      </c>
      <c r="F104" s="131">
        <f t="array" ref="F104">_FV(D104,"Previous close",TRUE)</f>
        <v/>
      </c>
      <c r="G104" s="117" t="n">
        <v>2250</v>
      </c>
      <c r="H104" s="117" t="n">
        <v>2029.53</v>
      </c>
      <c r="I104" s="117" t="n">
        <v>1992.37</v>
      </c>
      <c r="J104" s="117" t="n">
        <v>1898.31</v>
      </c>
      <c r="K104" s="115" t="n"/>
      <c r="L104" s="115" t="n"/>
      <c r="M104" s="115" t="n"/>
      <c r="N104" s="115" t="n"/>
      <c r="O104" s="115" t="n"/>
      <c r="P104" s="115" t="n"/>
      <c r="Q104" s="115" t="n"/>
    </row>
    <row r="105">
      <c r="A105" s="128" t="n">
        <v>46166</v>
      </c>
      <c r="B105" s="137" t="inlineStr">
        <is>
          <t>CONFIPET</t>
        </is>
      </c>
      <c r="C105" s="137" t="inlineStr">
        <is>
          <t>Blue</t>
        </is>
      </c>
      <c r="D105" s="137" t="e">
        <v>#VALUE!</v>
      </c>
      <c r="E105" s="130">
        <f t="array" ref="E105">_FV(D105,"Price")</f>
        <v/>
      </c>
      <c r="F105" s="131">
        <f t="array" ref="F105">_FV(D105,"Previous close",TRUE)</f>
        <v/>
      </c>
      <c r="G105" s="117" t="n">
        <v>67.77</v>
      </c>
      <c r="H105" s="117" t="n">
        <v>58.65</v>
      </c>
      <c r="I105" s="117" t="n">
        <v>56.7</v>
      </c>
      <c r="J105" s="117" t="n">
        <v>50.65</v>
      </c>
      <c r="K105" s="115" t="n"/>
      <c r="L105" s="115" t="n"/>
      <c r="M105" s="115" t="n"/>
      <c r="N105" s="115" t="n"/>
      <c r="O105" s="115" t="n"/>
      <c r="P105" s="115" t="n"/>
      <c r="Q105" s="115" t="n"/>
    </row>
    <row r="106">
      <c r="A106" s="128" t="n">
        <v>46166</v>
      </c>
      <c r="B106" s="137" t="inlineStr">
        <is>
          <t>TIPSMUSIC</t>
        </is>
      </c>
      <c r="C106" s="137" t="inlineStr">
        <is>
          <t>Blue</t>
        </is>
      </c>
      <c r="D106" s="137" t="e">
        <v>#VALUE!</v>
      </c>
      <c r="E106" s="130">
        <f t="array" ref="E106">_FV(D106,"Price")</f>
        <v/>
      </c>
      <c r="F106" s="131">
        <f t="array" ref="F106">_FV(D106,"Previous close",TRUE)</f>
        <v/>
      </c>
      <c r="G106" s="117" t="n">
        <v>662.45</v>
      </c>
      <c r="H106" s="117" t="n">
        <v>637.1900000000001</v>
      </c>
      <c r="I106" s="117" t="n">
        <v>627.74</v>
      </c>
      <c r="J106" s="117" t="n">
        <v>598.25</v>
      </c>
      <c r="K106" s="115" t="n"/>
      <c r="L106" s="115" t="n"/>
      <c r="M106" s="115" t="n"/>
      <c r="N106" s="115" t="n"/>
      <c r="O106" s="115" t="n"/>
      <c r="P106" s="115" t="n"/>
      <c r="Q106" s="115" t="n"/>
    </row>
    <row r="107">
      <c r="A107" s="128" t="n">
        <v>46166</v>
      </c>
      <c r="B107" s="137" t="inlineStr">
        <is>
          <t>PREMEXPLN</t>
        </is>
      </c>
      <c r="C107" s="137" t="inlineStr">
        <is>
          <t>Blue</t>
        </is>
      </c>
      <c r="D107" s="137" t="e">
        <v>#VALUE!</v>
      </c>
      <c r="E107" s="130">
        <f t="array" ref="E107">_FV(D107,"Price")</f>
        <v/>
      </c>
      <c r="F107" s="131">
        <f t="array" ref="F107">_FV(D107,"Previous close",TRUE)</f>
        <v/>
      </c>
      <c r="G107" s="117" t="n">
        <v>690.55</v>
      </c>
      <c r="H107" s="117" t="n">
        <v>577.64</v>
      </c>
      <c r="I107" s="117" t="n">
        <v>566.02</v>
      </c>
      <c r="J107" s="117" t="n">
        <v>539.79</v>
      </c>
      <c r="K107" s="115" t="n"/>
      <c r="L107" s="115" t="n"/>
      <c r="M107" s="115" t="n"/>
      <c r="N107" s="115" t="n"/>
      <c r="O107" s="115" t="n"/>
      <c r="P107" s="115" t="n"/>
      <c r="Q107" s="115" t="n"/>
    </row>
    <row r="108">
      <c r="A108" s="128" t="n">
        <v>46166</v>
      </c>
      <c r="B108" s="137" t="inlineStr">
        <is>
          <t>SANGHVIMOV</t>
        </is>
      </c>
      <c r="C108" s="137" t="inlineStr">
        <is>
          <t>Blue</t>
        </is>
      </c>
      <c r="D108" s="137" t="e">
        <v>#VALUE!</v>
      </c>
      <c r="E108" s="130">
        <f t="array" ref="E108">_FV(D108,"Price")</f>
        <v/>
      </c>
      <c r="F108" s="131">
        <f t="array" ref="F108">_FV(D108,"Previous close",TRUE)</f>
        <v/>
      </c>
      <c r="G108" s="117" t="n">
        <v>364.05</v>
      </c>
      <c r="H108" s="117" t="n">
        <v>329.54</v>
      </c>
      <c r="I108" s="117" t="n">
        <v>324.53</v>
      </c>
      <c r="J108" s="117" t="n">
        <v>314.37</v>
      </c>
      <c r="K108" s="115" t="n"/>
      <c r="L108" s="115" t="n"/>
      <c r="M108" s="115" t="n"/>
      <c r="N108" s="115" t="n"/>
      <c r="O108" s="115" t="n"/>
      <c r="P108" s="115" t="n"/>
      <c r="Q108" s="115" t="n"/>
    </row>
    <row r="109">
      <c r="A109" s="128" t="n">
        <v>46166</v>
      </c>
      <c r="B109" s="137" t="inlineStr">
        <is>
          <t>SANDHAR</t>
        </is>
      </c>
      <c r="C109" s="137" t="inlineStr">
        <is>
          <t>Blue</t>
        </is>
      </c>
      <c r="D109" s="137" t="e">
        <v>#VALUE!</v>
      </c>
      <c r="E109" s="130">
        <f t="array" ref="E109">_FV(D109,"Price")</f>
        <v/>
      </c>
      <c r="F109" s="131">
        <f t="array" ref="F109">_FV(D109,"Previous close",TRUE)</f>
        <v/>
      </c>
      <c r="G109" s="117" t="n">
        <v>674.75</v>
      </c>
      <c r="H109" s="117" t="n">
        <v>583.1799999999999</v>
      </c>
      <c r="I109" s="117" t="n">
        <v>571.3</v>
      </c>
      <c r="J109" s="117" t="n">
        <v>543.08</v>
      </c>
      <c r="K109" s="115" t="n"/>
      <c r="L109" s="115" t="n"/>
      <c r="M109" s="115" t="n"/>
      <c r="N109" s="115" t="n"/>
      <c r="O109" s="115" t="n"/>
      <c r="P109" s="115" t="n"/>
      <c r="Q109" s="115" t="n"/>
    </row>
    <row r="110">
      <c r="A110" s="128" t="n">
        <v>46166</v>
      </c>
      <c r="B110" s="137" t="inlineStr">
        <is>
          <t>JINDRILL</t>
        </is>
      </c>
      <c r="C110" s="137" t="inlineStr">
        <is>
          <t>Blue</t>
        </is>
      </c>
      <c r="D110" s="137" t="e">
        <v>#VALUE!</v>
      </c>
      <c r="E110" s="130">
        <f t="array" ref="E110">_FV(D110,"Price")</f>
        <v/>
      </c>
      <c r="F110" s="131">
        <f t="array" ref="F110">_FV(D110,"Previous close",TRUE)</f>
        <v/>
      </c>
      <c r="G110" s="117" t="n">
        <v>593.15</v>
      </c>
      <c r="H110" s="117" t="n">
        <v>575.37</v>
      </c>
      <c r="I110" s="117" t="n">
        <v>567.77</v>
      </c>
      <c r="J110" s="117" t="n">
        <v>551.16</v>
      </c>
      <c r="K110" s="115" t="n"/>
      <c r="L110" s="115" t="n"/>
      <c r="M110" s="115" t="n"/>
      <c r="N110" s="115" t="n"/>
      <c r="O110" s="115" t="n"/>
      <c r="P110" s="115" t="n"/>
      <c r="Q110" s="115" t="n"/>
    </row>
    <row r="111">
      <c r="A111" s="128" t="n">
        <v>46166</v>
      </c>
      <c r="B111" s="137" t="inlineStr">
        <is>
          <t>RATEGAIN</t>
        </is>
      </c>
      <c r="C111" s="137" t="inlineStr">
        <is>
          <t>Blue</t>
        </is>
      </c>
      <c r="D111" s="137" t="e">
        <v>#VALUE!</v>
      </c>
      <c r="E111" s="130">
        <f t="array" ref="E111">_FV(D111,"Price")</f>
        <v/>
      </c>
      <c r="F111" s="131">
        <f t="array" ref="F111">_FV(D111,"Previous close",TRUE)</f>
        <v/>
      </c>
      <c r="G111" s="117" t="n">
        <v>746.45</v>
      </c>
      <c r="H111" s="117" t="n">
        <v>665.14</v>
      </c>
      <c r="I111" s="117" t="n">
        <v>651.54</v>
      </c>
      <c r="J111" s="117" t="n">
        <v>621.15</v>
      </c>
      <c r="K111" s="115" t="n"/>
      <c r="L111" s="115" t="n"/>
      <c r="M111" s="115" t="n"/>
      <c r="N111" s="115" t="n"/>
      <c r="O111" s="115" t="n"/>
      <c r="P111" s="115" t="n"/>
      <c r="Q111" s="115" t="n"/>
    </row>
    <row r="112">
      <c r="A112" s="128" t="n">
        <v>46166</v>
      </c>
      <c r="B112" s="137" t="inlineStr">
        <is>
          <t>SUPRIYA</t>
        </is>
      </c>
      <c r="C112" s="137" t="inlineStr">
        <is>
          <t>Blue</t>
        </is>
      </c>
      <c r="D112" s="137" t="e">
        <v>#VALUE!</v>
      </c>
      <c r="E112" s="130">
        <f t="array" ref="E112">_FV(D112,"Price")</f>
        <v/>
      </c>
      <c r="F112" s="131">
        <f t="array" ref="F112">_FV(D112,"Previous close",TRUE)</f>
        <v/>
      </c>
      <c r="G112" s="117" t="n">
        <v>968.7</v>
      </c>
      <c r="H112" s="117" t="n">
        <v>777.74</v>
      </c>
      <c r="I112" s="117" t="n">
        <v>760.67</v>
      </c>
      <c r="J112" s="117" t="n">
        <v>724.1799999999999</v>
      </c>
      <c r="K112" s="115" t="n"/>
      <c r="L112" s="115" t="n"/>
      <c r="M112" s="115" t="n"/>
      <c r="N112" s="115" t="n"/>
      <c r="O112" s="115" t="n"/>
      <c r="P112" s="115" t="n"/>
      <c r="Q112" s="115" t="n"/>
    </row>
    <row r="113">
      <c r="A113" s="128" t="n">
        <v>46166</v>
      </c>
      <c r="B113" s="137" t="inlineStr">
        <is>
          <t>SPARC</t>
        </is>
      </c>
      <c r="C113" s="137" t="inlineStr">
        <is>
          <t>Blue</t>
        </is>
      </c>
      <c r="D113" s="137" t="e">
        <v>#VALUE!</v>
      </c>
      <c r="E113" s="130">
        <f t="array" ref="E113">_FV(D113,"Price")</f>
        <v/>
      </c>
      <c r="F113" s="131">
        <f t="array" ref="F113">_FV(D113,"Previous close",TRUE)</f>
        <v/>
      </c>
      <c r="G113" s="117" t="n">
        <v>212.11</v>
      </c>
      <c r="H113" s="117" t="n">
        <v>177.09</v>
      </c>
      <c r="I113" s="117" t="n">
        <v>171.71</v>
      </c>
      <c r="J113" s="117" t="n">
        <v>157.08</v>
      </c>
      <c r="K113" s="115" t="n"/>
      <c r="L113" s="115" t="n"/>
      <c r="M113" s="115" t="n"/>
      <c r="N113" s="115" t="n"/>
      <c r="O113" s="115" t="n"/>
      <c r="P113" s="115" t="n"/>
      <c r="Q113" s="115" t="n"/>
    </row>
    <row r="114">
      <c r="A114" s="128" t="n">
        <v>46166</v>
      </c>
      <c r="B114" s="137" t="inlineStr">
        <is>
          <t>OIL</t>
        </is>
      </c>
      <c r="C114" s="137" t="inlineStr">
        <is>
          <t>Blue</t>
        </is>
      </c>
      <c r="D114" s="137" t="e">
        <v>#VALUE!</v>
      </c>
      <c r="E114" s="130">
        <f t="array" ref="E114">_FV(D114,"Price")</f>
        <v/>
      </c>
      <c r="F114" s="131">
        <f t="array" ref="F114">_FV(D114,"Previous close",TRUE)</f>
        <v/>
      </c>
      <c r="G114" s="117" t="n">
        <v>476.15</v>
      </c>
      <c r="H114" s="117" t="n">
        <v>483.08</v>
      </c>
      <c r="I114" s="117" t="n">
        <v>481.34</v>
      </c>
      <c r="J114" s="117" t="n">
        <v>470.71</v>
      </c>
      <c r="K114" s="115" t="n"/>
      <c r="L114" s="115" t="n"/>
      <c r="M114" s="115" t="n"/>
      <c r="N114" s="115" t="n"/>
      <c r="O114" s="115" t="n"/>
      <c r="P114" s="115" t="n"/>
      <c r="Q114" s="115" t="n"/>
    </row>
    <row r="115">
      <c r="A115" s="128" t="n">
        <v>46166</v>
      </c>
      <c r="B115" s="137" t="inlineStr">
        <is>
          <t>AARTIIND</t>
        </is>
      </c>
      <c r="C115" s="137" t="inlineStr">
        <is>
          <t>Blue</t>
        </is>
      </c>
      <c r="D115" s="137" t="e">
        <v>#VALUE!</v>
      </c>
      <c r="E115" s="130">
        <f t="array" ref="E115">_FV(D115,"Price")</f>
        <v/>
      </c>
      <c r="F115" s="131">
        <f t="array" ref="F115">_FV(D115,"Previous close",TRUE)</f>
        <v/>
      </c>
      <c r="G115" s="117" t="n">
        <v>475</v>
      </c>
      <c r="H115" s="117" t="n">
        <v>465.06</v>
      </c>
      <c r="I115" s="117" t="n">
        <v>460.96</v>
      </c>
      <c r="J115" s="117" t="n">
        <v>443.55</v>
      </c>
      <c r="K115" s="115" t="n"/>
      <c r="L115" s="115" t="n"/>
      <c r="M115" s="115" t="n"/>
      <c r="N115" s="115" t="n"/>
      <c r="O115" s="115" t="n"/>
      <c r="P115" s="115" t="n"/>
      <c r="Q115" s="115" t="n"/>
    </row>
    <row r="116">
      <c r="A116" s="128" t="n">
        <v>46166</v>
      </c>
      <c r="B116" s="137" t="inlineStr">
        <is>
          <t>JSWENERGY</t>
        </is>
      </c>
      <c r="C116" s="137" t="inlineStr">
        <is>
          <t>Blue</t>
        </is>
      </c>
      <c r="D116" s="137" t="e">
        <v>#VALUE!</v>
      </c>
      <c r="E116" s="130">
        <f t="array" ref="E116">_FV(D116,"Price")</f>
        <v/>
      </c>
      <c r="F116" s="131">
        <f t="array" ref="F116">_FV(D116,"Previous close",TRUE)</f>
        <v/>
      </c>
      <c r="G116" s="117" t="n">
        <v>595.05</v>
      </c>
      <c r="H116" s="117" t="n">
        <v>553.35</v>
      </c>
      <c r="I116" s="117" t="n">
        <v>547.4</v>
      </c>
      <c r="J116" s="117" t="n">
        <v>529.74</v>
      </c>
      <c r="K116" s="115" t="n"/>
      <c r="L116" s="115" t="n"/>
      <c r="M116" s="115" t="n"/>
      <c r="N116" s="115" t="n"/>
      <c r="O116" s="115" t="n"/>
      <c r="P116" s="115" t="n"/>
      <c r="Q116" s="115" t="n"/>
    </row>
    <row r="117">
      <c r="A117" s="128" t="n">
        <v>46166</v>
      </c>
      <c r="B117" s="137" t="inlineStr">
        <is>
          <t>TIMKEN</t>
        </is>
      </c>
      <c r="C117" s="137" t="inlineStr">
        <is>
          <t>Blue</t>
        </is>
      </c>
      <c r="D117" s="137" t="e">
        <v>#VALUE!</v>
      </c>
      <c r="E117" s="130">
        <f t="array" ref="E117">_FV(D117,"Price")</f>
        <v/>
      </c>
      <c r="F117" s="131">
        <f t="array" ref="F117">_FV(D117,"Previous close",TRUE)</f>
        <v/>
      </c>
      <c r="G117" s="117" t="n">
        <v>3630.4</v>
      </c>
      <c r="H117" s="117" t="n">
        <v>3534.88</v>
      </c>
      <c r="I117" s="117" t="n">
        <v>3510.16</v>
      </c>
      <c r="J117" s="117" t="n">
        <v>3401.95</v>
      </c>
      <c r="K117" s="115" t="n"/>
      <c r="L117" s="115" t="n"/>
      <c r="M117" s="115" t="n"/>
      <c r="N117" s="115" t="n"/>
      <c r="O117" s="115" t="n"/>
      <c r="P117" s="115" t="n"/>
      <c r="Q117" s="115" t="n"/>
    </row>
    <row r="118">
      <c r="A118" s="128" t="n">
        <v>46166</v>
      </c>
      <c r="B118" s="137" t="inlineStr">
        <is>
          <t>CAPLIPOINT</t>
        </is>
      </c>
      <c r="C118" s="137" t="inlineStr">
        <is>
          <t>Blue</t>
        </is>
      </c>
      <c r="D118" s="137" t="e">
        <v>#VALUE!</v>
      </c>
      <c r="E118" s="130">
        <f t="array" ref="E118">_FV(D118,"Price")</f>
        <v/>
      </c>
      <c r="F118" s="131">
        <f t="array" ref="F118">_FV(D118,"Previous close",TRUE)</f>
        <v/>
      </c>
      <c r="G118" s="117" t="n">
        <v>2024.5</v>
      </c>
      <c r="H118" s="117" t="n">
        <v>1893.83</v>
      </c>
      <c r="I118" s="117" t="n">
        <v>1873.3</v>
      </c>
      <c r="J118" s="117" t="n">
        <v>1839.81</v>
      </c>
      <c r="K118" s="115" t="n"/>
      <c r="L118" s="115" t="n"/>
      <c r="M118" s="115" t="n"/>
      <c r="N118" s="115" t="n"/>
      <c r="O118" s="115" t="n"/>
      <c r="P118" s="115" t="n"/>
      <c r="Q118" s="115" t="n"/>
    </row>
    <row r="119">
      <c r="A119" s="128" t="n">
        <v>46166</v>
      </c>
      <c r="B119" s="137" t="inlineStr">
        <is>
          <t>SUVEN</t>
        </is>
      </c>
      <c r="C119" s="137" t="inlineStr">
        <is>
          <t>Blue</t>
        </is>
      </c>
      <c r="D119" s="137" t="e">
        <v>#VALUE!</v>
      </c>
      <c r="E119" s="130">
        <f t="array" ref="E119">_FV(D119,"Price")</f>
        <v/>
      </c>
      <c r="F119" s="131">
        <f t="array" ref="F119">_FV(D119,"Previous close",TRUE)</f>
        <v/>
      </c>
      <c r="G119" s="117" t="n">
        <v>279.34</v>
      </c>
      <c r="H119" s="117" t="n">
        <v>232.33</v>
      </c>
      <c r="I119" s="117" t="n">
        <v>224.28</v>
      </c>
      <c r="J119" s="117" t="n">
        <v>202.69</v>
      </c>
      <c r="K119" s="115" t="n"/>
      <c r="L119" s="115" t="n"/>
      <c r="M119" s="115" t="n"/>
      <c r="N119" s="115" t="n"/>
      <c r="O119" s="115" t="n"/>
      <c r="P119" s="115" t="n"/>
      <c r="Q119" s="115" t="n"/>
    </row>
    <row r="120">
      <c r="A120" s="128" t="n">
        <v>46166</v>
      </c>
      <c r="B120" s="137" t="inlineStr">
        <is>
          <t>DEEPAKFERT</t>
        </is>
      </c>
      <c r="C120" s="137" t="inlineStr">
        <is>
          <t>Blue</t>
        </is>
      </c>
      <c r="D120" s="137" t="e">
        <v>#VALUE!</v>
      </c>
      <c r="E120" s="130">
        <f t="array" ref="E120">_FV(D120,"Price")</f>
        <v/>
      </c>
      <c r="F120" s="131">
        <f t="array" ref="F120">_FV(D120,"Previous close",TRUE)</f>
        <v/>
      </c>
      <c r="G120" s="117" t="n">
        <v>1410.1</v>
      </c>
      <c r="H120" s="117" t="n">
        <v>1309.66</v>
      </c>
      <c r="I120" s="117" t="n">
        <v>1285.68</v>
      </c>
      <c r="J120" s="117" t="n">
        <v>1237.05</v>
      </c>
      <c r="K120" s="115" t="n"/>
      <c r="L120" s="115" t="n"/>
      <c r="M120" s="115" t="n"/>
      <c r="N120" s="115" t="n"/>
      <c r="O120" s="115" t="n"/>
      <c r="P120" s="115" t="n"/>
      <c r="Q120" s="115" t="n"/>
    </row>
    <row r="121">
      <c r="A121" s="128" t="n">
        <v>46166</v>
      </c>
      <c r="B121" s="137" t="inlineStr">
        <is>
          <t>APOLLOPIPE</t>
        </is>
      </c>
      <c r="C121" s="137" t="inlineStr">
        <is>
          <t>Blue</t>
        </is>
      </c>
      <c r="D121" s="137" t="e">
        <v>#VALUE!</v>
      </c>
      <c r="E121" s="130">
        <f t="array" ref="E121">_FV(D121,"Price")</f>
        <v/>
      </c>
      <c r="F121" s="131">
        <f t="array" ref="F121">_FV(D121,"Previous close",TRUE)</f>
        <v/>
      </c>
      <c r="G121" s="117" t="n">
        <v>508.85</v>
      </c>
      <c r="H121" s="117" t="n">
        <v>475.54</v>
      </c>
      <c r="I121" s="117" t="n">
        <v>466.15</v>
      </c>
      <c r="J121" s="117" t="n">
        <v>429.08</v>
      </c>
      <c r="K121" s="115" t="n"/>
      <c r="L121" s="115" t="n"/>
      <c r="M121" s="115" t="n"/>
      <c r="N121" s="115" t="n"/>
      <c r="O121" s="115" t="n"/>
      <c r="P121" s="115" t="n"/>
      <c r="Q121" s="115" t="n"/>
    </row>
    <row r="122">
      <c r="A122" s="128" t="n">
        <v>46166</v>
      </c>
      <c r="B122" s="137" t="inlineStr">
        <is>
          <t>THERMAX</t>
        </is>
      </c>
      <c r="C122" s="137" t="inlineStr">
        <is>
          <t>Blue</t>
        </is>
      </c>
      <c r="D122" s="137" t="e">
        <v>#VALUE!</v>
      </c>
      <c r="E122" s="130">
        <f t="array" ref="E122">_FV(D122,"Price")</f>
        <v/>
      </c>
      <c r="F122" s="131">
        <f t="array" ref="F122">_FV(D122,"Previous close",TRUE)</f>
        <v/>
      </c>
      <c r="G122" s="117" t="n">
        <v>4982.7</v>
      </c>
      <c r="H122" s="117" t="n">
        <v>4402.31</v>
      </c>
      <c r="I122" s="117" t="n">
        <v>4284.75</v>
      </c>
      <c r="J122" s="117" t="n">
        <v>3900.78</v>
      </c>
      <c r="K122" s="115" t="n"/>
      <c r="L122" s="115" t="n"/>
      <c r="M122" s="115" t="n"/>
      <c r="N122" s="115" t="n"/>
      <c r="O122" s="115" t="n"/>
      <c r="P122" s="115" t="n"/>
      <c r="Q122" s="115" t="n"/>
    </row>
    <row r="123">
      <c r="A123" s="128" t="n">
        <v>46166</v>
      </c>
      <c r="B123" s="137" t="inlineStr">
        <is>
          <t>KTKBANK</t>
        </is>
      </c>
      <c r="C123" s="137" t="inlineStr">
        <is>
          <t>Blue</t>
        </is>
      </c>
      <c r="D123" s="137" t="e">
        <v>#VALUE!</v>
      </c>
      <c r="E123" s="130">
        <f t="array" ref="E123">_FV(D123,"Price")</f>
        <v/>
      </c>
      <c r="F123" s="131">
        <f t="array" ref="F123">_FV(D123,"Previous close",TRUE)</f>
        <v/>
      </c>
      <c r="G123" s="117" t="n">
        <v>269.35</v>
      </c>
      <c r="H123" s="117" t="n">
        <v>254.08</v>
      </c>
      <c r="I123" s="117" t="n">
        <v>250.49</v>
      </c>
      <c r="J123" s="117" t="n">
        <v>235.46</v>
      </c>
      <c r="K123" s="115" t="n"/>
      <c r="L123" s="115" t="n"/>
      <c r="M123" s="115" t="n"/>
      <c r="N123" s="115" t="n"/>
      <c r="O123" s="115" t="n"/>
      <c r="P123" s="115" t="n"/>
      <c r="Q123" s="115" t="n"/>
    </row>
    <row r="124">
      <c r="A124" s="128" t="n">
        <v>46166</v>
      </c>
      <c r="B124" s="137" t="inlineStr">
        <is>
          <t>ONGC</t>
        </is>
      </c>
      <c r="C124" s="137" t="inlineStr">
        <is>
          <t>Blue</t>
        </is>
      </c>
      <c r="D124" s="137" t="e">
        <v>#VALUE!</v>
      </c>
      <c r="E124" s="130">
        <f t="array" ref="E124">_FV(D124,"Price")</f>
        <v/>
      </c>
      <c r="F124" s="131">
        <f t="array" ref="F124">_FV(D124,"Previous close",TRUE)</f>
        <v/>
      </c>
      <c r="G124" s="117" t="n">
        <v>265.4</v>
      </c>
      <c r="H124" s="117" t="n">
        <v>278.65</v>
      </c>
      <c r="I124" s="117" t="n">
        <v>278.28</v>
      </c>
      <c r="J124" s="117" t="n">
        <v>272.2</v>
      </c>
      <c r="K124" s="115" t="n"/>
      <c r="L124" s="115" t="n"/>
      <c r="M124" s="115" t="n"/>
      <c r="N124" s="115" t="n"/>
      <c r="O124" s="115" t="n"/>
      <c r="P124" s="115" t="n"/>
      <c r="Q124" s="115" t="n"/>
    </row>
    <row r="125">
      <c r="A125" s="128" t="n">
        <v>46166</v>
      </c>
      <c r="B125" s="137" t="inlineStr">
        <is>
          <t>AUROPHARMA</t>
        </is>
      </c>
      <c r="C125" s="137" t="inlineStr">
        <is>
          <t>Blue</t>
        </is>
      </c>
      <c r="D125" s="137" t="e">
        <v>#VALUE!</v>
      </c>
      <c r="E125" s="130">
        <f t="array" ref="E125">_FV(D125,"Price")</f>
        <v/>
      </c>
      <c r="F125" s="131">
        <f t="array" ref="F125">_FV(D125,"Previous close",TRUE)</f>
        <v/>
      </c>
      <c r="G125" s="117" t="n">
        <v>1426.4</v>
      </c>
      <c r="H125" s="117" t="n">
        <v>1416.27</v>
      </c>
      <c r="I125" s="117" t="n">
        <v>1402.75</v>
      </c>
      <c r="J125" s="117" t="n">
        <v>1343.73</v>
      </c>
      <c r="K125" s="115" t="n"/>
      <c r="L125" s="115" t="n"/>
      <c r="M125" s="115" t="n"/>
      <c r="N125" s="115" t="n"/>
      <c r="O125" s="115" t="n"/>
      <c r="P125" s="115" t="n"/>
      <c r="Q125" s="115" t="n"/>
    </row>
    <row r="126">
      <c r="A126" s="128" t="n">
        <v>46166</v>
      </c>
      <c r="B126" s="137" t="inlineStr">
        <is>
          <t>ADANIENSOL</t>
        </is>
      </c>
      <c r="C126" s="137" t="inlineStr">
        <is>
          <t>Blue</t>
        </is>
      </c>
      <c r="D126" s="137" t="e">
        <v>#VALUE!</v>
      </c>
      <c r="E126" s="130">
        <f t="array" ref="E126">_FV(D126,"Price")</f>
        <v/>
      </c>
      <c r="F126" s="131">
        <f t="array" ref="F126">_FV(D126,"Previous close",TRUE)</f>
        <v/>
      </c>
      <c r="G126" s="117" t="n">
        <v>1513.3</v>
      </c>
      <c r="H126" s="117" t="n">
        <v>1351.97</v>
      </c>
      <c r="I126" s="117" t="n">
        <v>1318.79</v>
      </c>
      <c r="J126" s="117" t="n">
        <v>1204.27</v>
      </c>
      <c r="K126" s="115" t="n"/>
      <c r="L126" s="115" t="n"/>
      <c r="M126" s="115" t="n"/>
      <c r="N126" s="115" t="n"/>
      <c r="O126" s="115" t="n"/>
      <c r="P126" s="115" t="n"/>
      <c r="Q126" s="115" t="n"/>
    </row>
    <row r="127">
      <c r="A127" s="128" t="n">
        <v>46166</v>
      </c>
      <c r="B127" s="137" t="inlineStr">
        <is>
          <t>STLTECH</t>
        </is>
      </c>
      <c r="C127" s="137" t="inlineStr">
        <is>
          <t>Orange</t>
        </is>
      </c>
      <c r="D127" s="137" t="e">
        <v>#VALUE!</v>
      </c>
      <c r="E127" s="130">
        <f t="array" ref="E127">_FV(D127,"Price")</f>
        <v/>
      </c>
      <c r="F127" s="131">
        <f t="array" ref="F127">_FV(D127,"Previous close",TRUE)</f>
        <v/>
      </c>
      <c r="G127" s="117" t="n">
        <v>536.15</v>
      </c>
      <c r="H127" s="117" t="n">
        <v>408.71</v>
      </c>
      <c r="I127" s="117" t="n">
        <v>381.86</v>
      </c>
      <c r="J127" s="117" t="n">
        <v>296.71</v>
      </c>
      <c r="K127" s="115" t="n"/>
      <c r="L127" s="115" t="n"/>
      <c r="M127" s="115" t="n"/>
      <c r="N127" s="115" t="n"/>
      <c r="O127" s="115" t="n"/>
      <c r="P127" s="115" t="n"/>
      <c r="Q127" s="115" t="n"/>
    </row>
    <row r="128">
      <c r="A128" s="128" t="n">
        <v>46166</v>
      </c>
      <c r="B128" s="137" t="inlineStr">
        <is>
          <t>MTARTECH</t>
        </is>
      </c>
      <c r="C128" s="137" t="inlineStr">
        <is>
          <t>Orange</t>
        </is>
      </c>
      <c r="D128" s="137" t="e">
        <v>#VALUE!</v>
      </c>
      <c r="E128" s="130">
        <f t="array" ref="E128">_FV(D128,"Price")</f>
        <v/>
      </c>
      <c r="F128" s="131">
        <f t="array" ref="F128">_FV(D128,"Previous close",TRUE)</f>
        <v/>
      </c>
      <c r="G128" s="117" t="n">
        <v>7879.5</v>
      </c>
      <c r="H128" s="117" t="n">
        <v>6506.47</v>
      </c>
      <c r="I128" s="117" t="n">
        <v>6210.04</v>
      </c>
      <c r="J128" s="117" t="n">
        <v>5134.94</v>
      </c>
      <c r="K128" s="115" t="n"/>
      <c r="L128" s="115" t="n"/>
      <c r="M128" s="115" t="n"/>
      <c r="N128" s="115" t="n"/>
      <c r="O128" s="115" t="n"/>
      <c r="P128" s="115" t="n"/>
      <c r="Q128" s="115" t="n"/>
    </row>
    <row r="129">
      <c r="A129" s="128" t="n">
        <v>46166</v>
      </c>
      <c r="B129" s="137" t="inlineStr">
        <is>
          <t>SOLARINDS</t>
        </is>
      </c>
      <c r="C129" s="137" t="inlineStr">
        <is>
          <t>Orange</t>
        </is>
      </c>
      <c r="D129" s="137" t="e">
        <v>#VALUE!</v>
      </c>
      <c r="E129" s="130">
        <f t="array" ref="E129">_FV(D129,"Price")</f>
        <v/>
      </c>
      <c r="F129" s="131">
        <f t="array" ref="F129">_FV(D129,"Previous close",TRUE)</f>
        <v/>
      </c>
      <c r="G129" s="117" t="n">
        <v>18247</v>
      </c>
      <c r="H129" s="117" t="n">
        <v>16697.24</v>
      </c>
      <c r="I129" s="117" t="n">
        <v>16356.68</v>
      </c>
      <c r="J129" s="117" t="n">
        <v>15322.98</v>
      </c>
      <c r="K129" s="115" t="n"/>
      <c r="L129" s="115" t="n"/>
      <c r="M129" s="115" t="n"/>
      <c r="N129" s="115" t="n"/>
      <c r="O129" s="115" t="n"/>
      <c r="P129" s="115" t="n"/>
      <c r="Q129" s="115" t="n"/>
    </row>
    <row r="130">
      <c r="A130" s="128" t="n">
        <v>46166</v>
      </c>
      <c r="B130" s="137" t="inlineStr">
        <is>
          <t>BSE</t>
        </is>
      </c>
      <c r="C130" s="137" t="inlineStr">
        <is>
          <t>Orange</t>
        </is>
      </c>
      <c r="D130" s="137" t="e">
        <v>#VALUE!</v>
      </c>
      <c r="E130" s="130">
        <f t="array" ref="E130">_FV(D130,"Price")</f>
        <v/>
      </c>
      <c r="F130" s="131">
        <f t="array" ref="F130">_FV(D130,"Previous close",TRUE)</f>
        <v/>
      </c>
      <c r="G130" s="117" t="n">
        <v>4146.1</v>
      </c>
      <c r="H130" s="117" t="n">
        <v>3769.07</v>
      </c>
      <c r="I130" s="117" t="n">
        <v>3684.5</v>
      </c>
      <c r="J130" s="117" t="n">
        <v>3375.34</v>
      </c>
      <c r="K130" s="115" t="n"/>
      <c r="L130" s="115" t="n"/>
      <c r="M130" s="115" t="n"/>
      <c r="N130" s="115" t="n"/>
      <c r="O130" s="115" t="n"/>
      <c r="P130" s="115" t="n"/>
      <c r="Q130" s="115" t="n"/>
    </row>
    <row r="131">
      <c r="A131" s="128" t="n">
        <v>46166</v>
      </c>
      <c r="B131" s="137" t="inlineStr">
        <is>
          <t>WHEELS</t>
        </is>
      </c>
      <c r="C131" s="137" t="inlineStr">
        <is>
          <t>Orange</t>
        </is>
      </c>
      <c r="D131" s="137" t="e">
        <v>#VALUE!</v>
      </c>
      <c r="E131" s="130">
        <f t="array" ref="E131">_FV(D131,"Price")</f>
        <v/>
      </c>
      <c r="F131" s="131">
        <f t="array" ref="F131">_FV(D131,"Previous close",TRUE)</f>
        <v/>
      </c>
      <c r="G131" s="117" t="n">
        <v>1575.8</v>
      </c>
      <c r="H131" s="117" t="n">
        <v>1371.31</v>
      </c>
      <c r="I131" s="117" t="n">
        <v>1325.4</v>
      </c>
      <c r="J131" s="117" t="n">
        <v>1171.7</v>
      </c>
      <c r="K131" s="115" t="n"/>
      <c r="L131" s="115" t="n"/>
      <c r="M131" s="115" t="n"/>
      <c r="N131" s="115" t="n"/>
      <c r="O131" s="115" t="n"/>
      <c r="P131" s="115" t="n"/>
      <c r="Q131" s="115" t="n"/>
    </row>
    <row r="132">
      <c r="A132" s="128" t="n">
        <v>46166</v>
      </c>
      <c r="B132" s="137" t="inlineStr">
        <is>
          <t>LAURUSLABS</t>
        </is>
      </c>
      <c r="C132" s="137" t="inlineStr">
        <is>
          <t>Orange</t>
        </is>
      </c>
      <c r="D132" s="137" t="e">
        <v>#VALUE!</v>
      </c>
      <c r="E132" s="130">
        <f t="array" ref="E132">_FV(D132,"Price")</f>
        <v/>
      </c>
      <c r="F132" s="131">
        <f t="array" ref="F132">_FV(D132,"Previous close",TRUE)</f>
        <v/>
      </c>
      <c r="G132" s="117" t="n">
        <v>1362</v>
      </c>
      <c r="H132" s="117" t="n">
        <v>1254.02</v>
      </c>
      <c r="I132" s="117" t="n">
        <v>1229.67</v>
      </c>
      <c r="J132" s="117" t="n">
        <v>1147.84</v>
      </c>
      <c r="K132" s="115" t="n"/>
      <c r="L132" s="115" t="n"/>
      <c r="M132" s="115" t="n"/>
      <c r="N132" s="115" t="n"/>
      <c r="O132" s="115" t="n"/>
      <c r="P132" s="115" t="n"/>
      <c r="Q132" s="115" t="n"/>
    </row>
    <row r="133">
      <c r="A133" s="128" t="n">
        <v>46166</v>
      </c>
      <c r="B133" s="137" t="inlineStr">
        <is>
          <t>BBOX</t>
        </is>
      </c>
      <c r="C133" s="137" t="inlineStr">
        <is>
          <t>Orange</t>
        </is>
      </c>
      <c r="D133" s="137" t="e">
        <v>#VALUE!</v>
      </c>
      <c r="E133" s="130">
        <f t="array" ref="E133">_FV(D133,"Price")</f>
        <v/>
      </c>
      <c r="F133" s="131">
        <f t="array" ref="F133">_FV(D133,"Previous close",TRUE)</f>
        <v/>
      </c>
      <c r="G133" s="117" t="n">
        <v>1037.15</v>
      </c>
      <c r="H133" s="117" t="n">
        <v>823.6799999999999</v>
      </c>
      <c r="I133" s="117" t="n">
        <v>787.59</v>
      </c>
      <c r="J133" s="117" t="n">
        <v>685.09</v>
      </c>
      <c r="K133" s="115" t="n"/>
      <c r="L133" s="115" t="n"/>
      <c r="M133" s="115" t="n"/>
      <c r="N133" s="115" t="n"/>
      <c r="O133" s="115" t="n"/>
      <c r="P133" s="115" t="n"/>
      <c r="Q133" s="115" t="n"/>
    </row>
    <row r="134">
      <c r="A134" s="128" t="n">
        <v>46166</v>
      </c>
      <c r="B134" s="137" t="inlineStr">
        <is>
          <t>APOLLOHOSP</t>
        </is>
      </c>
      <c r="C134" s="137" t="inlineStr">
        <is>
          <t>Orange</t>
        </is>
      </c>
      <c r="D134" s="137" t="e">
        <v>#VALUE!</v>
      </c>
      <c r="E134" s="130">
        <f t="array" ref="E134">_FV(D134,"Price")</f>
        <v/>
      </c>
      <c r="F134" s="131">
        <f t="array" ref="F134">_FV(D134,"Previous close",TRUE)</f>
        <v/>
      </c>
      <c r="G134" s="117" t="n">
        <v>8176.5</v>
      </c>
      <c r="H134" s="117" t="n">
        <v>7967.16</v>
      </c>
      <c r="I134" s="117" t="n">
        <v>7914.64</v>
      </c>
      <c r="J134" s="117" t="n">
        <v>7736.93</v>
      </c>
      <c r="K134" s="115" t="n"/>
      <c r="L134" s="115" t="n"/>
      <c r="M134" s="115" t="n"/>
      <c r="N134" s="115" t="n"/>
      <c r="O134" s="115" t="n"/>
      <c r="P134" s="115" t="n"/>
      <c r="Q134" s="115" t="n"/>
    </row>
    <row r="135">
      <c r="A135" s="128" t="n">
        <v>46166</v>
      </c>
      <c r="B135" s="137" t="inlineStr">
        <is>
          <t>TDPOWERSYS</t>
        </is>
      </c>
      <c r="C135" s="137" t="inlineStr">
        <is>
          <t>Orange</t>
        </is>
      </c>
      <c r="D135" s="137" t="e">
        <v>#VALUE!</v>
      </c>
      <c r="E135" s="130">
        <f t="array" ref="E135">_FV(D135,"Price")</f>
        <v/>
      </c>
      <c r="F135" s="131">
        <f t="array" ref="F135">_FV(D135,"Previous close",TRUE)</f>
        <v/>
      </c>
      <c r="G135" s="117" t="n">
        <v>1318.6</v>
      </c>
      <c r="H135" s="117" t="n">
        <v>1176.11</v>
      </c>
      <c r="I135" s="117" t="n">
        <v>1143.8</v>
      </c>
      <c r="J135" s="117" t="n">
        <v>1018.52</v>
      </c>
      <c r="K135" s="115" t="n"/>
      <c r="L135" s="115" t="n"/>
      <c r="M135" s="115" t="n"/>
      <c r="N135" s="115" t="n"/>
      <c r="O135" s="115" t="n"/>
      <c r="P135" s="115" t="n"/>
      <c r="Q135" s="115" t="n"/>
    </row>
    <row r="136">
      <c r="A136" s="128" t="n">
        <v>46166</v>
      </c>
      <c r="B136" s="137" t="inlineStr">
        <is>
          <t>GESHIP</t>
        </is>
      </c>
      <c r="C136" s="137" t="inlineStr">
        <is>
          <t>Orange</t>
        </is>
      </c>
      <c r="D136" s="137" t="e">
        <v>#VALUE!</v>
      </c>
      <c r="E136" s="130">
        <f t="array" ref="E136">_FV(D136,"Price")</f>
        <v/>
      </c>
      <c r="F136" s="131">
        <f t="array" ref="F136">_FV(D136,"Previous close",TRUE)</f>
        <v/>
      </c>
      <c r="G136" s="117" t="n">
        <v>1418.9</v>
      </c>
      <c r="H136" s="117" t="n">
        <v>1491.69</v>
      </c>
      <c r="I136" s="117" t="n">
        <v>1476.21</v>
      </c>
      <c r="J136" s="117" t="n">
        <v>1394.46</v>
      </c>
      <c r="K136" s="115" t="n"/>
      <c r="L136" s="115" t="n"/>
      <c r="M136" s="115" t="n"/>
      <c r="N136" s="115" t="n"/>
      <c r="O136" s="115" t="n"/>
      <c r="P136" s="115" t="n"/>
      <c r="Q136" s="115" t="n"/>
    </row>
    <row r="137">
      <c r="A137" s="128" t="n">
        <v>46166</v>
      </c>
      <c r="B137" s="137" t="inlineStr">
        <is>
          <t>CUPID</t>
        </is>
      </c>
      <c r="C137" s="137" t="inlineStr">
        <is>
          <t>Orange</t>
        </is>
      </c>
      <c r="D137" s="137" t="e">
        <v>#VALUE!</v>
      </c>
      <c r="E137" s="130">
        <f t="array" ref="E137">_FV(D137,"Price")</f>
        <v/>
      </c>
      <c r="F137" s="131">
        <f t="array" ref="F137">_FV(D137,"Previous close",TRUE)</f>
        <v/>
      </c>
      <c r="G137" s="117" t="n">
        <v>129.06</v>
      </c>
      <c r="H137" s="117" t="n">
        <v>117.3</v>
      </c>
      <c r="I137" s="117" t="n">
        <v>114.21</v>
      </c>
      <c r="J137" s="117" t="n">
        <v>101.57</v>
      </c>
      <c r="K137" s="115" t="n"/>
      <c r="L137" s="115" t="n"/>
      <c r="M137" s="115" t="n"/>
      <c r="N137" s="115" t="n"/>
      <c r="O137" s="115" t="n"/>
      <c r="P137" s="115" t="n"/>
      <c r="Q137" s="115" t="n"/>
    </row>
    <row r="138">
      <c r="A138" s="128" t="n">
        <v>46166</v>
      </c>
      <c r="B138" s="137" t="inlineStr">
        <is>
          <t>POWERINDIA</t>
        </is>
      </c>
      <c r="C138" s="137" t="inlineStr">
        <is>
          <t>Orange</t>
        </is>
      </c>
      <c r="D138" s="137" t="e">
        <v>#VALUE!</v>
      </c>
      <c r="E138" s="130">
        <f t="array" ref="E138">_FV(D138,"Price")</f>
        <v/>
      </c>
      <c r="F138" s="131">
        <f t="array" ref="F138">_FV(D138,"Previous close",TRUE)</f>
        <v/>
      </c>
      <c r="G138" s="117" t="n">
        <v>38445</v>
      </c>
      <c r="H138" s="117" t="n">
        <v>33096.26</v>
      </c>
      <c r="I138" s="117" t="n">
        <v>32211.91</v>
      </c>
      <c r="J138" s="117" t="n">
        <v>28794.81</v>
      </c>
      <c r="K138" s="115" t="n"/>
      <c r="L138" s="115" t="n"/>
      <c r="M138" s="115" t="n"/>
      <c r="N138" s="115" t="n"/>
      <c r="O138" s="115" t="n"/>
      <c r="P138" s="115" t="n"/>
      <c r="Q138" s="115" t="n"/>
    </row>
    <row r="139">
      <c r="A139" s="128" t="n">
        <v>46166</v>
      </c>
      <c r="B139" s="137" t="inlineStr">
        <is>
          <t>DATAPATTNS</t>
        </is>
      </c>
      <c r="C139" s="137" t="inlineStr">
        <is>
          <t>Orange</t>
        </is>
      </c>
      <c r="D139" s="137" t="e">
        <v>#VALUE!</v>
      </c>
      <c r="E139" s="130">
        <f t="array" ref="E139">_FV(D139,"Price")</f>
        <v/>
      </c>
      <c r="F139" s="131">
        <f t="array" ref="F139">_FV(D139,"Previous close",TRUE)</f>
        <v/>
      </c>
      <c r="G139" s="117" t="n">
        <v>4043.1</v>
      </c>
      <c r="H139" s="117" t="n">
        <v>3842.29</v>
      </c>
      <c r="I139" s="117" t="n">
        <v>3773.75</v>
      </c>
      <c r="J139" s="117" t="n">
        <v>3496.79</v>
      </c>
      <c r="K139" s="115" t="n"/>
      <c r="L139" s="115" t="n"/>
      <c r="M139" s="115" t="n"/>
      <c r="N139" s="115" t="n"/>
      <c r="O139" s="115" t="n"/>
      <c r="P139" s="115" t="n"/>
      <c r="Q139" s="115" t="n"/>
    </row>
    <row r="140">
      <c r="A140" s="128" t="n">
        <v>46166</v>
      </c>
      <c r="B140" s="137" t="inlineStr">
        <is>
          <t>APARINDS</t>
        </is>
      </c>
      <c r="C140" s="137" t="inlineStr">
        <is>
          <t>Orange</t>
        </is>
      </c>
      <c r="D140" s="137" t="e">
        <v>#VALUE!</v>
      </c>
      <c r="E140" s="130">
        <f t="array" ref="E140">_FV(D140,"Price")</f>
        <v/>
      </c>
      <c r="F140" s="131">
        <f t="array" ref="F140">_FV(D140,"Previous close",TRUE)</f>
        <v/>
      </c>
      <c r="G140" s="117" t="n">
        <v>13118</v>
      </c>
      <c r="H140" s="117" t="n">
        <v>12318.41</v>
      </c>
      <c r="I140" s="117" t="n">
        <v>12078.04</v>
      </c>
      <c r="J140" s="117" t="n">
        <v>11152.6</v>
      </c>
      <c r="K140" s="115" t="n"/>
      <c r="L140" s="115" t="n"/>
      <c r="M140" s="115" t="n"/>
      <c r="N140" s="115" t="n"/>
      <c r="O140" s="115" t="n"/>
      <c r="P140" s="115" t="n"/>
      <c r="Q140" s="115" t="n"/>
    </row>
    <row r="141">
      <c r="A141" s="128" t="n">
        <v>46166</v>
      </c>
      <c r="B141" s="137" t="inlineStr">
        <is>
          <t>MCX</t>
        </is>
      </c>
      <c r="C141" s="137" t="inlineStr">
        <is>
          <t>Orange</t>
        </is>
      </c>
      <c r="D141" s="137" t="e">
        <v>#VALUE!</v>
      </c>
      <c r="E141" s="130">
        <f t="array" ref="E141">_FV(D141,"Price")</f>
        <v/>
      </c>
      <c r="F141" s="131">
        <f t="array" ref="F141">_FV(D141,"Previous close",TRUE)</f>
        <v/>
      </c>
      <c r="G141" s="117" t="n">
        <v>2954.5</v>
      </c>
      <c r="H141" s="117" t="n">
        <v>2940.36</v>
      </c>
      <c r="I141" s="117" t="n">
        <v>2897.27</v>
      </c>
      <c r="J141" s="117" t="n">
        <v>2690.47</v>
      </c>
      <c r="K141" s="115" t="n"/>
      <c r="L141" s="115" t="n"/>
      <c r="M141" s="115" t="n"/>
      <c r="N141" s="115" t="n"/>
      <c r="O141" s="115" t="n"/>
      <c r="P141" s="115" t="n"/>
      <c r="Q141" s="115" t="n"/>
    </row>
    <row r="142">
      <c r="A142" s="128" t="n">
        <v>46166</v>
      </c>
      <c r="B142" s="137" t="inlineStr">
        <is>
          <t>PRECWIRE</t>
        </is>
      </c>
      <c r="C142" s="137" t="inlineStr">
        <is>
          <t>Orange</t>
        </is>
      </c>
      <c r="D142" s="137" t="e">
        <v>#VALUE!</v>
      </c>
      <c r="E142" s="130">
        <f t="array" ref="E142">_FV(D142,"Price")</f>
        <v/>
      </c>
      <c r="F142" s="131">
        <f t="array" ref="F142">_FV(D142,"Previous close",TRUE)</f>
        <v/>
      </c>
      <c r="G142" s="117" t="n">
        <v>420.35</v>
      </c>
      <c r="H142" s="117" t="n">
        <v>393.21</v>
      </c>
      <c r="I142" s="117" t="n">
        <v>383.8</v>
      </c>
      <c r="J142" s="117" t="n">
        <v>344.54</v>
      </c>
      <c r="K142" s="115" t="n"/>
      <c r="L142" s="115" t="n"/>
      <c r="M142" s="115" t="n"/>
      <c r="N142" s="115" t="n"/>
      <c r="O142" s="115" t="n"/>
      <c r="P142" s="115" t="n"/>
      <c r="Q142" s="115" t="n"/>
    </row>
    <row r="143">
      <c r="A143" s="128" t="n">
        <v>46166</v>
      </c>
      <c r="B143" s="137" t="inlineStr">
        <is>
          <t>SANSERA</t>
        </is>
      </c>
      <c r="C143" s="137" t="inlineStr">
        <is>
          <t>Orange</t>
        </is>
      </c>
      <c r="D143" s="137" t="e">
        <v>#VALUE!</v>
      </c>
      <c r="E143" s="130">
        <f t="array" ref="E143">_FV(D143,"Price")</f>
        <v/>
      </c>
      <c r="F143" s="131">
        <f t="array" ref="F143">_FV(D143,"Previous close",TRUE)</f>
        <v/>
      </c>
      <c r="G143" s="117" t="n">
        <v>2861</v>
      </c>
      <c r="H143" s="117" t="n">
        <v>2620.83</v>
      </c>
      <c r="I143" s="117" t="n">
        <v>2563.45</v>
      </c>
      <c r="J143" s="117" t="n">
        <v>2338.11</v>
      </c>
      <c r="K143" s="115" t="n"/>
      <c r="L143" s="115" t="n"/>
      <c r="M143" s="115" t="n"/>
      <c r="N143" s="115" t="n"/>
      <c r="O143" s="115" t="n"/>
      <c r="P143" s="115" t="n"/>
      <c r="Q143" s="115" t="n"/>
    </row>
    <row r="144">
      <c r="A144" s="128" t="n">
        <v>46166</v>
      </c>
      <c r="B144" s="137" t="inlineStr">
        <is>
          <t>SAKAR</t>
        </is>
      </c>
      <c r="C144" s="137" t="inlineStr">
        <is>
          <t>Orange</t>
        </is>
      </c>
      <c r="D144" s="137" t="e">
        <v>#VALUE!</v>
      </c>
      <c r="E144" s="130">
        <f t="array" ref="E144">_FV(D144,"Price")</f>
        <v/>
      </c>
      <c r="F144" s="131">
        <f t="array" ref="F144">_FV(D144,"Previous close",TRUE)</f>
        <v/>
      </c>
      <c r="G144" s="117" t="n">
        <v>796.5</v>
      </c>
      <c r="H144" s="117" t="n">
        <v>693.3099999999999</v>
      </c>
      <c r="I144" s="117" t="n">
        <v>671.08</v>
      </c>
      <c r="J144" s="117" t="n">
        <v>592.9</v>
      </c>
      <c r="K144" s="115" t="n"/>
      <c r="L144" s="115" t="n"/>
      <c r="M144" s="115" t="n"/>
      <c r="N144" s="115" t="n"/>
      <c r="O144" s="115" t="n"/>
      <c r="P144" s="115" t="n"/>
      <c r="Q144" s="115" t="n"/>
    </row>
    <row r="145">
      <c r="A145" s="128" t="n">
        <v>46166</v>
      </c>
      <c r="B145" s="137" t="inlineStr">
        <is>
          <t>SAIL</t>
        </is>
      </c>
      <c r="C145" s="137" t="inlineStr">
        <is>
          <t>Orange</t>
        </is>
      </c>
      <c r="D145" s="137" t="e">
        <v>#VALUE!</v>
      </c>
      <c r="E145" s="130">
        <f t="array" ref="E145">_FV(D145,"Price")</f>
        <v/>
      </c>
      <c r="F145" s="131">
        <f t="array" ref="F145">_FV(D145,"Previous close",TRUE)</f>
        <v/>
      </c>
      <c r="G145" s="117" t="n">
        <v>204.37</v>
      </c>
      <c r="H145" s="117" t="n">
        <v>189.29</v>
      </c>
      <c r="I145" s="117" t="n">
        <v>185.73</v>
      </c>
      <c r="J145" s="117" t="n">
        <v>172.75</v>
      </c>
      <c r="K145" s="115" t="n"/>
      <c r="L145" s="115" t="n"/>
      <c r="M145" s="115" t="n"/>
      <c r="N145" s="115" t="n"/>
      <c r="O145" s="115" t="n"/>
      <c r="P145" s="115" t="n"/>
      <c r="Q145" s="115" t="n"/>
    </row>
    <row r="146">
      <c r="A146" s="128" t="n">
        <v>46166</v>
      </c>
      <c r="B146" s="137" t="inlineStr">
        <is>
          <t>GOODLUCK</t>
        </is>
      </c>
      <c r="C146" s="137" t="inlineStr">
        <is>
          <t>Orange</t>
        </is>
      </c>
      <c r="D146" s="137" t="e">
        <v>#VALUE!</v>
      </c>
      <c r="E146" s="130">
        <f t="array" ref="E146">_FV(D146,"Price")</f>
        <v/>
      </c>
      <c r="F146" s="131">
        <f t="array" ref="F146">_FV(D146,"Previous close",TRUE)</f>
        <v/>
      </c>
      <c r="G146" s="117" t="n">
        <v>1295.4</v>
      </c>
      <c r="H146" s="117" t="n">
        <v>1283.88</v>
      </c>
      <c r="I146" s="117" t="n">
        <v>1266.65</v>
      </c>
      <c r="J146" s="117" t="n">
        <v>1210.84</v>
      </c>
      <c r="K146" s="115" t="n"/>
      <c r="L146" s="115" t="n"/>
      <c r="M146" s="115" t="n"/>
      <c r="N146" s="115" t="n"/>
      <c r="O146" s="115" t="n"/>
      <c r="P146" s="115" t="n"/>
      <c r="Q146" s="115" t="n"/>
    </row>
    <row r="147">
      <c r="A147" s="128" t="n">
        <v>46166</v>
      </c>
      <c r="B147" s="137" t="inlineStr">
        <is>
          <t>NATIONALUM</t>
        </is>
      </c>
      <c r="C147" s="137" t="inlineStr">
        <is>
          <t>Orange</t>
        </is>
      </c>
      <c r="D147" s="137" t="e">
        <v>#VALUE!</v>
      </c>
      <c r="E147" s="130">
        <f t="array" ref="E147">_FV(D147,"Price")</f>
        <v/>
      </c>
      <c r="F147" s="131">
        <f t="array" ref="F147">_FV(D147,"Previous close",TRUE)</f>
        <v/>
      </c>
      <c r="G147" s="117" t="n">
        <v>424.45</v>
      </c>
      <c r="H147" s="117" t="n">
        <v>412.03</v>
      </c>
      <c r="I147" s="117" t="n">
        <v>407.59</v>
      </c>
      <c r="J147" s="117" t="n">
        <v>381.71</v>
      </c>
      <c r="K147" s="115" t="n"/>
      <c r="L147" s="115" t="n"/>
      <c r="M147" s="115" t="n"/>
      <c r="N147" s="115" t="n"/>
      <c r="O147" s="115" t="n"/>
      <c r="P147" s="115" t="n"/>
      <c r="Q147" s="115" t="n"/>
    </row>
    <row r="148">
      <c r="A148" s="128" t="n">
        <v>46166</v>
      </c>
      <c r="B148" s="137" t="inlineStr">
        <is>
          <t>BHARATFORG</t>
        </is>
      </c>
      <c r="C148" s="137" t="inlineStr">
        <is>
          <t>Orange</t>
        </is>
      </c>
      <c r="D148" s="137" t="e">
        <v>#VALUE!</v>
      </c>
      <c r="E148" s="130">
        <f t="array" ref="E148">_FV(D148,"Price")</f>
        <v/>
      </c>
      <c r="F148" s="131">
        <f t="array" ref="F148">_FV(D148,"Previous close",TRUE)</f>
        <v/>
      </c>
      <c r="G148" s="117" t="n">
        <v>1957.2</v>
      </c>
      <c r="H148" s="117" t="n">
        <v>1881.04</v>
      </c>
      <c r="I148" s="117" t="n">
        <v>1862.67</v>
      </c>
      <c r="J148" s="117" t="n">
        <v>1766.47</v>
      </c>
      <c r="K148" s="115" t="n"/>
      <c r="L148" s="115" t="n"/>
      <c r="M148" s="115" t="n"/>
      <c r="N148" s="115" t="n"/>
      <c r="O148" s="115" t="n"/>
      <c r="P148" s="115" t="n"/>
      <c r="Q148" s="115" t="n"/>
    </row>
    <row r="149">
      <c r="A149" s="128" t="n">
        <v>46166</v>
      </c>
      <c r="B149" s="137" t="inlineStr">
        <is>
          <t>ATHERENERG</t>
        </is>
      </c>
      <c r="C149" s="137" t="inlineStr">
        <is>
          <t>Orange</t>
        </is>
      </c>
      <c r="D149" s="137" t="e">
        <v>#VALUE!</v>
      </c>
      <c r="E149" s="130">
        <f t="array" ref="E149">_FV(D149,"Price")</f>
        <v/>
      </c>
      <c r="F149" s="131">
        <f t="array" ref="F149">_FV(D149,"Previous close",TRUE)</f>
        <v/>
      </c>
      <c r="G149" s="117" t="n">
        <v>964.1</v>
      </c>
      <c r="H149" s="117" t="n">
        <v>900.84</v>
      </c>
      <c r="I149" s="117" t="n">
        <v>885.38</v>
      </c>
      <c r="J149" s="117" t="n">
        <v>819.16</v>
      </c>
      <c r="K149" s="115" t="n"/>
      <c r="L149" s="115" t="n"/>
      <c r="M149" s="115" t="n"/>
      <c r="N149" s="115" t="n"/>
      <c r="O149" s="115" t="n"/>
      <c r="P149" s="115" t="n"/>
      <c r="Q149" s="115" t="n"/>
    </row>
    <row r="150">
      <c r="A150" s="128" t="n">
        <v>46166</v>
      </c>
      <c r="B150" s="137" t="inlineStr">
        <is>
          <t>SCHNEIDER</t>
        </is>
      </c>
      <c r="C150" s="137" t="inlineStr">
        <is>
          <t>Orange</t>
        </is>
      </c>
      <c r="D150" s="137" t="e">
        <v>#VALUE!</v>
      </c>
      <c r="E150" s="130">
        <f t="array" ref="E150">_FV(D150,"Price")</f>
        <v/>
      </c>
      <c r="F150" s="131">
        <f t="array" ref="F150">_FV(D150,"Previous close",TRUE)</f>
        <v/>
      </c>
      <c r="G150" s="117" t="n">
        <v>1308.8</v>
      </c>
      <c r="H150" s="117" t="n">
        <v>1188.85</v>
      </c>
      <c r="I150" s="117" t="n">
        <v>1161.14</v>
      </c>
      <c r="J150" s="117" t="n">
        <v>1053.27</v>
      </c>
      <c r="K150" s="115" t="n"/>
      <c r="L150" s="115" t="n"/>
      <c r="M150" s="115" t="n"/>
      <c r="N150" s="115" t="n"/>
      <c r="O150" s="115" t="n"/>
      <c r="P150" s="115" t="n"/>
      <c r="Q150" s="115" t="n"/>
    </row>
    <row r="151">
      <c r="A151" s="128" t="n">
        <v>46166</v>
      </c>
      <c r="B151" s="137" t="inlineStr">
        <is>
          <t>ADANIPOWER</t>
        </is>
      </c>
      <c r="C151" s="137" t="inlineStr">
        <is>
          <t>Orange</t>
        </is>
      </c>
      <c r="D151" s="137" t="e">
        <v>#VALUE!</v>
      </c>
      <c r="E151" s="130">
        <f t="array" ref="E151">_FV(D151,"Price")</f>
        <v/>
      </c>
      <c r="F151" s="131">
        <f t="array" ref="F151">_FV(D151,"Previous close",TRUE)</f>
        <v/>
      </c>
      <c r="G151" s="117" t="n">
        <v>243.37</v>
      </c>
      <c r="H151" s="117" t="n">
        <v>215.24</v>
      </c>
      <c r="I151" s="117" t="n">
        <v>209.46</v>
      </c>
      <c r="J151" s="117" t="n">
        <v>188.83</v>
      </c>
      <c r="K151" s="115" t="n"/>
      <c r="L151" s="115" t="n"/>
      <c r="M151" s="115" t="n"/>
      <c r="N151" s="115" t="n"/>
      <c r="O151" s="115" t="n"/>
      <c r="P151" s="115" t="n"/>
      <c r="Q151" s="115" t="n"/>
    </row>
    <row r="152">
      <c r="A152" s="128" t="n">
        <v>46166</v>
      </c>
      <c r="B152" s="137" t="inlineStr">
        <is>
          <t>BHEL</t>
        </is>
      </c>
      <c r="C152" s="137" t="inlineStr">
        <is>
          <t>Orange</t>
        </is>
      </c>
      <c r="D152" s="137" t="e">
        <v>#VALUE!</v>
      </c>
      <c r="E152" s="130">
        <f t="array" ref="E152">_FV(D152,"Price")</f>
        <v/>
      </c>
      <c r="F152" s="131">
        <f t="array" ref="F152">_FV(D152,"Previous close",TRUE)</f>
        <v/>
      </c>
      <c r="G152" s="117" t="n">
        <v>416.75</v>
      </c>
      <c r="H152" s="117" t="n">
        <v>373.32</v>
      </c>
      <c r="I152" s="117" t="n">
        <v>362.97</v>
      </c>
      <c r="J152" s="117" t="n">
        <v>329.01</v>
      </c>
      <c r="K152" s="115" t="n"/>
      <c r="L152" s="115" t="n"/>
      <c r="M152" s="115" t="n"/>
      <c r="N152" s="115" t="n"/>
      <c r="O152" s="115" t="n"/>
      <c r="P152" s="115" t="n"/>
      <c r="Q152" s="115" t="n"/>
    </row>
    <row r="153">
      <c r="A153" s="128" t="n">
        <v>46166</v>
      </c>
      <c r="B153" s="137" t="inlineStr">
        <is>
          <t>VEDL</t>
        </is>
      </c>
      <c r="C153" s="137" t="inlineStr">
        <is>
          <t>Orange</t>
        </is>
      </c>
      <c r="D153" s="137" t="e">
        <v>#VALUE!</v>
      </c>
      <c r="E153" s="130">
        <f t="array" ref="E153">_FV(D153,"Price")</f>
        <v/>
      </c>
      <c r="F153" s="131">
        <f t="array" ref="F153">_FV(D153,"Previous close",TRUE)</f>
        <v/>
      </c>
      <c r="G153" s="117" t="n">
        <v>352.6</v>
      </c>
      <c r="H153" s="117" t="n">
        <v>426.74</v>
      </c>
      <c r="I153" s="117" t="n">
        <v>450.59</v>
      </c>
      <c r="J153" s="117" t="n">
        <v>510.33</v>
      </c>
      <c r="K153" s="115" t="n"/>
      <c r="L153" s="115" t="n"/>
      <c r="M153" s="115" t="n"/>
      <c r="N153" s="115" t="n"/>
      <c r="O153" s="115" t="n"/>
      <c r="P153" s="115" t="n"/>
      <c r="Q153" s="115" t="n"/>
    </row>
    <row r="154">
      <c r="A154" s="128" t="n">
        <v>46166</v>
      </c>
      <c r="B154" s="137" t="inlineStr">
        <is>
          <t>POLYCAB</t>
        </is>
      </c>
      <c r="C154" s="137" t="inlineStr">
        <is>
          <t>Orange</t>
        </is>
      </c>
      <c r="D154" s="137" t="e">
        <v>#VALUE!</v>
      </c>
      <c r="E154" s="130">
        <f t="array" ref="E154">_FV(D154,"Price")</f>
        <v/>
      </c>
      <c r="F154" s="131">
        <f t="array" ref="F154">_FV(D154,"Previous close",TRUE)</f>
        <v/>
      </c>
      <c r="G154" s="117" t="n">
        <v>9477.5</v>
      </c>
      <c r="H154" s="117" t="n">
        <v>8836.25</v>
      </c>
      <c r="I154" s="117" t="n">
        <v>8698.57</v>
      </c>
      <c r="J154" s="117" t="n">
        <v>8257.5</v>
      </c>
      <c r="K154" s="115" t="n"/>
      <c r="L154" s="115" t="n"/>
      <c r="M154" s="115" t="n"/>
      <c r="N154" s="115" t="n"/>
      <c r="O154" s="115" t="n"/>
      <c r="P154" s="115" t="n"/>
      <c r="Q154" s="115" t="n"/>
    </row>
    <row r="155">
      <c r="A155" s="128" t="n">
        <v>46166</v>
      </c>
      <c r="B155" s="137" t="inlineStr">
        <is>
          <t>GVPIL</t>
        </is>
      </c>
      <c r="C155" s="137" t="inlineStr">
        <is>
          <t>Orange</t>
        </is>
      </c>
      <c r="D155" s="137" t="e">
        <v>#VALUE!</v>
      </c>
      <c r="E155" s="130">
        <f t="array" ref="E155">_FV(D155,"Price")</f>
        <v/>
      </c>
      <c r="F155" s="131">
        <f t="array" ref="F155">_FV(D155,"Previous close",TRUE)</f>
        <v/>
      </c>
      <c r="G155" s="117" t="n">
        <v>865.15</v>
      </c>
      <c r="H155" s="117" t="n">
        <v>687.49</v>
      </c>
      <c r="I155" s="117" t="n">
        <v>657.38</v>
      </c>
      <c r="J155" s="117" t="n">
        <v>559.27</v>
      </c>
      <c r="K155" s="115" t="n"/>
      <c r="L155" s="115" t="n"/>
      <c r="M155" s="115" t="n"/>
      <c r="N155" s="115" t="n"/>
      <c r="O155" s="115" t="n"/>
      <c r="P155" s="115" t="n"/>
      <c r="Q155" s="115" t="n"/>
    </row>
    <row r="156">
      <c r="A156" s="128" t="n">
        <v>46166</v>
      </c>
      <c r="B156" s="137" t="inlineStr">
        <is>
          <t>ADANIPORTS</t>
        </is>
      </c>
      <c r="C156" s="137" t="inlineStr">
        <is>
          <t>Orange</t>
        </is>
      </c>
      <c r="D156" s="137" t="e">
        <v>#VALUE!</v>
      </c>
      <c r="E156" s="130">
        <f t="array" ref="E156">_FV(D156,"Price")</f>
        <v/>
      </c>
      <c r="F156" s="131">
        <f t="array" ref="F156">_FV(D156,"Previous close",TRUE)</f>
        <v/>
      </c>
      <c r="G156" s="117" t="n">
        <v>1804.6</v>
      </c>
      <c r="H156" s="117" t="n">
        <v>1705.08</v>
      </c>
      <c r="I156" s="117" t="n">
        <v>1679.34</v>
      </c>
      <c r="J156" s="117" t="n">
        <v>1597.81</v>
      </c>
      <c r="K156" s="115" t="n"/>
      <c r="L156" s="115" t="n"/>
      <c r="M156" s="115" t="n"/>
      <c r="N156" s="115" t="n"/>
      <c r="O156" s="115" t="n"/>
      <c r="P156" s="115" t="n"/>
      <c r="Q156" s="115" t="n"/>
    </row>
    <row r="157">
      <c r="A157" s="128" t="n">
        <v>46166</v>
      </c>
      <c r="B157" s="137" t="inlineStr">
        <is>
          <t>NRBBEARING</t>
        </is>
      </c>
      <c r="C157" s="137" t="inlineStr">
        <is>
          <t>Green</t>
        </is>
      </c>
      <c r="D157" s="137" t="e">
        <v>#VALUE!</v>
      </c>
      <c r="E157" s="130">
        <f t="array" ref="E157">_FV(D157,"Price")</f>
        <v/>
      </c>
      <c r="F157" s="131">
        <f t="array" ref="F157">_FV(D157,"Previous close",TRUE)</f>
        <v/>
      </c>
      <c r="G157" s="117" t="n">
        <v>370</v>
      </c>
      <c r="H157" s="117" t="n">
        <v>327.13</v>
      </c>
      <c r="I157" s="117" t="n">
        <v>319.58</v>
      </c>
      <c r="J157" s="117" t="n">
        <v>298.27</v>
      </c>
      <c r="K157" s="115" t="n"/>
      <c r="L157" s="115" t="n"/>
      <c r="M157" s="115" t="n"/>
      <c r="N157" s="115" t="n"/>
      <c r="O157" s="115" t="n"/>
      <c r="P157" s="115" t="n"/>
      <c r="Q157" s="115" t="n"/>
    </row>
    <row r="158">
      <c r="A158" s="128" t="n">
        <v>46166</v>
      </c>
      <c r="B158" s="137" t="inlineStr">
        <is>
          <t>GVT&amp;D</t>
        </is>
      </c>
      <c r="C158" s="137" t="inlineStr">
        <is>
          <t>Green</t>
        </is>
      </c>
      <c r="D158" s="137" t="e">
        <v>#VALUE!</v>
      </c>
      <c r="E158" s="130">
        <f t="array" ref="E158">_FV(D158,"Price")</f>
        <v/>
      </c>
      <c r="F158" s="131">
        <f t="array" ref="F158">_FV(D158,"Previous close",TRUE)</f>
        <v/>
      </c>
      <c r="G158" s="117" t="n">
        <v>5148.6</v>
      </c>
      <c r="H158" s="117" t="n">
        <v>4554.91</v>
      </c>
      <c r="I158" s="117" t="n">
        <v>4462.54</v>
      </c>
      <c r="J158" s="117" t="n">
        <v>4085.72</v>
      </c>
      <c r="K158" s="115" t="n"/>
      <c r="L158" s="115" t="n"/>
      <c r="M158" s="115" t="n"/>
      <c r="N158" s="115" t="n"/>
      <c r="O158" s="115" t="n"/>
      <c r="P158" s="115" t="n"/>
      <c r="Q158" s="115" t="n"/>
    </row>
    <row r="159">
      <c r="A159" s="128" t="n">
        <v>46166</v>
      </c>
      <c r="B159" s="137" t="inlineStr">
        <is>
          <t>APOLLO</t>
        </is>
      </c>
      <c r="C159" s="137" t="inlineStr">
        <is>
          <t>Green</t>
        </is>
      </c>
      <c r="D159" s="137" t="e">
        <v>#VALUE!</v>
      </c>
      <c r="E159" s="130">
        <f t="array" ref="E159">_FV(D159,"Price")</f>
        <v/>
      </c>
      <c r="F159" s="131">
        <f t="array" ref="F159">_FV(D159,"Previous close",TRUE)</f>
        <v/>
      </c>
      <c r="G159" s="117" t="n">
        <v>409</v>
      </c>
      <c r="H159" s="117" t="n">
        <v>337.88</v>
      </c>
      <c r="I159" s="117" t="n">
        <v>325.54</v>
      </c>
      <c r="J159" s="117" t="n">
        <v>292.6</v>
      </c>
      <c r="K159" s="115" t="n"/>
      <c r="L159" s="115" t="n"/>
      <c r="M159" s="115" t="n"/>
      <c r="N159" s="115" t="n"/>
      <c r="O159" s="115" t="n"/>
      <c r="P159" s="115" t="n"/>
      <c r="Q159" s="115" t="n"/>
    </row>
    <row r="160">
      <c r="A160" s="128" t="n">
        <v>46166</v>
      </c>
      <c r="B160" s="137" t="inlineStr">
        <is>
          <t>SHILPAMED</t>
        </is>
      </c>
      <c r="C160" s="137" t="inlineStr">
        <is>
          <t>Green</t>
        </is>
      </c>
      <c r="D160" s="137" t="e">
        <v>#VALUE!</v>
      </c>
      <c r="E160" s="130">
        <f t="array" ref="E160">_FV(D160,"Price")</f>
        <v/>
      </c>
      <c r="F160" s="131">
        <f t="array" ref="F160">_FV(D160,"Previous close",TRUE)</f>
        <v/>
      </c>
      <c r="G160" s="117" t="n">
        <v>498.95</v>
      </c>
      <c r="H160" s="117" t="n">
        <v>456.01</v>
      </c>
      <c r="I160" s="117" t="n">
        <v>444.49</v>
      </c>
      <c r="J160" s="117" t="n">
        <v>409.44</v>
      </c>
      <c r="K160" s="115" t="n"/>
      <c r="L160" s="115" t="n"/>
      <c r="M160" s="115" t="n"/>
      <c r="N160" s="115" t="n"/>
      <c r="O160" s="115" t="n"/>
      <c r="P160" s="115" t="n"/>
      <c r="Q160" s="115" t="n"/>
    </row>
    <row r="161">
      <c r="A161" s="128" t="n">
        <v>46166</v>
      </c>
      <c r="B161" s="137" t="inlineStr">
        <is>
          <t>NGLFINE</t>
        </is>
      </c>
      <c r="C161" s="137" t="inlineStr">
        <is>
          <t>Green</t>
        </is>
      </c>
      <c r="D161" s="137" t="e">
        <v>#VALUE!</v>
      </c>
      <c r="E161" s="130">
        <f t="array" ref="E161">_FV(D161,"Price")</f>
        <v/>
      </c>
      <c r="F161" s="131">
        <f t="array" ref="F161">_FV(D161,"Previous close",TRUE)</f>
        <v/>
      </c>
      <c r="G161" s="117" t="n">
        <v>2785.1</v>
      </c>
      <c r="H161" s="117" t="n">
        <v>2475.41</v>
      </c>
      <c r="I161" s="117" t="n">
        <v>2427.48</v>
      </c>
      <c r="J161" s="117" t="n">
        <v>2223.65</v>
      </c>
      <c r="K161" s="115" t="n"/>
      <c r="L161" s="115" t="n"/>
      <c r="M161" s="115" t="n"/>
      <c r="N161" s="115" t="n"/>
      <c r="O161" s="115" t="n"/>
      <c r="P161" s="115" t="n"/>
      <c r="Q161" s="115" t="n"/>
    </row>
    <row r="162">
      <c r="A162" s="128" t="n">
        <v>46166</v>
      </c>
      <c r="B162" s="137" t="inlineStr">
        <is>
          <t>DSSL</t>
        </is>
      </c>
      <c r="C162" s="137" t="inlineStr">
        <is>
          <t>Green</t>
        </is>
      </c>
      <c r="D162" s="137" t="e">
        <v>#VALUE!</v>
      </c>
      <c r="E162" s="130">
        <f t="array" ref="E162">_FV(D162,"Price")</f>
        <v/>
      </c>
      <c r="F162" s="131">
        <f t="array" ref="F162">_FV(D162,"Previous close",TRUE)</f>
        <v/>
      </c>
      <c r="G162" s="117" t="n">
        <v>1745.9</v>
      </c>
      <c r="H162" s="117" t="n">
        <v>1375.02</v>
      </c>
      <c r="I162" s="117" t="n">
        <v>1327.04</v>
      </c>
      <c r="J162" s="117" t="n">
        <v>1188.35</v>
      </c>
      <c r="K162" s="115" t="n"/>
      <c r="L162" s="115" t="n"/>
      <c r="M162" s="115" t="n"/>
      <c r="N162" s="115" t="n"/>
      <c r="O162" s="115" t="n"/>
      <c r="P162" s="115" t="n"/>
      <c r="Q162" s="115" t="n"/>
    </row>
    <row r="163">
      <c r="A163" s="128" t="n">
        <v>46166</v>
      </c>
      <c r="B163" s="137" t="inlineStr">
        <is>
          <t>CGPOWER</t>
        </is>
      </c>
      <c r="C163" s="137" t="inlineStr">
        <is>
          <t>Green</t>
        </is>
      </c>
      <c r="D163" s="137" t="e">
        <v>#VALUE!</v>
      </c>
      <c r="E163" s="130">
        <f t="array" ref="E163">_FV(D163,"Price")</f>
        <v/>
      </c>
      <c r="F163" s="131">
        <f t="array" ref="F163">_FV(D163,"Previous close",TRUE)</f>
        <v/>
      </c>
      <c r="G163" s="117" t="n">
        <v>917.45</v>
      </c>
      <c r="H163" s="117" t="n">
        <v>841.28</v>
      </c>
      <c r="I163" s="117" t="n">
        <v>826.1900000000001</v>
      </c>
      <c r="J163" s="117" t="n">
        <v>776.88</v>
      </c>
      <c r="K163" s="115" t="n"/>
      <c r="L163" s="115" t="n"/>
      <c r="M163" s="115" t="n"/>
      <c r="N163" s="115" t="n"/>
      <c r="O163" s="115" t="n"/>
      <c r="P163" s="115" t="n"/>
      <c r="Q163" s="115" t="n"/>
    </row>
    <row r="164">
      <c r="A164" s="128" t="n">
        <v>46166</v>
      </c>
      <c r="B164" s="137" t="inlineStr">
        <is>
          <t>ASTRAMICRO</t>
        </is>
      </c>
      <c r="C164" s="137" t="inlineStr">
        <is>
          <t>Green</t>
        </is>
      </c>
      <c r="D164" s="137" t="e">
        <v>#VALUE!</v>
      </c>
      <c r="E164" s="130">
        <f t="array" ref="E164">_FV(D164,"Price")</f>
        <v/>
      </c>
      <c r="F164" s="131">
        <f t="array" ref="F164">_FV(D164,"Previous close",TRUE)</f>
        <v/>
      </c>
      <c r="G164" s="117" t="n">
        <v>1401.7</v>
      </c>
      <c r="H164" s="117" t="n">
        <v>1185.22</v>
      </c>
      <c r="I164" s="117" t="n">
        <v>1160.83</v>
      </c>
      <c r="J164" s="117" t="n">
        <v>1090.33</v>
      </c>
      <c r="K164" s="115" t="n"/>
      <c r="L164" s="115" t="n"/>
      <c r="M164" s="115" t="n"/>
      <c r="N164" s="115" t="n"/>
      <c r="O164" s="115" t="n"/>
      <c r="P164" s="115" t="n"/>
      <c r="Q164" s="115" t="n"/>
    </row>
    <row r="165">
      <c r="A165" s="128" t="n">
        <v>46166</v>
      </c>
      <c r="B165" s="137" t="inlineStr">
        <is>
          <t>MAYURUNIQ</t>
        </is>
      </c>
      <c r="C165" s="137" t="inlineStr">
        <is>
          <t>Green</t>
        </is>
      </c>
      <c r="D165" s="137" t="e">
        <v>#VALUE!</v>
      </c>
      <c r="E165" s="130">
        <f t="array" ref="E165">_FV(D165,"Price")</f>
        <v/>
      </c>
      <c r="F165" s="131">
        <f t="array" ref="F165">_FV(D165,"Previous close",TRUE)</f>
        <v/>
      </c>
      <c r="G165" s="117" t="n">
        <v>754.45</v>
      </c>
      <c r="H165" s="117" t="n">
        <v>654.21</v>
      </c>
      <c r="I165" s="117" t="n">
        <v>639.35</v>
      </c>
      <c r="J165" s="117" t="n">
        <v>596.0700000000001</v>
      </c>
      <c r="K165" s="115" t="n"/>
      <c r="L165" s="115" t="n"/>
      <c r="M165" s="115" t="n"/>
      <c r="N165" s="115" t="n"/>
      <c r="O165" s="115" t="n"/>
      <c r="P165" s="115" t="n"/>
      <c r="Q165" s="115" t="n"/>
    </row>
    <row r="166">
      <c r="A166" s="128" t="n">
        <v>46166</v>
      </c>
      <c r="B166" s="137" t="inlineStr">
        <is>
          <t>GRASIM</t>
        </is>
      </c>
      <c r="C166" s="137" t="inlineStr">
        <is>
          <t>Green</t>
        </is>
      </c>
      <c r="D166" s="137" t="e">
        <v>#VALUE!</v>
      </c>
      <c r="E166" s="130">
        <f t="array" ref="E166">_FV(D166,"Price")</f>
        <v/>
      </c>
      <c r="F166" s="131">
        <f t="array" ref="F166">_FV(D166,"Previous close",TRUE)</f>
        <v/>
      </c>
      <c r="G166" s="117" t="n">
        <v>3122.4</v>
      </c>
      <c r="H166" s="117" t="n">
        <v>2958.91</v>
      </c>
      <c r="I166" s="117" t="n">
        <v>2931.67</v>
      </c>
      <c r="J166" s="117" t="n">
        <v>2861.33</v>
      </c>
      <c r="K166" s="115" t="n"/>
      <c r="L166" s="115" t="n"/>
      <c r="M166" s="115" t="n"/>
      <c r="N166" s="115" t="n"/>
      <c r="O166" s="115" t="n"/>
      <c r="P166" s="115" t="n"/>
      <c r="Q166" s="115" t="n"/>
    </row>
    <row r="167">
      <c r="A167" s="128" t="n">
        <v>46166</v>
      </c>
      <c r="B167" s="137" t="inlineStr">
        <is>
          <t>BAJAJCON</t>
        </is>
      </c>
      <c r="C167" s="137" t="inlineStr">
        <is>
          <t>Green</t>
        </is>
      </c>
      <c r="D167" s="137" t="e">
        <v>#VALUE!</v>
      </c>
      <c r="E167" s="130">
        <f t="array" ref="E167">_FV(D167,"Price")</f>
        <v/>
      </c>
      <c r="F167" s="131">
        <f t="array" ref="F167">_FV(D167,"Previous close",TRUE)</f>
        <v/>
      </c>
      <c r="G167" s="117" t="n">
        <v>552.8</v>
      </c>
      <c r="H167" s="117" t="n">
        <v>510.56</v>
      </c>
      <c r="I167" s="117" t="n">
        <v>495.49</v>
      </c>
      <c r="J167" s="117" t="n">
        <v>437.68</v>
      </c>
      <c r="K167" s="115" t="n"/>
      <c r="L167" s="115" t="n"/>
      <c r="M167" s="115" t="n"/>
      <c r="N167" s="115" t="n"/>
      <c r="O167" s="115" t="n"/>
      <c r="P167" s="115" t="n"/>
      <c r="Q167" s="115" t="n"/>
    </row>
    <row r="168">
      <c r="A168" s="128" t="n">
        <v>46166</v>
      </c>
      <c r="B168" s="137" t="inlineStr">
        <is>
          <t>ANGELONE</t>
        </is>
      </c>
      <c r="C168" s="137" t="inlineStr">
        <is>
          <t>Green</t>
        </is>
      </c>
      <c r="D168" s="137" t="e">
        <v>#VALUE!</v>
      </c>
      <c r="E168" s="130">
        <f t="array" ref="E168">_FV(D168,"Price")</f>
        <v/>
      </c>
      <c r="F168" s="131">
        <f t="array" ref="F168">_FV(D168,"Previous close",TRUE)</f>
        <v/>
      </c>
      <c r="G168" s="117" t="n">
        <v>337.3</v>
      </c>
      <c r="H168" s="117" t="n">
        <v>315.52</v>
      </c>
      <c r="I168" s="117" t="n">
        <v>309.29</v>
      </c>
      <c r="J168" s="117" t="n">
        <v>288.87</v>
      </c>
      <c r="K168" s="115" t="n"/>
      <c r="L168" s="115" t="n"/>
      <c r="M168" s="115" t="n"/>
      <c r="N168" s="115" t="n"/>
      <c r="O168" s="115" t="n"/>
      <c r="P168" s="115" t="n"/>
      <c r="Q168" s="115" t="n"/>
    </row>
    <row r="169">
      <c r="A169" s="128" t="n">
        <v>46166</v>
      </c>
      <c r="B169" s="137" t="inlineStr">
        <is>
          <t>TALBROAUTO</t>
        </is>
      </c>
      <c r="C169" s="137" t="inlineStr">
        <is>
          <t>Green</t>
        </is>
      </c>
      <c r="D169" s="137" t="e">
        <v>#VALUE!</v>
      </c>
      <c r="E169" s="130">
        <f t="array" ref="E169">_FV(D169,"Price")</f>
        <v/>
      </c>
      <c r="F169" s="131">
        <f t="array" ref="F169">_FV(D169,"Previous close",TRUE)</f>
        <v/>
      </c>
      <c r="G169" s="117" t="n">
        <v>345.35</v>
      </c>
      <c r="H169" s="117" t="n">
        <v>319.74</v>
      </c>
      <c r="I169" s="117" t="n">
        <v>313.68</v>
      </c>
      <c r="J169" s="117" t="n">
        <v>296.92</v>
      </c>
      <c r="K169" s="115" t="n"/>
      <c r="L169" s="115" t="n"/>
      <c r="M169" s="115" t="n"/>
      <c r="N169" s="115" t="n"/>
      <c r="O169" s="115" t="n"/>
      <c r="P169" s="115" t="n"/>
      <c r="Q169" s="115" t="n"/>
    </row>
    <row r="170">
      <c r="A170" s="128" t="n">
        <v>46166</v>
      </c>
      <c r="B170" s="137" t="inlineStr">
        <is>
          <t>CARYSIL</t>
        </is>
      </c>
      <c r="C170" s="137" t="inlineStr">
        <is>
          <t>Green</t>
        </is>
      </c>
      <c r="D170" s="137" t="e">
        <v>#VALUE!</v>
      </c>
      <c r="E170" s="130">
        <f t="array" ref="E170">_FV(D170,"Price")</f>
        <v/>
      </c>
      <c r="F170" s="131">
        <f t="array" ref="F170">_FV(D170,"Previous close",TRUE)</f>
        <v/>
      </c>
      <c r="G170" s="117" t="n">
        <v>1077.55</v>
      </c>
      <c r="H170" s="117" t="n">
        <v>989.08</v>
      </c>
      <c r="I170" s="117" t="n">
        <v>972.75</v>
      </c>
      <c r="J170" s="117" t="n">
        <v>931.0599999999999</v>
      </c>
      <c r="K170" s="115" t="n"/>
      <c r="L170" s="115" t="n"/>
      <c r="M170" s="115" t="n"/>
      <c r="N170" s="115" t="n"/>
      <c r="O170" s="115" t="n"/>
      <c r="P170" s="115" t="n"/>
      <c r="Q170" s="115" t="n"/>
    </row>
    <row r="171">
      <c r="A171" s="128" t="n">
        <v>46166</v>
      </c>
      <c r="B171" s="137" t="inlineStr">
        <is>
          <t>SEAMECLTD</t>
        </is>
      </c>
      <c r="C171" s="137" t="inlineStr">
        <is>
          <t>Green</t>
        </is>
      </c>
      <c r="D171" s="137" t="e">
        <v>#VALUE!</v>
      </c>
      <c r="E171" s="130">
        <f t="array" ref="E171">_FV(D171,"Price")</f>
        <v/>
      </c>
      <c r="F171" s="131">
        <f t="array" ref="F171">_FV(D171,"Previous close",TRUE)</f>
        <v/>
      </c>
      <c r="G171" s="117" t="n">
        <v>1614.6</v>
      </c>
      <c r="H171" s="117" t="n">
        <v>1552.63</v>
      </c>
      <c r="I171" s="117" t="n">
        <v>1530.54</v>
      </c>
      <c r="J171" s="117" t="n">
        <v>1422.77</v>
      </c>
      <c r="K171" s="115" t="n"/>
      <c r="L171" s="115" t="n"/>
      <c r="M171" s="115" t="n"/>
      <c r="N171" s="115" t="n"/>
      <c r="O171" s="115" t="n"/>
      <c r="P171" s="115" t="n"/>
      <c r="Q171" s="115" t="n"/>
    </row>
    <row r="172">
      <c r="A172" s="128" t="n">
        <v>46166</v>
      </c>
      <c r="B172" s="137" t="inlineStr">
        <is>
          <t>SHAILY</t>
        </is>
      </c>
      <c r="C172" s="137" t="inlineStr">
        <is>
          <t>Green</t>
        </is>
      </c>
      <c r="D172" s="137" t="e">
        <v>#VALUE!</v>
      </c>
      <c r="E172" s="130">
        <f t="array" ref="E172">_FV(D172,"Price")</f>
        <v/>
      </c>
      <c r="F172" s="131">
        <f t="array" ref="F172">_FV(D172,"Previous close",TRUE)</f>
        <v/>
      </c>
      <c r="G172" s="117" t="n">
        <v>2989.5</v>
      </c>
      <c r="H172" s="117" t="n">
        <v>2657.4</v>
      </c>
      <c r="I172" s="117" t="n">
        <v>2596.25</v>
      </c>
      <c r="J172" s="117" t="n">
        <v>2424.3</v>
      </c>
      <c r="K172" s="115" t="n"/>
      <c r="L172" s="115" t="n"/>
      <c r="M172" s="115" t="n"/>
      <c r="N172" s="115" t="n"/>
      <c r="O172" s="115" t="n"/>
      <c r="P172" s="115" t="n"/>
      <c r="Q172" s="115" t="n"/>
    </row>
    <row r="173">
      <c r="A173" s="128" t="n">
        <v>46166</v>
      </c>
      <c r="B173" s="137" t="inlineStr">
        <is>
          <t>NETWEB</t>
        </is>
      </c>
      <c r="C173" s="137" t="inlineStr">
        <is>
          <t>Green</t>
        </is>
      </c>
      <c r="D173" s="137" t="e">
        <v>#VALUE!</v>
      </c>
      <c r="E173" s="130">
        <f t="array" ref="E173">_FV(D173,"Price")</f>
        <v/>
      </c>
      <c r="F173" s="131">
        <f t="array" ref="F173">_FV(D173,"Previous close",TRUE)</f>
        <v/>
      </c>
      <c r="G173" s="117" t="n">
        <v>4670.7</v>
      </c>
      <c r="H173" s="117" t="n">
        <v>4128.81</v>
      </c>
      <c r="I173" s="117" t="n">
        <v>4042.73</v>
      </c>
      <c r="J173" s="117" t="n">
        <v>3762.12</v>
      </c>
      <c r="K173" s="115" t="n"/>
      <c r="L173" s="115" t="n"/>
      <c r="M173" s="115" t="n"/>
      <c r="N173" s="115" t="n"/>
      <c r="O173" s="115" t="n"/>
      <c r="P173" s="115" t="n"/>
      <c r="Q173" s="115" t="n"/>
    </row>
    <row r="174">
      <c r="A174" s="128" t="n">
        <v>46166</v>
      </c>
      <c r="B174" s="137" t="inlineStr">
        <is>
          <t>NMDC</t>
        </is>
      </c>
      <c r="C174" s="137" t="inlineStr">
        <is>
          <t>Green</t>
        </is>
      </c>
      <c r="D174" s="137" t="e">
        <v>#VALUE!</v>
      </c>
      <c r="E174" s="130">
        <f t="array" ref="E174">_FV(D174,"Price")</f>
        <v/>
      </c>
      <c r="F174" s="131">
        <f t="array" ref="F174">_FV(D174,"Previous close",TRUE)</f>
        <v/>
      </c>
      <c r="G174" s="117" t="n">
        <v>87.98999999999999</v>
      </c>
      <c r="H174" s="117" t="n">
        <v>88.81</v>
      </c>
      <c r="I174" s="117" t="n">
        <v>87.98</v>
      </c>
      <c r="J174" s="117" t="n">
        <v>84.62</v>
      </c>
      <c r="K174" s="115" t="n"/>
      <c r="L174" s="115" t="n"/>
      <c r="M174" s="115" t="n"/>
      <c r="N174" s="115" t="n"/>
      <c r="O174" s="115" t="n"/>
      <c r="P174" s="115" t="n"/>
      <c r="Q174" s="115" t="n"/>
    </row>
    <row r="175">
      <c r="A175" s="128" t="n">
        <v>46166</v>
      </c>
      <c r="B175" s="137" t="inlineStr">
        <is>
          <t>SOUTHWEST</t>
        </is>
      </c>
      <c r="C175" s="137" t="inlineStr">
        <is>
          <t>Red</t>
        </is>
      </c>
      <c r="D175" s="137" t="e">
        <v>#VALUE!</v>
      </c>
      <c r="E175" s="130">
        <f t="array" ref="E175">_FV(D175,"Price")</f>
        <v/>
      </c>
      <c r="F175" s="131">
        <f t="array" ref="F175">_FV(D175,"Previous close",TRUE)</f>
        <v/>
      </c>
      <c r="G175" s="117" t="n">
        <v>259.86</v>
      </c>
      <c r="H175" s="117" t="n">
        <v>241.84</v>
      </c>
      <c r="I175" s="117" t="n">
        <v>237.64</v>
      </c>
      <c r="J175" s="117" t="n">
        <v>221.07</v>
      </c>
      <c r="K175" s="115" t="n"/>
      <c r="L175" s="115" t="n"/>
      <c r="M175" s="115" t="n"/>
      <c r="N175" s="115" t="n"/>
      <c r="O175" s="115" t="n"/>
      <c r="P175" s="115" t="n"/>
      <c r="Q175" s="115" t="n"/>
    </row>
    <row r="176">
      <c r="A176" s="128" t="n">
        <v>46166</v>
      </c>
      <c r="B176" s="137" t="inlineStr">
        <is>
          <t>PARAS</t>
        </is>
      </c>
      <c r="C176" s="137" t="inlineStr">
        <is>
          <t>Red</t>
        </is>
      </c>
      <c r="D176" s="137" t="e">
        <v>#VALUE!</v>
      </c>
      <c r="E176" s="130">
        <f t="array" ref="E176">_FV(D176,"Price")</f>
        <v/>
      </c>
      <c r="F176" s="131">
        <f t="array" ref="F176">_FV(D176,"Previous close",TRUE)</f>
        <v/>
      </c>
      <c r="G176" s="117" t="n">
        <v>819.35</v>
      </c>
      <c r="H176" s="117" t="n">
        <v>791.9</v>
      </c>
      <c r="I176" s="117" t="n">
        <v>780.8</v>
      </c>
      <c r="J176" s="117" t="n">
        <v>746.6</v>
      </c>
      <c r="K176" s="115" t="n"/>
      <c r="L176" s="115" t="n"/>
      <c r="M176" s="115" t="n"/>
      <c r="N176" s="115" t="n"/>
      <c r="O176" s="115" t="n"/>
      <c r="P176" s="115" t="n"/>
      <c r="Q176" s="115" t="n"/>
    </row>
    <row r="177">
      <c r="A177" s="128" t="n">
        <v>46166</v>
      </c>
      <c r="B177" s="137" t="inlineStr">
        <is>
          <t>COALINDIA</t>
        </is>
      </c>
      <c r="C177" s="137" t="inlineStr">
        <is>
          <t>Red</t>
        </is>
      </c>
      <c r="D177" s="137" t="e">
        <v>#VALUE!</v>
      </c>
      <c r="E177" s="130">
        <f t="array" ref="E177">_FV(D177,"Price")</f>
        <v/>
      </c>
      <c r="F177" s="131">
        <f t="array" ref="F177">_FV(D177,"Previous close",TRUE)</f>
        <v/>
      </c>
      <c r="G177" s="117" t="n">
        <v>457.9</v>
      </c>
      <c r="H177" s="117" t="n">
        <v>458.53</v>
      </c>
      <c r="I177" s="117" t="n">
        <v>456.15</v>
      </c>
      <c r="J177" s="117" t="n">
        <v>443.26</v>
      </c>
      <c r="K177" s="115" t="n"/>
      <c r="L177" s="115" t="n"/>
      <c r="M177" s="115" t="n"/>
      <c r="N177" s="115" t="n"/>
      <c r="O177" s="115" t="n"/>
      <c r="P177" s="115" t="n"/>
      <c r="Q177" s="115" t="n"/>
    </row>
    <row r="178">
      <c r="A178" s="128" t="n">
        <v>46166</v>
      </c>
      <c r="B178" s="137" t="inlineStr">
        <is>
          <t>AVANTIFEED</t>
        </is>
      </c>
      <c r="C178" s="137" t="inlineStr">
        <is>
          <t>Red</t>
        </is>
      </c>
      <c r="D178" s="137" t="e">
        <v>#VALUE!</v>
      </c>
      <c r="E178" s="130">
        <f t="array" ref="E178">_FV(D178,"Price")</f>
        <v/>
      </c>
      <c r="F178" s="131">
        <f t="array" ref="F178">_FV(D178,"Previous close",TRUE)</f>
        <v/>
      </c>
      <c r="G178" s="117" t="n">
        <v>1203.6</v>
      </c>
      <c r="H178" s="117" t="n">
        <v>1276.64</v>
      </c>
      <c r="I178" s="117" t="n">
        <v>1272.28</v>
      </c>
      <c r="J178" s="117" t="n">
        <v>1202.99</v>
      </c>
      <c r="K178" s="115" t="n"/>
      <c r="L178" s="115" t="n"/>
      <c r="M178" s="115" t="n"/>
      <c r="N178" s="115" t="n"/>
      <c r="O178" s="115" t="n"/>
      <c r="P178" s="115" t="n"/>
      <c r="Q178" s="115" t="n"/>
    </row>
    <row r="179">
      <c r="A179" s="128" t="n">
        <v>46166</v>
      </c>
      <c r="B179" s="137" t="inlineStr">
        <is>
          <t>MFSL</t>
        </is>
      </c>
      <c r="C179" s="137" t="inlineStr">
        <is>
          <t>Red</t>
        </is>
      </c>
      <c r="D179" s="137" t="e">
        <v>#VALUE!</v>
      </c>
      <c r="E179" s="130">
        <f t="array" ref="E179">_FV(D179,"Price")</f>
        <v/>
      </c>
      <c r="F179" s="131">
        <f t="array" ref="F179">_FV(D179,"Previous close",TRUE)</f>
        <v/>
      </c>
      <c r="G179" s="117" t="n">
        <v>1674</v>
      </c>
      <c r="H179" s="117" t="n">
        <v>1637.23</v>
      </c>
      <c r="I179" s="117" t="n">
        <v>1638.84</v>
      </c>
      <c r="J179" s="117" t="n">
        <v>1641.29</v>
      </c>
      <c r="K179" s="115" t="n"/>
      <c r="L179" s="115" t="n"/>
      <c r="M179" s="115" t="n"/>
      <c r="N179" s="115" t="n"/>
      <c r="O179" s="115" t="n"/>
      <c r="P179" s="115" t="n"/>
      <c r="Q179" s="115" t="n"/>
    </row>
    <row r="180">
      <c r="A180" s="128" t="n">
        <v>46166</v>
      </c>
      <c r="B180" s="137" t="inlineStr">
        <is>
          <t>BIOCON</t>
        </is>
      </c>
      <c r="C180" s="137" t="inlineStr">
        <is>
          <t>Red</t>
        </is>
      </c>
      <c r="D180" s="137" t="e">
        <v>#VALUE!</v>
      </c>
      <c r="E180" s="130">
        <f t="array" ref="E180">_FV(D180,"Price")</f>
        <v/>
      </c>
      <c r="F180" s="131">
        <f t="array" ref="F180">_FV(D180,"Previous close",TRUE)</f>
        <v/>
      </c>
      <c r="G180" s="117" t="n">
        <v>428.65</v>
      </c>
      <c r="H180" s="117" t="n">
        <v>401.1</v>
      </c>
      <c r="I180" s="117" t="n">
        <v>397.41</v>
      </c>
      <c r="J180" s="117" t="n">
        <v>387.99</v>
      </c>
      <c r="K180" s="115" t="n"/>
      <c r="L180" s="115" t="n"/>
      <c r="M180" s="115" t="n"/>
      <c r="N180" s="115" t="n"/>
      <c r="O180" s="115" t="n"/>
      <c r="P180" s="115" t="n"/>
      <c r="Q180" s="115" t="n"/>
    </row>
    <row r="181">
      <c r="A181" s="128" t="n">
        <v>46166</v>
      </c>
      <c r="B181" s="137" t="inlineStr">
        <is>
          <t>BALRAMCHIN</t>
        </is>
      </c>
      <c r="C181" s="137" t="inlineStr">
        <is>
          <t>Red</t>
        </is>
      </c>
      <c r="D181" s="137" t="e">
        <v>#VALUE!</v>
      </c>
      <c r="E181" s="130">
        <f t="array" ref="E181">_FV(D181,"Price")</f>
        <v/>
      </c>
      <c r="F181" s="131">
        <f t="array" ref="F181">_FV(D181,"Previous close",TRUE)</f>
        <v/>
      </c>
      <c r="G181" s="117" t="n">
        <v>514.8</v>
      </c>
      <c r="H181" s="117" t="n">
        <v>517.77</v>
      </c>
      <c r="I181" s="117" t="n">
        <v>513.3200000000001</v>
      </c>
      <c r="J181" s="117" t="n">
        <v>498.43</v>
      </c>
      <c r="K181" s="115" t="n"/>
      <c r="L181" s="115" t="n"/>
      <c r="M181" s="115" t="n"/>
      <c r="N181" s="115" t="n"/>
      <c r="O181" s="115" t="n"/>
      <c r="P181" s="115" t="n"/>
      <c r="Q181" s="115" t="n"/>
    </row>
    <row r="182">
      <c r="A182" s="128" t="n">
        <v>46166</v>
      </c>
      <c r="B182" s="137" t="inlineStr">
        <is>
          <t>PANAMAPET</t>
        </is>
      </c>
      <c r="C182" s="137" t="inlineStr">
        <is>
          <t>Red</t>
        </is>
      </c>
      <c r="D182" s="137" t="e">
        <v>#VALUE!</v>
      </c>
      <c r="E182" s="130">
        <f t="array" ref="E182">_FV(D182,"Price")</f>
        <v/>
      </c>
      <c r="F182" s="131">
        <f t="array" ref="F182">_FV(D182,"Previous close",TRUE)</f>
        <v/>
      </c>
      <c r="G182" s="117" t="n">
        <v>329.05</v>
      </c>
      <c r="H182" s="117" t="n">
        <v>304.35</v>
      </c>
      <c r="I182" s="117" t="n">
        <v>301.09</v>
      </c>
      <c r="J182" s="117" t="n">
        <v>294.49</v>
      </c>
      <c r="K182" s="115" t="n"/>
      <c r="L182" s="115" t="n"/>
      <c r="M182" s="115" t="n"/>
      <c r="N182" s="115" t="n"/>
      <c r="O182" s="115" t="n"/>
      <c r="P182" s="115" t="n"/>
      <c r="Q182" s="115" t="n"/>
    </row>
    <row r="183">
      <c r="A183" s="128" t="n">
        <v>46166</v>
      </c>
      <c r="B183" s="137" t="inlineStr">
        <is>
          <t>MANALIPETC</t>
        </is>
      </c>
      <c r="C183" s="137" t="inlineStr">
        <is>
          <t>Red</t>
        </is>
      </c>
      <c r="D183" s="137" t="e">
        <v>#VALUE!</v>
      </c>
      <c r="E183" s="130">
        <f t="array" ref="E183">_FV(D183,"Price")</f>
        <v/>
      </c>
      <c r="F183" s="131">
        <f t="array" ref="F183">_FV(D183,"Previous close",TRUE)</f>
        <v/>
      </c>
      <c r="G183" s="117" t="n">
        <v>60.05</v>
      </c>
      <c r="H183" s="117" t="n">
        <v>56.96</v>
      </c>
      <c r="I183" s="117" t="n">
        <v>56.49</v>
      </c>
      <c r="J183" s="117" t="n">
        <v>56.35</v>
      </c>
      <c r="K183" s="115" t="n"/>
      <c r="L183" s="115" t="n"/>
      <c r="M183" s="115" t="n"/>
      <c r="N183" s="115" t="n"/>
      <c r="O183" s="115" t="n"/>
      <c r="P183" s="115" t="n"/>
      <c r="Q183" s="115" t="n"/>
    </row>
    <row r="184">
      <c r="A184" s="128" t="n">
        <v>46166</v>
      </c>
      <c r="B184" s="137" t="inlineStr">
        <is>
          <t>GRSE</t>
        </is>
      </c>
      <c r="C184" s="137" t="inlineStr">
        <is>
          <t>Red</t>
        </is>
      </c>
      <c r="D184" s="137" t="e">
        <v>#VALUE!</v>
      </c>
      <c r="E184" s="130">
        <f t="array" ref="E184">_FV(D184,"Price")</f>
        <v/>
      </c>
      <c r="F184" s="131">
        <f t="array" ref="F184">_FV(D184,"Previous close",TRUE)</f>
        <v/>
      </c>
      <c r="G184" s="117" t="n">
        <v>2654.8</v>
      </c>
      <c r="H184" s="117" t="n">
        <v>2671.44</v>
      </c>
      <c r="I184" s="117" t="n">
        <v>2656.61</v>
      </c>
      <c r="J184" s="117" t="n">
        <v>2600.35</v>
      </c>
      <c r="K184" s="115" t="n"/>
      <c r="L184" s="115" t="n"/>
      <c r="M184" s="115" t="n"/>
      <c r="N184" s="115" t="n"/>
      <c r="O184" s="115" t="n"/>
      <c r="P184" s="115" t="n"/>
      <c r="Q184" s="115" t="n"/>
    </row>
    <row r="185">
      <c r="A185" s="128" t="n">
        <v>46166</v>
      </c>
      <c r="B185" s="137" t="inlineStr">
        <is>
          <t>NARMADA</t>
        </is>
      </c>
      <c r="C185" s="137" t="inlineStr">
        <is>
          <t>Red</t>
        </is>
      </c>
      <c r="D185" s="137" t="e">
        <v>#VALUE!</v>
      </c>
      <c r="E185" s="130">
        <f t="array" ref="E185">_FV(D185,"Price")</f>
        <v/>
      </c>
      <c r="F185" s="131">
        <f t="array" ref="F185">_FV(D185,"Previous close",TRUE)</f>
        <v/>
      </c>
      <c r="G185" s="117" t="n">
        <v>37.22</v>
      </c>
      <c r="H185" s="117" t="n">
        <v>35.64</v>
      </c>
      <c r="I185" s="117" t="n">
        <v>35.2</v>
      </c>
      <c r="J185" s="117" t="n">
        <v>32.95</v>
      </c>
      <c r="K185" s="115" t="n"/>
      <c r="L185" s="115" t="n"/>
      <c r="M185" s="115" t="n"/>
      <c r="N185" s="115" t="n"/>
      <c r="O185" s="115" t="n"/>
      <c r="P185" s="115" t="n"/>
      <c r="Q185" s="115" t="n"/>
    </row>
    <row r="186">
      <c r="A186" s="128" t="n">
        <v>46172</v>
      </c>
      <c r="B186" s="138" t="inlineStr">
        <is>
          <t>THERMAX</t>
        </is>
      </c>
      <c r="C186" s="138" t="inlineStr">
        <is>
          <t>BLUE</t>
        </is>
      </c>
      <c r="D186" s="138" t="e">
        <v>#VALUE!</v>
      </c>
      <c r="E186" s="130">
        <f t="array" ref="E186">_FV(D186,"Price")</f>
        <v/>
      </c>
      <c r="F186" s="131">
        <f t="array" ref="F186">_FV(D186,"Previous close",TRUE)</f>
        <v/>
      </c>
      <c r="G186" s="117" t="n">
        <v>4982.7</v>
      </c>
      <c r="H186" s="117" t="n">
        <v>4402.31</v>
      </c>
      <c r="I186" s="117" t="n">
        <v>4284.75</v>
      </c>
      <c r="J186" s="117" t="n">
        <v>3900.78</v>
      </c>
      <c r="K186" s="115" t="n"/>
      <c r="L186" s="115" t="n"/>
      <c r="M186" s="115" t="n"/>
      <c r="N186" s="115" t="n"/>
      <c r="O186" s="115" t="n"/>
      <c r="P186" s="115" t="n"/>
      <c r="Q186" s="115" t="n"/>
    </row>
    <row r="187">
      <c r="A187" s="128" t="n">
        <v>46172</v>
      </c>
      <c r="B187" s="138" t="inlineStr">
        <is>
          <t>TRITURBINE</t>
        </is>
      </c>
      <c r="C187" s="138" t="inlineStr">
        <is>
          <t>BLUE</t>
        </is>
      </c>
      <c r="D187" s="138" t="e">
        <v>#VALUE!</v>
      </c>
      <c r="E187" s="130">
        <f t="array" ref="E187">_FV(D187,"Price")</f>
        <v/>
      </c>
      <c r="F187" s="131">
        <f t="array" ref="F187">_FV(D187,"Previous close",TRUE)</f>
        <v/>
      </c>
      <c r="G187" s="117" t="n">
        <v>741.5</v>
      </c>
      <c r="H187" s="117" t="n">
        <v>625.97</v>
      </c>
      <c r="I187" s="117" t="n">
        <v>610.6</v>
      </c>
      <c r="J187" s="117" t="n">
        <v>570.03</v>
      </c>
      <c r="K187" s="115" t="n"/>
      <c r="L187" s="115" t="n"/>
      <c r="M187" s="115" t="n"/>
      <c r="N187" s="115" t="n"/>
      <c r="O187" s="115" t="n"/>
      <c r="P187" s="115" t="n"/>
      <c r="Q187" s="115" t="n"/>
    </row>
    <row r="188">
      <c r="A188" s="128" t="n">
        <v>46172</v>
      </c>
      <c r="B188" s="138" t="inlineStr">
        <is>
          <t>FCL</t>
        </is>
      </c>
      <c r="C188" s="138" t="inlineStr">
        <is>
          <t>BLUE</t>
        </is>
      </c>
      <c r="D188" s="138" t="e">
        <v>#VALUE!</v>
      </c>
      <c r="E188" s="130">
        <f t="array" ref="E188">_FV(D188,"Price")</f>
        <v/>
      </c>
      <c r="F188" s="131">
        <f t="array" ref="F188">_FV(D188,"Previous close",TRUE)</f>
        <v/>
      </c>
      <c r="G188" s="117" t="n">
        <v>39.99</v>
      </c>
      <c r="H188" s="117" t="n">
        <v>31.46</v>
      </c>
      <c r="I188" s="117" t="n">
        <v>30.3</v>
      </c>
      <c r="J188" s="117" t="n">
        <v>27.49</v>
      </c>
      <c r="K188" s="115" t="n"/>
      <c r="L188" s="115" t="n"/>
      <c r="M188" s="115" t="n"/>
      <c r="N188" s="115" t="n"/>
      <c r="O188" s="115" t="n"/>
      <c r="P188" s="115" t="n"/>
      <c r="Q188" s="115" t="n"/>
    </row>
    <row r="189">
      <c r="A189" s="128" t="n">
        <v>46172</v>
      </c>
      <c r="B189" s="138" t="inlineStr">
        <is>
          <t>MARINE</t>
        </is>
      </c>
      <c r="C189" s="138" t="inlineStr">
        <is>
          <t>BLUE</t>
        </is>
      </c>
      <c r="D189" s="138" t="e">
        <v>#VALUE!</v>
      </c>
      <c r="E189" s="130">
        <f t="array" ref="E189">_FV(D189,"Price")</f>
        <v/>
      </c>
      <c r="F189" s="131">
        <f t="array" ref="F189">_FV(D189,"Previous close",TRUE)</f>
        <v/>
      </c>
      <c r="G189" s="117" t="n">
        <v>268.94</v>
      </c>
      <c r="H189" s="117" t="n">
        <v>232.78</v>
      </c>
      <c r="I189" s="117" t="n">
        <v>228.15</v>
      </c>
      <c r="J189" s="117" t="n">
        <v>216.12</v>
      </c>
      <c r="K189" s="115" t="n"/>
      <c r="L189" s="115" t="n"/>
      <c r="M189" s="115" t="n"/>
      <c r="N189" s="115" t="n"/>
      <c r="O189" s="115" t="n"/>
      <c r="P189" s="115" t="n"/>
      <c r="Q189" s="115" t="n"/>
    </row>
    <row r="190">
      <c r="A190" s="128" t="n">
        <v>46172</v>
      </c>
      <c r="B190" s="138" t="inlineStr">
        <is>
          <t>ABB</t>
        </is>
      </c>
      <c r="C190" s="138" t="inlineStr">
        <is>
          <t>BLUE</t>
        </is>
      </c>
      <c r="D190" s="138" t="e">
        <v>#VALUE!</v>
      </c>
      <c r="E190" s="130">
        <f t="array" ref="E190">_FV(D190,"Price")</f>
        <v/>
      </c>
      <c r="F190" s="131">
        <f t="array" ref="F190">_FV(D190,"Previous close",TRUE)</f>
        <v/>
      </c>
      <c r="G190" s="117" t="n">
        <v>7253</v>
      </c>
      <c r="H190" s="117" t="n">
        <v>6855.32</v>
      </c>
      <c r="I190" s="117" t="n">
        <v>6779.31</v>
      </c>
      <c r="J190" s="117" t="n">
        <v>6435.87</v>
      </c>
      <c r="K190" s="115" t="n"/>
      <c r="L190" s="115" t="n"/>
      <c r="M190" s="115" t="n"/>
      <c r="N190" s="115" t="n"/>
      <c r="O190" s="115" t="n"/>
      <c r="P190" s="115" t="n"/>
      <c r="Q190" s="115" t="n"/>
    </row>
    <row r="191">
      <c r="A191" s="128" t="n">
        <v>46172</v>
      </c>
      <c r="B191" s="138" t="inlineStr">
        <is>
          <t>ZYDUSLIFE</t>
        </is>
      </c>
      <c r="C191" s="138" t="inlineStr">
        <is>
          <t>BLUE</t>
        </is>
      </c>
      <c r="D191" s="138" t="e">
        <v>#VALUE!</v>
      </c>
      <c r="E191" s="130">
        <f t="array" ref="E191">_FV(D191,"Price")</f>
        <v/>
      </c>
      <c r="F191" s="131">
        <f t="array" ref="F191">_FV(D191,"Previous close",TRUE)</f>
        <v/>
      </c>
      <c r="G191" s="117" t="n">
        <v>1077.7</v>
      </c>
      <c r="H191" s="117" t="n">
        <v>999.12</v>
      </c>
      <c r="I191" s="117" t="n">
        <v>987.53</v>
      </c>
      <c r="J191" s="117" t="n">
        <v>959.21</v>
      </c>
      <c r="K191" s="115" t="n"/>
      <c r="L191" s="115" t="n"/>
      <c r="M191" s="115" t="n"/>
      <c r="N191" s="115" t="n"/>
      <c r="O191" s="115" t="n"/>
      <c r="P191" s="115" t="n"/>
      <c r="Q191" s="115" t="n"/>
    </row>
    <row r="192">
      <c r="A192" s="128" t="n">
        <v>46172</v>
      </c>
      <c r="B192" s="138" t="inlineStr">
        <is>
          <t>IDEAFORGE</t>
        </is>
      </c>
      <c r="C192" s="138" t="inlineStr">
        <is>
          <t>BLUE</t>
        </is>
      </c>
      <c r="D192" s="138" t="e">
        <v>#VALUE!</v>
      </c>
      <c r="E192" s="130">
        <f t="array" ref="E192">_FV(D192,"Price")</f>
        <v/>
      </c>
      <c r="F192" s="131">
        <f t="array" ref="F192">_FV(D192,"Previous close",TRUE)</f>
        <v/>
      </c>
      <c r="G192" s="117" t="n">
        <v>845</v>
      </c>
      <c r="H192" s="117" t="n">
        <v>707.85</v>
      </c>
      <c r="I192" s="117" t="n">
        <v>679.1900000000001</v>
      </c>
      <c r="J192" s="117" t="n">
        <v>595.27</v>
      </c>
      <c r="K192" s="115" t="n"/>
      <c r="L192" s="115" t="n"/>
      <c r="M192" s="115" t="n"/>
      <c r="N192" s="115" t="n"/>
      <c r="O192" s="115" t="n"/>
      <c r="P192" s="115" t="n"/>
      <c r="Q192" s="115" t="n"/>
    </row>
    <row r="193">
      <c r="A193" s="128" t="n">
        <v>46172</v>
      </c>
      <c r="B193" s="138" t="inlineStr">
        <is>
          <t>EXIDEIND</t>
        </is>
      </c>
      <c r="C193" s="138" t="inlineStr">
        <is>
          <t>BLUE</t>
        </is>
      </c>
      <c r="D193" s="138" t="e">
        <v>#VALUE!</v>
      </c>
      <c r="E193" s="130">
        <f t="array" ref="E193">_FV(D193,"Price")</f>
        <v/>
      </c>
      <c r="F193" s="131">
        <f t="array" ref="F193">_FV(D193,"Previous close",TRUE)</f>
        <v/>
      </c>
      <c r="G193" s="117" t="n">
        <v>386.5</v>
      </c>
      <c r="H193" s="117" t="n">
        <v>360.56</v>
      </c>
      <c r="I193" s="117" t="n">
        <v>356.5</v>
      </c>
      <c r="J193" s="117" t="n">
        <v>350.17</v>
      </c>
      <c r="K193" s="115" t="n"/>
      <c r="L193" s="115" t="n"/>
      <c r="M193" s="115" t="n"/>
      <c r="N193" s="115" t="n"/>
      <c r="O193" s="115" t="n"/>
      <c r="P193" s="115" t="n"/>
      <c r="Q193" s="115" t="n"/>
    </row>
    <row r="194">
      <c r="A194" s="128" t="n">
        <v>46172</v>
      </c>
      <c r="B194" s="138" t="inlineStr">
        <is>
          <t>FINCABLES</t>
        </is>
      </c>
      <c r="C194" s="138" t="inlineStr">
        <is>
          <t>BLUE</t>
        </is>
      </c>
      <c r="D194" s="138" t="e">
        <v>#VALUE!</v>
      </c>
      <c r="E194" s="130">
        <f t="array" ref="E194">_FV(D194,"Price")</f>
        <v/>
      </c>
      <c r="F194" s="131">
        <f t="array" ref="F194">_FV(D194,"Previous close",TRUE)</f>
        <v/>
      </c>
      <c r="G194" s="117" t="n">
        <v>1136.3</v>
      </c>
      <c r="H194" s="117" t="n">
        <v>1010.63</v>
      </c>
      <c r="I194" s="117" t="n">
        <v>994.85</v>
      </c>
      <c r="J194" s="117" t="n">
        <v>937.92</v>
      </c>
      <c r="K194" s="115" t="n"/>
      <c r="L194" s="115" t="n"/>
      <c r="M194" s="115" t="n"/>
      <c r="N194" s="115" t="n"/>
      <c r="O194" s="115" t="n"/>
      <c r="P194" s="115" t="n"/>
      <c r="Q194" s="115" t="n"/>
    </row>
    <row r="195">
      <c r="A195" s="128" t="n">
        <v>46172</v>
      </c>
      <c r="B195" s="138" t="inlineStr">
        <is>
          <t>ZENTEC</t>
        </is>
      </c>
      <c r="C195" s="138" t="inlineStr">
        <is>
          <t>BLUE</t>
        </is>
      </c>
      <c r="D195" s="138" t="e">
        <v>#VALUE!</v>
      </c>
      <c r="E195" s="130">
        <f t="array" ref="E195">_FV(D195,"Price")</f>
        <v/>
      </c>
      <c r="F195" s="131">
        <f t="array" ref="F195">_FV(D195,"Previous close",TRUE)</f>
        <v/>
      </c>
      <c r="G195" s="117" t="n">
        <v>1664.7</v>
      </c>
      <c r="H195" s="117" t="n">
        <v>1597.63</v>
      </c>
      <c r="I195" s="117" t="n">
        <v>1580.49</v>
      </c>
      <c r="J195" s="117" t="n">
        <v>1524.98</v>
      </c>
      <c r="K195" s="115" t="n"/>
      <c r="L195" s="115" t="n"/>
      <c r="M195" s="115" t="n"/>
      <c r="N195" s="115" t="n"/>
      <c r="O195" s="115" t="n"/>
      <c r="P195" s="115" t="n"/>
      <c r="Q195" s="115" t="n"/>
    </row>
    <row r="196">
      <c r="A196" s="128" t="n">
        <v>46172</v>
      </c>
      <c r="B196" s="138" t="inlineStr">
        <is>
          <t>E2E</t>
        </is>
      </c>
      <c r="C196" s="138" t="inlineStr">
        <is>
          <t>BLUE</t>
        </is>
      </c>
      <c r="D196" s="138" t="e">
        <v>#VALUE!</v>
      </c>
      <c r="E196" s="130">
        <f t="array" ref="E196">_FV(D196,"Price")</f>
        <v/>
      </c>
      <c r="F196" s="131">
        <f t="array" ref="F196">_FV(D196,"Previous close",TRUE)</f>
        <v/>
      </c>
      <c r="G196" s="117" t="n">
        <v>3922.4</v>
      </c>
      <c r="H196" s="117" t="n">
        <v>3401.66</v>
      </c>
      <c r="I196" s="117" t="n">
        <v>3286.19</v>
      </c>
      <c r="J196" s="117" t="n">
        <v>2966.47</v>
      </c>
      <c r="K196" s="115" t="n"/>
      <c r="L196" s="115" t="n"/>
      <c r="M196" s="115" t="n"/>
      <c r="N196" s="115" t="n"/>
      <c r="O196" s="115" t="n"/>
      <c r="P196" s="115" t="n"/>
      <c r="Q196" s="115" t="n"/>
    </row>
    <row r="197">
      <c r="A197" s="128" t="n">
        <v>46172</v>
      </c>
      <c r="B197" s="138" t="inlineStr">
        <is>
          <t>KTKBANK</t>
        </is>
      </c>
      <c r="C197" s="138" t="inlineStr">
        <is>
          <t>BLUE</t>
        </is>
      </c>
      <c r="D197" s="138" t="e">
        <v>#VALUE!</v>
      </c>
      <c r="E197" s="130">
        <f t="array" ref="E197">_FV(D197,"Price")</f>
        <v/>
      </c>
      <c r="F197" s="131">
        <f t="array" ref="F197">_FV(D197,"Previous close",TRUE)</f>
        <v/>
      </c>
      <c r="G197" s="117" t="n">
        <v>269.35</v>
      </c>
      <c r="H197" s="117" t="n">
        <v>254.08</v>
      </c>
      <c r="I197" s="117" t="n">
        <v>250.49</v>
      </c>
      <c r="J197" s="117" t="n">
        <v>235.46</v>
      </c>
      <c r="K197" s="115" t="n"/>
      <c r="L197" s="115" t="n"/>
      <c r="M197" s="115" t="n"/>
      <c r="N197" s="115" t="n"/>
      <c r="O197" s="115" t="n"/>
      <c r="P197" s="115" t="n"/>
      <c r="Q197" s="115" t="n"/>
    </row>
    <row r="198">
      <c r="A198" s="128" t="n">
        <v>46172</v>
      </c>
      <c r="B198" s="138" t="inlineStr">
        <is>
          <t>CONFIPET</t>
        </is>
      </c>
      <c r="C198" s="138" t="inlineStr">
        <is>
          <t>BLUE</t>
        </is>
      </c>
      <c r="D198" s="138" t="e">
        <v>#VALUE!</v>
      </c>
      <c r="E198" s="130">
        <f t="array" ref="E198">_FV(D198,"Price")</f>
        <v/>
      </c>
      <c r="F198" s="131">
        <f t="array" ref="F198">_FV(D198,"Previous close",TRUE)</f>
        <v/>
      </c>
      <c r="G198" s="117" t="n">
        <v>67.77</v>
      </c>
      <c r="H198" s="117" t="n">
        <v>58.65</v>
      </c>
      <c r="I198" s="117" t="n">
        <v>56.7</v>
      </c>
      <c r="J198" s="117" t="n">
        <v>50.65</v>
      </c>
      <c r="K198" s="115" t="n"/>
      <c r="L198" s="115" t="n"/>
      <c r="M198" s="115" t="n"/>
      <c r="N198" s="115" t="n"/>
      <c r="O198" s="115" t="n"/>
      <c r="P198" s="115" t="n"/>
      <c r="Q198" s="115" t="n"/>
    </row>
    <row r="199">
      <c r="A199" s="128" t="n">
        <v>46172</v>
      </c>
      <c r="B199" s="138" t="inlineStr">
        <is>
          <t>MOLDTKPAC</t>
        </is>
      </c>
      <c r="C199" s="138" t="inlineStr">
        <is>
          <t>BLUE</t>
        </is>
      </c>
      <c r="D199" s="138" t="e">
        <v>#VALUE!</v>
      </c>
      <c r="E199" s="130">
        <f t="array" ref="E199">_FV(D199,"Price")</f>
        <v/>
      </c>
      <c r="F199" s="131">
        <f t="array" ref="F199">_FV(D199,"Previous close",TRUE)</f>
        <v/>
      </c>
      <c r="G199" s="117" t="n">
        <v>702.6</v>
      </c>
      <c r="H199" s="117" t="n">
        <v>642.27</v>
      </c>
      <c r="I199" s="117" t="n">
        <v>631.74</v>
      </c>
      <c r="J199" s="117" t="n">
        <v>612.01</v>
      </c>
      <c r="K199" s="115" t="n"/>
      <c r="L199" s="115" t="n"/>
      <c r="M199" s="115" t="n"/>
      <c r="N199" s="115" t="n"/>
      <c r="O199" s="115" t="n"/>
      <c r="P199" s="115" t="n"/>
      <c r="Q199" s="115" t="n"/>
    </row>
    <row r="200">
      <c r="A200" s="128" t="n">
        <v>46172</v>
      </c>
      <c r="B200" s="138" t="inlineStr">
        <is>
          <t>NIBE</t>
        </is>
      </c>
      <c r="C200" s="138" t="inlineStr">
        <is>
          <t>BLUE</t>
        </is>
      </c>
      <c r="D200" s="138" t="e">
        <v>#VALUE!</v>
      </c>
      <c r="E200" s="130">
        <f t="array" ref="E200">_FV(D200,"Price")</f>
        <v/>
      </c>
      <c r="F200" s="131">
        <f t="array" ref="F200">_FV(D200,"Previous close",TRUE)</f>
        <v/>
      </c>
      <c r="G200" s="117" t="n">
        <v>1442.9</v>
      </c>
      <c r="H200" s="117" t="n">
        <v>1247.58</v>
      </c>
      <c r="I200" s="117" t="n">
        <v>1216.54</v>
      </c>
      <c r="J200" s="117" t="n">
        <v>1157.84</v>
      </c>
      <c r="K200" s="115" t="n"/>
      <c r="L200" s="115" t="n"/>
      <c r="M200" s="115" t="n"/>
      <c r="N200" s="115" t="n"/>
      <c r="O200" s="115" t="n"/>
      <c r="P200" s="115" t="n"/>
      <c r="Q200" s="115" t="n"/>
    </row>
    <row r="201">
      <c r="A201" s="128" t="n">
        <v>46172</v>
      </c>
      <c r="B201" s="138" t="inlineStr">
        <is>
          <t>AIAENG</t>
        </is>
      </c>
      <c r="C201" s="138" t="inlineStr">
        <is>
          <t>BLUE</t>
        </is>
      </c>
      <c r="D201" s="138" t="e">
        <v>#VALUE!</v>
      </c>
      <c r="E201" s="130">
        <f t="array" ref="E201">_FV(D201,"Price")</f>
        <v/>
      </c>
      <c r="F201" s="131">
        <f t="array" ref="F201">_FV(D201,"Previous close",TRUE)</f>
        <v/>
      </c>
      <c r="G201" s="117" t="n">
        <v>4503.6</v>
      </c>
      <c r="H201" s="117" t="n">
        <v>4117.08</v>
      </c>
      <c r="I201" s="117" t="n">
        <v>4070.73</v>
      </c>
      <c r="J201" s="117" t="n">
        <v>3927.81</v>
      </c>
      <c r="K201" s="115" t="n"/>
      <c r="L201" s="115" t="n"/>
      <c r="M201" s="115" t="n"/>
      <c r="N201" s="115" t="n"/>
      <c r="O201" s="115" t="n"/>
      <c r="P201" s="115" t="n"/>
      <c r="Q201" s="115" t="n"/>
    </row>
    <row r="202">
      <c r="A202" s="128" t="n">
        <v>46172</v>
      </c>
      <c r="B202" s="138" t="inlineStr">
        <is>
          <t>SKIPPER</t>
        </is>
      </c>
      <c r="C202" s="138" t="inlineStr">
        <is>
          <t>BLUE</t>
        </is>
      </c>
      <c r="D202" s="138" t="e">
        <v>#VALUE!</v>
      </c>
      <c r="E202" s="130">
        <f t="array" ref="E202">_FV(D202,"Price")</f>
        <v/>
      </c>
      <c r="F202" s="131">
        <f t="array" ref="F202">_FV(D202,"Previous close",TRUE)</f>
        <v/>
      </c>
      <c r="G202" s="117" t="n">
        <v>549.35</v>
      </c>
      <c r="H202" s="117" t="n">
        <v>481.33</v>
      </c>
      <c r="I202" s="117" t="n">
        <v>470.39</v>
      </c>
      <c r="J202" s="117" t="n">
        <v>446.55</v>
      </c>
      <c r="K202" s="115" t="n"/>
      <c r="L202" s="115" t="n"/>
      <c r="M202" s="115" t="n"/>
      <c r="N202" s="115" t="n"/>
      <c r="O202" s="115" t="n"/>
      <c r="P202" s="115" t="n"/>
      <c r="Q202" s="115" t="n"/>
    </row>
    <row r="203">
      <c r="A203" s="128" t="n">
        <v>46172</v>
      </c>
      <c r="B203" s="138" t="inlineStr">
        <is>
          <t>MARKSANS</t>
        </is>
      </c>
      <c r="C203" s="138" t="inlineStr">
        <is>
          <t>BLUE</t>
        </is>
      </c>
      <c r="D203" s="138" t="e">
        <v>#VALUE!</v>
      </c>
      <c r="E203" s="130">
        <f t="array" ref="E203">_FV(D203,"Price")</f>
        <v/>
      </c>
      <c r="F203" s="131">
        <f t="array" ref="F203">_FV(D203,"Previous close",TRUE)</f>
        <v/>
      </c>
      <c r="G203" s="117" t="n">
        <v>246.19</v>
      </c>
      <c r="H203" s="117" t="n">
        <v>210.63</v>
      </c>
      <c r="I203" s="117" t="n">
        <v>206.24</v>
      </c>
      <c r="J203" s="117" t="n">
        <v>195.43</v>
      </c>
      <c r="K203" s="115" t="n"/>
      <c r="L203" s="115" t="n"/>
      <c r="M203" s="115" t="n"/>
      <c r="N203" s="115" t="n"/>
      <c r="O203" s="115" t="n"/>
      <c r="P203" s="115" t="n"/>
      <c r="Q203" s="115" t="n"/>
    </row>
    <row r="204">
      <c r="A204" s="128" t="n">
        <v>46172</v>
      </c>
      <c r="B204" s="138" t="inlineStr">
        <is>
          <t>BALAMINES</t>
        </is>
      </c>
      <c r="C204" s="138" t="inlineStr">
        <is>
          <t>BLUE</t>
        </is>
      </c>
      <c r="D204" s="138" t="e">
        <v>#VALUE!</v>
      </c>
      <c r="E204" s="130">
        <f t="array" ref="E204">_FV(D204,"Price")</f>
        <v/>
      </c>
      <c r="F204" s="131">
        <f t="array" ref="F204">_FV(D204,"Previous close",TRUE)</f>
        <v/>
      </c>
      <c r="G204" s="117" t="n">
        <v>1775.6</v>
      </c>
      <c r="H204" s="117" t="n">
        <v>1597.83</v>
      </c>
      <c r="I204" s="117" t="n">
        <v>1541.17</v>
      </c>
      <c r="J204" s="117" t="n">
        <v>1398.52</v>
      </c>
      <c r="K204" s="115" t="n"/>
      <c r="L204" s="115" t="n"/>
      <c r="M204" s="115" t="n"/>
      <c r="N204" s="115" t="n"/>
      <c r="O204" s="115" t="n"/>
      <c r="P204" s="115" t="n"/>
      <c r="Q204" s="115" t="n"/>
    </row>
    <row r="205">
      <c r="A205" s="128" t="n">
        <v>46172</v>
      </c>
      <c r="B205" s="138" t="inlineStr">
        <is>
          <t>HSCL</t>
        </is>
      </c>
      <c r="C205" s="138" t="inlineStr">
        <is>
          <t>BLUE</t>
        </is>
      </c>
      <c r="D205" s="138" t="e">
        <v>#VALUE!</v>
      </c>
      <c r="E205" s="130">
        <f t="array" ref="E205">_FV(D205,"Price")</f>
        <v/>
      </c>
      <c r="F205" s="131">
        <f t="array" ref="F205">_FV(D205,"Previous close",TRUE)</f>
        <v/>
      </c>
      <c r="G205" s="117" t="n">
        <v>606.45</v>
      </c>
      <c r="H205" s="117" t="n">
        <v>573.51</v>
      </c>
      <c r="I205" s="117" t="n">
        <v>563.5599999999999</v>
      </c>
      <c r="J205" s="117" t="n">
        <v>530.55</v>
      </c>
      <c r="K205" s="115" t="n"/>
      <c r="L205" s="115" t="n"/>
      <c r="M205" s="115" t="n"/>
      <c r="N205" s="115" t="n"/>
      <c r="O205" s="115" t="n"/>
      <c r="P205" s="115" t="n"/>
      <c r="Q205" s="115" t="n"/>
    </row>
    <row r="206">
      <c r="A206" s="128" t="n">
        <v>46172</v>
      </c>
      <c r="B206" s="138" t="inlineStr">
        <is>
          <t>ADANIENSOL</t>
        </is>
      </c>
      <c r="C206" s="138" t="inlineStr">
        <is>
          <t>BLUE</t>
        </is>
      </c>
      <c r="D206" s="138" t="e">
        <v>#VALUE!</v>
      </c>
      <c r="E206" s="130">
        <f t="array" ref="E206">_FV(D206,"Price")</f>
        <v/>
      </c>
      <c r="F206" s="131">
        <f t="array" ref="F206">_FV(D206,"Previous close",TRUE)</f>
        <v/>
      </c>
      <c r="G206" s="117" t="n">
        <v>1513.3</v>
      </c>
      <c r="H206" s="117" t="n">
        <v>1351.97</v>
      </c>
      <c r="I206" s="117" t="n">
        <v>1318.79</v>
      </c>
      <c r="J206" s="117" t="n">
        <v>1204.27</v>
      </c>
      <c r="K206" s="115" t="n"/>
      <c r="L206" s="115" t="n"/>
      <c r="M206" s="115" t="n"/>
      <c r="N206" s="115" t="n"/>
      <c r="O206" s="115" t="n"/>
      <c r="P206" s="115" t="n"/>
      <c r="Q206" s="115" t="n"/>
    </row>
    <row r="207">
      <c r="A207" s="128" t="n">
        <v>46172</v>
      </c>
      <c r="B207" s="138" t="inlineStr">
        <is>
          <t>GRINDWELL</t>
        </is>
      </c>
      <c r="C207" s="138" t="inlineStr">
        <is>
          <t>BLUE</t>
        </is>
      </c>
      <c r="D207" s="138" t="e">
        <v>#VALUE!</v>
      </c>
      <c r="E207" s="130">
        <f t="array" ref="E207">_FV(D207,"Price")</f>
        <v/>
      </c>
      <c r="F207" s="131">
        <f t="array" ref="F207">_FV(D207,"Previous close",TRUE)</f>
        <v/>
      </c>
      <c r="G207" s="117" t="n">
        <v>1839.8</v>
      </c>
      <c r="H207" s="117" t="n">
        <v>1747.71</v>
      </c>
      <c r="I207" s="117" t="n">
        <v>1723.56</v>
      </c>
      <c r="J207" s="117" t="n">
        <v>1661.98</v>
      </c>
      <c r="K207" s="115" t="n"/>
      <c r="L207" s="115" t="n"/>
      <c r="M207" s="115" t="n"/>
      <c r="N207" s="115" t="n"/>
      <c r="O207" s="115" t="n"/>
      <c r="P207" s="115" t="n"/>
      <c r="Q207" s="115" t="n"/>
    </row>
    <row r="208">
      <c r="A208" s="128" t="n">
        <v>46172</v>
      </c>
      <c r="B208" s="138" t="inlineStr">
        <is>
          <t>GLAND</t>
        </is>
      </c>
      <c r="C208" s="138" t="inlineStr">
        <is>
          <t>BLUE</t>
        </is>
      </c>
      <c r="D208" s="138" t="e">
        <v>#VALUE!</v>
      </c>
      <c r="E208" s="130">
        <f t="array" ref="E208">_FV(D208,"Price")</f>
        <v/>
      </c>
      <c r="F208" s="131">
        <f t="array" ref="F208">_FV(D208,"Previous close",TRUE)</f>
        <v/>
      </c>
      <c r="G208" s="117" t="n">
        <v>2250</v>
      </c>
      <c r="H208" s="117" t="n">
        <v>2029.53</v>
      </c>
      <c r="I208" s="117" t="n">
        <v>1992.37</v>
      </c>
      <c r="J208" s="117" t="n">
        <v>1898.31</v>
      </c>
      <c r="K208" s="115" t="n"/>
      <c r="L208" s="115" t="n"/>
      <c r="M208" s="115" t="n"/>
      <c r="N208" s="115" t="n"/>
      <c r="O208" s="115" t="n"/>
      <c r="P208" s="115" t="n"/>
      <c r="Q208" s="115" t="n"/>
    </row>
    <row r="209">
      <c r="A209" s="128" t="n">
        <v>46172</v>
      </c>
      <c r="B209" s="138" t="inlineStr">
        <is>
          <t>HFCL</t>
        </is>
      </c>
      <c r="C209" s="138" t="inlineStr">
        <is>
          <t>ORANGE</t>
        </is>
      </c>
      <c r="D209" s="138" t="e">
        <v>#VALUE!</v>
      </c>
      <c r="E209" s="130">
        <f t="array" ref="E209">_FV(D209,"Price")</f>
        <v/>
      </c>
      <c r="F209" s="131">
        <f t="array" ref="F209">_FV(D209,"Previous close",TRUE)</f>
        <v/>
      </c>
      <c r="G209" s="117" t="n">
        <v>179.94</v>
      </c>
      <c r="H209" s="117" t="n">
        <v>141.59</v>
      </c>
      <c r="I209" s="117" t="n">
        <v>134.09</v>
      </c>
      <c r="J209" s="117" t="n">
        <v>111.74</v>
      </c>
      <c r="K209" s="115" t="n"/>
      <c r="L209" s="115" t="n"/>
      <c r="M209" s="115" t="n"/>
      <c r="N209" s="115" t="n"/>
      <c r="O209" s="115" t="n"/>
      <c r="P209" s="115" t="n"/>
      <c r="Q209" s="115" t="n"/>
    </row>
    <row r="210">
      <c r="A210" s="128" t="n">
        <v>46172</v>
      </c>
      <c r="B210" s="138" t="inlineStr">
        <is>
          <t>ASTRAMICRO</t>
        </is>
      </c>
      <c r="C210" s="138" t="inlineStr">
        <is>
          <t>ORANGE</t>
        </is>
      </c>
      <c r="D210" s="138" t="e">
        <v>#VALUE!</v>
      </c>
      <c r="E210" s="130">
        <f t="array" ref="E210">_FV(D210,"Price")</f>
        <v/>
      </c>
      <c r="F210" s="131">
        <f t="array" ref="F210">_FV(D210,"Previous close",TRUE)</f>
        <v/>
      </c>
      <c r="G210" s="117" t="n">
        <v>1401.7</v>
      </c>
      <c r="H210" s="117" t="n">
        <v>1185.22</v>
      </c>
      <c r="I210" s="117" t="n">
        <v>1160.83</v>
      </c>
      <c r="J210" s="117" t="n">
        <v>1090.33</v>
      </c>
      <c r="K210" s="115" t="n"/>
      <c r="L210" s="115" t="n"/>
      <c r="M210" s="115" t="n"/>
      <c r="N210" s="115" t="n"/>
      <c r="O210" s="115" t="n"/>
      <c r="P210" s="115" t="n"/>
      <c r="Q210" s="115" t="n"/>
    </row>
    <row r="211">
      <c r="A211" s="128" t="n">
        <v>46172</v>
      </c>
      <c r="B211" s="138" t="inlineStr">
        <is>
          <t>STLTECH</t>
        </is>
      </c>
      <c r="C211" s="138" t="inlineStr">
        <is>
          <t>ORANGE</t>
        </is>
      </c>
      <c r="D211" s="138" t="e">
        <v>#VALUE!</v>
      </c>
      <c r="E211" s="130">
        <f t="array" ref="E211">_FV(D211,"Price")</f>
        <v/>
      </c>
      <c r="F211" s="131">
        <f t="array" ref="F211">_FV(D211,"Previous close",TRUE)</f>
        <v/>
      </c>
      <c r="G211" s="117" t="n">
        <v>536.15</v>
      </c>
      <c r="H211" s="117" t="n">
        <v>408.71</v>
      </c>
      <c r="I211" s="117" t="n">
        <v>381.86</v>
      </c>
      <c r="J211" s="117" t="n">
        <v>296.71</v>
      </c>
      <c r="K211" s="115" t="n"/>
      <c r="L211" s="115" t="n"/>
      <c r="M211" s="115" t="n"/>
      <c r="N211" s="115" t="n"/>
      <c r="O211" s="115" t="n"/>
      <c r="P211" s="115" t="n"/>
      <c r="Q211" s="115" t="n"/>
    </row>
    <row r="212">
      <c r="A212" s="128" t="n">
        <v>46172</v>
      </c>
      <c r="B212" s="138" t="inlineStr">
        <is>
          <t>WOCKPHARMA</t>
        </is>
      </c>
      <c r="C212" s="138" t="inlineStr">
        <is>
          <t>ORANGE</t>
        </is>
      </c>
      <c r="D212" s="138" t="e">
        <v>#VALUE!</v>
      </c>
      <c r="E212" s="130">
        <f t="array" ref="E212">_FV(D212,"Price")</f>
        <v/>
      </c>
      <c r="F212" s="131">
        <f t="array" ref="F212">_FV(D212,"Previous close",TRUE)</f>
        <v/>
      </c>
      <c r="G212" s="117" t="n">
        <v>2031.4</v>
      </c>
      <c r="H212" s="117" t="n">
        <v>1650.17</v>
      </c>
      <c r="I212" s="117" t="n">
        <v>1609.34</v>
      </c>
      <c r="J212" s="117" t="n">
        <v>1507.22</v>
      </c>
      <c r="K212" s="115" t="n"/>
      <c r="L212" s="115" t="n"/>
      <c r="M212" s="115" t="n"/>
      <c r="N212" s="115" t="n"/>
      <c r="O212" s="115" t="n"/>
      <c r="P212" s="115" t="n"/>
      <c r="Q212" s="115" t="n"/>
    </row>
    <row r="213">
      <c r="A213" s="128" t="n">
        <v>46172</v>
      </c>
      <c r="B213" s="138" t="inlineStr">
        <is>
          <t>SHAILY</t>
        </is>
      </c>
      <c r="C213" s="138" t="inlineStr">
        <is>
          <t>ORANGE</t>
        </is>
      </c>
      <c r="D213" s="138" t="e">
        <v>#VALUE!</v>
      </c>
      <c r="E213" s="130">
        <f t="array" ref="E213">_FV(D213,"Price")</f>
        <v/>
      </c>
      <c r="F213" s="131">
        <f t="array" ref="F213">_FV(D213,"Previous close",TRUE)</f>
        <v/>
      </c>
      <c r="G213" s="117" t="n">
        <v>2989.5</v>
      </c>
      <c r="H213" s="117" t="n">
        <v>2657.4</v>
      </c>
      <c r="I213" s="117" t="n">
        <v>2596.25</v>
      </c>
      <c r="J213" s="117" t="n">
        <v>2424.3</v>
      </c>
      <c r="K213" s="115" t="n"/>
      <c r="L213" s="115" t="n"/>
      <c r="M213" s="115" t="n"/>
      <c r="N213" s="115" t="n"/>
      <c r="O213" s="115" t="n"/>
      <c r="P213" s="115" t="n"/>
      <c r="Q213" s="115" t="n"/>
    </row>
    <row r="214">
      <c r="A214" s="128" t="n">
        <v>46172</v>
      </c>
      <c r="B214" s="138" t="inlineStr">
        <is>
          <t>VIJAYA</t>
        </is>
      </c>
      <c r="C214" s="138" t="inlineStr">
        <is>
          <t>ORANGE</t>
        </is>
      </c>
      <c r="D214" s="138" t="e">
        <v>#VALUE!</v>
      </c>
      <c r="E214" s="130">
        <f t="array" ref="E214">_FV(D214,"Price")</f>
        <v/>
      </c>
      <c r="F214" s="131">
        <f t="array" ref="F214">_FV(D214,"Previous close",TRUE)</f>
        <v/>
      </c>
      <c r="G214" s="117" t="n">
        <v>1308.5</v>
      </c>
      <c r="H214" s="117" t="n">
        <v>1201.87</v>
      </c>
      <c r="I214" s="117" t="n">
        <v>1177.69</v>
      </c>
      <c r="J214" s="117" t="n">
        <v>1108.12</v>
      </c>
      <c r="K214" s="115" t="n"/>
      <c r="L214" s="115" t="n"/>
      <c r="M214" s="115" t="n"/>
      <c r="N214" s="115" t="n"/>
      <c r="O214" s="115" t="n"/>
      <c r="P214" s="115" t="n"/>
      <c r="Q214" s="115" t="n"/>
    </row>
    <row r="215">
      <c r="A215" s="128" t="n">
        <v>46172</v>
      </c>
      <c r="B215" s="138" t="inlineStr">
        <is>
          <t>SUPRIYA</t>
        </is>
      </c>
      <c r="C215" s="138" t="inlineStr">
        <is>
          <t>ORANGE</t>
        </is>
      </c>
      <c r="D215" s="138" t="e">
        <v>#VALUE!</v>
      </c>
      <c r="E215" s="130">
        <f t="array" ref="E215">_FV(D215,"Price")</f>
        <v/>
      </c>
      <c r="F215" s="131">
        <f t="array" ref="F215">_FV(D215,"Previous close",TRUE)</f>
        <v/>
      </c>
      <c r="G215" s="117" t="n">
        <v>968.7</v>
      </c>
      <c r="H215" s="117" t="n">
        <v>777.74</v>
      </c>
      <c r="I215" s="117" t="n">
        <v>760.67</v>
      </c>
      <c r="J215" s="117" t="n">
        <v>724.1799999999999</v>
      </c>
      <c r="K215" s="115" t="n"/>
      <c r="L215" s="115" t="n"/>
      <c r="M215" s="115" t="n"/>
      <c r="N215" s="115" t="n"/>
      <c r="O215" s="115" t="n"/>
      <c r="P215" s="115" t="n"/>
      <c r="Q215" s="115" t="n"/>
    </row>
    <row r="216">
      <c r="A216" s="128" t="n">
        <v>46172</v>
      </c>
      <c r="B216" s="138" t="inlineStr">
        <is>
          <t>APOLLO</t>
        </is>
      </c>
      <c r="C216" s="138" t="inlineStr">
        <is>
          <t>ORANGE</t>
        </is>
      </c>
      <c r="D216" s="138" t="e">
        <v>#VALUE!</v>
      </c>
      <c r="E216" s="130">
        <f t="array" ref="E216">_FV(D216,"Price")</f>
        <v/>
      </c>
      <c r="F216" s="131">
        <f t="array" ref="F216">_FV(D216,"Previous close",TRUE)</f>
        <v/>
      </c>
      <c r="G216" s="117" t="n">
        <v>409</v>
      </c>
      <c r="H216" s="117" t="n">
        <v>337.88</v>
      </c>
      <c r="I216" s="117" t="n">
        <v>325.54</v>
      </c>
      <c r="J216" s="117" t="n">
        <v>292.6</v>
      </c>
      <c r="K216" s="115" t="n"/>
      <c r="L216" s="115" t="n"/>
      <c r="M216" s="115" t="n"/>
      <c r="N216" s="115" t="n"/>
      <c r="O216" s="115" t="n"/>
      <c r="P216" s="115" t="n"/>
      <c r="Q216" s="115" t="n"/>
    </row>
    <row r="217">
      <c r="A217" s="128" t="n">
        <v>46172</v>
      </c>
      <c r="B217" s="138" t="inlineStr">
        <is>
          <t>ACUTAAS</t>
        </is>
      </c>
      <c r="C217" s="138" t="inlineStr">
        <is>
          <t>ORANGE</t>
        </is>
      </c>
      <c r="D217" s="138" t="e">
        <v>#VALUE!</v>
      </c>
      <c r="E217" s="130">
        <f t="array" ref="E217">_FV(D217,"Price")</f>
        <v/>
      </c>
      <c r="F217" s="131">
        <f t="array" ref="F217">_FV(D217,"Previous close",TRUE)</f>
        <v/>
      </c>
      <c r="G217" s="117" t="n">
        <v>3132.5</v>
      </c>
      <c r="H217" s="117" t="n">
        <v>2755.15</v>
      </c>
      <c r="I217" s="117" t="n">
        <v>2687.67</v>
      </c>
      <c r="J217" s="117" t="n">
        <v>2426.15</v>
      </c>
      <c r="K217" s="115" t="n"/>
      <c r="L217" s="115" t="n"/>
      <c r="M217" s="115" t="n"/>
      <c r="N217" s="115" t="n"/>
      <c r="O217" s="115" t="n"/>
      <c r="P217" s="115" t="n"/>
      <c r="Q217" s="115" t="n"/>
    </row>
    <row r="218">
      <c r="A218" s="128" t="n">
        <v>46172</v>
      </c>
      <c r="B218" s="138" t="inlineStr">
        <is>
          <t>GVPIL</t>
        </is>
      </c>
      <c r="C218" s="138" t="inlineStr">
        <is>
          <t>ORANGE</t>
        </is>
      </c>
      <c r="D218" s="138" t="e">
        <v>#VALUE!</v>
      </c>
      <c r="E218" s="130">
        <f t="array" ref="E218">_FV(D218,"Price")</f>
        <v/>
      </c>
      <c r="F218" s="131">
        <f t="array" ref="F218">_FV(D218,"Previous close",TRUE)</f>
        <v/>
      </c>
      <c r="G218" s="117" t="n">
        <v>865.15</v>
      </c>
      <c r="H218" s="117" t="n">
        <v>687.49</v>
      </c>
      <c r="I218" s="117" t="n">
        <v>657.38</v>
      </c>
      <c r="J218" s="117" t="n">
        <v>559.27</v>
      </c>
      <c r="K218" s="115" t="n"/>
      <c r="L218" s="115" t="n"/>
      <c r="M218" s="115" t="n"/>
      <c r="N218" s="115" t="n"/>
      <c r="O218" s="115" t="n"/>
      <c r="P218" s="115" t="n"/>
      <c r="Q218" s="115" t="n"/>
    </row>
    <row r="219">
      <c r="A219" s="128" t="n">
        <v>46172</v>
      </c>
      <c r="B219" s="138" t="inlineStr">
        <is>
          <t>POWERINDIA</t>
        </is>
      </c>
      <c r="C219" s="138" t="inlineStr">
        <is>
          <t>ORANGE</t>
        </is>
      </c>
      <c r="D219" s="138" t="e">
        <v>#VALUE!</v>
      </c>
      <c r="E219" s="130">
        <f t="array" ref="E219">_FV(D219,"Price")</f>
        <v/>
      </c>
      <c r="F219" s="131">
        <f t="array" ref="F219">_FV(D219,"Previous close",TRUE)</f>
        <v/>
      </c>
      <c r="G219" s="117" t="n">
        <v>38445</v>
      </c>
      <c r="H219" s="117" t="n">
        <v>33096.26</v>
      </c>
      <c r="I219" s="117" t="n">
        <v>32211.91</v>
      </c>
      <c r="J219" s="117" t="n">
        <v>28794.81</v>
      </c>
      <c r="K219" s="115" t="n"/>
      <c r="L219" s="115" t="n"/>
      <c r="M219" s="115" t="n"/>
      <c r="N219" s="115" t="n"/>
      <c r="O219" s="115" t="n"/>
      <c r="P219" s="115" t="n"/>
      <c r="Q219" s="115" t="n"/>
    </row>
    <row r="220">
      <c r="A220" s="128" t="n">
        <v>46172</v>
      </c>
      <c r="B220" s="138" t="inlineStr">
        <is>
          <t>BHEL</t>
        </is>
      </c>
      <c r="C220" s="138" t="inlineStr">
        <is>
          <t>ORANGE</t>
        </is>
      </c>
      <c r="D220" s="138" t="e">
        <v>#VALUE!</v>
      </c>
      <c r="E220" s="130">
        <f t="array" ref="E220">_FV(D220,"Price")</f>
        <v/>
      </c>
      <c r="F220" s="131">
        <f t="array" ref="F220">_FV(D220,"Previous close",TRUE)</f>
        <v/>
      </c>
      <c r="G220" s="117" t="n">
        <v>416.75</v>
      </c>
      <c r="H220" s="117" t="n">
        <v>373.32</v>
      </c>
      <c r="I220" s="117" t="n">
        <v>362.97</v>
      </c>
      <c r="J220" s="117" t="n">
        <v>329.01</v>
      </c>
      <c r="K220" s="115" t="n"/>
      <c r="L220" s="115" t="n"/>
      <c r="M220" s="115" t="n"/>
      <c r="N220" s="115" t="n"/>
      <c r="O220" s="115" t="n"/>
      <c r="P220" s="115" t="n"/>
      <c r="Q220" s="115" t="n"/>
    </row>
    <row r="221">
      <c r="A221" s="128" t="n">
        <v>46172</v>
      </c>
      <c r="B221" s="138" t="inlineStr">
        <is>
          <t>MTARTECH</t>
        </is>
      </c>
      <c r="C221" s="138" t="inlineStr">
        <is>
          <t>ORANGE</t>
        </is>
      </c>
      <c r="D221" s="138" t="e">
        <v>#VALUE!</v>
      </c>
      <c r="E221" s="130">
        <f t="array" ref="E221">_FV(D221,"Price")</f>
        <v/>
      </c>
      <c r="F221" s="131">
        <f t="array" ref="F221">_FV(D221,"Previous close",TRUE)</f>
        <v/>
      </c>
      <c r="G221" s="117" t="n">
        <v>7879.5</v>
      </c>
      <c r="H221" s="117" t="n">
        <v>6506.47</v>
      </c>
      <c r="I221" s="117" t="n">
        <v>6210.04</v>
      </c>
      <c r="J221" s="117" t="n">
        <v>5134.94</v>
      </c>
      <c r="K221" s="115" t="n"/>
      <c r="L221" s="115" t="n"/>
      <c r="M221" s="115" t="n"/>
      <c r="N221" s="115" t="n"/>
      <c r="O221" s="115" t="n"/>
      <c r="P221" s="115" t="n"/>
      <c r="Q221" s="115" t="n"/>
    </row>
    <row r="222">
      <c r="A222" s="128" t="n">
        <v>46172</v>
      </c>
      <c r="B222" s="138" t="inlineStr">
        <is>
          <t>SOLARINDS</t>
        </is>
      </c>
      <c r="C222" s="138" t="inlineStr">
        <is>
          <t>ORANGE</t>
        </is>
      </c>
      <c r="D222" s="138" t="e">
        <v>#VALUE!</v>
      </c>
      <c r="E222" s="130">
        <f t="array" ref="E222">_FV(D222,"Price")</f>
        <v/>
      </c>
      <c r="F222" s="131">
        <f t="array" ref="F222">_FV(D222,"Previous close",TRUE)</f>
        <v/>
      </c>
      <c r="G222" s="117" t="n">
        <v>18247</v>
      </c>
      <c r="H222" s="117" t="n">
        <v>16697.24</v>
      </c>
      <c r="I222" s="117" t="n">
        <v>16356.68</v>
      </c>
      <c r="J222" s="117" t="n">
        <v>15322.98</v>
      </c>
      <c r="K222" s="115" t="n"/>
      <c r="L222" s="115" t="n"/>
      <c r="M222" s="115" t="n"/>
      <c r="N222" s="115" t="n"/>
      <c r="O222" s="115" t="n"/>
      <c r="P222" s="115" t="n"/>
      <c r="Q222" s="115" t="n"/>
    </row>
    <row r="223">
      <c r="A223" s="128" t="n">
        <v>46172</v>
      </c>
      <c r="B223" s="138" t="inlineStr">
        <is>
          <t>ATHERENERG</t>
        </is>
      </c>
      <c r="C223" s="138" t="inlineStr">
        <is>
          <t>ORANGE</t>
        </is>
      </c>
      <c r="D223" s="138" t="e">
        <v>#VALUE!</v>
      </c>
      <c r="E223" s="130">
        <f t="array" ref="E223">_FV(D223,"Price")</f>
        <v/>
      </c>
      <c r="F223" s="131">
        <f t="array" ref="F223">_FV(D223,"Previous close",TRUE)</f>
        <v/>
      </c>
      <c r="G223" s="117" t="n">
        <v>964.1</v>
      </c>
      <c r="H223" s="117" t="n">
        <v>900.84</v>
      </c>
      <c r="I223" s="117" t="n">
        <v>885.38</v>
      </c>
      <c r="J223" s="117" t="n">
        <v>819.16</v>
      </c>
      <c r="K223" s="115" t="n"/>
      <c r="L223" s="115" t="n"/>
      <c r="M223" s="115" t="n"/>
      <c r="N223" s="115" t="n"/>
      <c r="O223" s="115" t="n"/>
      <c r="P223" s="115" t="n"/>
      <c r="Q223" s="115" t="n"/>
    </row>
    <row r="224">
      <c r="A224" s="128" t="n">
        <v>46172</v>
      </c>
      <c r="B224" s="138" t="inlineStr">
        <is>
          <t>CGPOWER</t>
        </is>
      </c>
      <c r="C224" s="138" t="inlineStr">
        <is>
          <t>ORANGE</t>
        </is>
      </c>
      <c r="D224" s="138" t="e">
        <v>#VALUE!</v>
      </c>
      <c r="E224" s="130">
        <f t="array" ref="E224">_FV(D224,"Price")</f>
        <v/>
      </c>
      <c r="F224" s="131">
        <f t="array" ref="F224">_FV(D224,"Previous close",TRUE)</f>
        <v/>
      </c>
      <c r="G224" s="117" t="n">
        <v>917.45</v>
      </c>
      <c r="H224" s="117" t="n">
        <v>841.28</v>
      </c>
      <c r="I224" s="117" t="n">
        <v>826.1900000000001</v>
      </c>
      <c r="J224" s="117" t="n">
        <v>776.88</v>
      </c>
      <c r="K224" s="115" t="n"/>
      <c r="L224" s="115" t="n"/>
      <c r="M224" s="115" t="n"/>
      <c r="N224" s="115" t="n"/>
      <c r="O224" s="115" t="n"/>
      <c r="P224" s="115" t="n"/>
      <c r="Q224" s="115" t="n"/>
    </row>
    <row r="225">
      <c r="A225" s="128" t="n">
        <v>46172</v>
      </c>
      <c r="B225" s="138" t="inlineStr">
        <is>
          <t>GRWRHITECH</t>
        </is>
      </c>
      <c r="C225" s="138" t="inlineStr">
        <is>
          <t>ORANGE</t>
        </is>
      </c>
      <c r="D225" s="138" t="e">
        <v>#VALUE!</v>
      </c>
      <c r="E225" s="130">
        <f t="array" ref="E225">_FV(D225,"Price")</f>
        <v/>
      </c>
      <c r="F225" s="131">
        <f t="array" ref="F225">_FV(D225,"Previous close",TRUE)</f>
        <v/>
      </c>
      <c r="G225" s="117" t="n">
        <v>6117.9</v>
      </c>
      <c r="H225" s="117" t="n">
        <v>5094.03</v>
      </c>
      <c r="I225" s="117" t="n">
        <v>4938.55</v>
      </c>
      <c r="J225" s="117" t="n">
        <v>4459.39</v>
      </c>
      <c r="K225" s="115" t="n"/>
      <c r="L225" s="115" t="n"/>
      <c r="M225" s="115" t="n"/>
      <c r="N225" s="115" t="n"/>
      <c r="O225" s="115" t="n"/>
      <c r="P225" s="115" t="n"/>
      <c r="Q225" s="115" t="n"/>
    </row>
    <row r="226">
      <c r="A226" s="128" t="n">
        <v>46172</v>
      </c>
      <c r="B226" s="138" t="inlineStr">
        <is>
          <t>SYRMA</t>
        </is>
      </c>
      <c r="C226" s="138" t="inlineStr">
        <is>
          <t>ORANGE</t>
        </is>
      </c>
      <c r="D226" s="138" t="e">
        <v>#VALUE!</v>
      </c>
      <c r="E226" s="130">
        <f t="array" ref="E226">_FV(D226,"Price")</f>
        <v/>
      </c>
      <c r="F226" s="131">
        <f t="array" ref="F226">_FV(D226,"Previous close",TRUE)</f>
        <v/>
      </c>
      <c r="G226" s="117" t="n">
        <v>1088.55</v>
      </c>
      <c r="H226" s="117" t="n">
        <v>1024.15</v>
      </c>
      <c r="I226" s="117" t="n">
        <v>1002.18</v>
      </c>
      <c r="J226" s="117" t="n">
        <v>927.51</v>
      </c>
      <c r="K226" s="115" t="n"/>
      <c r="L226" s="115" t="n"/>
      <c r="M226" s="115" t="n"/>
      <c r="N226" s="115" t="n"/>
      <c r="O226" s="115" t="n"/>
      <c r="P226" s="115" t="n"/>
      <c r="Q226" s="115" t="n"/>
    </row>
    <row r="227">
      <c r="A227" s="128" t="n">
        <v>46172</v>
      </c>
      <c r="B227" s="138" t="inlineStr">
        <is>
          <t>TDPOWERSYS</t>
        </is>
      </c>
      <c r="C227" s="138" t="inlineStr">
        <is>
          <t>ORANGE</t>
        </is>
      </c>
      <c r="D227" s="138" t="e">
        <v>#VALUE!</v>
      </c>
      <c r="E227" s="130">
        <f t="array" ref="E227">_FV(D227,"Price")</f>
        <v/>
      </c>
      <c r="F227" s="131">
        <f t="array" ref="F227">_FV(D227,"Previous close",TRUE)</f>
        <v/>
      </c>
      <c r="G227" s="117" t="n">
        <v>1318.6</v>
      </c>
      <c r="H227" s="117" t="n">
        <v>1176.11</v>
      </c>
      <c r="I227" s="117" t="n">
        <v>1143.8</v>
      </c>
      <c r="J227" s="117" t="n">
        <v>1018.52</v>
      </c>
      <c r="K227" s="115" t="n"/>
      <c r="L227" s="115" t="n"/>
      <c r="M227" s="115" t="n"/>
      <c r="N227" s="115" t="n"/>
      <c r="O227" s="115" t="n"/>
      <c r="P227" s="115" t="n"/>
      <c r="Q227" s="115" t="n"/>
    </row>
    <row r="228">
      <c r="A228" s="128" t="n">
        <v>46172</v>
      </c>
      <c r="B228" s="138" t="inlineStr">
        <is>
          <t>DSSL</t>
        </is>
      </c>
      <c r="C228" s="138" t="inlineStr">
        <is>
          <t>ORANGE</t>
        </is>
      </c>
      <c r="D228" s="138" t="e">
        <v>#VALUE!</v>
      </c>
      <c r="E228" s="130">
        <f t="array" ref="E228">_FV(D228,"Price")</f>
        <v/>
      </c>
      <c r="F228" s="131">
        <f t="array" ref="F228">_FV(D228,"Previous close",TRUE)</f>
        <v/>
      </c>
      <c r="G228" s="117" t="n">
        <v>1745.9</v>
      </c>
      <c r="H228" s="117" t="n">
        <v>1375.02</v>
      </c>
      <c r="I228" s="117" t="n">
        <v>1327.04</v>
      </c>
      <c r="J228" s="117" t="n">
        <v>1188.35</v>
      </c>
      <c r="K228" s="115" t="n"/>
      <c r="L228" s="115" t="n"/>
      <c r="M228" s="115" t="n"/>
      <c r="N228" s="115" t="n"/>
      <c r="O228" s="115" t="n"/>
      <c r="P228" s="115" t="n"/>
      <c r="Q228" s="115" t="n"/>
    </row>
    <row r="229">
      <c r="A229" s="128" t="n">
        <v>46172</v>
      </c>
      <c r="B229" s="138" t="inlineStr">
        <is>
          <t>BBOX</t>
        </is>
      </c>
      <c r="C229" s="138" t="inlineStr">
        <is>
          <t>ORANGE</t>
        </is>
      </c>
      <c r="D229" s="138" t="e">
        <v>#VALUE!</v>
      </c>
      <c r="E229" s="130">
        <f t="array" ref="E229">_FV(D229,"Price")</f>
        <v/>
      </c>
      <c r="F229" s="131">
        <f t="array" ref="F229">_FV(D229,"Previous close",TRUE)</f>
        <v/>
      </c>
      <c r="G229" s="117" t="n">
        <v>1037.15</v>
      </c>
      <c r="H229" s="117" t="n">
        <v>823.6799999999999</v>
      </c>
      <c r="I229" s="117" t="n">
        <v>787.59</v>
      </c>
      <c r="J229" s="117" t="n">
        <v>685.09</v>
      </c>
      <c r="K229" s="115" t="n"/>
      <c r="L229" s="115" t="n"/>
      <c r="M229" s="115" t="n"/>
      <c r="N229" s="115" t="n"/>
      <c r="O229" s="115" t="n"/>
      <c r="P229" s="115" t="n"/>
      <c r="Q229" s="115" t="n"/>
    </row>
    <row r="230">
      <c r="A230" s="128" t="n">
        <v>46172</v>
      </c>
      <c r="B230" s="138" t="inlineStr">
        <is>
          <t>CEMPRO</t>
        </is>
      </c>
      <c r="C230" s="138" t="inlineStr">
        <is>
          <t>ORANGE</t>
        </is>
      </c>
      <c r="D230" s="138" t="e">
        <v>#VALUE!</v>
      </c>
      <c r="E230" s="130">
        <f t="array" ref="E230">_FV(D230,"Price")</f>
        <v/>
      </c>
      <c r="F230" s="131">
        <f t="array" ref="F230">_FV(D230,"Previous close",TRUE)</f>
        <v/>
      </c>
      <c r="G230" s="117" t="n">
        <v>1071.15</v>
      </c>
      <c r="H230" s="117" t="n">
        <v>873.47</v>
      </c>
      <c r="I230" s="117" t="n">
        <v>845.27</v>
      </c>
      <c r="J230" s="117" t="n">
        <v>776.73</v>
      </c>
      <c r="K230" s="115" t="n"/>
      <c r="L230" s="115" t="n"/>
      <c r="M230" s="115" t="n"/>
      <c r="N230" s="115" t="n"/>
      <c r="O230" s="115" t="n"/>
      <c r="P230" s="115" t="n"/>
      <c r="Q230" s="115" t="n"/>
    </row>
    <row r="231">
      <c r="A231" s="128" t="n">
        <v>46172</v>
      </c>
      <c r="B231" s="138" t="inlineStr">
        <is>
          <t>BHARATFORG</t>
        </is>
      </c>
      <c r="C231" s="138" t="inlineStr">
        <is>
          <t>ORANGE</t>
        </is>
      </c>
      <c r="D231" s="138" t="e">
        <v>#VALUE!</v>
      </c>
      <c r="E231" s="130">
        <f t="array" ref="E231">_FV(D231,"Price")</f>
        <v/>
      </c>
      <c r="F231" s="131">
        <f t="array" ref="F231">_FV(D231,"Previous close",TRUE)</f>
        <v/>
      </c>
      <c r="G231" s="117" t="n">
        <v>1957.2</v>
      </c>
      <c r="H231" s="117" t="n">
        <v>1881.04</v>
      </c>
      <c r="I231" s="117" t="n">
        <v>1862.67</v>
      </c>
      <c r="J231" s="117" t="n">
        <v>1766.47</v>
      </c>
      <c r="K231" s="115" t="n"/>
      <c r="L231" s="115" t="n"/>
      <c r="M231" s="115" t="n"/>
      <c r="N231" s="115" t="n"/>
      <c r="O231" s="115" t="n"/>
      <c r="P231" s="115" t="n"/>
      <c r="Q231" s="115" t="n"/>
    </row>
    <row r="232">
      <c r="A232" s="128" t="n">
        <v>46172</v>
      </c>
      <c r="B232" s="138" t="inlineStr">
        <is>
          <t>KIRLOSENG</t>
        </is>
      </c>
      <c r="C232" s="138" t="inlineStr">
        <is>
          <t>ORANGE</t>
        </is>
      </c>
      <c r="D232" s="138" t="e">
        <v>#VALUE!</v>
      </c>
      <c r="E232" s="130">
        <f t="array" ref="E232">_FV(D232,"Price")</f>
        <v/>
      </c>
      <c r="F232" s="131">
        <f t="array" ref="F232">_FV(D232,"Previous close",TRUE)</f>
        <v/>
      </c>
      <c r="G232" s="117" t="n">
        <v>1928</v>
      </c>
      <c r="H232" s="117" t="n">
        <v>1707.89</v>
      </c>
      <c r="I232" s="117" t="n">
        <v>1672.41</v>
      </c>
      <c r="J232" s="117" t="n">
        <v>1529.2</v>
      </c>
      <c r="K232" s="115" t="n"/>
      <c r="L232" s="115" t="n"/>
      <c r="M232" s="115" t="n"/>
      <c r="N232" s="115" t="n"/>
      <c r="O232" s="115" t="n"/>
      <c r="P232" s="115" t="n"/>
      <c r="Q232" s="115" t="n"/>
    </row>
    <row r="233">
      <c r="A233" s="128" t="n">
        <v>46172</v>
      </c>
      <c r="B233" s="138" t="inlineStr">
        <is>
          <t>VEDL</t>
        </is>
      </c>
      <c r="C233" s="138" t="inlineStr">
        <is>
          <t>ORANGE</t>
        </is>
      </c>
      <c r="D233" s="138" t="e">
        <v>#VALUE!</v>
      </c>
      <c r="E233" s="130">
        <f t="array" ref="E233">_FV(D233,"Price")</f>
        <v/>
      </c>
      <c r="F233" s="131">
        <f t="array" ref="F233">_FV(D233,"Previous close",TRUE)</f>
        <v/>
      </c>
      <c r="G233" s="117" t="n">
        <v>352.6</v>
      </c>
      <c r="H233" s="117" t="n">
        <v>426.74</v>
      </c>
      <c r="I233" s="117" t="n">
        <v>450.59</v>
      </c>
      <c r="J233" s="117" t="n">
        <v>510.33</v>
      </c>
      <c r="K233" s="115" t="n"/>
      <c r="L233" s="115" t="n"/>
      <c r="M233" s="115" t="n"/>
      <c r="N233" s="115" t="n"/>
      <c r="O233" s="115" t="n"/>
      <c r="P233" s="115" t="n"/>
      <c r="Q233" s="115" t="n"/>
    </row>
    <row r="234">
      <c r="A234" s="128" t="n">
        <v>46172</v>
      </c>
      <c r="B234" s="138" t="inlineStr">
        <is>
          <t>RRKABEL</t>
        </is>
      </c>
      <c r="C234" s="138" t="inlineStr">
        <is>
          <t>ORANGE</t>
        </is>
      </c>
      <c r="D234" s="138" t="e">
        <v>#VALUE!</v>
      </c>
      <c r="E234" s="130">
        <f t="array" ref="E234">_FV(D234,"Price")</f>
        <v/>
      </c>
      <c r="F234" s="131">
        <f t="array" ref="F234">_FV(D234,"Previous close",TRUE)</f>
        <v/>
      </c>
      <c r="G234" s="117" t="n">
        <v>2056.3</v>
      </c>
      <c r="H234" s="117" t="n">
        <v>1816.72</v>
      </c>
      <c r="I234" s="117" t="n">
        <v>1772.59</v>
      </c>
      <c r="J234" s="117" t="n">
        <v>1637.14</v>
      </c>
      <c r="K234" s="115" t="n"/>
      <c r="L234" s="115" t="n"/>
      <c r="M234" s="115" t="n"/>
      <c r="N234" s="115" t="n"/>
      <c r="O234" s="115" t="n"/>
      <c r="P234" s="115" t="n"/>
      <c r="Q234" s="115" t="n"/>
    </row>
    <row r="235">
      <c r="A235" s="128" t="n">
        <v>46172</v>
      </c>
      <c r="B235" s="138" t="inlineStr">
        <is>
          <t>WELCORP</t>
        </is>
      </c>
      <c r="C235" s="138" t="inlineStr">
        <is>
          <t>ORANGE</t>
        </is>
      </c>
      <c r="D235" s="138" t="e">
        <v>#VALUE!</v>
      </c>
      <c r="E235" s="130">
        <f t="array" ref="E235">_FV(D235,"Price")</f>
        <v/>
      </c>
      <c r="F235" s="131">
        <f t="array" ref="F235">_FV(D235,"Previous close",TRUE)</f>
        <v/>
      </c>
      <c r="G235" s="117" t="n">
        <v>1376.9</v>
      </c>
      <c r="H235" s="117" t="n">
        <v>1233.75</v>
      </c>
      <c r="I235" s="117" t="n">
        <v>1196.91</v>
      </c>
      <c r="J235" s="117" t="n">
        <v>1074.84</v>
      </c>
      <c r="K235" s="115" t="n"/>
      <c r="L235" s="115" t="n"/>
      <c r="M235" s="115" t="n"/>
      <c r="N235" s="115" t="n"/>
      <c r="O235" s="115" t="n"/>
      <c r="P235" s="115" t="n"/>
      <c r="Q235" s="115" t="n"/>
    </row>
    <row r="236">
      <c r="A236" s="128" t="n">
        <v>46172</v>
      </c>
      <c r="B236" s="138" t="inlineStr">
        <is>
          <t>BLISSGVS</t>
        </is>
      </c>
      <c r="C236" s="138" t="inlineStr">
        <is>
          <t>ORANGE</t>
        </is>
      </c>
      <c r="D236" s="138" t="e">
        <v>#VALUE!</v>
      </c>
      <c r="E236" s="130">
        <f t="array" ref="E236">_FV(D236,"Price")</f>
        <v/>
      </c>
      <c r="F236" s="131">
        <f t="array" ref="F236">_FV(D236,"Previous close",TRUE)</f>
        <v/>
      </c>
      <c r="G236" s="117" t="n">
        <v>425.3</v>
      </c>
      <c r="H236" s="117" t="n">
        <v>323.55</v>
      </c>
      <c r="I236" s="117" t="n">
        <v>309.95</v>
      </c>
      <c r="J236" s="117" t="n">
        <v>266.47</v>
      </c>
      <c r="K236" s="115" t="n"/>
      <c r="L236" s="115" t="n"/>
      <c r="M236" s="115" t="n"/>
      <c r="N236" s="115" t="n"/>
      <c r="O236" s="115" t="n"/>
      <c r="P236" s="115" t="n"/>
      <c r="Q236" s="115" t="n"/>
    </row>
    <row r="237">
      <c r="A237" s="128" t="n">
        <v>46172</v>
      </c>
      <c r="B237" s="138" t="inlineStr">
        <is>
          <t>KOPRAN</t>
        </is>
      </c>
      <c r="C237" s="138" t="inlineStr">
        <is>
          <t>ORANGE</t>
        </is>
      </c>
      <c r="D237" s="138" t="e">
        <v>#VALUE!</v>
      </c>
      <c r="E237" s="130">
        <f t="array" ref="E237">_FV(D237,"Price")</f>
        <v/>
      </c>
      <c r="F237" s="131">
        <f t="array" ref="F237">_FV(D237,"Previous close",TRUE)</f>
        <v/>
      </c>
      <c r="G237" s="117" t="n">
        <v>206.27</v>
      </c>
      <c r="H237" s="117" t="n">
        <v>169.87</v>
      </c>
      <c r="I237" s="117" t="n">
        <v>165.85</v>
      </c>
      <c r="J237" s="117" t="n">
        <v>156.11</v>
      </c>
      <c r="K237" s="115" t="n"/>
      <c r="L237" s="115" t="n"/>
      <c r="M237" s="115" t="n"/>
      <c r="N237" s="115" t="n"/>
      <c r="O237" s="115" t="n"/>
      <c r="P237" s="115" t="n"/>
      <c r="Q237" s="115" t="n"/>
    </row>
    <row r="238">
      <c r="A238" s="128" t="n">
        <v>46172</v>
      </c>
      <c r="B238" s="138" t="inlineStr">
        <is>
          <t>BIRLACABLE</t>
        </is>
      </c>
      <c r="C238" s="138" t="inlineStr">
        <is>
          <t>ORANGE</t>
        </is>
      </c>
      <c r="D238" s="138" t="e">
        <v>#VALUE!</v>
      </c>
      <c r="E238" s="130">
        <f t="array" ref="E238">_FV(D238,"Price")</f>
        <v/>
      </c>
      <c r="F238" s="131">
        <f t="array" ref="F238">_FV(D238,"Previous close",TRUE)</f>
        <v/>
      </c>
      <c r="G238" s="117" t="n">
        <v>193.91</v>
      </c>
      <c r="H238" s="117" t="n">
        <v>171.52</v>
      </c>
      <c r="I238" s="117" t="n">
        <v>167.23</v>
      </c>
      <c r="J238" s="117" t="n">
        <v>156.74</v>
      </c>
      <c r="K238" s="115" t="n"/>
      <c r="L238" s="115" t="n"/>
      <c r="M238" s="115" t="n"/>
      <c r="N238" s="115" t="n"/>
      <c r="O238" s="115" t="n"/>
      <c r="P238" s="115" t="n"/>
      <c r="Q238" s="115" t="n"/>
    </row>
    <row r="239">
      <c r="A239" s="128" t="n">
        <v>46172</v>
      </c>
      <c r="B239" s="138" t="inlineStr">
        <is>
          <t>CUPID</t>
        </is>
      </c>
      <c r="C239" s="138" t="inlineStr">
        <is>
          <t>ORANGE</t>
        </is>
      </c>
      <c r="D239" s="138" t="e">
        <v>#VALUE!</v>
      </c>
      <c r="E239" s="130">
        <f t="array" ref="E239">_FV(D239,"Price")</f>
        <v/>
      </c>
      <c r="F239" s="131">
        <f t="array" ref="F239">_FV(D239,"Previous close",TRUE)</f>
        <v/>
      </c>
      <c r="G239" s="117" t="n">
        <v>129.06</v>
      </c>
      <c r="H239" s="117" t="n">
        <v>117.3</v>
      </c>
      <c r="I239" s="117" t="n">
        <v>114.21</v>
      </c>
      <c r="J239" s="117" t="n">
        <v>101.57</v>
      </c>
      <c r="K239" s="115" t="n"/>
      <c r="L239" s="115" t="n"/>
      <c r="M239" s="115" t="n"/>
      <c r="N239" s="115" t="n"/>
      <c r="O239" s="115" t="n"/>
      <c r="P239" s="115" t="n"/>
      <c r="Q239" s="115" t="n"/>
    </row>
    <row r="240">
      <c r="A240" s="128" t="n">
        <v>46172</v>
      </c>
      <c r="B240" s="138" t="inlineStr">
        <is>
          <t>LAURUSLABS</t>
        </is>
      </c>
      <c r="C240" s="138" t="inlineStr">
        <is>
          <t>ORANGE</t>
        </is>
      </c>
      <c r="D240" s="138" t="e">
        <v>#VALUE!</v>
      </c>
      <c r="E240" s="130">
        <f t="array" ref="E240">_FV(D240,"Price")</f>
        <v/>
      </c>
      <c r="F240" s="131">
        <f t="array" ref="F240">_FV(D240,"Previous close",TRUE)</f>
        <v/>
      </c>
      <c r="G240" s="117" t="n">
        <v>1362</v>
      </c>
      <c r="H240" s="117" t="n">
        <v>1254.02</v>
      </c>
      <c r="I240" s="117" t="n">
        <v>1229.67</v>
      </c>
      <c r="J240" s="117" t="n">
        <v>1147.84</v>
      </c>
      <c r="K240" s="115" t="n"/>
      <c r="L240" s="115" t="n"/>
      <c r="M240" s="115" t="n"/>
      <c r="N240" s="115" t="n"/>
      <c r="O240" s="115" t="n"/>
      <c r="P240" s="115" t="n"/>
      <c r="Q240" s="115" t="n"/>
    </row>
    <row r="241">
      <c r="A241" s="128" t="n">
        <v>46172</v>
      </c>
      <c r="B241" s="138" t="inlineStr">
        <is>
          <t>SJS</t>
        </is>
      </c>
      <c r="C241" s="138" t="inlineStr">
        <is>
          <t>ORANGE</t>
        </is>
      </c>
      <c r="D241" s="138" t="e">
        <v>#VALUE!</v>
      </c>
      <c r="E241" s="130">
        <f t="array" ref="E241">_FV(D241,"Price")</f>
        <v/>
      </c>
      <c r="F241" s="131">
        <f t="array" ref="F241">_FV(D241,"Previous close",TRUE)</f>
        <v/>
      </c>
      <c r="G241" s="117" t="n">
        <v>2105.2</v>
      </c>
      <c r="H241" s="117" t="n">
        <v>1909.37</v>
      </c>
      <c r="I241" s="117" t="n">
        <v>1883.26</v>
      </c>
      <c r="J241" s="117" t="n">
        <v>1794.77</v>
      </c>
      <c r="K241" s="115" t="n"/>
      <c r="L241" s="115" t="n"/>
      <c r="M241" s="115" t="n"/>
      <c r="N241" s="115" t="n"/>
      <c r="O241" s="115" t="n"/>
      <c r="P241" s="115" t="n"/>
      <c r="Q241" s="115" t="n"/>
    </row>
    <row r="242">
      <c r="A242" s="128" t="n">
        <v>46172</v>
      </c>
      <c r="B242" s="138" t="inlineStr">
        <is>
          <t>GRANULES</t>
        </is>
      </c>
      <c r="C242" s="138" t="inlineStr">
        <is>
          <t>ORANGE</t>
        </is>
      </c>
      <c r="D242" s="138" t="e">
        <v>#VALUE!</v>
      </c>
      <c r="E242" s="130">
        <f t="array" ref="E242">_FV(D242,"Price")</f>
        <v/>
      </c>
      <c r="F242" s="131">
        <f t="array" ref="F242">_FV(D242,"Previous close",TRUE)</f>
        <v/>
      </c>
      <c r="G242" s="117" t="n">
        <v>773.85</v>
      </c>
      <c r="H242" s="117" t="n">
        <v>722.9299999999999</v>
      </c>
      <c r="I242" s="117" t="n">
        <v>710.35</v>
      </c>
      <c r="J242" s="117" t="n">
        <v>665.71</v>
      </c>
      <c r="K242" s="115" t="n"/>
      <c r="L242" s="115" t="n"/>
      <c r="M242" s="115" t="n"/>
      <c r="N242" s="115" t="n"/>
      <c r="O242" s="115" t="n"/>
      <c r="P242" s="115" t="n"/>
      <c r="Q242" s="115" t="n"/>
    </row>
    <row r="243">
      <c r="A243" s="128" t="n">
        <v>46172</v>
      </c>
      <c r="B243" s="138" t="inlineStr">
        <is>
          <t>ENRIN</t>
        </is>
      </c>
      <c r="C243" s="138" t="inlineStr">
        <is>
          <t>ORANGE</t>
        </is>
      </c>
      <c r="D243" s="138" t="e">
        <v>#VALUE!</v>
      </c>
      <c r="E243" s="130">
        <f t="array" ref="E243">_FV(D243,"Price")</f>
        <v/>
      </c>
      <c r="F243" s="131">
        <f t="array" ref="F243">_FV(D243,"Previous close",TRUE)</f>
        <v/>
      </c>
      <c r="G243" s="117" t="n">
        <v>3872.1</v>
      </c>
      <c r="H243" s="117" t="n">
        <v>3338.34</v>
      </c>
      <c r="I243" s="117" t="n">
        <v>3276.65</v>
      </c>
      <c r="J243" s="117" t="n">
        <v>3108.01</v>
      </c>
      <c r="K243" s="115" t="n"/>
      <c r="L243" s="115" t="n"/>
      <c r="M243" s="115" t="n"/>
      <c r="N243" s="115" t="n"/>
      <c r="O243" s="115" t="n"/>
      <c r="P243" s="115" t="n"/>
      <c r="Q243" s="115" t="n"/>
    </row>
    <row r="244">
      <c r="A244" s="128" t="n">
        <v>46172</v>
      </c>
      <c r="B244" s="138" t="inlineStr">
        <is>
          <t>SIGMAADV</t>
        </is>
      </c>
      <c r="C244" s="138" t="inlineStr">
        <is>
          <t>ORANGE</t>
        </is>
      </c>
      <c r="D244" s="138" t="e">
        <v>#VALUE!</v>
      </c>
      <c r="E244" s="130">
        <f t="array" ref="E244">_FV(D244,"Price")</f>
        <v/>
      </c>
      <c r="F244" s="131">
        <f t="array" ref="F244">_FV(D244,"Previous close",TRUE)</f>
        <v/>
      </c>
      <c r="G244" s="117" t="n">
        <v>424.8</v>
      </c>
      <c r="H244" s="117" t="n">
        <v>322.58</v>
      </c>
      <c r="I244" s="117" t="n">
        <v>306.32</v>
      </c>
      <c r="J244" s="117" t="n">
        <v>257.69</v>
      </c>
      <c r="K244" s="115" t="n"/>
      <c r="L244" s="115" t="n"/>
      <c r="M244" s="115" t="n"/>
      <c r="N244" s="115" t="n"/>
      <c r="O244" s="115" t="n"/>
      <c r="P244" s="115" t="n"/>
      <c r="Q244" s="115" t="n"/>
    </row>
    <row r="245">
      <c r="A245" s="128" t="n">
        <v>46172</v>
      </c>
      <c r="B245" s="138" t="inlineStr">
        <is>
          <t>THYROCARE</t>
        </is>
      </c>
      <c r="C245" s="138" t="inlineStr">
        <is>
          <t>ORANGE</t>
        </is>
      </c>
      <c r="D245" s="138" t="e">
        <v>#VALUE!</v>
      </c>
      <c r="E245" s="130">
        <f t="array" ref="E245">_FV(D245,"Price")</f>
        <v/>
      </c>
      <c r="F245" s="131">
        <f t="array" ref="F245">_FV(D245,"Previous close",TRUE)</f>
        <v/>
      </c>
      <c r="G245" s="117" t="n">
        <v>506.3</v>
      </c>
      <c r="H245" s="117" t="n">
        <v>459.77</v>
      </c>
      <c r="I245" s="117" t="n">
        <v>451.99</v>
      </c>
      <c r="J245" s="117" t="n">
        <v>433.92</v>
      </c>
      <c r="K245" s="115" t="n"/>
      <c r="L245" s="115" t="n"/>
      <c r="M245" s="115" t="n"/>
      <c r="N245" s="115" t="n"/>
      <c r="O245" s="115" t="n"/>
      <c r="P245" s="115" t="n"/>
      <c r="Q245" s="115" t="n"/>
    </row>
    <row r="246">
      <c r="A246" s="128" t="n">
        <v>46172</v>
      </c>
      <c r="B246" s="138" t="inlineStr">
        <is>
          <t>MODISONLTD</t>
        </is>
      </c>
      <c r="C246" s="138" t="inlineStr">
        <is>
          <t>ORANGE</t>
        </is>
      </c>
      <c r="D246" s="138" t="e">
        <v>#VALUE!</v>
      </c>
      <c r="E246" s="130">
        <f t="array" ref="E246">_FV(D246,"Price")</f>
        <v/>
      </c>
      <c r="F246" s="131">
        <f t="array" ref="F246">_FV(D246,"Previous close",TRUE)</f>
        <v/>
      </c>
      <c r="G246" s="117" t="n">
        <v>284.6</v>
      </c>
      <c r="H246" s="117" t="n">
        <v>207.61</v>
      </c>
      <c r="I246" s="117" t="n">
        <v>198.09</v>
      </c>
      <c r="J246" s="117" t="n">
        <v>175.01</v>
      </c>
      <c r="K246" s="115" t="n"/>
      <c r="L246" s="115" t="n"/>
      <c r="M246" s="115" t="n"/>
      <c r="N246" s="115" t="n"/>
      <c r="O246" s="115" t="n"/>
      <c r="P246" s="115" t="n"/>
      <c r="Q246" s="115" t="n"/>
    </row>
    <row r="247">
      <c r="A247" s="128" t="n">
        <v>46172</v>
      </c>
      <c r="B247" s="138" t="inlineStr">
        <is>
          <t>APARINDS</t>
        </is>
      </c>
      <c r="C247" s="138" t="inlineStr">
        <is>
          <t>ORANGE</t>
        </is>
      </c>
      <c r="D247" s="138" t="e">
        <v>#VALUE!</v>
      </c>
      <c r="E247" s="130">
        <f t="array" ref="E247">_FV(D247,"Price")</f>
        <v/>
      </c>
      <c r="F247" s="131">
        <f t="array" ref="F247">_FV(D247,"Previous close",TRUE)</f>
        <v/>
      </c>
      <c r="G247" s="117" t="n">
        <v>13118</v>
      </c>
      <c r="H247" s="117" t="n">
        <v>12318.41</v>
      </c>
      <c r="I247" s="117" t="n">
        <v>12078.04</v>
      </c>
      <c r="J247" s="117" t="n">
        <v>11152.6</v>
      </c>
      <c r="K247" s="115" t="n"/>
      <c r="L247" s="115" t="n"/>
      <c r="M247" s="115" t="n"/>
      <c r="N247" s="115" t="n"/>
      <c r="O247" s="115" t="n"/>
      <c r="P247" s="115" t="n"/>
      <c r="Q247" s="115" t="n"/>
    </row>
    <row r="248">
      <c r="A248" s="128" t="n">
        <v>46172</v>
      </c>
      <c r="B248" s="138" t="inlineStr">
        <is>
          <t>ABSLAMC</t>
        </is>
      </c>
      <c r="C248" s="138" t="inlineStr">
        <is>
          <t>ORANGE</t>
        </is>
      </c>
      <c r="D248" s="138" t="e">
        <v>#VALUE!</v>
      </c>
      <c r="E248" s="130">
        <f t="array" ref="E248">_FV(D248,"Price")</f>
        <v/>
      </c>
      <c r="F248" s="131">
        <f t="array" ref="F248">_FV(D248,"Previous close",TRUE)</f>
        <v/>
      </c>
      <c r="G248" s="117" t="n">
        <v>1064</v>
      </c>
      <c r="H248" s="117" t="n">
        <v>1019.55</v>
      </c>
      <c r="I248" s="117" t="n">
        <v>1009.46</v>
      </c>
      <c r="J248" s="117" t="n">
        <v>960.9299999999999</v>
      </c>
      <c r="K248" s="115" t="n"/>
      <c r="L248" s="115" t="n"/>
      <c r="M248" s="115" t="n"/>
      <c r="N248" s="115" t="n"/>
      <c r="O248" s="115" t="n"/>
      <c r="P248" s="115" t="n"/>
      <c r="Q248" s="115" t="n"/>
    </row>
    <row r="249">
      <c r="A249" s="128" t="n">
        <v>46172</v>
      </c>
      <c r="B249" s="138" t="inlineStr">
        <is>
          <t>BSE</t>
        </is>
      </c>
      <c r="C249" s="138" t="inlineStr">
        <is>
          <t>ORANGE</t>
        </is>
      </c>
      <c r="D249" s="138" t="e">
        <v>#VALUE!</v>
      </c>
      <c r="E249" s="130">
        <f t="array" ref="E249">_FV(D249,"Price")</f>
        <v/>
      </c>
      <c r="F249" s="131">
        <f t="array" ref="F249">_FV(D249,"Previous close",TRUE)</f>
        <v/>
      </c>
      <c r="G249" s="117" t="n">
        <v>4146.1</v>
      </c>
      <c r="H249" s="117" t="n">
        <v>3769.07</v>
      </c>
      <c r="I249" s="117" t="n">
        <v>3684.5</v>
      </c>
      <c r="J249" s="117" t="n">
        <v>3375.34</v>
      </c>
      <c r="K249" s="115" t="n"/>
      <c r="L249" s="115" t="n"/>
      <c r="M249" s="115" t="n"/>
      <c r="N249" s="115" t="n"/>
      <c r="O249" s="115" t="n"/>
      <c r="P249" s="115" t="n"/>
      <c r="Q249" s="115" t="n"/>
    </row>
    <row r="250">
      <c r="A250" s="128" t="n">
        <v>46172</v>
      </c>
      <c r="B250" s="138" t="inlineStr">
        <is>
          <t>ADANIPOWER</t>
        </is>
      </c>
      <c r="C250" s="138" t="inlineStr">
        <is>
          <t>ORANGE</t>
        </is>
      </c>
      <c r="D250" s="138" t="e">
        <v>#VALUE!</v>
      </c>
      <c r="E250" s="130">
        <f t="array" ref="E250">_FV(D250,"Price")</f>
        <v/>
      </c>
      <c r="F250" s="131">
        <f t="array" ref="F250">_FV(D250,"Previous close",TRUE)</f>
        <v/>
      </c>
      <c r="G250" s="117" t="n">
        <v>243.37</v>
      </c>
      <c r="H250" s="117" t="n">
        <v>215.24</v>
      </c>
      <c r="I250" s="117" t="n">
        <v>209.46</v>
      </c>
      <c r="J250" s="117" t="n">
        <v>188.83</v>
      </c>
      <c r="K250" s="115" t="n"/>
      <c r="L250" s="115" t="n"/>
      <c r="M250" s="115" t="n"/>
      <c r="N250" s="115" t="n"/>
      <c r="O250" s="115" t="n"/>
      <c r="P250" s="115" t="n"/>
      <c r="Q250" s="115" t="n"/>
    </row>
    <row r="251">
      <c r="A251" s="128" t="n">
        <v>46172</v>
      </c>
      <c r="B251" s="138" t="inlineStr">
        <is>
          <t>WHEELS</t>
        </is>
      </c>
      <c r="C251" s="138" t="inlineStr">
        <is>
          <t>ORANGE</t>
        </is>
      </c>
      <c r="D251" s="138" t="e">
        <v>#VALUE!</v>
      </c>
      <c r="E251" s="130">
        <f t="array" ref="E251">_FV(D251,"Price")</f>
        <v/>
      </c>
      <c r="F251" s="131">
        <f t="array" ref="F251">_FV(D251,"Previous close",TRUE)</f>
        <v/>
      </c>
      <c r="G251" s="117" t="n">
        <v>1575.8</v>
      </c>
      <c r="H251" s="117" t="n">
        <v>1371.31</v>
      </c>
      <c r="I251" s="117" t="n">
        <v>1325.4</v>
      </c>
      <c r="J251" s="117" t="n">
        <v>1171.7</v>
      </c>
      <c r="K251" s="115" t="n"/>
      <c r="L251" s="115" t="n"/>
      <c r="M251" s="115" t="n"/>
      <c r="N251" s="115" t="n"/>
      <c r="O251" s="115" t="n"/>
      <c r="P251" s="115" t="n"/>
      <c r="Q251" s="115" t="n"/>
    </row>
    <row r="252">
      <c r="A252" s="128" t="n">
        <v>46172</v>
      </c>
      <c r="B252" s="138" t="inlineStr">
        <is>
          <t>CENTUM</t>
        </is>
      </c>
      <c r="C252" s="138" t="inlineStr">
        <is>
          <t>ORANGE</t>
        </is>
      </c>
      <c r="D252" s="138" t="e">
        <v>#VALUE!</v>
      </c>
      <c r="E252" s="130">
        <f t="array" ref="E252">_FV(D252,"Price")</f>
        <v/>
      </c>
      <c r="F252" s="131">
        <f t="array" ref="F252">_FV(D252,"Previous close",TRUE)</f>
        <v/>
      </c>
      <c r="G252" s="117" t="n">
        <v>3484</v>
      </c>
      <c r="H252" s="117" t="n">
        <v>3167.43</v>
      </c>
      <c r="I252" s="117" t="n">
        <v>3108.07</v>
      </c>
      <c r="J252" s="117" t="n">
        <v>2904</v>
      </c>
      <c r="K252" s="115" t="n"/>
      <c r="L252" s="115" t="n"/>
      <c r="M252" s="115" t="n"/>
      <c r="N252" s="115" t="n"/>
      <c r="O252" s="115" t="n"/>
      <c r="P252" s="115" t="n"/>
      <c r="Q252" s="115" t="n"/>
    </row>
    <row r="253">
      <c r="A253" s="128" t="n">
        <v>46172</v>
      </c>
      <c r="B253" s="138" t="inlineStr">
        <is>
          <t>SKYGOLD</t>
        </is>
      </c>
      <c r="C253" s="138" t="inlineStr">
        <is>
          <t>ORANGE</t>
        </is>
      </c>
      <c r="D253" s="138" t="e">
        <v>#VALUE!</v>
      </c>
      <c r="E253" s="130">
        <f t="array" ref="E253">_FV(D253,"Price")</f>
        <v/>
      </c>
      <c r="F253" s="131">
        <f t="array" ref="F253">_FV(D253,"Previous close",TRUE)</f>
        <v/>
      </c>
      <c r="G253" s="117" t="n">
        <v>521</v>
      </c>
      <c r="H253" s="117" t="n">
        <v>473.19</v>
      </c>
      <c r="I253" s="117" t="n">
        <v>460.39</v>
      </c>
      <c r="J253" s="117" t="n">
        <v>418.52</v>
      </c>
      <c r="K253" s="115" t="n"/>
      <c r="L253" s="115" t="n"/>
      <c r="M253" s="115" t="n"/>
      <c r="N253" s="115" t="n"/>
      <c r="O253" s="115" t="n"/>
      <c r="P253" s="115" t="n"/>
      <c r="Q253" s="115" t="n"/>
    </row>
    <row r="254">
      <c r="A254" s="128" t="n">
        <v>46172</v>
      </c>
      <c r="B254" s="138" t="inlineStr">
        <is>
          <t>NETWEB</t>
        </is>
      </c>
      <c r="C254" s="138" t="inlineStr">
        <is>
          <t>GREEN</t>
        </is>
      </c>
      <c r="D254" s="138" t="e">
        <v>#VALUE!</v>
      </c>
      <c r="E254" s="130">
        <f t="array" ref="E254">_FV(D254,"Price")</f>
        <v/>
      </c>
      <c r="F254" s="131">
        <f t="array" ref="F254">_FV(D254,"Previous close",TRUE)</f>
        <v/>
      </c>
      <c r="G254" s="117" t="n">
        <v>4670.7</v>
      </c>
      <c r="H254" s="117" t="n">
        <v>4128.81</v>
      </c>
      <c r="I254" s="117" t="n">
        <v>4042.73</v>
      </c>
      <c r="J254" s="117" t="n">
        <v>3762.12</v>
      </c>
      <c r="K254" s="115" t="n"/>
      <c r="L254" s="115" t="n"/>
      <c r="M254" s="115" t="n"/>
      <c r="N254" s="115" t="n"/>
      <c r="O254" s="115" t="n"/>
      <c r="P254" s="115" t="n"/>
      <c r="Q254" s="115" t="n"/>
    </row>
    <row r="255">
      <c r="A255" s="128" t="n">
        <v>46172</v>
      </c>
      <c r="B255" s="138" t="inlineStr">
        <is>
          <t>TIMEX</t>
        </is>
      </c>
      <c r="C255" s="138" t="inlineStr">
        <is>
          <t>GREEN</t>
        </is>
      </c>
      <c r="D255" s="138" t="e">
        <v>#VALUE!</v>
      </c>
      <c r="E255" s="130">
        <f t="array" ref="E255">_FV(D255,"Price")</f>
        <v/>
      </c>
      <c r="F255" s="131">
        <f t="array" ref="F255">_FV(D255,"Previous close",TRUE)</f>
        <v/>
      </c>
      <c r="G255" s="117" t="n">
        <v>449.35</v>
      </c>
      <c r="H255" s="117" t="n">
        <v>384.54</v>
      </c>
      <c r="I255" s="117" t="n">
        <v>378.32</v>
      </c>
      <c r="J255" s="117" t="n">
        <v>362.07</v>
      </c>
      <c r="K255" s="115" t="n"/>
      <c r="L255" s="115" t="n"/>
      <c r="M255" s="115" t="n"/>
      <c r="N255" s="115" t="n"/>
      <c r="O255" s="115" t="n"/>
      <c r="P255" s="115" t="n"/>
      <c r="Q255" s="115" t="n"/>
    </row>
    <row r="256">
      <c r="A256" s="128" t="n">
        <v>46172</v>
      </c>
      <c r="B256" s="138" t="inlineStr">
        <is>
          <t>KERNEX</t>
        </is>
      </c>
      <c r="C256" s="138" t="inlineStr">
        <is>
          <t>GREEN</t>
        </is>
      </c>
      <c r="D256" s="138" t="e">
        <v>#VALUE!</v>
      </c>
      <c r="E256" s="130">
        <f t="array" ref="E256">_FV(D256,"Price")</f>
        <v/>
      </c>
      <c r="F256" s="131">
        <f t="array" ref="F256">_FV(D256,"Previous close",TRUE)</f>
        <v/>
      </c>
      <c r="G256" s="117" t="n">
        <v>1689.9</v>
      </c>
      <c r="H256" s="117" t="n">
        <v>1460.35</v>
      </c>
      <c r="I256" s="117" t="n">
        <v>1419.52</v>
      </c>
      <c r="J256" s="117" t="n">
        <v>1308.78</v>
      </c>
      <c r="K256" s="115" t="n"/>
      <c r="L256" s="115" t="n"/>
      <c r="M256" s="115" t="n"/>
      <c r="N256" s="115" t="n"/>
      <c r="O256" s="115" t="n"/>
      <c r="P256" s="115" t="n"/>
      <c r="Q256" s="115" t="n"/>
    </row>
    <row r="257">
      <c r="A257" s="128" t="n">
        <v>46172</v>
      </c>
      <c r="B257" s="138" t="inlineStr">
        <is>
          <t>MOTHERSON</t>
        </is>
      </c>
      <c r="C257" s="138" t="inlineStr">
        <is>
          <t>GREEN</t>
        </is>
      </c>
      <c r="D257" s="138" t="e">
        <v>#VALUE!</v>
      </c>
      <c r="E257" s="130">
        <f t="array" ref="E257">_FV(D257,"Price")</f>
        <v/>
      </c>
      <c r="F257" s="131">
        <f t="array" ref="F257">_FV(D257,"Previous close",TRUE)</f>
        <v/>
      </c>
      <c r="G257" s="117" t="n">
        <v>145.74</v>
      </c>
      <c r="H257" s="117" t="n">
        <v>133.15</v>
      </c>
      <c r="I257" s="117" t="n">
        <v>131.34</v>
      </c>
      <c r="J257" s="117" t="n">
        <v>125.44</v>
      </c>
      <c r="K257" s="115" t="n"/>
      <c r="L257" s="115" t="n"/>
      <c r="M257" s="115" t="n"/>
      <c r="N257" s="115" t="n"/>
      <c r="O257" s="115" t="n"/>
      <c r="P257" s="115" t="n"/>
      <c r="Q257" s="115" t="n"/>
    </row>
    <row r="258">
      <c r="A258" s="128" t="n">
        <v>46172</v>
      </c>
      <c r="B258" s="138" t="inlineStr">
        <is>
          <t>MINDACORP</t>
        </is>
      </c>
      <c r="C258" s="138" t="inlineStr">
        <is>
          <t>GREEN</t>
        </is>
      </c>
      <c r="D258" s="138" t="e">
        <v>#VALUE!</v>
      </c>
      <c r="E258" s="130">
        <f t="array" ref="E258">_FV(D258,"Price")</f>
        <v/>
      </c>
      <c r="F258" s="131">
        <f t="array" ref="F258">_FV(D258,"Previous close",TRUE)</f>
        <v/>
      </c>
      <c r="G258" s="117" t="n">
        <v>624.4</v>
      </c>
      <c r="H258" s="117" t="n">
        <v>569.63</v>
      </c>
      <c r="I258" s="117" t="n">
        <v>564.6</v>
      </c>
      <c r="J258" s="117" t="n">
        <v>555.88</v>
      </c>
      <c r="K258" s="115" t="n"/>
      <c r="L258" s="115" t="n"/>
      <c r="M258" s="115" t="n"/>
      <c r="N258" s="115" t="n"/>
      <c r="O258" s="115" t="n"/>
      <c r="P258" s="115" t="n"/>
      <c r="Q258" s="115" t="n"/>
    </row>
    <row r="259">
      <c r="A259" s="128" t="n">
        <v>46172</v>
      </c>
      <c r="B259" s="138" t="inlineStr">
        <is>
          <t>SUVEN</t>
        </is>
      </c>
      <c r="C259" s="138" t="inlineStr">
        <is>
          <t>GREEN</t>
        </is>
      </c>
      <c r="D259" s="138" t="e">
        <v>#VALUE!</v>
      </c>
      <c r="E259" s="130">
        <f t="array" ref="E259">_FV(D259,"Price")</f>
        <v/>
      </c>
      <c r="F259" s="131">
        <f t="array" ref="F259">_FV(D259,"Previous close",TRUE)</f>
        <v/>
      </c>
      <c r="G259" s="117" t="n">
        <v>279.34</v>
      </c>
      <c r="H259" s="117" t="n">
        <v>232.33</v>
      </c>
      <c r="I259" s="117" t="n">
        <v>224.28</v>
      </c>
      <c r="J259" s="117" t="n">
        <v>202.69</v>
      </c>
      <c r="K259" s="115" t="n"/>
      <c r="L259" s="115" t="n"/>
      <c r="M259" s="115" t="n"/>
      <c r="N259" s="115" t="n"/>
      <c r="O259" s="115" t="n"/>
      <c r="P259" s="115" t="n"/>
      <c r="Q259" s="115" t="n"/>
    </row>
    <row r="260">
      <c r="A260" s="128" t="n">
        <v>46172</v>
      </c>
      <c r="B260" s="138" t="inlineStr">
        <is>
          <t>METROPOLIS</t>
        </is>
      </c>
      <c r="C260" s="138" t="inlineStr">
        <is>
          <t>GREEN</t>
        </is>
      </c>
      <c r="D260" s="138" t="e">
        <v>#VALUE!</v>
      </c>
      <c r="E260" s="130">
        <f t="array" ref="E260">_FV(D260,"Price")</f>
        <v/>
      </c>
      <c r="F260" s="131">
        <f t="array" ref="F260">_FV(D260,"Previous close",TRUE)</f>
        <v/>
      </c>
      <c r="G260" s="117" t="n">
        <v>555.35</v>
      </c>
      <c r="H260" s="117" t="n">
        <v>513.73</v>
      </c>
      <c r="I260" s="117" t="n">
        <v>507.88</v>
      </c>
      <c r="J260" s="117" t="n">
        <v>493.08</v>
      </c>
      <c r="K260" s="115" t="n"/>
      <c r="L260" s="115" t="n"/>
      <c r="M260" s="115" t="n"/>
      <c r="N260" s="115" t="n"/>
      <c r="O260" s="115" t="n"/>
      <c r="P260" s="115" t="n"/>
      <c r="Q260" s="115" t="n"/>
    </row>
    <row r="261">
      <c r="A261" s="128" t="n">
        <v>46172</v>
      </c>
      <c r="B261" s="138" t="inlineStr">
        <is>
          <t>NRBBEARING</t>
        </is>
      </c>
      <c r="C261" s="138" t="inlineStr">
        <is>
          <t>GREEN</t>
        </is>
      </c>
      <c r="D261" s="138" t="e">
        <v>#VALUE!</v>
      </c>
      <c r="E261" s="130">
        <f t="array" ref="E261">_FV(D261,"Price")</f>
        <v/>
      </c>
      <c r="F261" s="131">
        <f t="array" ref="F261">_FV(D261,"Previous close",TRUE)</f>
        <v/>
      </c>
      <c r="G261" s="117" t="n">
        <v>370</v>
      </c>
      <c r="H261" s="117" t="n">
        <v>327.13</v>
      </c>
      <c r="I261" s="117" t="n">
        <v>319.58</v>
      </c>
      <c r="J261" s="117" t="n">
        <v>298.27</v>
      </c>
      <c r="K261" s="115" t="n"/>
      <c r="L261" s="115" t="n"/>
      <c r="M261" s="115" t="n"/>
      <c r="N261" s="115" t="n"/>
      <c r="O261" s="115" t="n"/>
      <c r="P261" s="115" t="n"/>
      <c r="Q261" s="115" t="n"/>
    </row>
    <row r="262">
      <c r="A262" s="128" t="n">
        <v>46172</v>
      </c>
      <c r="B262" s="138" t="inlineStr">
        <is>
          <t>STARHEALTH</t>
        </is>
      </c>
      <c r="C262" s="138" t="inlineStr">
        <is>
          <t>RED</t>
        </is>
      </c>
      <c r="D262" s="138" t="e">
        <v>#VALUE!</v>
      </c>
      <c r="E262" s="130">
        <f t="array" ref="E262">_FV(D262,"Price")</f>
        <v/>
      </c>
      <c r="F262" s="131">
        <f t="array" ref="F262">_FV(D262,"Previous close",TRUE)</f>
        <v/>
      </c>
      <c r="G262" s="117" t="n">
        <v>527.95</v>
      </c>
      <c r="H262" s="117" t="n">
        <v>512.13</v>
      </c>
      <c r="I262" s="117" t="n">
        <v>507.65</v>
      </c>
      <c r="J262" s="117" t="n">
        <v>492.47</v>
      </c>
      <c r="K262" s="115" t="n"/>
      <c r="L262" s="115" t="n"/>
      <c r="M262" s="115" t="n"/>
      <c r="N262" s="115" t="n"/>
      <c r="O262" s="115" t="n"/>
      <c r="P262" s="115" t="n"/>
      <c r="Q262" s="115" t="n"/>
    </row>
    <row r="263">
      <c r="A263" s="128" t="n">
        <v>46172</v>
      </c>
      <c r="B263" s="138" t="inlineStr">
        <is>
          <t>GRSE</t>
        </is>
      </c>
      <c r="C263" s="138" t="inlineStr">
        <is>
          <t>RED</t>
        </is>
      </c>
      <c r="D263" s="138" t="e">
        <v>#VALUE!</v>
      </c>
      <c r="E263" s="130">
        <f t="array" ref="E263">_FV(D263,"Price")</f>
        <v/>
      </c>
      <c r="F263" s="131">
        <f t="array" ref="F263">_FV(D263,"Previous close",TRUE)</f>
        <v/>
      </c>
      <c r="G263" s="117" t="n">
        <v>2654.8</v>
      </c>
      <c r="H263" s="117" t="n">
        <v>2671.44</v>
      </c>
      <c r="I263" s="117" t="n">
        <v>2656.61</v>
      </c>
      <c r="J263" s="117" t="n">
        <v>2600.35</v>
      </c>
      <c r="K263" s="115" t="n"/>
      <c r="L263" s="115" t="n"/>
      <c r="M263" s="115" t="n"/>
      <c r="N263" s="115" t="n"/>
      <c r="O263" s="115" t="n"/>
      <c r="P263" s="115" t="n"/>
      <c r="Q263" s="115" t="n"/>
    </row>
    <row r="264">
      <c r="A264" s="128" t="n">
        <v>46172</v>
      </c>
      <c r="B264" s="138" t="inlineStr">
        <is>
          <t>SFL</t>
        </is>
      </c>
      <c r="C264" s="138" t="inlineStr">
        <is>
          <t>RED</t>
        </is>
      </c>
      <c r="D264" s="138" t="e">
        <v>#VALUE!</v>
      </c>
      <c r="E264" s="130">
        <f t="array" ref="E264">_FV(D264,"Price")</f>
        <v/>
      </c>
      <c r="F264" s="131">
        <f t="array" ref="F264">_FV(D264,"Previous close",TRUE)</f>
        <v/>
      </c>
      <c r="G264" s="117" t="n">
        <v>605</v>
      </c>
      <c r="H264" s="117" t="n">
        <v>581.11</v>
      </c>
      <c r="I264" s="117" t="n">
        <v>576.21</v>
      </c>
      <c r="J264" s="117" t="n">
        <v>572.22</v>
      </c>
      <c r="K264" s="115" t="n"/>
      <c r="L264" s="115" t="n"/>
      <c r="M264" s="115" t="n"/>
      <c r="N264" s="115" t="n"/>
      <c r="O264" s="115" t="n"/>
      <c r="P264" s="115" t="n"/>
      <c r="Q264" s="115" t="n"/>
    </row>
    <row r="265">
      <c r="A265" s="128" t="n">
        <v>46172</v>
      </c>
      <c r="B265" s="138" t="inlineStr">
        <is>
          <t>AVALON</t>
        </is>
      </c>
      <c r="C265" s="138" t="inlineStr">
        <is>
          <t>RED</t>
        </is>
      </c>
      <c r="D265" s="138" t="e">
        <v>#VALUE!</v>
      </c>
      <c r="E265" s="130">
        <f t="array" ref="E265">_FV(D265,"Price")</f>
        <v/>
      </c>
      <c r="F265" s="131">
        <f t="array" ref="F265">_FV(D265,"Previous close",TRUE)</f>
        <v/>
      </c>
      <c r="G265" s="117" t="n">
        <v>1520.5</v>
      </c>
      <c r="H265" s="117" t="n">
        <v>1316.94</v>
      </c>
      <c r="I265" s="117" t="n">
        <v>1278.61</v>
      </c>
      <c r="J265" s="117" t="n">
        <v>1162.54</v>
      </c>
      <c r="K265" s="115" t="n"/>
      <c r="L265" s="115" t="n"/>
      <c r="M265" s="115" t="n"/>
      <c r="N265" s="115" t="n"/>
      <c r="O265" s="115" t="n"/>
      <c r="P265" s="115" t="n"/>
      <c r="Q265" s="115" t="n"/>
    </row>
    <row r="266">
      <c r="A266" s="128" t="n">
        <v>46172</v>
      </c>
      <c r="B266" s="138" t="inlineStr">
        <is>
          <t>TATACOMM</t>
        </is>
      </c>
      <c r="C266" s="138" t="inlineStr">
        <is>
          <t>RED</t>
        </is>
      </c>
      <c r="D266" s="138" t="e">
        <v>#VALUE!</v>
      </c>
      <c r="E266" s="130">
        <f t="array" ref="E266">_FV(D266,"Price")</f>
        <v/>
      </c>
      <c r="F266" s="131">
        <f t="array" ref="F266">_FV(D266,"Previous close",TRUE)</f>
        <v/>
      </c>
      <c r="G266" s="117" t="n">
        <v>1965</v>
      </c>
      <c r="H266" s="117" t="n">
        <v>1747.1</v>
      </c>
      <c r="I266" s="117" t="n">
        <v>1721.22</v>
      </c>
      <c r="J266" s="117" t="n">
        <v>1673.68</v>
      </c>
      <c r="K266" s="115" t="n"/>
      <c r="L266" s="115" t="n"/>
      <c r="M266" s="115" t="n"/>
      <c r="N266" s="115" t="n"/>
      <c r="O266" s="115" t="n"/>
      <c r="P266" s="115" t="n"/>
      <c r="Q266" s="115" t="n"/>
    </row>
    <row r="267">
      <c r="A267" s="128" t="n">
        <v>46172</v>
      </c>
      <c r="B267" s="138" t="inlineStr">
        <is>
          <t>HESTERBIO</t>
        </is>
      </c>
      <c r="C267" s="138" t="inlineStr">
        <is>
          <t>RED</t>
        </is>
      </c>
      <c r="D267" s="138" t="e">
        <v>#VALUE!</v>
      </c>
      <c r="E267" s="130">
        <f t="array" ref="E267">_FV(D267,"Price")</f>
        <v/>
      </c>
      <c r="F267" s="131">
        <f t="array" ref="F267">_FV(D267,"Previous close",TRUE)</f>
        <v/>
      </c>
      <c r="G267" s="117" t="n">
        <v>2009.2</v>
      </c>
      <c r="H267" s="117" t="n">
        <v>1777.64</v>
      </c>
      <c r="I267" s="117" t="n">
        <v>1742.57</v>
      </c>
      <c r="J267" s="117" t="n">
        <v>1667.33</v>
      </c>
      <c r="K267" s="115" t="n"/>
      <c r="L267" s="115" t="n"/>
      <c r="M267" s="115" t="n"/>
      <c r="N267" s="115" t="n"/>
      <c r="O267" s="115" t="n"/>
      <c r="P267" s="115" t="n"/>
      <c r="Q267" s="115" t="n"/>
    </row>
    <row r="268">
      <c r="A268" s="128" t="n">
        <v>46172</v>
      </c>
      <c r="B268" s="138" t="inlineStr">
        <is>
          <t>COALINDIA</t>
        </is>
      </c>
      <c r="C268" s="138" t="inlineStr">
        <is>
          <t>RED</t>
        </is>
      </c>
      <c r="D268" s="138" t="e">
        <v>#VALUE!</v>
      </c>
      <c r="E268" s="130">
        <f t="array" ref="E268">_FV(D268,"Price")</f>
        <v/>
      </c>
      <c r="F268" s="131">
        <f t="array" ref="F268">_FV(D268,"Previous close",TRUE)</f>
        <v/>
      </c>
      <c r="G268" s="117" t="n">
        <v>457.9</v>
      </c>
      <c r="H268" s="117" t="n">
        <v>458.53</v>
      </c>
      <c r="I268" s="117" t="n">
        <v>456.15</v>
      </c>
      <c r="J268" s="117" t="n">
        <v>443.26</v>
      </c>
      <c r="K268" s="115" t="n"/>
      <c r="L268" s="115" t="n"/>
      <c r="M268" s="115" t="n"/>
      <c r="N268" s="115" t="n"/>
      <c r="O268" s="115" t="n"/>
      <c r="P268" s="115" t="n"/>
      <c r="Q268" s="115" t="n"/>
    </row>
    <row r="269">
      <c r="A269" s="128" t="n">
        <v>46172</v>
      </c>
      <c r="B269" s="138" t="inlineStr">
        <is>
          <t>VOLTAMP</t>
        </is>
      </c>
      <c r="C269" s="138" t="inlineStr">
        <is>
          <t>RED</t>
        </is>
      </c>
      <c r="D269" s="138" t="e">
        <v>#VALUE!</v>
      </c>
      <c r="E269" s="130">
        <f t="array" ref="E269">_FV(D269,"Price")</f>
        <v/>
      </c>
      <c r="F269" s="131">
        <f t="array" ref="F269">_FV(D269,"Previous close",TRUE)</f>
        <v/>
      </c>
      <c r="G269" s="117" t="n">
        <v>9497</v>
      </c>
      <c r="H269" s="117" t="n">
        <v>9480.860000000001</v>
      </c>
      <c r="I269" s="117" t="n">
        <v>9431.73</v>
      </c>
      <c r="J269" s="117" t="n">
        <v>9095.35</v>
      </c>
      <c r="K269" s="115" t="n"/>
      <c r="L269" s="115" t="n"/>
      <c r="M269" s="115" t="n"/>
      <c r="N269" s="115" t="n"/>
      <c r="O269" s="115" t="n"/>
      <c r="P269" s="115" t="n"/>
      <c r="Q269" s="115" t="n"/>
    </row>
    <row r="270">
      <c r="A270" s="128" t="n">
        <v>46172</v>
      </c>
      <c r="B270" s="138" t="inlineStr">
        <is>
          <t>NARMADA</t>
        </is>
      </c>
      <c r="C270" s="138" t="inlineStr">
        <is>
          <t>RED</t>
        </is>
      </c>
      <c r="D270" s="138" t="e">
        <v>#VALUE!</v>
      </c>
      <c r="E270" s="130">
        <f t="array" ref="E270">_FV(D270,"Price")</f>
        <v/>
      </c>
      <c r="F270" s="131">
        <f t="array" ref="F270">_FV(D270,"Previous close",TRUE)</f>
        <v/>
      </c>
      <c r="G270" s="117" t="n">
        <v>37.22</v>
      </c>
      <c r="H270" s="117" t="n">
        <v>35.64</v>
      </c>
      <c r="I270" s="117" t="n">
        <v>35.2</v>
      </c>
      <c r="J270" s="117" t="n">
        <v>32.95</v>
      </c>
      <c r="K270" s="115" t="n"/>
      <c r="L270" s="115" t="n"/>
      <c r="M270" s="115" t="n"/>
      <c r="N270" s="115" t="n"/>
      <c r="O270" s="115" t="n"/>
      <c r="P270" s="115" t="n"/>
      <c r="Q270" s="115" t="n"/>
    </row>
    <row r="271">
      <c r="A271" s="128" t="n">
        <v>46172</v>
      </c>
      <c r="B271" s="138" t="inlineStr">
        <is>
          <t>FEDERALBNK</t>
        </is>
      </c>
      <c r="C271" s="138" t="inlineStr">
        <is>
          <t>RED</t>
        </is>
      </c>
      <c r="D271" s="138" t="e">
        <v>#VALUE!</v>
      </c>
      <c r="E271" s="130">
        <f t="array" ref="E271">_FV(D271,"Price")</f>
        <v/>
      </c>
      <c r="F271" s="131">
        <f t="array" ref="F271">_FV(D271,"Previous close",TRUE)</f>
        <v/>
      </c>
      <c r="G271" s="117" t="n">
        <v>288.95</v>
      </c>
      <c r="H271" s="117" t="n">
        <v>287.72</v>
      </c>
      <c r="I271" s="117" t="n">
        <v>286.67</v>
      </c>
      <c r="J271" s="117" t="n">
        <v>279.34</v>
      </c>
      <c r="K271" s="115" t="n"/>
      <c r="L271" s="115" t="n"/>
      <c r="M271" s="115" t="n"/>
      <c r="N271" s="115" t="n"/>
      <c r="O271" s="115" t="n"/>
      <c r="P271" s="115" t="n"/>
      <c r="Q271" s="115" t="n"/>
    </row>
    <row r="272">
      <c r="A272" s="128" t="n">
        <v>46172</v>
      </c>
      <c r="B272" s="138" t="inlineStr">
        <is>
          <t>DEEPAKNTR</t>
        </is>
      </c>
      <c r="C272" s="138" t="inlineStr">
        <is>
          <t>RED</t>
        </is>
      </c>
      <c r="D272" s="138" t="e">
        <v>#VALUE!</v>
      </c>
      <c r="E272" s="130">
        <f t="array" ref="E272">_FV(D272,"Price")</f>
        <v/>
      </c>
      <c r="F272" s="131">
        <f t="array" ref="F272">_FV(D272,"Previous close",TRUE)</f>
        <v/>
      </c>
      <c r="G272" s="117" t="n">
        <v>1682</v>
      </c>
      <c r="H272" s="117" t="n">
        <v>1683.33</v>
      </c>
      <c r="I272" s="117" t="n">
        <v>1670.99</v>
      </c>
      <c r="J272" s="117" t="n">
        <v>1648.2</v>
      </c>
      <c r="K272" s="115" t="n"/>
      <c r="L272" s="115" t="n"/>
      <c r="M272" s="115" t="n"/>
      <c r="N272" s="115" t="n"/>
      <c r="O272" s="115" t="n"/>
      <c r="P272" s="115" t="n"/>
      <c r="Q272" s="115" t="n"/>
    </row>
  </sheetData>
  <autoFilter ref="A1:J272"/>
  <conditionalFormatting sqref="F2:F272">
    <cfRule type="expression" priority="3" dxfId="38">
      <formula>=$E2&gt;$F2</formula>
    </cfRule>
  </conditionalFormatting>
  <conditionalFormatting sqref="G2:G272">
    <cfRule type="expression" priority="4" dxfId="38">
      <formula>=$F2&gt;$G2</formula>
    </cfRule>
  </conditionalFormatting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87" min="1" max="1"/>
    <col width="11" customWidth="1" style="87" min="2" max="2"/>
    <col width="24" customWidth="1" style="87" min="3" max="3"/>
    <col width="19" customWidth="1" style="87" min="4" max="4"/>
    <col width="16" customWidth="1" style="87" min="5" max="5"/>
    <col width="20" customWidth="1" style="87" min="6" max="6"/>
    <col width="25" customWidth="1" style="87" min="7" max="7"/>
    <col width="19" customWidth="1" style="87" min="8" max="8"/>
    <col width="21" customWidth="1" style="87" min="9" max="9"/>
    <col width="25" customWidth="1" style="87" min="10" max="10"/>
    <col width="20" customWidth="1" style="87" min="11" max="11"/>
    <col width="18" customWidth="1" style="87" min="12" max="12"/>
    <col width="16" customWidth="1" style="87" min="13" max="13"/>
    <col width="40" customWidth="1" style="87" min="14" max="14"/>
    <col width="17" customWidth="1" style="87" min="15" max="15"/>
    <col width="16" customWidth="1" style="87" min="16" max="16"/>
    <col width="17" customWidth="1" style="87" min="17" max="17"/>
    <col width="17" customWidth="1" style="87" min="18" max="18"/>
    <col width="32" customWidth="1" style="87" min="19" max="19"/>
    <col width="16" customWidth="1" style="87" min="20" max="20"/>
    <col width="25" customWidth="1" style="87" min="21" max="21"/>
    <col width="14" customWidth="1" style="87" min="22" max="22"/>
    <col width="10" customWidth="1" style="87" min="23" max="23"/>
  </cols>
  <sheetData>
    <row r="1">
      <c r="A1" s="114" t="inlineStr">
        <is>
          <t>Symbol</t>
        </is>
      </c>
      <c r="B1" s="114" t="inlineStr">
        <is>
          <t>Cap</t>
        </is>
      </c>
      <c r="C1" s="114" t="inlineStr">
        <is>
          <t>TF_Sector</t>
        </is>
      </c>
      <c r="D1" s="114" t="inlineStr">
        <is>
          <t>TF_Classification</t>
        </is>
      </c>
      <c r="E1" s="114" t="inlineStr">
        <is>
          <t>Latest_Tranche</t>
        </is>
      </c>
      <c r="F1" s="114" t="inlineStr">
        <is>
          <t>Total_Buy_Quantity</t>
        </is>
      </c>
      <c r="G1" s="114" t="inlineStr">
        <is>
          <t>Total_Buy_Value</t>
        </is>
      </c>
      <c r="H1" s="114" t="inlineStr">
        <is>
          <t>Average_Buy_Price</t>
        </is>
      </c>
      <c r="I1" s="114" t="inlineStr">
        <is>
          <t>Total_Sell_Quantity</t>
        </is>
      </c>
      <c r="J1" s="114" t="inlineStr">
        <is>
          <t>Total_Sell_Value</t>
        </is>
      </c>
      <c r="K1" s="114" t="inlineStr">
        <is>
          <t>Average_Sell_Price</t>
        </is>
      </c>
      <c r="L1" s="114" t="inlineStr">
        <is>
          <t>Current_Quantity</t>
        </is>
      </c>
      <c r="M1" s="114" t="inlineStr">
        <is>
          <t>Invested_Value</t>
        </is>
      </c>
      <c r="N1" s="114" t="inlineStr">
        <is>
          <t>LTP</t>
        </is>
      </c>
      <c r="O1" s="114" t="inlineStr">
        <is>
          <t>Current_Value</t>
        </is>
      </c>
      <c r="P1" s="114" t="inlineStr">
        <is>
          <t>Realized_PnL</t>
        </is>
      </c>
      <c r="Q1" s="114" t="inlineStr">
        <is>
          <t>Unrealized_PnL</t>
        </is>
      </c>
      <c r="R1" s="114" t="inlineStr">
        <is>
          <t>Total_PnL</t>
        </is>
      </c>
      <c r="S1" s="114" t="inlineStr">
        <is>
          <t>Total_PnL_Percentage</t>
        </is>
      </c>
      <c r="T1" s="114" t="inlineStr">
        <is>
          <t>Holding_Period</t>
        </is>
      </c>
      <c r="U1" s="114" t="inlineStr">
        <is>
          <t>Split_Info</t>
        </is>
      </c>
      <c r="V1" s="114" t="inlineStr">
        <is>
          <t>Adj_Required</t>
        </is>
      </c>
      <c r="W1" s="114" t="inlineStr">
        <is>
          <t>Trend</t>
        </is>
      </c>
    </row>
    <row r="2">
      <c r="A2" s="115" t="inlineStr">
        <is>
          <t>ACUTAAS</t>
        </is>
      </c>
      <c r="B2" s="115" t="inlineStr">
        <is>
          <t>Small Cap</t>
        </is>
      </c>
      <c r="C2" s="115" t="inlineStr">
        <is>
          <t>Health / Pharma / Chem</t>
        </is>
      </c>
      <c r="D2" s="115" t="inlineStr">
        <is>
          <t>Core</t>
        </is>
      </c>
      <c r="E2" s="115" t="inlineStr">
        <is>
          <t>Cheat 2</t>
        </is>
      </c>
      <c r="F2" s="115" t="n">
        <v>28</v>
      </c>
      <c r="G2" s="117" t="n">
        <v>78477</v>
      </c>
      <c r="H2" s="117" t="n">
        <v>2802.75</v>
      </c>
      <c r="I2" s="115" t="n">
        <v>0</v>
      </c>
      <c r="J2" s="117" t="n">
        <v>0</v>
      </c>
      <c r="K2" s="117" t="n">
        <v>0</v>
      </c>
      <c r="L2" s="115" t="n">
        <v>28</v>
      </c>
      <c r="M2" s="117" t="n">
        <v>78477</v>
      </c>
      <c r="N2" s="117">
        <f>IFERROR(INDEX(Price_Update!$F:$F, MATCH(A2, Price_Update!$A:$A, 0)), 3135.7)</f>
        <v/>
      </c>
      <c r="O2" s="117">
        <f>L2*N2</f>
        <v/>
      </c>
      <c r="P2" s="117" t="n">
        <v>0</v>
      </c>
      <c r="Q2" s="117">
        <f>O2-M2</f>
        <v/>
      </c>
      <c r="R2" s="117">
        <f>P2+Q2</f>
        <v/>
      </c>
      <c r="S2" s="120">
        <f>IF(G2&gt;0, R2/G2, 0)</f>
        <v/>
      </c>
      <c r="T2" s="115" t="n">
        <v>20</v>
      </c>
      <c r="U2" s="115" t="inlineStr"/>
      <c r="V2" s="115" t="inlineStr">
        <is>
          <t>No</t>
        </is>
      </c>
      <c r="W2" s="115" t="inlineStr">
        <is>
          <t>▲</t>
        </is>
      </c>
    </row>
    <row r="3">
      <c r="A3" s="115" t="inlineStr">
        <is>
          <t>ADANIENT</t>
        </is>
      </c>
      <c r="B3" s="115" t="inlineStr">
        <is>
          <t>Large Cap</t>
        </is>
      </c>
      <c r="C3" s="115" t="inlineStr">
        <is>
          <t>Industrial</t>
        </is>
      </c>
      <c r="D3" s="115" t="inlineStr">
        <is>
          <t>Satellite</t>
        </is>
      </c>
      <c r="E3" s="115" t="inlineStr">
        <is>
          <t>Tranch 1</t>
        </is>
      </c>
      <c r="F3" s="115" t="n">
        <v>36</v>
      </c>
      <c r="G3" s="117" t="n">
        <v>102039.3994</v>
      </c>
      <c r="H3" s="117" t="n">
        <v>2834.43</v>
      </c>
      <c r="I3" s="115" t="n">
        <v>0</v>
      </c>
      <c r="J3" s="117" t="n">
        <v>0</v>
      </c>
      <c r="K3" s="117" t="n">
        <v>0</v>
      </c>
      <c r="L3" s="115" t="n">
        <v>36</v>
      </c>
      <c r="M3" s="117" t="n">
        <v>102039.48</v>
      </c>
      <c r="N3" s="117">
        <f>IFERROR(INDEX(Price_Update!$F:$F, MATCH(A3, Price_Update!$A:$A, 0)), 2925.6)</f>
        <v/>
      </c>
      <c r="O3" s="117">
        <f>L3*N3</f>
        <v/>
      </c>
      <c r="P3" s="117" t="n">
        <v>0</v>
      </c>
      <c r="Q3" s="117">
        <f>O3-M3</f>
        <v/>
      </c>
      <c r="R3" s="117">
        <f>P3+Q3</f>
        <v/>
      </c>
      <c r="S3" s="120">
        <f>IF(G3&gt;0, R3/G3, 0)</f>
        <v/>
      </c>
      <c r="T3" s="115" t="n">
        <v>20</v>
      </c>
      <c r="U3" s="115" t="inlineStr"/>
      <c r="V3" s="115" t="inlineStr">
        <is>
          <t>No</t>
        </is>
      </c>
      <c r="W3" s="115" t="inlineStr">
        <is>
          <t>▲</t>
        </is>
      </c>
    </row>
    <row r="4">
      <c r="A4" s="115" t="inlineStr">
        <is>
          <t>AIAENG</t>
        </is>
      </c>
      <c r="B4" s="115" t="inlineStr">
        <is>
          <t>Mid Cap</t>
        </is>
      </c>
      <c r="C4" s="115" t="inlineStr">
        <is>
          <t>Industrial</t>
        </is>
      </c>
      <c r="D4" s="115" t="inlineStr">
        <is>
          <t>Core</t>
        </is>
      </c>
      <c r="E4" s="115" t="inlineStr">
        <is>
          <t>Cheat 1</t>
        </is>
      </c>
      <c r="F4" s="115" t="n">
        <v>6</v>
      </c>
      <c r="G4" s="117" t="n">
        <v>27324.6006</v>
      </c>
      <c r="H4" s="117" t="n">
        <v>4554.1</v>
      </c>
      <c r="I4" s="115" t="n">
        <v>0</v>
      </c>
      <c r="J4" s="117" t="n">
        <v>0</v>
      </c>
      <c r="K4" s="117" t="n">
        <v>0</v>
      </c>
      <c r="L4" s="115" t="n">
        <v>6</v>
      </c>
      <c r="M4" s="117" t="n">
        <v>27324.6</v>
      </c>
      <c r="N4" s="117">
        <f>IFERROR(INDEX(Price_Update!$F:$F, MATCH(A4, Price_Update!$A:$A, 0)), 4552.3)</f>
        <v/>
      </c>
      <c r="O4" s="117">
        <f>L4*N4</f>
        <v/>
      </c>
      <c r="P4" s="117" t="n">
        <v>0</v>
      </c>
      <c r="Q4" s="117">
        <f>O4-M4</f>
        <v/>
      </c>
      <c r="R4" s="117">
        <f>P4+Q4</f>
        <v/>
      </c>
      <c r="S4" s="120">
        <f>IF(G4&gt;0, R4/G4, 0)</f>
        <v/>
      </c>
      <c r="T4" s="115" t="n">
        <v>2</v>
      </c>
      <c r="U4" s="115" t="inlineStr"/>
      <c r="V4" s="115" t="inlineStr">
        <is>
          <t>No</t>
        </is>
      </c>
      <c r="W4" s="115" t="inlineStr">
        <is>
          <t>▲</t>
        </is>
      </c>
    </row>
    <row r="5">
      <c r="A5" s="115" t="inlineStr">
        <is>
          <t>AJANTPHARM</t>
        </is>
      </c>
      <c r="B5" s="115" t="inlineStr">
        <is>
          <t>Mid Cap</t>
        </is>
      </c>
      <c r="C5" s="115" t="inlineStr">
        <is>
          <t>Health / Pharma / Chem</t>
        </is>
      </c>
      <c r="D5" s="115" t="inlineStr">
        <is>
          <t>Satellite</t>
        </is>
      </c>
      <c r="E5" s="115" t="inlineStr">
        <is>
          <t>Cheat 2</t>
        </is>
      </c>
      <c r="F5" s="115" t="n">
        <v>14</v>
      </c>
      <c r="G5" s="117" t="n">
        <v>43885.2</v>
      </c>
      <c r="H5" s="117" t="n">
        <v>3134.66</v>
      </c>
      <c r="I5" s="115" t="n">
        <v>0</v>
      </c>
      <c r="J5" s="117" t="n">
        <v>0</v>
      </c>
      <c r="K5" s="117" t="n">
        <v>0</v>
      </c>
      <c r="L5" s="115" t="n">
        <v>14</v>
      </c>
      <c r="M5" s="117" t="n">
        <v>43885.24</v>
      </c>
      <c r="N5" s="117">
        <f>IFERROR(INDEX(Price_Update!$F:$F, MATCH(A5, Price_Update!$A:$A, 0)), 2930.0)</f>
        <v/>
      </c>
      <c r="O5" s="117">
        <f>L5*N5</f>
        <v/>
      </c>
      <c r="P5" s="117" t="n">
        <v>0</v>
      </c>
      <c r="Q5" s="117">
        <f>O5-M5</f>
        <v/>
      </c>
      <c r="R5" s="117">
        <f>P5+Q5</f>
        <v/>
      </c>
      <c r="S5" s="120">
        <f>IF(G5&gt;0, R5/G5, 0)</f>
        <v/>
      </c>
      <c r="T5" s="115" t="n">
        <v>150</v>
      </c>
      <c r="U5" s="115" t="inlineStr"/>
      <c r="V5" s="115" t="inlineStr">
        <is>
          <t>No</t>
        </is>
      </c>
      <c r="W5" s="115" t="inlineStr">
        <is>
          <t>▼</t>
        </is>
      </c>
    </row>
    <row r="6">
      <c r="A6" s="115" t="inlineStr">
        <is>
          <t>APARINDS</t>
        </is>
      </c>
      <c r="B6" s="115" t="inlineStr">
        <is>
          <t>Mid Cap</t>
        </is>
      </c>
      <c r="C6" s="115" t="inlineStr">
        <is>
          <t>Industrial</t>
        </is>
      </c>
      <c r="D6" s="115" t="inlineStr">
        <is>
          <t>Core</t>
        </is>
      </c>
      <c r="E6" s="115" t="inlineStr">
        <is>
          <t>Cheat 1</t>
        </is>
      </c>
      <c r="F6" s="115" t="n">
        <v>4</v>
      </c>
      <c r="G6" s="117" t="n">
        <v>51316</v>
      </c>
      <c r="H6" s="117" t="n">
        <v>12829</v>
      </c>
      <c r="I6" s="115" t="n">
        <v>0</v>
      </c>
      <c r="J6" s="117" t="n">
        <v>0</v>
      </c>
      <c r="K6" s="117" t="n">
        <v>0</v>
      </c>
      <c r="L6" s="115" t="n">
        <v>4</v>
      </c>
      <c r="M6" s="117" t="n">
        <v>51316</v>
      </c>
      <c r="N6" s="117">
        <f>IFERROR(INDEX(Price_Update!$F:$F, MATCH(A6, Price_Update!$A:$A, 0)), 13270.0)</f>
        <v/>
      </c>
      <c r="O6" s="117">
        <f>L6*N6</f>
        <v/>
      </c>
      <c r="P6" s="117" t="n">
        <v>0</v>
      </c>
      <c r="Q6" s="117">
        <f>O6-M6</f>
        <v/>
      </c>
      <c r="R6" s="117">
        <f>P6+Q6</f>
        <v/>
      </c>
      <c r="S6" s="120">
        <f>IF(G6&gt;0, R6/G6, 0)</f>
        <v/>
      </c>
      <c r="T6" s="115" t="n">
        <v>2</v>
      </c>
      <c r="U6" s="115" t="inlineStr"/>
      <c r="V6" s="115" t="inlineStr">
        <is>
          <t>No</t>
        </is>
      </c>
      <c r="W6" s="115" t="inlineStr">
        <is>
          <t>▲</t>
        </is>
      </c>
    </row>
    <row r="7">
      <c r="A7" s="115" t="inlineStr">
        <is>
          <t>APLAPOLLO</t>
        </is>
      </c>
      <c r="B7" s="115" t="inlineStr">
        <is>
          <t>Mid Cap</t>
        </is>
      </c>
      <c r="C7" s="115" t="inlineStr">
        <is>
          <t>Industrial</t>
        </is>
      </c>
      <c r="D7" s="115" t="inlineStr">
        <is>
          <t>Core</t>
        </is>
      </c>
      <c r="E7" s="115" t="inlineStr">
        <is>
          <t>Tranch 2</t>
        </is>
      </c>
      <c r="F7" s="115" t="n">
        <v>96</v>
      </c>
      <c r="G7" s="117" t="n">
        <v>201677.1045</v>
      </c>
      <c r="H7" s="117" t="n">
        <v>2100.8</v>
      </c>
      <c r="I7" s="115" t="n">
        <v>0</v>
      </c>
      <c r="J7" s="117" t="n">
        <v>0</v>
      </c>
      <c r="K7" s="117" t="n">
        <v>0</v>
      </c>
      <c r="L7" s="115" t="n">
        <v>96</v>
      </c>
      <c r="M7" s="117" t="n">
        <v>201676.8</v>
      </c>
      <c r="N7" s="117">
        <f>IFERROR(INDEX(Price_Update!$F:$F, MATCH(A7, Price_Update!$A:$A, 0)), 1805.4)</f>
        <v/>
      </c>
      <c r="O7" s="117">
        <f>L7*N7</f>
        <v/>
      </c>
      <c r="P7" s="117" t="n">
        <v>0</v>
      </c>
      <c r="Q7" s="117">
        <f>O7-M7</f>
        <v/>
      </c>
      <c r="R7" s="117">
        <f>P7+Q7</f>
        <v/>
      </c>
      <c r="S7" s="120">
        <f>IF(G7&gt;0, R7/G7, 0)</f>
        <v/>
      </c>
      <c r="T7" s="115" t="n">
        <v>115</v>
      </c>
      <c r="U7" s="115" t="inlineStr"/>
      <c r="V7" s="115" t="inlineStr">
        <is>
          <t>No</t>
        </is>
      </c>
      <c r="W7" s="115" t="inlineStr">
        <is>
          <t>▲</t>
        </is>
      </c>
    </row>
    <row r="8">
      <c r="A8" s="115" t="inlineStr">
        <is>
          <t>APOLLO</t>
        </is>
      </c>
      <c r="B8" s="115" t="inlineStr">
        <is>
          <t>Small Cap</t>
        </is>
      </c>
      <c r="C8" s="115" t="inlineStr">
        <is>
          <t>Industrial</t>
        </is>
      </c>
      <c r="D8" s="115" t="inlineStr">
        <is>
          <t>Satellite</t>
        </is>
      </c>
      <c r="E8" s="115" t="inlineStr">
        <is>
          <t>Tranch 2</t>
        </is>
      </c>
      <c r="F8" s="115" t="n">
        <v>556</v>
      </c>
      <c r="G8" s="117" t="n">
        <v>200389.45</v>
      </c>
      <c r="H8" s="117" t="n">
        <v>360.41</v>
      </c>
      <c r="I8" s="115" t="n">
        <v>0</v>
      </c>
      <c r="J8" s="117" t="n">
        <v>0</v>
      </c>
      <c r="K8" s="117" t="n">
        <v>0</v>
      </c>
      <c r="L8" s="115" t="n">
        <v>556</v>
      </c>
      <c r="M8" s="117" t="n">
        <v>200387.96</v>
      </c>
      <c r="N8" s="117">
        <f>IFERROR(INDEX(Price_Update!$F:$F, MATCH(A8, Price_Update!$A:$A, 0)), 407.55)</f>
        <v/>
      </c>
      <c r="O8" s="117">
        <f>L8*N8</f>
        <v/>
      </c>
      <c r="P8" s="117" t="n">
        <v>0</v>
      </c>
      <c r="Q8" s="117">
        <f>O8-M8</f>
        <v/>
      </c>
      <c r="R8" s="117">
        <f>P8+Q8</f>
        <v/>
      </c>
      <c r="S8" s="120">
        <f>IF(G8&gt;0, R8/G8, 0)</f>
        <v/>
      </c>
      <c r="T8" s="115" t="n">
        <v>31</v>
      </c>
      <c r="U8" s="115" t="inlineStr"/>
      <c r="V8" s="115" t="inlineStr">
        <is>
          <t>No</t>
        </is>
      </c>
      <c r="W8" s="115" t="inlineStr">
        <is>
          <t>▲</t>
        </is>
      </c>
    </row>
    <row r="9">
      <c r="A9" s="115" t="inlineStr">
        <is>
          <t>ASTRAMICRO</t>
        </is>
      </c>
      <c r="B9" s="115" t="inlineStr">
        <is>
          <t>Small Cap</t>
        </is>
      </c>
      <c r="C9" s="115" t="inlineStr">
        <is>
          <t>Industrial</t>
        </is>
      </c>
      <c r="D9" s="115" t="inlineStr">
        <is>
          <t>Satellite</t>
        </is>
      </c>
      <c r="E9" s="115" t="inlineStr">
        <is>
          <t>Tranch 1</t>
        </is>
      </c>
      <c r="F9" s="115" t="n">
        <v>80</v>
      </c>
      <c r="G9" s="117" t="n">
        <v>100756.4</v>
      </c>
      <c r="H9" s="117" t="n">
        <v>1259.46</v>
      </c>
      <c r="I9" s="115" t="n">
        <v>0</v>
      </c>
      <c r="J9" s="117" t="n">
        <v>0</v>
      </c>
      <c r="K9" s="117" t="n">
        <v>0</v>
      </c>
      <c r="L9" s="115" t="n">
        <v>80</v>
      </c>
      <c r="M9" s="117" t="n">
        <v>100756.8</v>
      </c>
      <c r="N9" s="117">
        <f>IFERROR(INDEX(Price_Update!$F:$F, MATCH(A9, Price_Update!$A:$A, 0)), 1323.7)</f>
        <v/>
      </c>
      <c r="O9" s="117">
        <f>L9*N9</f>
        <v/>
      </c>
      <c r="P9" s="117" t="n">
        <v>0</v>
      </c>
      <c r="Q9" s="117">
        <f>O9-M9</f>
        <v/>
      </c>
      <c r="R9" s="117">
        <f>P9+Q9</f>
        <v/>
      </c>
      <c r="S9" s="120">
        <f>IF(G9&gt;0, R9/G9, 0)</f>
        <v/>
      </c>
      <c r="T9" s="115" t="n">
        <v>38</v>
      </c>
      <c r="U9" s="115" t="inlineStr"/>
      <c r="V9" s="115" t="inlineStr">
        <is>
          <t>No</t>
        </is>
      </c>
      <c r="W9" s="115" t="inlineStr">
        <is>
          <t>▲</t>
        </is>
      </c>
    </row>
    <row r="10">
      <c r="A10" s="115" t="inlineStr">
        <is>
          <t>AUROPHARMA</t>
        </is>
      </c>
      <c r="B10" s="115" t="inlineStr">
        <is>
          <t>Mid Cap</t>
        </is>
      </c>
      <c r="C10" s="115" t="inlineStr">
        <is>
          <t>Health / Pharma / Chem</t>
        </is>
      </c>
      <c r="D10" s="115" t="inlineStr">
        <is>
          <t>Satellite</t>
        </is>
      </c>
      <c r="E10" s="115" t="inlineStr">
        <is>
          <t>Cheat 1</t>
        </is>
      </c>
      <c r="F10" s="115" t="n">
        <v>33</v>
      </c>
      <c r="G10" s="117" t="n">
        <v>49684.8</v>
      </c>
      <c r="H10" s="117" t="n">
        <v>1505.6</v>
      </c>
      <c r="I10" s="115" t="n">
        <v>0</v>
      </c>
      <c r="J10" s="117" t="n">
        <v>0</v>
      </c>
      <c r="K10" s="117" t="n">
        <v>0</v>
      </c>
      <c r="L10" s="115" t="n">
        <v>33</v>
      </c>
      <c r="M10" s="117" t="n">
        <v>49684.8</v>
      </c>
      <c r="N10" s="117">
        <f>IFERROR(INDEX(Price_Update!$F:$F, MATCH(A10, Price_Update!$A:$A, 0)), 1440.4)</f>
        <v/>
      </c>
      <c r="O10" s="117">
        <f>L10*N10</f>
        <v/>
      </c>
      <c r="P10" s="117" t="n">
        <v>0</v>
      </c>
      <c r="Q10" s="117">
        <f>O10-M10</f>
        <v/>
      </c>
      <c r="R10" s="117">
        <f>P10+Q10</f>
        <v/>
      </c>
      <c r="S10" s="120">
        <f>IF(G10&gt;0, R10/G10, 0)</f>
        <v/>
      </c>
      <c r="T10" s="115" t="n">
        <v>17</v>
      </c>
      <c r="U10" s="115" t="inlineStr"/>
      <c r="V10" s="115" t="inlineStr">
        <is>
          <t>No</t>
        </is>
      </c>
      <c r="W10" s="115" t="inlineStr">
        <is>
          <t>▲</t>
        </is>
      </c>
    </row>
    <row r="11">
      <c r="A11" s="115" t="inlineStr">
        <is>
          <t>AVANTEL</t>
        </is>
      </c>
      <c r="B11" s="115" t="inlineStr">
        <is>
          <t>Small Cap</t>
        </is>
      </c>
      <c r="C11" s="115" t="inlineStr">
        <is>
          <t>Tech / Platform / IT</t>
        </is>
      </c>
      <c r="D11" s="115" t="inlineStr">
        <is>
          <t>Satellite</t>
        </is>
      </c>
      <c r="E11" s="115" t="inlineStr"/>
      <c r="F11" s="115" t="n">
        <v>671</v>
      </c>
      <c r="G11" s="117" t="n">
        <v>129693.78</v>
      </c>
      <c r="H11" s="117" t="n">
        <v>193.28</v>
      </c>
      <c r="I11" s="115" t="n">
        <v>671</v>
      </c>
      <c r="J11" s="117" t="n">
        <v>120337.14</v>
      </c>
      <c r="K11" s="117" t="n">
        <v>179.34</v>
      </c>
      <c r="L11" s="115" t="n">
        <v>0</v>
      </c>
      <c r="M11" s="117" t="n">
        <v>0</v>
      </c>
      <c r="N11" s="117">
        <f>IFERROR(INDEX(Price_Update!$F:$F, MATCH(A11, Price_Update!$A:$A, 0)), 176.14)</f>
        <v/>
      </c>
      <c r="O11" s="117">
        <f>L11*N11</f>
        <v/>
      </c>
      <c r="P11" s="117" t="n">
        <v>-9353.74</v>
      </c>
      <c r="Q11" s="117">
        <f>O11-M11</f>
        <v/>
      </c>
      <c r="R11" s="117">
        <f>P11+Q11</f>
        <v/>
      </c>
      <c r="S11" s="120">
        <f>IF(G11&gt;0, R11/G11, 0)</f>
        <v/>
      </c>
      <c r="T11" s="115" t="n">
        <v>41</v>
      </c>
      <c r="U11" s="115" t="inlineStr"/>
      <c r="V11" s="115" t="inlineStr">
        <is>
          <t>No</t>
        </is>
      </c>
      <c r="W11" s="115" t="inlineStr">
        <is>
          <t>▲</t>
        </is>
      </c>
    </row>
    <row r="12">
      <c r="A12" s="115" t="inlineStr">
        <is>
          <t>BAJAJ-AUTO</t>
        </is>
      </c>
      <c r="B12" s="115" t="inlineStr">
        <is>
          <t>Large Cap</t>
        </is>
      </c>
      <c r="C12" s="115" t="inlineStr">
        <is>
          <t xml:space="preserve">Consumption </t>
        </is>
      </c>
      <c r="D12" s="115" t="inlineStr">
        <is>
          <t>Core</t>
        </is>
      </c>
      <c r="E12" s="115" t="inlineStr">
        <is>
          <t>Cheat 1</t>
        </is>
      </c>
      <c r="F12" s="115" t="n">
        <v>3</v>
      </c>
      <c r="G12" s="117" t="n">
        <v>31032</v>
      </c>
      <c r="H12" s="117" t="n">
        <v>10344</v>
      </c>
      <c r="I12" s="115" t="n">
        <v>0</v>
      </c>
      <c r="J12" s="117" t="n">
        <v>0</v>
      </c>
      <c r="K12" s="117" t="n">
        <v>0</v>
      </c>
      <c r="L12" s="115" t="n">
        <v>3</v>
      </c>
      <c r="M12" s="117" t="n">
        <v>31032</v>
      </c>
      <c r="N12" s="117">
        <f>IFERROR(INDEX(Price_Update!$F:$F, MATCH(A12, Price_Update!$A:$A, 0)), 10281.0)</f>
        <v/>
      </c>
      <c r="O12" s="117">
        <f>L12*N12</f>
        <v/>
      </c>
      <c r="P12" s="117" t="n">
        <v>0</v>
      </c>
      <c r="Q12" s="117">
        <f>O12-M12</f>
        <v/>
      </c>
      <c r="R12" s="117">
        <f>P12+Q12</f>
        <v/>
      </c>
      <c r="S12" s="120">
        <f>IF(G12&gt;0, R12/G12, 0)</f>
        <v/>
      </c>
      <c r="T12" s="115" t="n">
        <v>2</v>
      </c>
      <c r="U12" s="115" t="inlineStr"/>
      <c r="V12" s="115" t="inlineStr">
        <is>
          <t>No</t>
        </is>
      </c>
      <c r="W12" s="115" t="inlineStr">
        <is>
          <t>▼</t>
        </is>
      </c>
    </row>
    <row r="13">
      <c r="A13" s="115" t="inlineStr">
        <is>
          <t>BAJFINANCE</t>
        </is>
      </c>
      <c r="B13" s="115" t="inlineStr">
        <is>
          <t>Large Cap</t>
        </is>
      </c>
      <c r="C13" s="115" t="inlineStr">
        <is>
          <t>Finance</t>
        </is>
      </c>
      <c r="D13" s="115" t="inlineStr">
        <is>
          <t>Core</t>
        </is>
      </c>
      <c r="E13" s="115" t="inlineStr"/>
      <c r="F13" s="115" t="n">
        <v>94</v>
      </c>
      <c r="G13" s="117" t="n">
        <v>100072.4</v>
      </c>
      <c r="H13" s="117" t="n">
        <v>1064.6</v>
      </c>
      <c r="I13" s="115" t="n">
        <v>94</v>
      </c>
      <c r="J13" s="117" t="n">
        <v>84426.09999999999</v>
      </c>
      <c r="K13" s="117" t="n">
        <v>898.15</v>
      </c>
      <c r="L13" s="115" t="n">
        <v>0</v>
      </c>
      <c r="M13" s="117" t="n">
        <v>0</v>
      </c>
      <c r="N13" s="117">
        <f>IFERROR(INDEX(Price_Update!$F:$F, MATCH(A13, Price_Update!$A:$A, 0)), 882.0)</f>
        <v/>
      </c>
      <c r="O13" s="117">
        <f>L13*N13</f>
        <v/>
      </c>
      <c r="P13" s="117" t="n">
        <v>-15646.3</v>
      </c>
      <c r="Q13" s="117">
        <f>O13-M13</f>
        <v/>
      </c>
      <c r="R13" s="117">
        <f>P13+Q13</f>
        <v/>
      </c>
      <c r="S13" s="120">
        <f>IF(G13&gt;0, R13/G13, 0)</f>
        <v/>
      </c>
      <c r="T13" s="115" t="n">
        <v>109</v>
      </c>
      <c r="U13" s="115" t="inlineStr"/>
      <c r="V13" s="115" t="inlineStr">
        <is>
          <t>No</t>
        </is>
      </c>
      <c r="W13" s="115" t="inlineStr">
        <is>
          <t>▼</t>
        </is>
      </c>
    </row>
    <row r="14">
      <c r="A14" s="115" t="inlineStr">
        <is>
          <t>BALAMINES</t>
        </is>
      </c>
      <c r="B14" s="115" t="inlineStr">
        <is>
          <t>Small Cap</t>
        </is>
      </c>
      <c r="C14" s="115" t="inlineStr">
        <is>
          <t>Health / Pharma / Chem</t>
        </is>
      </c>
      <c r="D14" s="115" t="inlineStr">
        <is>
          <t>Satellite</t>
        </is>
      </c>
      <c r="E14" s="115" t="inlineStr">
        <is>
          <t>Tranch 1</t>
        </is>
      </c>
      <c r="F14" s="115" t="n">
        <v>56</v>
      </c>
      <c r="G14" s="117" t="n">
        <v>98687.7</v>
      </c>
      <c r="H14" s="117" t="n">
        <v>1762.28</v>
      </c>
      <c r="I14" s="115" t="n">
        <v>0</v>
      </c>
      <c r="J14" s="117" t="n">
        <v>0</v>
      </c>
      <c r="K14" s="117" t="n">
        <v>0</v>
      </c>
      <c r="L14" s="115" t="n">
        <v>56</v>
      </c>
      <c r="M14" s="117" t="n">
        <v>98687.67999999999</v>
      </c>
      <c r="N14" s="117">
        <f>IFERROR(INDEX(Price_Update!$F:$F, MATCH(A14, Price_Update!$A:$A, 0)), 2122.2)</f>
        <v/>
      </c>
      <c r="O14" s="117">
        <f>L14*N14</f>
        <v/>
      </c>
      <c r="P14" s="117" t="n">
        <v>0</v>
      </c>
      <c r="Q14" s="117">
        <f>O14-M14</f>
        <v/>
      </c>
      <c r="R14" s="117">
        <f>P14+Q14</f>
        <v/>
      </c>
      <c r="S14" s="120">
        <f>IF(G14&gt;0, R14/G14, 0)</f>
        <v/>
      </c>
      <c r="T14" s="115" t="n">
        <v>17</v>
      </c>
      <c r="U14" s="115" t="inlineStr"/>
      <c r="V14" s="115" t="inlineStr">
        <is>
          <t>No</t>
        </is>
      </c>
      <c r="W14" s="115" t="inlineStr">
        <is>
          <t>▲</t>
        </is>
      </c>
    </row>
    <row r="15">
      <c r="A15" s="115" t="inlineStr">
        <is>
          <t>BANKBARODA</t>
        </is>
      </c>
      <c r="B15" s="115" t="inlineStr">
        <is>
          <t>Large Cap</t>
        </is>
      </c>
      <c r="C15" s="115" t="inlineStr">
        <is>
          <t>Finance</t>
        </is>
      </c>
      <c r="D15" s="115" t="inlineStr">
        <is>
          <t>Satellite</t>
        </is>
      </c>
      <c r="E15" s="115" t="inlineStr"/>
      <c r="F15" s="115" t="n">
        <v>260</v>
      </c>
      <c r="G15" s="117" t="n">
        <v>75946</v>
      </c>
      <c r="H15" s="117" t="n">
        <v>292.1</v>
      </c>
      <c r="I15" s="115" t="n">
        <v>260</v>
      </c>
      <c r="J15" s="117" t="n">
        <v>70604.55</v>
      </c>
      <c r="K15" s="117" t="n">
        <v>271.56</v>
      </c>
      <c r="L15" s="115" t="n">
        <v>0</v>
      </c>
      <c r="M15" s="117" t="n">
        <v>0</v>
      </c>
      <c r="N15" s="117">
        <f>IFERROR(INDEX(Price_Update!$F:$F, MATCH(A15, Price_Update!$A:$A, 0)), 265.8)</f>
        <v/>
      </c>
      <c r="O15" s="117">
        <f>L15*N15</f>
        <v/>
      </c>
      <c r="P15" s="117" t="n">
        <v>-5341.45</v>
      </c>
      <c r="Q15" s="117">
        <f>O15-M15</f>
        <v/>
      </c>
      <c r="R15" s="117">
        <f>P15+Q15</f>
        <v/>
      </c>
      <c r="S15" s="120">
        <f>IF(G15&gt;0, R15/G15, 0)</f>
        <v/>
      </c>
      <c r="T15" s="115" t="n">
        <v>91</v>
      </c>
      <c r="U15" s="115" t="inlineStr"/>
      <c r="V15" s="115" t="inlineStr">
        <is>
          <t>No</t>
        </is>
      </c>
      <c r="W15" s="115" t="inlineStr">
        <is>
          <t>▲</t>
        </is>
      </c>
    </row>
    <row r="16">
      <c r="A16" s="115" t="inlineStr">
        <is>
          <t>BANKINDIA</t>
        </is>
      </c>
      <c r="B16" s="115" t="inlineStr">
        <is>
          <t>Mid Cap</t>
        </is>
      </c>
      <c r="C16" s="115" t="inlineStr">
        <is>
          <t>Finance</t>
        </is>
      </c>
      <c r="D16" s="115" t="inlineStr">
        <is>
          <t>Satellite</t>
        </is>
      </c>
      <c r="E16" s="115" t="inlineStr"/>
      <c r="F16" s="115" t="n">
        <v>465</v>
      </c>
      <c r="G16" s="117" t="n">
        <v>75179.43000000001</v>
      </c>
      <c r="H16" s="117" t="n">
        <v>161.68</v>
      </c>
      <c r="I16" s="115" t="n">
        <v>465</v>
      </c>
      <c r="J16" s="117" t="n">
        <v>71056.85000000001</v>
      </c>
      <c r="K16" s="117" t="n">
        <v>152.81</v>
      </c>
      <c r="L16" s="115" t="n">
        <v>0</v>
      </c>
      <c r="M16" s="117" t="n">
        <v>0</v>
      </c>
      <c r="N16" s="117">
        <f>IFERROR(INDEX(Price_Update!$F:$F, MATCH(A16, Price_Update!$A:$A, 0)), 137.29)</f>
        <v/>
      </c>
      <c r="O16" s="117">
        <f>L16*N16</f>
        <v/>
      </c>
      <c r="P16" s="117" t="n">
        <v>-4124.35</v>
      </c>
      <c r="Q16" s="117">
        <f>O16-M16</f>
        <v/>
      </c>
      <c r="R16" s="117">
        <f>P16+Q16</f>
        <v/>
      </c>
      <c r="S16" s="120">
        <f>IF(G16&gt;0, R16/G16, 0)</f>
        <v/>
      </c>
      <c r="T16" s="115" t="n">
        <v>61</v>
      </c>
      <c r="U16" s="115" t="inlineStr"/>
      <c r="V16" s="115" t="inlineStr">
        <is>
          <t>No</t>
        </is>
      </c>
      <c r="W16" s="115" t="inlineStr">
        <is>
          <t>▲</t>
        </is>
      </c>
    </row>
    <row r="17">
      <c r="A17" s="115" t="inlineStr">
        <is>
          <t>BEL</t>
        </is>
      </c>
      <c r="B17" s="115" t="inlineStr">
        <is>
          <t>Large Cap</t>
        </is>
      </c>
      <c r="C17" s="115" t="inlineStr">
        <is>
          <t>Industrial</t>
        </is>
      </c>
      <c r="D17" s="115" t="inlineStr">
        <is>
          <t>Satellite</t>
        </is>
      </c>
      <c r="E17" s="115" t="inlineStr"/>
      <c r="F17" s="115" t="n">
        <v>222</v>
      </c>
      <c r="G17" s="117" t="n">
        <v>100778.25</v>
      </c>
      <c r="H17" s="117" t="n">
        <v>453.96</v>
      </c>
      <c r="I17" s="115" t="n">
        <v>222</v>
      </c>
      <c r="J17" s="117" t="n">
        <v>94405.5</v>
      </c>
      <c r="K17" s="117" t="n">
        <v>425.25</v>
      </c>
      <c r="L17" s="115" t="n">
        <v>0</v>
      </c>
      <c r="M17" s="117" t="n">
        <v>0</v>
      </c>
      <c r="N17" s="117">
        <f>IFERROR(INDEX(Price_Update!$F:$F, MATCH(A17, Price_Update!$A:$A, 0)), 407.85)</f>
        <v/>
      </c>
      <c r="O17" s="117">
        <f>L17*N17</f>
        <v/>
      </c>
      <c r="P17" s="117" t="n">
        <v>-6373.62</v>
      </c>
      <c r="Q17" s="117">
        <f>O17-M17</f>
        <v/>
      </c>
      <c r="R17" s="117">
        <f>P17+Q17</f>
        <v/>
      </c>
      <c r="S17" s="120">
        <f>IF(G17&gt;0, R17/G17, 0)</f>
        <v/>
      </c>
      <c r="T17" s="115" t="n">
        <v>105</v>
      </c>
      <c r="U17" s="115" t="inlineStr"/>
      <c r="V17" s="115" t="inlineStr">
        <is>
          <t>No</t>
        </is>
      </c>
      <c r="W17" s="115" t="inlineStr">
        <is>
          <t>▲</t>
        </is>
      </c>
    </row>
    <row r="18">
      <c r="A18" s="115" t="inlineStr">
        <is>
          <t>BHARATFORG</t>
        </is>
      </c>
      <c r="B18" s="115" t="inlineStr">
        <is>
          <t>Mid Cap</t>
        </is>
      </c>
      <c r="C18" s="115" t="inlineStr">
        <is>
          <t>Industrial</t>
        </is>
      </c>
      <c r="D18" s="115" t="inlineStr">
        <is>
          <t>Satellite</t>
        </is>
      </c>
      <c r="E18" s="115" t="inlineStr"/>
      <c r="F18" s="115" t="n">
        <v>36</v>
      </c>
      <c r="G18" s="117" t="n">
        <v>50176.8</v>
      </c>
      <c r="H18" s="117" t="n">
        <v>1393.8</v>
      </c>
      <c r="I18" s="115" t="n">
        <v>36</v>
      </c>
      <c r="J18" s="117" t="n">
        <v>50997.6</v>
      </c>
      <c r="K18" s="117" t="n">
        <v>1416.6</v>
      </c>
      <c r="L18" s="115" t="n">
        <v>0</v>
      </c>
      <c r="M18" s="117" t="n">
        <v>0</v>
      </c>
      <c r="N18" s="117">
        <f>IFERROR(INDEX(Price_Update!$F:$F, MATCH(A18, Price_Update!$A:$A, 0)), 1902.9)</f>
        <v/>
      </c>
      <c r="O18" s="117">
        <f>L18*N18</f>
        <v/>
      </c>
      <c r="P18" s="117" t="n">
        <v>820.8</v>
      </c>
      <c r="Q18" s="117">
        <f>O18-M18</f>
        <v/>
      </c>
      <c r="R18" s="117">
        <f>P18+Q18</f>
        <v/>
      </c>
      <c r="S18" s="120">
        <f>IF(G18&gt;0, R18/G18, 0)</f>
        <v/>
      </c>
      <c r="T18" s="115" t="n">
        <v>77</v>
      </c>
      <c r="U18" s="115" t="inlineStr"/>
      <c r="V18" s="115" t="inlineStr">
        <is>
          <t>No</t>
        </is>
      </c>
      <c r="W18" s="115" t="inlineStr">
        <is>
          <t>▼</t>
        </is>
      </c>
    </row>
    <row r="19">
      <c r="A19" s="115" t="inlineStr">
        <is>
          <t>BPCL</t>
        </is>
      </c>
      <c r="B19" s="115" t="inlineStr">
        <is>
          <t>Large Cap</t>
        </is>
      </c>
      <c r="C19" s="115" t="inlineStr">
        <is>
          <t>Industrial</t>
        </is>
      </c>
      <c r="D19" s="115" t="inlineStr">
        <is>
          <t>Satellite</t>
        </is>
      </c>
      <c r="E19" s="115" t="inlineStr"/>
      <c r="F19" s="115" t="n">
        <v>82</v>
      </c>
      <c r="G19" s="117" t="n">
        <v>30151.4</v>
      </c>
      <c r="H19" s="117" t="n">
        <v>367.7</v>
      </c>
      <c r="I19" s="115" t="n">
        <v>82</v>
      </c>
      <c r="J19" s="117" t="n">
        <v>24735.3</v>
      </c>
      <c r="K19" s="117" t="n">
        <v>301.65</v>
      </c>
      <c r="L19" s="115" t="n">
        <v>0</v>
      </c>
      <c r="M19" s="117" t="n">
        <v>0</v>
      </c>
      <c r="N19" s="117">
        <f>IFERROR(INDEX(Price_Update!$F:$F, MATCH(A19, Price_Update!$A:$A, 0)), 294.4)</f>
        <v/>
      </c>
      <c r="O19" s="117">
        <f>L19*N19</f>
        <v/>
      </c>
      <c r="P19" s="117" t="n">
        <v>-5416.1</v>
      </c>
      <c r="Q19" s="117">
        <f>O19-M19</f>
        <v/>
      </c>
      <c r="R19" s="117">
        <f>P19+Q19</f>
        <v/>
      </c>
      <c r="S19" s="120">
        <f>IF(G19&gt;0, R19/G19, 0)</f>
        <v/>
      </c>
      <c r="T19" s="115" t="n">
        <v>182</v>
      </c>
      <c r="U19" s="115" t="inlineStr"/>
      <c r="V19" s="115" t="inlineStr">
        <is>
          <t>No</t>
        </is>
      </c>
      <c r="W19" s="115" t="inlineStr">
        <is>
          <t>▼</t>
        </is>
      </c>
    </row>
    <row r="20">
      <c r="A20" s="115" t="inlineStr">
        <is>
          <t>BSE</t>
        </is>
      </c>
      <c r="B20" s="115" t="inlineStr">
        <is>
          <t>Large Cap</t>
        </is>
      </c>
      <c r="C20" s="115" t="inlineStr">
        <is>
          <t>Finance</t>
        </is>
      </c>
      <c r="D20" s="115" t="inlineStr">
        <is>
          <t>Core</t>
        </is>
      </c>
      <c r="E20" s="115" t="inlineStr">
        <is>
          <t>Tranch 1</t>
        </is>
      </c>
      <c r="F20" s="115" t="n">
        <v>30</v>
      </c>
      <c r="G20" s="117" t="n">
        <v>100770.003</v>
      </c>
      <c r="H20" s="117" t="n">
        <v>3359</v>
      </c>
      <c r="I20" s="115" t="n">
        <v>0</v>
      </c>
      <c r="J20" s="117" t="n">
        <v>0</v>
      </c>
      <c r="K20" s="117" t="n">
        <v>0</v>
      </c>
      <c r="L20" s="115" t="n">
        <v>30</v>
      </c>
      <c r="M20" s="117" t="n">
        <v>100770</v>
      </c>
      <c r="N20" s="117">
        <f>IFERROR(INDEX(Price_Update!$F:$F, MATCH(A20, Price_Update!$A:$A, 0)), 3966.1)</f>
        <v/>
      </c>
      <c r="O20" s="117">
        <f>L20*N20</f>
        <v/>
      </c>
      <c r="P20" s="117" t="n">
        <v>0</v>
      </c>
      <c r="Q20" s="117">
        <f>O20-M20</f>
        <v/>
      </c>
      <c r="R20" s="117">
        <f>P20+Q20</f>
        <v/>
      </c>
      <c r="S20" s="120">
        <f>IF(G20&gt;0, R20/G20, 0)</f>
        <v/>
      </c>
      <c r="T20" s="115" t="n">
        <v>178</v>
      </c>
      <c r="U20" s="115" t="inlineStr"/>
      <c r="V20" s="115" t="inlineStr">
        <is>
          <t>No</t>
        </is>
      </c>
      <c r="W20" s="115" t="inlineStr">
        <is>
          <t>▼</t>
        </is>
      </c>
    </row>
    <row r="21">
      <c r="A21" s="115" t="inlineStr">
        <is>
          <t>BSOFT</t>
        </is>
      </c>
      <c r="B21" s="115" t="inlineStr">
        <is>
          <t>Small Cap</t>
        </is>
      </c>
      <c r="C21" s="115" t="inlineStr">
        <is>
          <t>Tech / Platform / IT</t>
        </is>
      </c>
      <c r="D21" s="115" t="inlineStr">
        <is>
          <t>Satellite</t>
        </is>
      </c>
      <c r="E21" s="115" t="inlineStr"/>
      <c r="F21" s="115" t="n">
        <v>228</v>
      </c>
      <c r="G21" s="117" t="n">
        <v>99912.14999999999</v>
      </c>
      <c r="H21" s="117" t="n">
        <v>438.21</v>
      </c>
      <c r="I21" s="115" t="n">
        <v>228</v>
      </c>
      <c r="J21" s="117" t="n">
        <v>90155.40000000001</v>
      </c>
      <c r="K21" s="117" t="n">
        <v>395.42</v>
      </c>
      <c r="L21" s="115" t="n">
        <v>0</v>
      </c>
      <c r="M21" s="117" t="n">
        <v>0</v>
      </c>
      <c r="N21" s="117">
        <f>IFERROR(INDEX(Price_Update!$F:$F, MATCH(A21, Price_Update!$A:$A, 0)), 344.8)</f>
        <v/>
      </c>
      <c r="O21" s="117">
        <f>L21*N21</f>
        <v/>
      </c>
      <c r="P21" s="117" t="n">
        <v>-9756.48</v>
      </c>
      <c r="Q21" s="117">
        <f>O21-M21</f>
        <v/>
      </c>
      <c r="R21" s="117">
        <f>P21+Q21</f>
        <v/>
      </c>
      <c r="S21" s="120">
        <f>IF(G21&gt;0, R21/G21, 0)</f>
        <v/>
      </c>
      <c r="T21" s="115" t="n">
        <v>50</v>
      </c>
      <c r="U21" s="115" t="inlineStr"/>
      <c r="V21" s="115" t="inlineStr">
        <is>
          <t>No</t>
        </is>
      </c>
      <c r="W21" s="115" t="inlineStr">
        <is>
          <t>▲</t>
        </is>
      </c>
    </row>
    <row r="22">
      <c r="A22" s="115" t="inlineStr">
        <is>
          <t>CANBK</t>
        </is>
      </c>
      <c r="B22" s="115" t="inlineStr">
        <is>
          <t>Large Cap</t>
        </is>
      </c>
      <c r="C22" s="115" t="inlineStr">
        <is>
          <t>Finance</t>
        </is>
      </c>
      <c r="D22" s="115" t="inlineStr">
        <is>
          <t>Satellite</t>
        </is>
      </c>
      <c r="E22" s="115" t="inlineStr"/>
      <c r="F22" s="115" t="n">
        <v>2062</v>
      </c>
      <c r="G22" s="117" t="n">
        <v>269285.9</v>
      </c>
      <c r="H22" s="117" t="n">
        <v>130.59</v>
      </c>
      <c r="I22" s="115" t="n">
        <v>2078</v>
      </c>
      <c r="J22" s="117" t="n">
        <v>267524.4</v>
      </c>
      <c r="K22" s="117" t="n">
        <v>128.74</v>
      </c>
      <c r="L22" s="115" t="n">
        <v>-16</v>
      </c>
      <c r="M22" s="117" t="n">
        <v>-2089.44</v>
      </c>
      <c r="N22" s="117">
        <f>IFERROR(INDEX(Price_Update!$F:$F, MATCH(A22, Price_Update!$A:$A, 0)), 129.08)</f>
        <v/>
      </c>
      <c r="O22" s="117">
        <f>L22*N22</f>
        <v/>
      </c>
      <c r="P22" s="117" t="n">
        <v>-3841.62</v>
      </c>
      <c r="Q22" s="117">
        <f>O22-M22</f>
        <v/>
      </c>
      <c r="R22" s="117">
        <f>P22+Q22</f>
        <v/>
      </c>
      <c r="S22" s="120">
        <f>IF(G22&gt;0, R22/G22, 0)</f>
        <v/>
      </c>
      <c r="T22" s="115" t="n">
        <v>150</v>
      </c>
      <c r="U22" s="115" t="inlineStr"/>
      <c r="V22" s="115" t="inlineStr">
        <is>
          <t>No</t>
        </is>
      </c>
      <c r="W22" s="115" t="inlineStr">
        <is>
          <t>▲</t>
        </is>
      </c>
    </row>
    <row r="23">
      <c r="A23" s="115" t="inlineStr">
        <is>
          <t>CAPLIPOINT</t>
        </is>
      </c>
      <c r="B23" s="115" t="inlineStr">
        <is>
          <t>Small Cap</t>
        </is>
      </c>
      <c r="C23" s="115" t="inlineStr">
        <is>
          <t>Health / Pharma / Chem</t>
        </is>
      </c>
      <c r="D23" s="115" t="inlineStr">
        <is>
          <t>Core</t>
        </is>
      </c>
      <c r="E23" s="115" t="inlineStr">
        <is>
          <t>Cheat 1</t>
        </is>
      </c>
      <c r="F23" s="115" t="n">
        <v>15</v>
      </c>
      <c r="G23" s="117" t="n">
        <v>29586</v>
      </c>
      <c r="H23" s="117" t="n">
        <v>1972.4</v>
      </c>
      <c r="I23" s="115" t="n">
        <v>0</v>
      </c>
      <c r="J23" s="117" t="n">
        <v>0</v>
      </c>
      <c r="K23" s="117" t="n">
        <v>0</v>
      </c>
      <c r="L23" s="115" t="n">
        <v>15</v>
      </c>
      <c r="M23" s="117" t="n">
        <v>29586</v>
      </c>
      <c r="N23" s="117">
        <f>IFERROR(INDEX(Price_Update!$F:$F, MATCH(A23, Price_Update!$A:$A, 0)), 1988.1)</f>
        <v/>
      </c>
      <c r="O23" s="117">
        <f>L23*N23</f>
        <v/>
      </c>
      <c r="P23" s="117" t="n">
        <v>0</v>
      </c>
      <c r="Q23" s="117">
        <f>O23-M23</f>
        <v/>
      </c>
      <c r="R23" s="117">
        <f>P23+Q23</f>
        <v/>
      </c>
      <c r="S23" s="120">
        <f>IF(G23&gt;0, R23/G23, 0)</f>
        <v/>
      </c>
      <c r="T23" s="115" t="n">
        <v>2</v>
      </c>
      <c r="U23" s="115" t="inlineStr"/>
      <c r="V23" s="115" t="inlineStr">
        <is>
          <t>No</t>
        </is>
      </c>
      <c r="W23" s="115" t="inlineStr">
        <is>
          <t>▼</t>
        </is>
      </c>
    </row>
    <row r="24">
      <c r="A24" s="115" t="inlineStr">
        <is>
          <t>CARYSIL</t>
        </is>
      </c>
      <c r="B24" s="115" t="inlineStr">
        <is>
          <t>Small Cap</t>
        </is>
      </c>
      <c r="C24" s="115" t="inlineStr">
        <is>
          <t xml:space="preserve">Consumption </t>
        </is>
      </c>
      <c r="D24" s="115" t="inlineStr">
        <is>
          <t>Core</t>
        </is>
      </c>
      <c r="E24" s="115" t="inlineStr">
        <is>
          <t>Cheat 1</t>
        </is>
      </c>
      <c r="F24" s="115" t="n">
        <v>27</v>
      </c>
      <c r="G24" s="117" t="n">
        <v>29735.1</v>
      </c>
      <c r="H24" s="117" t="n">
        <v>1101.3</v>
      </c>
      <c r="I24" s="115" t="n">
        <v>0</v>
      </c>
      <c r="J24" s="117" t="n">
        <v>0</v>
      </c>
      <c r="K24" s="117" t="n">
        <v>0</v>
      </c>
      <c r="L24" s="115" t="n">
        <v>27</v>
      </c>
      <c r="M24" s="117" t="n">
        <v>29735.1</v>
      </c>
      <c r="N24" s="117">
        <f>IFERROR(INDEX(Price_Update!$F:$F, MATCH(A24, Price_Update!$A:$A, 0)), 1113.5)</f>
        <v/>
      </c>
      <c r="O24" s="117">
        <f>L24*N24</f>
        <v/>
      </c>
      <c r="P24" s="117" t="n">
        <v>0</v>
      </c>
      <c r="Q24" s="117">
        <f>O24-M24</f>
        <v/>
      </c>
      <c r="R24" s="117">
        <f>P24+Q24</f>
        <v/>
      </c>
      <c r="S24" s="120">
        <f>IF(G24&gt;0, R24/G24, 0)</f>
        <v/>
      </c>
      <c r="T24" s="115" t="n">
        <v>2</v>
      </c>
      <c r="U24" s="115" t="inlineStr"/>
      <c r="V24" s="115" t="inlineStr">
        <is>
          <t>No</t>
        </is>
      </c>
      <c r="W24" s="115" t="inlineStr">
        <is>
          <t>▲</t>
        </is>
      </c>
    </row>
    <row r="25">
      <c r="A25" s="115" t="inlineStr">
        <is>
          <t>CCL</t>
        </is>
      </c>
      <c r="B25" s="115" t="inlineStr">
        <is>
          <t>Small Cap</t>
        </is>
      </c>
      <c r="C25" s="115" t="inlineStr">
        <is>
          <t>Consumption</t>
        </is>
      </c>
      <c r="D25" s="115" t="inlineStr">
        <is>
          <t>Core</t>
        </is>
      </c>
      <c r="E25" s="115" t="inlineStr">
        <is>
          <t>Cheat 1</t>
        </is>
      </c>
      <c r="F25" s="115" t="n">
        <v>49</v>
      </c>
      <c r="G25" s="117" t="n">
        <v>50624.60000000001</v>
      </c>
      <c r="H25" s="117" t="n">
        <v>1033.16</v>
      </c>
      <c r="I25" s="115" t="n">
        <v>0</v>
      </c>
      <c r="J25" s="117" t="n">
        <v>0</v>
      </c>
      <c r="K25" s="117" t="n">
        <v>0</v>
      </c>
      <c r="L25" s="115" t="n">
        <v>49</v>
      </c>
      <c r="M25" s="117" t="n">
        <v>50624.84</v>
      </c>
      <c r="N25" s="117">
        <f>IFERROR(INDEX(Price_Update!$F:$F, MATCH(A25, Price_Update!$A:$A, 0)), 1078.2)</f>
        <v/>
      </c>
      <c r="O25" s="117">
        <f>L25*N25</f>
        <v/>
      </c>
      <c r="P25" s="117" t="n">
        <v>0</v>
      </c>
      <c r="Q25" s="117">
        <f>O25-M25</f>
        <v/>
      </c>
      <c r="R25" s="117">
        <f>P25+Q25</f>
        <v/>
      </c>
      <c r="S25" s="120">
        <f>IF(G25&gt;0, R25/G25, 0)</f>
        <v/>
      </c>
      <c r="T25" s="115" t="n">
        <v>87</v>
      </c>
      <c r="U25" s="115" t="inlineStr"/>
      <c r="V25" s="115" t="inlineStr">
        <is>
          <t>No</t>
        </is>
      </c>
      <c r="W25" s="115" t="inlineStr">
        <is>
          <t>▲</t>
        </is>
      </c>
    </row>
    <row r="26">
      <c r="A26" s="115" t="inlineStr">
        <is>
          <t>CGPOWER</t>
        </is>
      </c>
      <c r="B26" s="115" t="inlineStr">
        <is>
          <t>Large Cap</t>
        </is>
      </c>
      <c r="C26" s="115" t="inlineStr">
        <is>
          <t>Industrial</t>
        </is>
      </c>
      <c r="D26" s="115" t="inlineStr">
        <is>
          <t>Satellite</t>
        </is>
      </c>
      <c r="E26" s="115" t="inlineStr">
        <is>
          <t>Tranch 2</t>
        </is>
      </c>
      <c r="F26" s="115" t="n">
        <v>263</v>
      </c>
      <c r="G26" s="117" t="n">
        <v>227322.35</v>
      </c>
      <c r="H26" s="117" t="n">
        <v>864.34</v>
      </c>
      <c r="I26" s="115" t="n">
        <v>33</v>
      </c>
      <c r="J26" s="117" t="n">
        <v>25000.8</v>
      </c>
      <c r="K26" s="117" t="n">
        <v>757.6</v>
      </c>
      <c r="L26" s="115" t="n">
        <v>230</v>
      </c>
      <c r="M26" s="117" t="n">
        <v>198798.2</v>
      </c>
      <c r="N26" s="117">
        <f>IFERROR(INDEX(Price_Update!$F:$F, MATCH(A26, Price_Update!$A:$A, 0)), 906.65)</f>
        <v/>
      </c>
      <c r="O26" s="117">
        <f>L26*N26</f>
        <v/>
      </c>
      <c r="P26" s="117" t="n">
        <v>-3522.42</v>
      </c>
      <c r="Q26" s="117">
        <f>O26-M26</f>
        <v/>
      </c>
      <c r="R26" s="117">
        <f>P26+Q26</f>
        <v/>
      </c>
      <c r="S26" s="120">
        <f>IF(G26&gt;0, R26/G26, 0)</f>
        <v/>
      </c>
      <c r="T26" s="115" t="n">
        <v>112</v>
      </c>
      <c r="U26" s="115" t="inlineStr"/>
      <c r="V26" s="115" t="inlineStr">
        <is>
          <t>No</t>
        </is>
      </c>
      <c r="W26" s="115" t="inlineStr">
        <is>
          <t>▲</t>
        </is>
      </c>
    </row>
    <row r="27">
      <c r="A27" s="115" t="inlineStr">
        <is>
          <t>CHENNPETRO</t>
        </is>
      </c>
      <c r="B27" s="115" t="inlineStr">
        <is>
          <t>Small Cap</t>
        </is>
      </c>
      <c r="C27" s="115" t="inlineStr">
        <is>
          <t>Industrial</t>
        </is>
      </c>
      <c r="D27" s="115" t="inlineStr">
        <is>
          <t>Satellite</t>
        </is>
      </c>
      <c r="E27" s="115" t="inlineStr"/>
      <c r="F27" s="115" t="n">
        <v>42</v>
      </c>
      <c r="G27" s="117" t="n">
        <v>40147.05</v>
      </c>
      <c r="H27" s="117" t="n">
        <v>955.88</v>
      </c>
      <c r="I27" s="115" t="n">
        <v>52</v>
      </c>
      <c r="J27" s="117" t="n">
        <v>42377.3</v>
      </c>
      <c r="K27" s="117" t="n">
        <v>814.95</v>
      </c>
      <c r="L27" s="115" t="n">
        <v>-10</v>
      </c>
      <c r="M27" s="117" t="n">
        <v>-9558.799999999999</v>
      </c>
      <c r="N27" s="117">
        <f>IFERROR(INDEX(Price_Update!$F:$F, MATCH(A27, Price_Update!$A:$A, 0)), 1141.6)</f>
        <v/>
      </c>
      <c r="O27" s="117">
        <f>L27*N27</f>
        <v/>
      </c>
      <c r="P27" s="117" t="n">
        <v>-7328.46</v>
      </c>
      <c r="Q27" s="117">
        <f>O27-M27</f>
        <v/>
      </c>
      <c r="R27" s="117">
        <f>P27+Q27</f>
        <v/>
      </c>
      <c r="S27" s="120">
        <f>IF(G27&gt;0, R27/G27, 0)</f>
        <v/>
      </c>
      <c r="T27" s="115" t="n">
        <v>213</v>
      </c>
      <c r="U27" s="115" t="inlineStr"/>
      <c r="V27" s="115" t="inlineStr">
        <is>
          <t>No</t>
        </is>
      </c>
      <c r="W27" s="115" t="inlineStr">
        <is>
          <t>▲</t>
        </is>
      </c>
    </row>
    <row r="28">
      <c r="A28" s="115" t="inlineStr">
        <is>
          <t>CIPLA</t>
        </is>
      </c>
      <c r="B28" s="115" t="inlineStr">
        <is>
          <t>Large Cap</t>
        </is>
      </c>
      <c r="C28" s="115" t="inlineStr">
        <is>
          <t>Health / Pharma / Chem</t>
        </is>
      </c>
      <c r="D28" s="115" t="inlineStr">
        <is>
          <t>Core</t>
        </is>
      </c>
      <c r="E28" s="115" t="inlineStr"/>
      <c r="F28" s="115" t="n">
        <v>64</v>
      </c>
      <c r="G28" s="117" t="n">
        <v>99129.60000000001</v>
      </c>
      <c r="H28" s="117" t="n">
        <v>1548.9</v>
      </c>
      <c r="I28" s="115" t="n">
        <v>64</v>
      </c>
      <c r="J28" s="117" t="n">
        <v>83161.60000000001</v>
      </c>
      <c r="K28" s="117" t="n">
        <v>1299.4</v>
      </c>
      <c r="L28" s="115" t="n">
        <v>0</v>
      </c>
      <c r="M28" s="117" t="n">
        <v>0</v>
      </c>
      <c r="N28" s="117">
        <f>IFERROR(INDEX(Price_Update!$F:$F, MATCH(A28, Price_Update!$A:$A, 0)), 1379.3)</f>
        <v/>
      </c>
      <c r="O28" s="117">
        <f>L28*N28</f>
        <v/>
      </c>
      <c r="P28" s="117" t="n">
        <v>-15968</v>
      </c>
      <c r="Q28" s="117">
        <f>O28-M28</f>
        <v/>
      </c>
      <c r="R28" s="117">
        <f>P28+Q28</f>
        <v/>
      </c>
      <c r="S28" s="120">
        <f>IF(G28&gt;0, R28/G28, 0)</f>
        <v/>
      </c>
      <c r="T28" s="115" t="n">
        <v>147</v>
      </c>
      <c r="U28" s="115" t="inlineStr"/>
      <c r="V28" s="115" t="inlineStr">
        <is>
          <t>No</t>
        </is>
      </c>
      <c r="W28" s="115" t="inlineStr">
        <is>
          <t>▼</t>
        </is>
      </c>
    </row>
    <row r="29">
      <c r="A29" s="115" t="inlineStr">
        <is>
          <t>CRAFTSMAN</t>
        </is>
      </c>
      <c r="B29" s="115" t="inlineStr">
        <is>
          <t>Small Cap</t>
        </is>
      </c>
      <c r="C29" s="115" t="inlineStr">
        <is>
          <t>Industrial</t>
        </is>
      </c>
      <c r="D29" s="115" t="inlineStr">
        <is>
          <t>Core</t>
        </is>
      </c>
      <c r="E29" s="115" t="inlineStr">
        <is>
          <t>Cheat 1</t>
        </is>
      </c>
      <c r="F29" s="115" t="n">
        <v>6</v>
      </c>
      <c r="G29" s="117" t="n">
        <v>53748</v>
      </c>
      <c r="H29" s="117" t="n">
        <v>8958</v>
      </c>
      <c r="I29" s="115" t="n">
        <v>0</v>
      </c>
      <c r="J29" s="117" t="n">
        <v>0</v>
      </c>
      <c r="K29" s="117" t="n">
        <v>0</v>
      </c>
      <c r="L29" s="115" t="n">
        <v>6</v>
      </c>
      <c r="M29" s="117" t="n">
        <v>53748</v>
      </c>
      <c r="N29" s="117">
        <f>IFERROR(INDEX(Price_Update!$F:$F, MATCH(A29, Price_Update!$A:$A, 0)), 8979.0)</f>
        <v/>
      </c>
      <c r="O29" s="117">
        <f>L29*N29</f>
        <v/>
      </c>
      <c r="P29" s="117" t="n">
        <v>0</v>
      </c>
      <c r="Q29" s="117">
        <f>O29-M29</f>
        <v/>
      </c>
      <c r="R29" s="117">
        <f>P29+Q29</f>
        <v/>
      </c>
      <c r="S29" s="120">
        <f>IF(G29&gt;0, R29/G29, 0)</f>
        <v/>
      </c>
      <c r="T29" s="115" t="n">
        <v>2</v>
      </c>
      <c r="U29" s="115" t="inlineStr"/>
      <c r="V29" s="115" t="inlineStr">
        <is>
          <t>No</t>
        </is>
      </c>
      <c r="W29" s="115" t="inlineStr">
        <is>
          <t>▲</t>
        </is>
      </c>
    </row>
    <row r="30">
      <c r="A30" s="115" t="inlineStr">
        <is>
          <t>CUPID</t>
        </is>
      </c>
      <c r="B30" s="115" t="inlineStr">
        <is>
          <t>Small Cap</t>
        </is>
      </c>
      <c r="C30" s="115" t="inlineStr">
        <is>
          <t>Consumption</t>
        </is>
      </c>
      <c r="D30" s="115" t="inlineStr">
        <is>
          <t>Satellite</t>
        </is>
      </c>
      <c r="E30" s="115" t="inlineStr">
        <is>
          <t>Tranch 2</t>
        </is>
      </c>
      <c r="F30" s="115" t="n">
        <v>2490</v>
      </c>
      <c r="G30" s="117" t="n">
        <v>243383.46</v>
      </c>
      <c r="H30" s="117" t="n">
        <v>97.73999999999999</v>
      </c>
      <c r="I30" s="115" t="n">
        <v>665</v>
      </c>
      <c r="J30" s="117" t="n">
        <v>48531.7</v>
      </c>
      <c r="K30" s="117" t="n">
        <v>72.98</v>
      </c>
      <c r="L30" s="115" t="n">
        <v>1825</v>
      </c>
      <c r="M30" s="117" t="n">
        <v>178375.5</v>
      </c>
      <c r="N30" s="117">
        <f>IFERROR(INDEX(Price_Update!$F:$F, MATCH(A30, Price_Update!$A:$A, 0)), 129.8)</f>
        <v/>
      </c>
      <c r="O30" s="117">
        <f>L30*N30</f>
        <v/>
      </c>
      <c r="P30" s="117" t="n">
        <v>-16465.4</v>
      </c>
      <c r="Q30" s="117">
        <f>O30-M30</f>
        <v/>
      </c>
      <c r="R30" s="117">
        <f>P30+Q30</f>
        <v/>
      </c>
      <c r="S30" s="120">
        <f>IF(G30&gt;0, R30/G30, 0)</f>
        <v/>
      </c>
      <c r="T30" s="115" t="n">
        <v>149</v>
      </c>
      <c r="U30" s="115" t="inlineStr">
        <is>
          <t>5:1 Split on 2026-03-09</t>
        </is>
      </c>
      <c r="V30" s="115" t="inlineStr">
        <is>
          <t>No</t>
        </is>
      </c>
      <c r="W30" s="115" t="inlineStr">
        <is>
          <t>▲</t>
        </is>
      </c>
    </row>
    <row r="31">
      <c r="A31" s="115" t="inlineStr">
        <is>
          <t>DMART</t>
        </is>
      </c>
      <c r="B31" s="115" t="inlineStr">
        <is>
          <t>Large Cap</t>
        </is>
      </c>
      <c r="C31" s="115" t="inlineStr">
        <is>
          <t>Consumption</t>
        </is>
      </c>
      <c r="D31" s="115" t="inlineStr">
        <is>
          <t>Core</t>
        </is>
      </c>
      <c r="E31" s="115" t="inlineStr"/>
      <c r="F31" s="115" t="n">
        <v>19</v>
      </c>
      <c r="G31" s="117" t="n">
        <v>89756.60060000001</v>
      </c>
      <c r="H31" s="117" t="n">
        <v>4724.03</v>
      </c>
      <c r="I31" s="115" t="n">
        <v>19</v>
      </c>
      <c r="J31" s="117" t="n">
        <v>77079.2</v>
      </c>
      <c r="K31" s="117" t="n">
        <v>4056.8</v>
      </c>
      <c r="L31" s="115" t="n">
        <v>0</v>
      </c>
      <c r="M31" s="117" t="n">
        <v>0</v>
      </c>
      <c r="N31" s="117">
        <f>IFERROR(INDEX(Price_Update!$F:$F, MATCH(A31, Price_Update!$A:$A, 0)), 4057.0)</f>
        <v/>
      </c>
      <c r="O31" s="117">
        <f>L31*N31</f>
        <v/>
      </c>
      <c r="P31" s="117" t="n">
        <v>-12677.37</v>
      </c>
      <c r="Q31" s="117">
        <f>O31-M31</f>
        <v/>
      </c>
      <c r="R31" s="117">
        <f>P31+Q31</f>
        <v/>
      </c>
      <c r="S31" s="120">
        <f>IF(G31&gt;0, R31/G31, 0)</f>
        <v/>
      </c>
      <c r="T31" s="115" t="n">
        <v>64</v>
      </c>
      <c r="U31" s="115" t="inlineStr"/>
      <c r="V31" s="115" t="inlineStr">
        <is>
          <t>No</t>
        </is>
      </c>
      <c r="W31" s="115" t="inlineStr">
        <is>
          <t>▼</t>
        </is>
      </c>
    </row>
    <row r="32">
      <c r="A32" s="115" t="inlineStr">
        <is>
          <t>ETERNAL</t>
        </is>
      </c>
      <c r="B32" s="115" t="inlineStr">
        <is>
          <t>Large Cap</t>
        </is>
      </c>
      <c r="C32" s="115" t="inlineStr">
        <is>
          <t>Tech / Platform / IT</t>
        </is>
      </c>
      <c r="D32" s="115" t="inlineStr">
        <is>
          <t>Satellite</t>
        </is>
      </c>
      <c r="E32" s="115" t="inlineStr"/>
      <c r="F32" s="115" t="n">
        <v>75</v>
      </c>
      <c r="G32" s="117" t="n">
        <v>25440</v>
      </c>
      <c r="H32" s="117" t="n">
        <v>339.2</v>
      </c>
      <c r="I32" s="115" t="n">
        <v>75</v>
      </c>
      <c r="J32" s="117" t="n">
        <v>22856.25</v>
      </c>
      <c r="K32" s="117" t="n">
        <v>304.75</v>
      </c>
      <c r="L32" s="115" t="n">
        <v>0</v>
      </c>
      <c r="M32" s="117" t="n">
        <v>0</v>
      </c>
      <c r="N32" s="117">
        <f>IFERROR(INDEX(Price_Update!$F:$F, MATCH(A32, Price_Update!$A:$A, 0)), 250.75)</f>
        <v/>
      </c>
      <c r="O32" s="117">
        <f>L32*N32</f>
        <v/>
      </c>
      <c r="P32" s="117" t="n">
        <v>-2583.75</v>
      </c>
      <c r="Q32" s="117">
        <f>O32-M32</f>
        <v/>
      </c>
      <c r="R32" s="117">
        <f>P32+Q32</f>
        <v/>
      </c>
      <c r="S32" s="120">
        <f>IF(G32&gt;0, R32/G32, 0)</f>
        <v/>
      </c>
      <c r="T32" s="115" t="n">
        <v>20</v>
      </c>
      <c r="U32" s="115" t="inlineStr"/>
      <c r="V32" s="115" t="inlineStr">
        <is>
          <t>No</t>
        </is>
      </c>
      <c r="W32" s="115" t="inlineStr">
        <is>
          <t>▲</t>
        </is>
      </c>
    </row>
    <row r="33">
      <c r="A33" s="115" t="inlineStr">
        <is>
          <t>EXIDEIND</t>
        </is>
      </c>
      <c r="B33" s="115" t="inlineStr">
        <is>
          <t>Small Cap</t>
        </is>
      </c>
      <c r="C33" s="115" t="inlineStr">
        <is>
          <t>Industrial</t>
        </is>
      </c>
      <c r="D33" s="115" t="inlineStr">
        <is>
          <t>Satellite</t>
        </is>
      </c>
      <c r="E33" s="115" t="inlineStr">
        <is>
          <t>Cheat 1</t>
        </is>
      </c>
      <c r="F33" s="115" t="n">
        <v>129</v>
      </c>
      <c r="G33" s="117" t="n">
        <v>50264.84999999999</v>
      </c>
      <c r="H33" s="117" t="n">
        <v>389.65</v>
      </c>
      <c r="I33" s="115" t="n">
        <v>0</v>
      </c>
      <c r="J33" s="117" t="n">
        <v>0</v>
      </c>
      <c r="K33" s="117" t="n">
        <v>0</v>
      </c>
      <c r="L33" s="115" t="n">
        <v>129</v>
      </c>
      <c r="M33" s="117" t="n">
        <v>50264.85</v>
      </c>
      <c r="N33" s="117">
        <f>IFERROR(INDEX(Price_Update!$F:$F, MATCH(A33, Price_Update!$A:$A, 0)), 398.95)</f>
        <v/>
      </c>
      <c r="O33" s="117">
        <f>L33*N33</f>
        <v/>
      </c>
      <c r="P33" s="117" t="n">
        <v>0</v>
      </c>
      <c r="Q33" s="117">
        <f>O33-M33</f>
        <v/>
      </c>
      <c r="R33" s="117">
        <f>P33+Q33</f>
        <v/>
      </c>
      <c r="S33" s="120">
        <f>IF(G33&gt;0, R33/G33, 0)</f>
        <v/>
      </c>
      <c r="T33" s="115" t="n">
        <v>3</v>
      </c>
      <c r="U33" s="115" t="inlineStr"/>
      <c r="V33" s="115" t="inlineStr">
        <is>
          <t>No</t>
        </is>
      </c>
      <c r="W33" s="115" t="inlineStr">
        <is>
          <t>▲</t>
        </is>
      </c>
    </row>
    <row r="34">
      <c r="A34" s="115" t="inlineStr">
        <is>
          <t>FCL</t>
        </is>
      </c>
      <c r="B34" s="115" t="inlineStr">
        <is>
          <t>Small Cap</t>
        </is>
      </c>
      <c r="C34" s="115" t="inlineStr">
        <is>
          <t>Health / Pharma / Chem</t>
        </is>
      </c>
      <c r="D34" s="115" t="inlineStr">
        <is>
          <t>Core</t>
        </is>
      </c>
      <c r="E34" s="115" t="inlineStr">
        <is>
          <t>Cheat 1</t>
        </is>
      </c>
      <c r="F34" s="115" t="n">
        <v>685</v>
      </c>
      <c r="G34" s="117" t="n">
        <v>29016.6</v>
      </c>
      <c r="H34" s="117" t="n">
        <v>42.36</v>
      </c>
      <c r="I34" s="115" t="n">
        <v>0</v>
      </c>
      <c r="J34" s="117" t="n">
        <v>0</v>
      </c>
      <c r="K34" s="117" t="n">
        <v>0</v>
      </c>
      <c r="L34" s="115" t="n">
        <v>685</v>
      </c>
      <c r="M34" s="117" t="n">
        <v>29016.6</v>
      </c>
      <c r="N34" s="117">
        <f>IFERROR(INDEX(Price_Update!$F:$F, MATCH(A34, Price_Update!$A:$A, 0)), 42.36)</f>
        <v/>
      </c>
      <c r="O34" s="117">
        <f>L34*N34</f>
        <v/>
      </c>
      <c r="P34" s="117" t="n">
        <v>0</v>
      </c>
      <c r="Q34" s="117">
        <f>O34-M34</f>
        <v/>
      </c>
      <c r="R34" s="117">
        <f>P34+Q34</f>
        <v/>
      </c>
      <c r="S34" s="120">
        <f>IF(G34&gt;0, R34/G34, 0)</f>
        <v/>
      </c>
      <c r="T34" s="115" t="n">
        <v>2</v>
      </c>
      <c r="U34" s="115" t="inlineStr"/>
      <c r="V34" s="115" t="inlineStr">
        <is>
          <t>No</t>
        </is>
      </c>
      <c r="W34" s="115" t="inlineStr">
        <is>
          <t>▲</t>
        </is>
      </c>
    </row>
    <row r="35">
      <c r="A35" s="115" t="inlineStr">
        <is>
          <t>FEDERALBNK</t>
        </is>
      </c>
      <c r="B35" s="115" t="inlineStr">
        <is>
          <t>Mid Cap</t>
        </is>
      </c>
      <c r="C35" s="115" t="inlineStr">
        <is>
          <t>Finance</t>
        </is>
      </c>
      <c r="D35" s="115" t="inlineStr">
        <is>
          <t>Core</t>
        </is>
      </c>
      <c r="E35" s="115" t="inlineStr">
        <is>
          <t>Tranch 3</t>
        </is>
      </c>
      <c r="F35" s="115" t="n">
        <v>1172</v>
      </c>
      <c r="G35" s="117" t="n">
        <v>300285.28</v>
      </c>
      <c r="H35" s="117" t="n">
        <v>256.22</v>
      </c>
      <c r="I35" s="115" t="n">
        <v>0</v>
      </c>
      <c r="J35" s="117" t="n">
        <v>0</v>
      </c>
      <c r="K35" s="117" t="n">
        <v>0</v>
      </c>
      <c r="L35" s="115" t="n">
        <v>1172</v>
      </c>
      <c r="M35" s="117" t="n">
        <v>300289.84</v>
      </c>
      <c r="N35" s="117">
        <f>IFERROR(INDEX(Price_Update!$F:$F, MATCH(A35, Price_Update!$A:$A, 0)), 301.05)</f>
        <v/>
      </c>
      <c r="O35" s="117">
        <f>L35*N35</f>
        <v/>
      </c>
      <c r="P35" s="117" t="n">
        <v>0</v>
      </c>
      <c r="Q35" s="117">
        <f>O35-M35</f>
        <v/>
      </c>
      <c r="R35" s="117">
        <f>P35+Q35</f>
        <v/>
      </c>
      <c r="S35" s="120">
        <f>IF(G35&gt;0, R35/G35, 0)</f>
        <v/>
      </c>
      <c r="T35" s="115" t="n">
        <v>213</v>
      </c>
      <c r="U35" s="115" t="inlineStr"/>
      <c r="V35" s="115" t="inlineStr">
        <is>
          <t>No</t>
        </is>
      </c>
      <c r="W35" s="115" t="inlineStr">
        <is>
          <t>▲</t>
        </is>
      </c>
    </row>
    <row r="36">
      <c r="A36" s="115" t="inlineStr">
        <is>
          <t>GAEL</t>
        </is>
      </c>
      <c r="B36" s="115" t="inlineStr">
        <is>
          <t>Small Cap</t>
        </is>
      </c>
      <c r="C36" s="115" t="inlineStr">
        <is>
          <t>Consumption</t>
        </is>
      </c>
      <c r="D36" s="115" t="inlineStr">
        <is>
          <t>Satellite</t>
        </is>
      </c>
      <c r="E36" s="115" t="inlineStr">
        <is>
          <t>Cheat 2</t>
        </is>
      </c>
      <c r="F36" s="115" t="n">
        <v>362</v>
      </c>
      <c r="G36" s="117" t="n">
        <v>50229.29</v>
      </c>
      <c r="H36" s="117" t="n">
        <v>138.75</v>
      </c>
      <c r="I36" s="115" t="n">
        <v>0</v>
      </c>
      <c r="J36" s="117" t="n">
        <v>0</v>
      </c>
      <c r="K36" s="117" t="n">
        <v>0</v>
      </c>
      <c r="L36" s="115" t="n">
        <v>362</v>
      </c>
      <c r="M36" s="117" t="n">
        <v>50227.5</v>
      </c>
      <c r="N36" s="117">
        <f>IFERROR(INDEX(Price_Update!$F:$F, MATCH(A36, Price_Update!$A:$A, 0)), 153.0)</f>
        <v/>
      </c>
      <c r="O36" s="117">
        <f>L36*N36</f>
        <v/>
      </c>
      <c r="P36" s="117" t="n">
        <v>0</v>
      </c>
      <c r="Q36" s="117">
        <f>O36-M36</f>
        <v/>
      </c>
      <c r="R36" s="117">
        <f>P36+Q36</f>
        <v/>
      </c>
      <c r="S36" s="120">
        <f>IF(G36&gt;0, R36/G36, 0)</f>
        <v/>
      </c>
      <c r="T36" s="115" t="n">
        <v>153</v>
      </c>
      <c r="U36" s="115" t="inlineStr"/>
      <c r="V36" s="115" t="inlineStr">
        <is>
          <t>No</t>
        </is>
      </c>
      <c r="W36" s="115" t="inlineStr">
        <is>
          <t>▲</t>
        </is>
      </c>
    </row>
    <row r="37">
      <c r="A37" s="115" t="inlineStr">
        <is>
          <t>GMDCLTD</t>
        </is>
      </c>
      <c r="B37" s="115" t="inlineStr">
        <is>
          <t>Small Cap</t>
        </is>
      </c>
      <c r="C37" s="115" t="inlineStr">
        <is>
          <t>Industrial</t>
        </is>
      </c>
      <c r="D37" s="115" t="inlineStr">
        <is>
          <t>Satellite</t>
        </is>
      </c>
      <c r="E37" s="115" t="inlineStr"/>
      <c r="F37" s="115" t="n">
        <v>339</v>
      </c>
      <c r="G37" s="117" t="n">
        <v>199971.65</v>
      </c>
      <c r="H37" s="117" t="n">
        <v>589.89</v>
      </c>
      <c r="I37" s="115" t="n">
        <v>339</v>
      </c>
      <c r="J37" s="117" t="n">
        <v>201780.55</v>
      </c>
      <c r="K37" s="117" t="n">
        <v>595.22</v>
      </c>
      <c r="L37" s="115" t="n">
        <v>0</v>
      </c>
      <c r="M37" s="117" t="n">
        <v>0</v>
      </c>
      <c r="N37" s="117">
        <f>IFERROR(INDEX(Price_Update!$F:$F, MATCH(A37, Price_Update!$A:$A, 0)), 668.4)</f>
        <v/>
      </c>
      <c r="O37" s="117">
        <f>L37*N37</f>
        <v/>
      </c>
      <c r="P37" s="117" t="n">
        <v>1807.84</v>
      </c>
      <c r="Q37" s="117">
        <f>O37-M37</f>
        <v/>
      </c>
      <c r="R37" s="117">
        <f>P37+Q37</f>
        <v/>
      </c>
      <c r="S37" s="120">
        <f>IF(G37&gt;0, R37/G37, 0)</f>
        <v/>
      </c>
      <c r="T37" s="115" t="n">
        <v>135</v>
      </c>
      <c r="U37" s="115" t="inlineStr"/>
      <c r="V37" s="115" t="inlineStr">
        <is>
          <t>No</t>
        </is>
      </c>
      <c r="W37" s="115" t="inlineStr">
        <is>
          <t>▲</t>
        </is>
      </c>
    </row>
    <row r="38">
      <c r="A38" s="115" t="inlineStr">
        <is>
          <t>GMRAIRPORT</t>
        </is>
      </c>
      <c r="B38" s="115" t="inlineStr">
        <is>
          <t>Mid Cap</t>
        </is>
      </c>
      <c r="C38" s="115" t="inlineStr">
        <is>
          <t>Industrial</t>
        </is>
      </c>
      <c r="D38" s="115" t="inlineStr">
        <is>
          <t>Satellite</t>
        </is>
      </c>
      <c r="E38" s="115" t="inlineStr"/>
      <c r="F38" s="115" t="n">
        <v>920</v>
      </c>
      <c r="G38" s="117" t="n">
        <v>99801.60000000001</v>
      </c>
      <c r="H38" s="117" t="n">
        <v>108.48</v>
      </c>
      <c r="I38" s="115" t="n">
        <v>920</v>
      </c>
      <c r="J38" s="117" t="n">
        <v>82570</v>
      </c>
      <c r="K38" s="117" t="n">
        <v>89.75</v>
      </c>
      <c r="L38" s="115" t="n">
        <v>0</v>
      </c>
      <c r="M38" s="117" t="n">
        <v>0</v>
      </c>
      <c r="N38" s="117">
        <f>IFERROR(INDEX(Price_Update!$F:$F, MATCH(A38, Price_Update!$A:$A, 0)), 98.13)</f>
        <v/>
      </c>
      <c r="O38" s="117">
        <f>L38*N38</f>
        <v/>
      </c>
      <c r="P38" s="117" t="n">
        <v>-17231.6</v>
      </c>
      <c r="Q38" s="117">
        <f>O38-M38</f>
        <v/>
      </c>
      <c r="R38" s="117">
        <f>P38+Q38</f>
        <v/>
      </c>
      <c r="S38" s="120">
        <f>IF(G38&gt;0, R38/G38, 0)</f>
        <v/>
      </c>
      <c r="T38" s="115" t="n">
        <v>60</v>
      </c>
      <c r="U38" s="115" t="inlineStr"/>
      <c r="V38" s="115" t="inlineStr">
        <is>
          <t>No</t>
        </is>
      </c>
      <c r="W38" s="115" t="inlineStr">
        <is>
          <t>▲</t>
        </is>
      </c>
    </row>
    <row r="39">
      <c r="A39" s="115" t="inlineStr">
        <is>
          <t>GPIL</t>
        </is>
      </c>
      <c r="B39" s="115" t="inlineStr">
        <is>
          <t>Small Cap</t>
        </is>
      </c>
      <c r="C39" s="115" t="inlineStr">
        <is>
          <t>Industrial</t>
        </is>
      </c>
      <c r="D39" s="115" t="inlineStr">
        <is>
          <t>Satellite</t>
        </is>
      </c>
      <c r="E39" s="115" t="inlineStr">
        <is>
          <t>Cheat 2</t>
        </is>
      </c>
      <c r="F39" s="115" t="n">
        <v>276</v>
      </c>
      <c r="G39" s="117" t="n">
        <v>76932.53</v>
      </c>
      <c r="H39" s="117" t="n">
        <v>278.74</v>
      </c>
      <c r="I39" s="115" t="n">
        <v>0</v>
      </c>
      <c r="J39" s="117" t="n">
        <v>0</v>
      </c>
      <c r="K39" s="117" t="n">
        <v>0</v>
      </c>
      <c r="L39" s="115" t="n">
        <v>276</v>
      </c>
      <c r="M39" s="117" t="n">
        <v>76932.24000000001</v>
      </c>
      <c r="N39" s="117">
        <f>IFERROR(INDEX(Price_Update!$F:$F, MATCH(A39, Price_Update!$A:$A, 0)), 286.25)</f>
        <v/>
      </c>
      <c r="O39" s="117">
        <f>L39*N39</f>
        <v/>
      </c>
      <c r="P39" s="117" t="n">
        <v>0</v>
      </c>
      <c r="Q39" s="117">
        <f>O39-M39</f>
        <v/>
      </c>
      <c r="R39" s="117">
        <f>P39+Q39</f>
        <v/>
      </c>
      <c r="S39" s="120">
        <f>IF(G39&gt;0, R39/G39, 0)</f>
        <v/>
      </c>
      <c r="T39" s="115" t="n">
        <v>220</v>
      </c>
      <c r="U39" s="115" t="inlineStr"/>
      <c r="V39" s="115" t="inlineStr">
        <is>
          <t>No</t>
        </is>
      </c>
      <c r="W39" s="115" t="inlineStr">
        <is>
          <t>▲</t>
        </is>
      </c>
    </row>
    <row r="40">
      <c r="A40" s="115" t="inlineStr">
        <is>
          <t>GVT&amp;D</t>
        </is>
      </c>
      <c r="B40" s="115" t="inlineStr">
        <is>
          <t>Large Cap</t>
        </is>
      </c>
      <c r="C40" s="115" t="inlineStr">
        <is>
          <t>Consumption</t>
        </is>
      </c>
      <c r="D40" s="115" t="inlineStr">
        <is>
          <t>Core</t>
        </is>
      </c>
      <c r="E40" s="115" t="inlineStr">
        <is>
          <t>Tranch 2</t>
        </is>
      </c>
      <c r="F40" s="115" t="n">
        <v>55</v>
      </c>
      <c r="G40" s="117" t="n">
        <v>228571.802</v>
      </c>
      <c r="H40" s="117" t="n">
        <v>4155.85</v>
      </c>
      <c r="I40" s="115" t="n">
        <v>0</v>
      </c>
      <c r="J40" s="117" t="n">
        <v>0</v>
      </c>
      <c r="K40" s="117" t="n">
        <v>0</v>
      </c>
      <c r="L40" s="115" t="n">
        <v>55</v>
      </c>
      <c r="M40" s="117" t="n">
        <v>228571.75</v>
      </c>
      <c r="N40" s="117">
        <f>IFERROR(INDEX(Price_Update!$F:$F, MATCH(A40, Price_Update!$A:$A, 0)), 4964.5)</f>
        <v/>
      </c>
      <c r="O40" s="117">
        <f>L40*N40</f>
        <v/>
      </c>
      <c r="P40" s="117" t="n">
        <v>0</v>
      </c>
      <c r="Q40" s="117">
        <f>O40-M40</f>
        <v/>
      </c>
      <c r="R40" s="117">
        <f>P40+Q40</f>
        <v/>
      </c>
      <c r="S40" s="120">
        <f>IF(G40&gt;0, R40/G40, 0)</f>
        <v/>
      </c>
      <c r="T40" s="115" t="n">
        <v>87</v>
      </c>
      <c r="U40" s="115" t="inlineStr"/>
      <c r="V40" s="115" t="inlineStr">
        <is>
          <t>No</t>
        </is>
      </c>
      <c r="W40" s="115" t="inlineStr">
        <is>
          <t>▲</t>
        </is>
      </c>
    </row>
    <row r="41">
      <c r="A41" s="115" t="inlineStr">
        <is>
          <t>HBLENGINE</t>
        </is>
      </c>
      <c r="B41" s="115" t="inlineStr">
        <is>
          <t>Small Cap</t>
        </is>
      </c>
      <c r="C41" s="115" t="inlineStr">
        <is>
          <t>Industrial</t>
        </is>
      </c>
      <c r="D41" s="115" t="inlineStr">
        <is>
          <t>Core</t>
        </is>
      </c>
      <c r="E41" s="115" t="inlineStr">
        <is>
          <t>Cheat 1</t>
        </is>
      </c>
      <c r="F41" s="115" t="n">
        <v>263</v>
      </c>
      <c r="G41" s="117" t="n">
        <v>227676.3</v>
      </c>
      <c r="H41" s="117" t="n">
        <v>865.6900000000001</v>
      </c>
      <c r="I41" s="115" t="n">
        <v>226</v>
      </c>
      <c r="J41" s="117" t="n">
        <v>149562.45</v>
      </c>
      <c r="K41" s="117" t="n">
        <v>661.78</v>
      </c>
      <c r="L41" s="115" t="n">
        <v>37</v>
      </c>
      <c r="M41" s="117" t="n">
        <v>32030.53</v>
      </c>
      <c r="N41" s="117">
        <f>IFERROR(INDEX(Price_Update!$F:$F, MATCH(A41, Price_Update!$A:$A, 0)), 802.7)</f>
        <v/>
      </c>
      <c r="O41" s="117">
        <f>L41*N41</f>
        <v/>
      </c>
      <c r="P41" s="117" t="n">
        <v>-46083.49</v>
      </c>
      <c r="Q41" s="117">
        <f>O41-M41</f>
        <v/>
      </c>
      <c r="R41" s="117">
        <f>P41+Q41</f>
        <v/>
      </c>
      <c r="S41" s="120">
        <f>IF(G41&gt;0, R41/G41, 0)</f>
        <v/>
      </c>
      <c r="T41" s="115" t="n">
        <v>2</v>
      </c>
      <c r="U41" s="115" t="inlineStr"/>
      <c r="V41" s="115" t="inlineStr">
        <is>
          <t>No</t>
        </is>
      </c>
      <c r="W41" s="115" t="inlineStr">
        <is>
          <t>▲</t>
        </is>
      </c>
    </row>
    <row r="42">
      <c r="A42" s="115" t="inlineStr">
        <is>
          <t>HBLENGINE</t>
        </is>
      </c>
      <c r="B42" s="115" t="inlineStr">
        <is>
          <t>Small Cap</t>
        </is>
      </c>
      <c r="C42" s="115" t="inlineStr">
        <is>
          <t>Industrial</t>
        </is>
      </c>
      <c r="D42" s="115" t="inlineStr">
        <is>
          <t>Core</t>
        </is>
      </c>
      <c r="E42" s="115" t="inlineStr">
        <is>
          <t>Cheat 1</t>
        </is>
      </c>
      <c r="F42" s="115" t="n">
        <v>263</v>
      </c>
      <c r="G42" s="117" t="n">
        <v>227676.3</v>
      </c>
      <c r="H42" s="117" t="n">
        <v>865.6900000000001</v>
      </c>
      <c r="I42" s="115" t="n">
        <v>226</v>
      </c>
      <c r="J42" s="117" t="n">
        <v>149562.45</v>
      </c>
      <c r="K42" s="117" t="n">
        <v>661.78</v>
      </c>
      <c r="L42" s="115" t="n">
        <v>37</v>
      </c>
      <c r="M42" s="117" t="n">
        <v>32030.53</v>
      </c>
      <c r="N42" s="117">
        <f>IFERROR(INDEX(Price_Update!$F:$F, MATCH(A42, Price_Update!$A:$A, 0)), 802.7)</f>
        <v/>
      </c>
      <c r="O42" s="117">
        <f>L42*N42</f>
        <v/>
      </c>
      <c r="P42" s="117" t="n">
        <v>-46083.49</v>
      </c>
      <c r="Q42" s="117">
        <f>O42-M42</f>
        <v/>
      </c>
      <c r="R42" s="117">
        <f>P42+Q42</f>
        <v/>
      </c>
      <c r="S42" s="120">
        <f>IF(G42&gt;0, R42/G42, 0)</f>
        <v/>
      </c>
      <c r="T42" s="115" t="n">
        <v>2</v>
      </c>
      <c r="U42" s="115" t="inlineStr"/>
      <c r="V42" s="115" t="inlineStr">
        <is>
          <t>No</t>
        </is>
      </c>
      <c r="W42" s="115" t="inlineStr">
        <is>
          <t>▲</t>
        </is>
      </c>
    </row>
    <row r="43">
      <c r="A43" s="115" t="inlineStr">
        <is>
          <t>HINDALCO</t>
        </is>
      </c>
      <c r="B43" s="115" t="inlineStr">
        <is>
          <t>Large Cap</t>
        </is>
      </c>
      <c r="C43" s="115" t="inlineStr">
        <is>
          <t>Industrial</t>
        </is>
      </c>
      <c r="D43" s="115" t="inlineStr">
        <is>
          <t>Satellite</t>
        </is>
      </c>
      <c r="E43" s="115" t="inlineStr">
        <is>
          <t>Tranch 4</t>
        </is>
      </c>
      <c r="F43" s="115" t="n">
        <v>443</v>
      </c>
      <c r="G43" s="117" t="n">
        <v>399790.8</v>
      </c>
      <c r="H43" s="117" t="n">
        <v>902.46</v>
      </c>
      <c r="I43" s="115" t="n">
        <v>103</v>
      </c>
      <c r="J43" s="117" t="n">
        <v>99714.34999999999</v>
      </c>
      <c r="K43" s="117" t="n">
        <v>968.1</v>
      </c>
      <c r="L43" s="115" t="n">
        <v>340</v>
      </c>
      <c r="M43" s="117" t="n">
        <v>306836.4</v>
      </c>
      <c r="N43" s="117">
        <f>IFERROR(INDEX(Price_Update!$F:$F, MATCH(A43, Price_Update!$A:$A, 0)), 1138.9)</f>
        <v/>
      </c>
      <c r="O43" s="117">
        <f>L43*N43</f>
        <v/>
      </c>
      <c r="P43" s="117" t="n">
        <v>6760.97</v>
      </c>
      <c r="Q43" s="117">
        <f>O43-M43</f>
        <v/>
      </c>
      <c r="R43" s="117">
        <f>P43+Q43</f>
        <v/>
      </c>
      <c r="S43" s="120">
        <f>IF(G43&gt;0, R43/G43, 0)</f>
        <v/>
      </c>
      <c r="T43" s="115" t="n">
        <v>241</v>
      </c>
      <c r="U43" s="115" t="inlineStr"/>
      <c r="V43" s="115" t="inlineStr">
        <is>
          <t>No</t>
        </is>
      </c>
      <c r="W43" s="115" t="inlineStr">
        <is>
          <t>▼</t>
        </is>
      </c>
    </row>
    <row r="44">
      <c r="A44" s="115" t="inlineStr">
        <is>
          <t>HINDPETRO</t>
        </is>
      </c>
      <c r="B44" s="115" t="inlineStr">
        <is>
          <t>Mid Cap</t>
        </is>
      </c>
      <c r="C44" s="115" t="inlineStr">
        <is>
          <t>Industrial</t>
        </is>
      </c>
      <c r="D44" s="115" t="inlineStr">
        <is>
          <t>Satellite</t>
        </is>
      </c>
      <c r="E44" s="115" t="inlineStr"/>
      <c r="F44" s="115" t="n">
        <v>205</v>
      </c>
      <c r="G44" s="117" t="n">
        <v>99086.75</v>
      </c>
      <c r="H44" s="117" t="n">
        <v>483.35</v>
      </c>
      <c r="I44" s="115" t="n">
        <v>205</v>
      </c>
      <c r="J44" s="117" t="n">
        <v>75235</v>
      </c>
      <c r="K44" s="117" t="n">
        <v>367</v>
      </c>
      <c r="L44" s="115" t="n">
        <v>0</v>
      </c>
      <c r="M44" s="117" t="n">
        <v>0</v>
      </c>
      <c r="N44" s="117">
        <f>IFERROR(INDEX(Price_Update!$F:$F, MATCH(A44, Price_Update!$A:$A, 0)), 383.75)</f>
        <v/>
      </c>
      <c r="O44" s="117">
        <f>L44*N44</f>
        <v/>
      </c>
      <c r="P44" s="117" t="n">
        <v>-23851.75</v>
      </c>
      <c r="Q44" s="117">
        <f>O44-M44</f>
        <v/>
      </c>
      <c r="R44" s="117">
        <f>P44+Q44</f>
        <v/>
      </c>
      <c r="S44" s="120">
        <f>IF(G44&gt;0, R44/G44, 0)</f>
        <v/>
      </c>
      <c r="T44" s="115" t="n">
        <v>193</v>
      </c>
      <c r="U44" s="115" t="inlineStr"/>
      <c r="V44" s="115" t="inlineStr">
        <is>
          <t>No</t>
        </is>
      </c>
      <c r="W44" s="115" t="inlineStr">
        <is>
          <t>▼</t>
        </is>
      </c>
    </row>
    <row r="45">
      <c r="A45" s="115" t="inlineStr">
        <is>
          <t>IOC</t>
        </is>
      </c>
      <c r="B45" s="115" t="inlineStr">
        <is>
          <t>Large Cap</t>
        </is>
      </c>
      <c r="C45" s="115" t="inlineStr">
        <is>
          <t>Industrial</t>
        </is>
      </c>
      <c r="D45" s="115" t="inlineStr">
        <is>
          <t>Satellite</t>
        </is>
      </c>
      <c r="E45" s="115" t="inlineStr"/>
      <c r="F45" s="115" t="n">
        <v>386</v>
      </c>
      <c r="G45" s="117" t="n">
        <v>70186.3</v>
      </c>
      <c r="H45" s="117" t="n">
        <v>181.83</v>
      </c>
      <c r="I45" s="115" t="n">
        <v>386</v>
      </c>
      <c r="J45" s="117" t="n">
        <v>52592.5</v>
      </c>
      <c r="K45" s="117" t="n">
        <v>136.25</v>
      </c>
      <c r="L45" s="115" t="n">
        <v>0</v>
      </c>
      <c r="M45" s="117" t="n">
        <v>0</v>
      </c>
      <c r="N45" s="117">
        <f>IFERROR(INDEX(Price_Update!$F:$F, MATCH(A45, Price_Update!$A:$A, 0)), 138.83)</f>
        <v/>
      </c>
      <c r="O45" s="117">
        <f>L45*N45</f>
        <v/>
      </c>
      <c r="P45" s="117" t="n">
        <v>-17593.88</v>
      </c>
      <c r="Q45" s="117">
        <f>O45-M45</f>
        <v/>
      </c>
      <c r="R45" s="117">
        <f>P45+Q45</f>
        <v/>
      </c>
      <c r="S45" s="120">
        <f>IF(G45&gt;0, R45/G45, 0)</f>
        <v/>
      </c>
      <c r="T45" s="115" t="n">
        <v>193</v>
      </c>
      <c r="U45" s="115" t="inlineStr"/>
      <c r="V45" s="115" t="inlineStr">
        <is>
          <t>No</t>
        </is>
      </c>
      <c r="W45" s="115" t="inlineStr">
        <is>
          <t>▲</t>
        </is>
      </c>
    </row>
    <row r="46">
      <c r="A46" s="115" t="inlineStr">
        <is>
          <t>JBMA</t>
        </is>
      </c>
      <c r="B46" s="115" t="inlineStr">
        <is>
          <t>Small Cap</t>
        </is>
      </c>
      <c r="C46" s="115" t="inlineStr">
        <is>
          <t>Consumption</t>
        </is>
      </c>
      <c r="D46" s="115" t="inlineStr">
        <is>
          <t>Satellite</t>
        </is>
      </c>
      <c r="E46" s="115" t="inlineStr"/>
      <c r="F46" s="115" t="n">
        <v>35</v>
      </c>
      <c r="G46" s="117" t="n">
        <v>25089.75</v>
      </c>
      <c r="H46" s="117" t="n">
        <v>716.85</v>
      </c>
      <c r="I46" s="115" t="n">
        <v>35</v>
      </c>
      <c r="J46" s="117" t="n">
        <v>22651.75</v>
      </c>
      <c r="K46" s="117" t="n">
        <v>647.1900000000001</v>
      </c>
      <c r="L46" s="115" t="n">
        <v>0</v>
      </c>
      <c r="M46" s="117" t="n">
        <v>0</v>
      </c>
      <c r="N46" s="117">
        <f>IFERROR(INDEX(Price_Update!$F:$F, MATCH(A46, Price_Update!$A:$A, 0)), 647.35)</f>
        <v/>
      </c>
      <c r="O46" s="117">
        <f>L46*N46</f>
        <v/>
      </c>
      <c r="P46" s="117" t="n">
        <v>-2438</v>
      </c>
      <c r="Q46" s="117">
        <f>O46-M46</f>
        <v/>
      </c>
      <c r="R46" s="117">
        <f>P46+Q46</f>
        <v/>
      </c>
      <c r="S46" s="120">
        <f>IF(G46&gt;0, R46/G46, 0)</f>
        <v/>
      </c>
      <c r="T46" s="115" t="n">
        <v>31</v>
      </c>
      <c r="U46" s="115" t="inlineStr"/>
      <c r="V46" s="115" t="inlineStr">
        <is>
          <t>No</t>
        </is>
      </c>
      <c r="W46" s="115" t="inlineStr">
        <is>
          <t>▲</t>
        </is>
      </c>
    </row>
    <row r="47">
      <c r="A47" s="115" t="inlineStr">
        <is>
          <t>JKTYRE</t>
        </is>
      </c>
      <c r="B47" s="115" t="inlineStr">
        <is>
          <t>Small Cap</t>
        </is>
      </c>
      <c r="C47" s="115" t="inlineStr">
        <is>
          <t>Consumption</t>
        </is>
      </c>
      <c r="D47" s="115" t="inlineStr">
        <is>
          <t>Satellite</t>
        </is>
      </c>
      <c r="E47" s="115" t="inlineStr"/>
      <c r="F47" s="115" t="n">
        <v>196</v>
      </c>
      <c r="G47" s="117" t="n">
        <v>100079.5</v>
      </c>
      <c r="H47" s="117" t="n">
        <v>510.61</v>
      </c>
      <c r="I47" s="115" t="n">
        <v>196</v>
      </c>
      <c r="J47" s="117" t="n">
        <v>82398.39999999999</v>
      </c>
      <c r="K47" s="117" t="n">
        <v>420.4</v>
      </c>
      <c r="L47" s="115" t="n">
        <v>0</v>
      </c>
      <c r="M47" s="117" t="n">
        <v>0</v>
      </c>
      <c r="N47" s="117">
        <f>IFERROR(INDEX(Price_Update!$F:$F, MATCH(A47, Price_Update!$A:$A, 0)), 388.4)</f>
        <v/>
      </c>
      <c r="O47" s="117">
        <f>L47*N47</f>
        <v/>
      </c>
      <c r="P47" s="117" t="n">
        <v>-17681.16</v>
      </c>
      <c r="Q47" s="117">
        <f>O47-M47</f>
        <v/>
      </c>
      <c r="R47" s="117">
        <f>P47+Q47</f>
        <v/>
      </c>
      <c r="S47" s="120">
        <f>IF(G47&gt;0, R47/G47, 0)</f>
        <v/>
      </c>
      <c r="T47" s="115" t="n">
        <v>70</v>
      </c>
      <c r="U47" s="115" t="inlineStr"/>
      <c r="V47" s="115" t="inlineStr">
        <is>
          <t>No</t>
        </is>
      </c>
      <c r="W47" s="115" t="inlineStr">
        <is>
          <t>▲</t>
        </is>
      </c>
    </row>
    <row r="48">
      <c r="A48" s="115" t="inlineStr">
        <is>
          <t>KEI</t>
        </is>
      </c>
      <c r="B48" s="115" t="inlineStr">
        <is>
          <t>Mid Cap</t>
        </is>
      </c>
      <c r="C48" s="115" t="inlineStr">
        <is>
          <t xml:space="preserve">Consumption </t>
        </is>
      </c>
      <c r="D48" s="115" t="inlineStr">
        <is>
          <t>Core</t>
        </is>
      </c>
      <c r="E48" s="115" t="inlineStr">
        <is>
          <t>Cheat 1</t>
        </is>
      </c>
      <c r="F48" s="115" t="n">
        <v>6</v>
      </c>
      <c r="G48" s="117" t="n">
        <v>31134</v>
      </c>
      <c r="H48" s="117" t="n">
        <v>5189</v>
      </c>
      <c r="I48" s="115" t="n">
        <v>0</v>
      </c>
      <c r="J48" s="117" t="n">
        <v>0</v>
      </c>
      <c r="K48" s="117" t="n">
        <v>0</v>
      </c>
      <c r="L48" s="115" t="n">
        <v>6</v>
      </c>
      <c r="M48" s="117" t="n">
        <v>31134</v>
      </c>
      <c r="N48" s="117">
        <f>IFERROR(INDEX(Price_Update!$F:$F, MATCH(A48, Price_Update!$A:$A, 0)), 5261.5)</f>
        <v/>
      </c>
      <c r="O48" s="117">
        <f>L48*N48</f>
        <v/>
      </c>
      <c r="P48" s="117" t="n">
        <v>0</v>
      </c>
      <c r="Q48" s="117">
        <f>O48-M48</f>
        <v/>
      </c>
      <c r="R48" s="117">
        <f>P48+Q48</f>
        <v/>
      </c>
      <c r="S48" s="120">
        <f>IF(G48&gt;0, R48/G48, 0)</f>
        <v/>
      </c>
      <c r="T48" s="115" t="n">
        <v>2</v>
      </c>
      <c r="U48" s="115" t="inlineStr"/>
      <c r="V48" s="115" t="inlineStr">
        <is>
          <t>No</t>
        </is>
      </c>
      <c r="W48" s="115" t="inlineStr">
        <is>
          <t>▲</t>
        </is>
      </c>
    </row>
    <row r="49">
      <c r="A49" s="115" t="inlineStr">
        <is>
          <t>KIRLOSENG</t>
        </is>
      </c>
      <c r="B49" s="115" t="inlineStr">
        <is>
          <t>Small Cap</t>
        </is>
      </c>
      <c r="C49" s="115" t="inlineStr">
        <is>
          <t>Industrial</t>
        </is>
      </c>
      <c r="D49" s="115" t="inlineStr">
        <is>
          <t>Satellite</t>
        </is>
      </c>
      <c r="E49" s="115" t="inlineStr"/>
      <c r="F49" s="115" t="n">
        <v>19</v>
      </c>
      <c r="G49" s="117" t="n">
        <v>24977.4</v>
      </c>
      <c r="H49" s="117" t="n">
        <v>1314.6</v>
      </c>
      <c r="I49" s="115" t="n">
        <v>19</v>
      </c>
      <c r="J49" s="117" t="n">
        <v>21475.7</v>
      </c>
      <c r="K49" s="117" t="n">
        <v>1130.3</v>
      </c>
      <c r="L49" s="115" t="n">
        <v>0</v>
      </c>
      <c r="M49" s="117" t="n">
        <v>0</v>
      </c>
      <c r="N49" s="117">
        <f>IFERROR(INDEX(Price_Update!$F:$F, MATCH(A49, Price_Update!$A:$A, 0)), 1856.9)</f>
        <v/>
      </c>
      <c r="O49" s="117">
        <f>L49*N49</f>
        <v/>
      </c>
      <c r="P49" s="117" t="n">
        <v>-3501.7</v>
      </c>
      <c r="Q49" s="117">
        <f>O49-M49</f>
        <v/>
      </c>
      <c r="R49" s="117">
        <f>P49+Q49</f>
        <v/>
      </c>
      <c r="S49" s="120">
        <f>IF(G49&gt;0, R49/G49, 0)</f>
        <v/>
      </c>
      <c r="T49" s="115" t="n">
        <v>27</v>
      </c>
      <c r="U49" s="115" t="inlineStr"/>
      <c r="V49" s="115" t="inlineStr">
        <is>
          <t>No</t>
        </is>
      </c>
      <c r="W49" s="115" t="inlineStr">
        <is>
          <t>▼</t>
        </is>
      </c>
    </row>
    <row r="50">
      <c r="A50" s="115" t="inlineStr">
        <is>
          <t>KRISHANA</t>
        </is>
      </c>
      <c r="B50" s="115" t="inlineStr">
        <is>
          <t>Small Cap</t>
        </is>
      </c>
      <c r="C50" s="115" t="inlineStr">
        <is>
          <t>Health / Pharma / Chem</t>
        </is>
      </c>
      <c r="D50" s="115" t="inlineStr">
        <is>
          <t>Core</t>
        </is>
      </c>
      <c r="E50" s="115" t="inlineStr">
        <is>
          <t>Cheat 1</t>
        </is>
      </c>
      <c r="F50" s="115" t="n">
        <v>43</v>
      </c>
      <c r="G50" s="117" t="n">
        <v>29231.4</v>
      </c>
      <c r="H50" s="117" t="n">
        <v>679.8</v>
      </c>
      <c r="I50" s="115" t="n">
        <v>0</v>
      </c>
      <c r="J50" s="117" t="n">
        <v>0</v>
      </c>
      <c r="K50" s="117" t="n">
        <v>0</v>
      </c>
      <c r="L50" s="115" t="n">
        <v>43</v>
      </c>
      <c r="M50" s="117" t="n">
        <v>29231.4</v>
      </c>
      <c r="N50" s="117">
        <f>IFERROR(INDEX(Price_Update!$F:$F, MATCH(A50, Price_Update!$A:$A, 0)), 686.45)</f>
        <v/>
      </c>
      <c r="O50" s="117">
        <f>L50*N50</f>
        <v/>
      </c>
      <c r="P50" s="117" t="n">
        <v>0</v>
      </c>
      <c r="Q50" s="117">
        <f>O50-M50</f>
        <v/>
      </c>
      <c r="R50" s="117">
        <f>P50+Q50</f>
        <v/>
      </c>
      <c r="S50" s="120">
        <f>IF(G50&gt;0, R50/G50, 0)</f>
        <v/>
      </c>
      <c r="T50" s="115" t="n">
        <v>2</v>
      </c>
      <c r="U50" s="115" t="inlineStr"/>
      <c r="V50" s="115" t="inlineStr">
        <is>
          <t>No</t>
        </is>
      </c>
      <c r="W50" s="115" t="inlineStr">
        <is>
          <t>▲</t>
        </is>
      </c>
    </row>
    <row r="51">
      <c r="A51" s="115" t="inlineStr">
        <is>
          <t>LALPATHLAB</t>
        </is>
      </c>
      <c r="B51" s="115" t="inlineStr">
        <is>
          <t>Small Cap</t>
        </is>
      </c>
      <c r="C51" s="115" t="inlineStr">
        <is>
          <t>Health / Pharma / Chem</t>
        </is>
      </c>
      <c r="D51" s="115" t="inlineStr">
        <is>
          <t>Core</t>
        </is>
      </c>
      <c r="E51" s="115" t="inlineStr">
        <is>
          <t>Cheat 1</t>
        </is>
      </c>
      <c r="F51" s="115" t="n">
        <v>18</v>
      </c>
      <c r="G51" s="117" t="n">
        <v>28119.6</v>
      </c>
      <c r="H51" s="117" t="n">
        <v>1562.2</v>
      </c>
      <c r="I51" s="115" t="n">
        <v>0</v>
      </c>
      <c r="J51" s="117" t="n">
        <v>0</v>
      </c>
      <c r="K51" s="117" t="n">
        <v>0</v>
      </c>
      <c r="L51" s="115" t="n">
        <v>18</v>
      </c>
      <c r="M51" s="117" t="n">
        <v>28119.6</v>
      </c>
      <c r="N51" s="117">
        <f>IFERROR(INDEX(Price_Update!$F:$F, MATCH(A51, Price_Update!$A:$A, 0)), 1561.0)</f>
        <v/>
      </c>
      <c r="O51" s="117">
        <f>L51*N51</f>
        <v/>
      </c>
      <c r="P51" s="117" t="n">
        <v>0</v>
      </c>
      <c r="Q51" s="117">
        <f>O51-M51</f>
        <v/>
      </c>
      <c r="R51" s="117">
        <f>P51+Q51</f>
        <v/>
      </c>
      <c r="S51" s="120">
        <f>IF(G51&gt;0, R51/G51, 0)</f>
        <v/>
      </c>
      <c r="T51" s="115" t="n">
        <v>2</v>
      </c>
      <c r="U51" s="115" t="inlineStr"/>
      <c r="V51" s="115" t="inlineStr">
        <is>
          <t>No</t>
        </is>
      </c>
      <c r="W51" s="115" t="inlineStr">
        <is>
          <t>▼</t>
        </is>
      </c>
    </row>
    <row r="52">
      <c r="A52" s="115" t="inlineStr">
        <is>
          <t>LAURUSLABS</t>
        </is>
      </c>
      <c r="B52" s="115" t="inlineStr">
        <is>
          <t>Mid Cap</t>
        </is>
      </c>
      <c r="C52" s="115" t="inlineStr">
        <is>
          <t>Health / Pharma / Chem</t>
        </is>
      </c>
      <c r="D52" s="115" t="inlineStr">
        <is>
          <t>Satellite</t>
        </is>
      </c>
      <c r="E52" s="115" t="inlineStr">
        <is>
          <t>Tranch 1</t>
        </is>
      </c>
      <c r="F52" s="115" t="n">
        <v>75</v>
      </c>
      <c r="G52" s="117" t="n">
        <v>101281</v>
      </c>
      <c r="H52" s="117" t="n">
        <v>1350.41</v>
      </c>
      <c r="I52" s="115" t="n">
        <v>0</v>
      </c>
      <c r="J52" s="117" t="n">
        <v>0</v>
      </c>
      <c r="K52" s="117" t="n">
        <v>0</v>
      </c>
      <c r="L52" s="115" t="n">
        <v>75</v>
      </c>
      <c r="M52" s="117" t="n">
        <v>101280.75</v>
      </c>
      <c r="N52" s="117">
        <f>IFERROR(INDEX(Price_Update!$F:$F, MATCH(A52, Price_Update!$A:$A, 0)), 1394.3)</f>
        <v/>
      </c>
      <c r="O52" s="117">
        <f>L52*N52</f>
        <v/>
      </c>
      <c r="P52" s="117" t="n">
        <v>0</v>
      </c>
      <c r="Q52" s="117">
        <f>O52-M52</f>
        <v/>
      </c>
      <c r="R52" s="117">
        <f>P52+Q52</f>
        <v/>
      </c>
      <c r="S52" s="120">
        <f>IF(G52&gt;0, R52/G52, 0)</f>
        <v/>
      </c>
      <c r="T52" s="115" t="n">
        <v>20</v>
      </c>
      <c r="U52" s="115" t="inlineStr"/>
      <c r="V52" s="115" t="inlineStr">
        <is>
          <t>No</t>
        </is>
      </c>
      <c r="W52" s="115" t="inlineStr">
        <is>
          <t>▲</t>
        </is>
      </c>
    </row>
    <row r="53">
      <c r="A53" s="115" t="inlineStr">
        <is>
          <t>M&amp;M</t>
        </is>
      </c>
      <c r="B53" s="115" t="inlineStr">
        <is>
          <t>Large Cap</t>
        </is>
      </c>
      <c r="C53" s="115" t="inlineStr">
        <is>
          <t>Industrial</t>
        </is>
      </c>
      <c r="D53" s="115" t="inlineStr">
        <is>
          <t>Core</t>
        </is>
      </c>
      <c r="E53" s="115" t="inlineStr">
        <is>
          <t>Cheat 1</t>
        </is>
      </c>
      <c r="F53" s="115" t="n">
        <v>16</v>
      </c>
      <c r="G53" s="117" t="n">
        <v>50032</v>
      </c>
      <c r="H53" s="117" t="n">
        <v>3127</v>
      </c>
      <c r="I53" s="115" t="n">
        <v>0</v>
      </c>
      <c r="J53" s="117" t="n">
        <v>0</v>
      </c>
      <c r="K53" s="117" t="n">
        <v>0</v>
      </c>
      <c r="L53" s="115" t="n">
        <v>16</v>
      </c>
      <c r="M53" s="117" t="n">
        <v>50032</v>
      </c>
      <c r="N53" s="117">
        <f>IFERROR(INDEX(Price_Update!$F:$F, MATCH(A53, Price_Update!$A:$A, 0)), 3011.1)</f>
        <v/>
      </c>
      <c r="O53" s="117">
        <f>L53*N53</f>
        <v/>
      </c>
      <c r="P53" s="117" t="n">
        <v>0</v>
      </c>
      <c r="Q53" s="117">
        <f>O53-M53</f>
        <v/>
      </c>
      <c r="R53" s="117">
        <f>P53+Q53</f>
        <v/>
      </c>
      <c r="S53" s="120">
        <f>IF(G53&gt;0, R53/G53, 0)</f>
        <v/>
      </c>
      <c r="T53" s="115" t="n">
        <v>20</v>
      </c>
      <c r="U53" s="115" t="inlineStr"/>
      <c r="V53" s="115" t="inlineStr">
        <is>
          <t>No</t>
        </is>
      </c>
      <c r="W53" s="115" t="inlineStr">
        <is>
          <t>▲</t>
        </is>
      </c>
    </row>
    <row r="54">
      <c r="A54" s="115" t="inlineStr">
        <is>
          <t>MAHABANK</t>
        </is>
      </c>
      <c r="B54" s="115" t="inlineStr">
        <is>
          <t>Mid Cap</t>
        </is>
      </c>
      <c r="C54" s="115" t="inlineStr">
        <is>
          <t>Finance</t>
        </is>
      </c>
      <c r="D54" s="115" t="inlineStr">
        <is>
          <t>Satellite</t>
        </is>
      </c>
      <c r="E54" s="115" t="inlineStr"/>
      <c r="F54" s="115" t="n">
        <v>1315</v>
      </c>
      <c r="G54" s="117" t="n">
        <v>100907.4</v>
      </c>
      <c r="H54" s="117" t="n">
        <v>76.73999999999999</v>
      </c>
      <c r="I54" s="115" t="n">
        <v>1315</v>
      </c>
      <c r="J54" s="117" t="n">
        <v>105902.05</v>
      </c>
      <c r="K54" s="117" t="n">
        <v>80.53</v>
      </c>
      <c r="L54" s="115" t="n">
        <v>0</v>
      </c>
      <c r="M54" s="117" t="n">
        <v>0</v>
      </c>
      <c r="N54" s="117">
        <f>IFERROR(INDEX(Price_Update!$F:$F, MATCH(A54, Price_Update!$A:$A, 0)), 78.91)</f>
        <v/>
      </c>
      <c r="O54" s="117">
        <f>L54*N54</f>
        <v/>
      </c>
      <c r="P54" s="117" t="n">
        <v>4988.95</v>
      </c>
      <c r="Q54" s="117">
        <f>O54-M54</f>
        <v/>
      </c>
      <c r="R54" s="117">
        <f>P54+Q54</f>
        <v/>
      </c>
      <c r="S54" s="120">
        <f>IF(G54&gt;0, R54/G54, 0)</f>
        <v/>
      </c>
      <c r="T54" s="115" t="n">
        <v>124</v>
      </c>
      <c r="U54" s="115" t="inlineStr"/>
      <c r="V54" s="115" t="inlineStr">
        <is>
          <t>No</t>
        </is>
      </c>
      <c r="W54" s="115" t="inlineStr">
        <is>
          <t>▲</t>
        </is>
      </c>
    </row>
    <row r="55">
      <c r="A55" s="115" t="inlineStr">
        <is>
          <t>MAZDOCK</t>
        </is>
      </c>
      <c r="B55" s="115" t="inlineStr">
        <is>
          <t>Mid Cap</t>
        </is>
      </c>
      <c r="C55" s="115" t="inlineStr">
        <is>
          <t>Industrial</t>
        </is>
      </c>
      <c r="D55" s="115" t="inlineStr">
        <is>
          <t>Satellite</t>
        </is>
      </c>
      <c r="E55" s="115" t="inlineStr"/>
      <c r="F55" s="115" t="n">
        <v>19</v>
      </c>
      <c r="G55" s="117" t="n">
        <v>50977</v>
      </c>
      <c r="H55" s="117" t="n">
        <v>2683</v>
      </c>
      <c r="I55" s="115" t="n">
        <v>19</v>
      </c>
      <c r="J55" s="117" t="n">
        <v>47612.0483</v>
      </c>
      <c r="K55" s="117" t="n">
        <v>2505.9</v>
      </c>
      <c r="L55" s="115" t="n">
        <v>0</v>
      </c>
      <c r="M55" s="117" t="n">
        <v>0</v>
      </c>
      <c r="N55" s="117">
        <f>IFERROR(INDEX(Price_Update!$F:$F, MATCH(A55, Price_Update!$A:$A, 0)), 2444.9)</f>
        <v/>
      </c>
      <c r="O55" s="117">
        <f>L55*N55</f>
        <v/>
      </c>
      <c r="P55" s="117" t="n">
        <v>-3364.95</v>
      </c>
      <c r="Q55" s="117">
        <f>O55-M55</f>
        <v/>
      </c>
      <c r="R55" s="117">
        <f>P55+Q55</f>
        <v/>
      </c>
      <c r="S55" s="120">
        <f>IF(G55&gt;0, R55/G55, 0)</f>
        <v/>
      </c>
      <c r="T55" s="115" t="n">
        <v>18</v>
      </c>
      <c r="U55" s="115" t="inlineStr"/>
      <c r="V55" s="115" t="inlineStr">
        <is>
          <t>No</t>
        </is>
      </c>
      <c r="W55" s="115" t="inlineStr">
        <is>
          <t>▲</t>
        </is>
      </c>
    </row>
    <row r="56">
      <c r="A56" s="115" t="inlineStr">
        <is>
          <t>METROPOLIS</t>
        </is>
      </c>
      <c r="B56" s="115" t="inlineStr">
        <is>
          <t>Small Cap</t>
        </is>
      </c>
      <c r="C56" s="115" t="inlineStr">
        <is>
          <t>Health / Pharma / Chem</t>
        </is>
      </c>
      <c r="D56" s="115" t="inlineStr">
        <is>
          <t>Core</t>
        </is>
      </c>
      <c r="E56" s="115" t="inlineStr">
        <is>
          <t>Cheat 1</t>
        </is>
      </c>
      <c r="F56" s="115" t="n">
        <v>222</v>
      </c>
      <c r="G56" s="117" t="n">
        <v>120896</v>
      </c>
      <c r="H56" s="117" t="n">
        <v>544.58</v>
      </c>
      <c r="I56" s="115" t="n">
        <v>168</v>
      </c>
      <c r="J56" s="117" t="n">
        <v>81102.5</v>
      </c>
      <c r="K56" s="117" t="n">
        <v>482.75</v>
      </c>
      <c r="L56" s="115" t="n">
        <v>54</v>
      </c>
      <c r="M56" s="117" t="n">
        <v>29407.32</v>
      </c>
      <c r="N56" s="117">
        <f>IFERROR(INDEX(Price_Update!$F:$F, MATCH(A56, Price_Update!$A:$A, 0)), 541.5)</f>
        <v/>
      </c>
      <c r="O56" s="117">
        <f>L56*N56</f>
        <v/>
      </c>
      <c r="P56" s="117" t="n">
        <v>-10386.94</v>
      </c>
      <c r="Q56" s="117">
        <f>O56-M56</f>
        <v/>
      </c>
      <c r="R56" s="117">
        <f>P56+Q56</f>
        <v/>
      </c>
      <c r="S56" s="120">
        <f>IF(G56&gt;0, R56/G56, 0)</f>
        <v/>
      </c>
      <c r="T56" s="115" t="n">
        <v>2</v>
      </c>
      <c r="U56" s="115" t="inlineStr">
        <is>
          <t>4:1 Split on 2026-03-20</t>
        </is>
      </c>
      <c r="V56" s="115" t="inlineStr">
        <is>
          <t>No</t>
        </is>
      </c>
      <c r="W56" s="115" t="inlineStr">
        <is>
          <t>▲</t>
        </is>
      </c>
    </row>
    <row r="57">
      <c r="A57" s="115" t="inlineStr">
        <is>
          <t>METROPOLIS</t>
        </is>
      </c>
      <c r="B57" s="115" t="inlineStr">
        <is>
          <t>Small Cap</t>
        </is>
      </c>
      <c r="C57" s="115" t="inlineStr">
        <is>
          <t>Health / Pharma / Chem</t>
        </is>
      </c>
      <c r="D57" s="115" t="inlineStr">
        <is>
          <t>Core</t>
        </is>
      </c>
      <c r="E57" s="115" t="inlineStr">
        <is>
          <t>Cheat 1</t>
        </is>
      </c>
      <c r="F57" s="115" t="n">
        <v>222</v>
      </c>
      <c r="G57" s="117" t="n">
        <v>120896</v>
      </c>
      <c r="H57" s="117" t="n">
        <v>544.58</v>
      </c>
      <c r="I57" s="115" t="n">
        <v>168</v>
      </c>
      <c r="J57" s="117" t="n">
        <v>81102.5</v>
      </c>
      <c r="K57" s="117" t="n">
        <v>482.75</v>
      </c>
      <c r="L57" s="115" t="n">
        <v>54</v>
      </c>
      <c r="M57" s="117" t="n">
        <v>29407.32</v>
      </c>
      <c r="N57" s="117">
        <f>IFERROR(INDEX(Price_Update!$F:$F, MATCH(A57, Price_Update!$A:$A, 0)), 541.5)</f>
        <v/>
      </c>
      <c r="O57" s="117">
        <f>L57*N57</f>
        <v/>
      </c>
      <c r="P57" s="117" t="n">
        <v>-10386.94</v>
      </c>
      <c r="Q57" s="117">
        <f>O57-M57</f>
        <v/>
      </c>
      <c r="R57" s="117">
        <f>P57+Q57</f>
        <v/>
      </c>
      <c r="S57" s="120">
        <f>IF(G57&gt;0, R57/G57, 0)</f>
        <v/>
      </c>
      <c r="T57" s="115" t="n">
        <v>2</v>
      </c>
      <c r="U57" s="115" t="inlineStr">
        <is>
          <t>4:1 Split on 2026-03-20</t>
        </is>
      </c>
      <c r="V57" s="115" t="inlineStr">
        <is>
          <t>No</t>
        </is>
      </c>
      <c r="W57" s="115" t="inlineStr">
        <is>
          <t>▲</t>
        </is>
      </c>
    </row>
    <row r="58">
      <c r="A58" s="115" t="inlineStr">
        <is>
          <t>MRPL</t>
        </is>
      </c>
      <c r="B58" s="115" t="inlineStr">
        <is>
          <t>Small Cap</t>
        </is>
      </c>
      <c r="C58" s="115" t="inlineStr">
        <is>
          <t>Industrial</t>
        </is>
      </c>
      <c r="D58" s="115" t="inlineStr">
        <is>
          <t>Satellite</t>
        </is>
      </c>
      <c r="E58" s="115" t="inlineStr"/>
      <c r="F58" s="115" t="n">
        <v>121</v>
      </c>
      <c r="G58" s="117" t="n">
        <v>24998.6</v>
      </c>
      <c r="H58" s="117" t="n">
        <v>206.6</v>
      </c>
      <c r="I58" s="115" t="n">
        <v>121</v>
      </c>
      <c r="J58" s="117" t="n">
        <v>19294.6</v>
      </c>
      <c r="K58" s="117" t="n">
        <v>159.46</v>
      </c>
      <c r="L58" s="115" t="n">
        <v>0</v>
      </c>
      <c r="M58" s="117" t="n">
        <v>0</v>
      </c>
      <c r="N58" s="117">
        <f>IFERROR(INDEX(Price_Update!$F:$F, MATCH(A58, Price_Update!$A:$A, 0)), 147.02)</f>
        <v/>
      </c>
      <c r="O58" s="117">
        <f>L58*N58</f>
        <v/>
      </c>
      <c r="P58" s="117" t="n">
        <v>-5704</v>
      </c>
      <c r="Q58" s="117">
        <f>O58-M58</f>
        <v/>
      </c>
      <c r="R58" s="117">
        <f>P58+Q58</f>
        <v/>
      </c>
      <c r="S58" s="120">
        <f>IF(G58&gt;0, R58/G58, 0)</f>
        <v/>
      </c>
      <c r="T58" s="115" t="n">
        <v>59</v>
      </c>
      <c r="U58" s="115" t="inlineStr"/>
      <c r="V58" s="115" t="inlineStr">
        <is>
          <t>No</t>
        </is>
      </c>
      <c r="W58" s="115" t="inlineStr">
        <is>
          <t>▼</t>
        </is>
      </c>
    </row>
    <row r="59">
      <c r="A59" s="115" t="inlineStr">
        <is>
          <t>NAVINFLUOR</t>
        </is>
      </c>
      <c r="B59" s="115" t="inlineStr">
        <is>
          <t>Mid Cap</t>
        </is>
      </c>
      <c r="C59" s="115" t="inlineStr">
        <is>
          <t>Health / Pharma / Chem</t>
        </is>
      </c>
      <c r="D59" s="115" t="inlineStr">
        <is>
          <t>Core</t>
        </is>
      </c>
      <c r="E59" s="115" t="inlineStr">
        <is>
          <t>Cheat 1</t>
        </is>
      </c>
      <c r="F59" s="115" t="n">
        <v>4</v>
      </c>
      <c r="G59" s="117" t="n">
        <v>28200</v>
      </c>
      <c r="H59" s="117" t="n">
        <v>7050</v>
      </c>
      <c r="I59" s="115" t="n">
        <v>0</v>
      </c>
      <c r="J59" s="117" t="n">
        <v>0</v>
      </c>
      <c r="K59" s="117" t="n">
        <v>0</v>
      </c>
      <c r="L59" s="115" t="n">
        <v>4</v>
      </c>
      <c r="M59" s="117" t="n">
        <v>28200</v>
      </c>
      <c r="N59" s="117">
        <f>IFERROR(INDEX(Price_Update!$F:$F, MATCH(A59, Price_Update!$A:$A, 0)), 7052.0)</f>
        <v/>
      </c>
      <c r="O59" s="117">
        <f>L59*N59</f>
        <v/>
      </c>
      <c r="P59" s="117" t="n">
        <v>0</v>
      </c>
      <c r="Q59" s="117">
        <f>O59-M59</f>
        <v/>
      </c>
      <c r="R59" s="117">
        <f>P59+Q59</f>
        <v/>
      </c>
      <c r="S59" s="120">
        <f>IF(G59&gt;0, R59/G59, 0)</f>
        <v/>
      </c>
      <c r="T59" s="115" t="n">
        <v>2</v>
      </c>
      <c r="U59" s="115" t="inlineStr"/>
      <c r="V59" s="115" t="inlineStr">
        <is>
          <t>No</t>
        </is>
      </c>
      <c r="W59" s="115" t="inlineStr">
        <is>
          <t>▲</t>
        </is>
      </c>
    </row>
    <row r="60">
      <c r="A60" s="115" t="inlineStr">
        <is>
          <t>NETWEB</t>
        </is>
      </c>
      <c r="B60" s="115" t="inlineStr">
        <is>
          <t>Small Cap</t>
        </is>
      </c>
      <c r="C60" s="115" t="inlineStr">
        <is>
          <t>Tech / Platform / IT</t>
        </is>
      </c>
      <c r="D60" s="115" t="inlineStr">
        <is>
          <t>Satellite</t>
        </is>
      </c>
      <c r="E60" s="115" t="inlineStr">
        <is>
          <t>Cheat 1</t>
        </is>
      </c>
      <c r="F60" s="115" t="n">
        <v>11</v>
      </c>
      <c r="G60" s="117" t="n">
        <v>50590.3013</v>
      </c>
      <c r="H60" s="117" t="n">
        <v>4599.12</v>
      </c>
      <c r="I60" s="115" t="n">
        <v>0</v>
      </c>
      <c r="J60" s="117" t="n">
        <v>0</v>
      </c>
      <c r="K60" s="117" t="n">
        <v>0</v>
      </c>
      <c r="L60" s="115" t="n">
        <v>11</v>
      </c>
      <c r="M60" s="117" t="n">
        <v>50590.32</v>
      </c>
      <c r="N60" s="117">
        <f>IFERROR(INDEX(Price_Update!$F:$F, MATCH(A60, Price_Update!$A:$A, 0)), 4705.3)</f>
        <v/>
      </c>
      <c r="O60" s="117">
        <f>L60*N60</f>
        <v/>
      </c>
      <c r="P60" s="117" t="n">
        <v>0</v>
      </c>
      <c r="Q60" s="117">
        <f>O60-M60</f>
        <v/>
      </c>
      <c r="R60" s="117">
        <f>P60+Q60</f>
        <v/>
      </c>
      <c r="S60" s="120">
        <f>IF(G60&gt;0, R60/G60, 0)</f>
        <v/>
      </c>
      <c r="T60" s="115" t="n">
        <v>3</v>
      </c>
      <c r="U60" s="115" t="inlineStr"/>
      <c r="V60" s="115" t="inlineStr">
        <is>
          <t>No</t>
        </is>
      </c>
      <c r="W60" s="115" t="inlineStr">
        <is>
          <t>▲</t>
        </is>
      </c>
    </row>
    <row r="61">
      <c r="A61" s="115" t="inlineStr">
        <is>
          <t>NGLFINE</t>
        </is>
      </c>
      <c r="B61" s="115" t="inlineStr">
        <is>
          <t>Small Cap</t>
        </is>
      </c>
      <c r="C61" s="115" t="inlineStr">
        <is>
          <t>Health / Pharma / Chem</t>
        </is>
      </c>
      <c r="D61" s="115" t="inlineStr">
        <is>
          <t>Core</t>
        </is>
      </c>
      <c r="E61" s="115" t="inlineStr">
        <is>
          <t>Cheat 1</t>
        </is>
      </c>
      <c r="F61" s="115" t="n">
        <v>11</v>
      </c>
      <c r="G61" s="117" t="n">
        <v>29260</v>
      </c>
      <c r="H61" s="117" t="n">
        <v>2660</v>
      </c>
      <c r="I61" s="115" t="n">
        <v>0</v>
      </c>
      <c r="J61" s="117" t="n">
        <v>0</v>
      </c>
      <c r="K61" s="117" t="n">
        <v>0</v>
      </c>
      <c r="L61" s="115" t="n">
        <v>11</v>
      </c>
      <c r="M61" s="117" t="n">
        <v>29260</v>
      </c>
      <c r="N61" s="117">
        <f>IFERROR(INDEX(Price_Update!$F:$F, MATCH(A61, Price_Update!$A:$A, 0)), 2654.5)</f>
        <v/>
      </c>
      <c r="O61" s="117">
        <f>L61*N61</f>
        <v/>
      </c>
      <c r="P61" s="117" t="n">
        <v>0</v>
      </c>
      <c r="Q61" s="117">
        <f>O61-M61</f>
        <v/>
      </c>
      <c r="R61" s="117">
        <f>P61+Q61</f>
        <v/>
      </c>
      <c r="S61" s="120">
        <f>IF(G61&gt;0, R61/G61, 0)</f>
        <v/>
      </c>
      <c r="T61" s="115" t="n">
        <v>2</v>
      </c>
      <c r="U61" s="115" t="inlineStr"/>
      <c r="V61" s="115" t="inlineStr">
        <is>
          <t>No</t>
        </is>
      </c>
      <c r="W61" s="115" t="inlineStr">
        <is>
          <t>▼</t>
        </is>
      </c>
    </row>
    <row r="62">
      <c r="A62" s="115" t="inlineStr">
        <is>
          <t>NH</t>
        </is>
      </c>
      <c r="B62" s="115" t="inlineStr">
        <is>
          <t>Mid Cap</t>
        </is>
      </c>
      <c r="C62" s="115" t="inlineStr">
        <is>
          <t>Health / Pharma / Chem</t>
        </is>
      </c>
      <c r="D62" s="115" t="inlineStr">
        <is>
          <t>Core</t>
        </is>
      </c>
      <c r="E62" s="115" t="inlineStr">
        <is>
          <t>Cheat 1</t>
        </is>
      </c>
      <c r="F62" s="115" t="n">
        <v>15</v>
      </c>
      <c r="G62" s="117" t="n">
        <v>28659.7</v>
      </c>
      <c r="H62" s="117" t="n">
        <v>1910.65</v>
      </c>
      <c r="I62" s="115" t="n">
        <v>0</v>
      </c>
      <c r="J62" s="117" t="n">
        <v>0</v>
      </c>
      <c r="K62" s="117" t="n">
        <v>0</v>
      </c>
      <c r="L62" s="115" t="n">
        <v>15</v>
      </c>
      <c r="M62" s="117" t="n">
        <v>28659.75</v>
      </c>
      <c r="N62" s="117">
        <f>IFERROR(INDEX(Price_Update!$F:$F, MATCH(A62, Price_Update!$A:$A, 0)), 1934.2)</f>
        <v/>
      </c>
      <c r="O62" s="117">
        <f>L62*N62</f>
        <v/>
      </c>
      <c r="P62" s="117" t="n">
        <v>0</v>
      </c>
      <c r="Q62" s="117">
        <f>O62-M62</f>
        <v/>
      </c>
      <c r="R62" s="117">
        <f>P62+Q62</f>
        <v/>
      </c>
      <c r="S62" s="120">
        <f>IF(G62&gt;0, R62/G62, 0)</f>
        <v/>
      </c>
      <c r="T62" s="115" t="n">
        <v>2</v>
      </c>
      <c r="U62" s="115" t="inlineStr"/>
      <c r="V62" s="115" t="inlineStr">
        <is>
          <t>No</t>
        </is>
      </c>
      <c r="W62" s="115" t="inlineStr">
        <is>
          <t>▲</t>
        </is>
      </c>
    </row>
    <row r="63">
      <c r="A63" s="115" t="inlineStr">
        <is>
          <t>NIFTYBEES</t>
        </is>
      </c>
      <c r="B63" s="115" t="inlineStr"/>
      <c r="C63" s="115" t="inlineStr">
        <is>
          <t>Consumption</t>
        </is>
      </c>
      <c r="D63" s="115" t="inlineStr">
        <is>
          <t>Satellite</t>
        </is>
      </c>
      <c r="E63" s="115" t="inlineStr"/>
      <c r="F63" s="115" t="n">
        <v>92</v>
      </c>
      <c r="G63" s="117" t="n">
        <v>25078.28</v>
      </c>
      <c r="H63" s="117" t="n">
        <v>272.59</v>
      </c>
      <c r="I63" s="115" t="n">
        <v>92</v>
      </c>
      <c r="J63" s="117" t="n">
        <v>24499.6</v>
      </c>
      <c r="K63" s="117" t="n">
        <v>266.3</v>
      </c>
      <c r="L63" s="115" t="n">
        <v>0</v>
      </c>
      <c r="M63" s="117" t="n">
        <v>0</v>
      </c>
      <c r="N63" s="117">
        <f>IFERROR(INDEX(Price_Update!$F:$F, MATCH(A63, Price_Update!$A:$A, 0)), 266.02)</f>
        <v/>
      </c>
      <c r="O63" s="117">
        <f>L63*N63</f>
        <v/>
      </c>
      <c r="P63" s="117" t="n">
        <v>-578.6799999999999</v>
      </c>
      <c r="Q63" s="117">
        <f>O63-M63</f>
        <v/>
      </c>
      <c r="R63" s="117">
        <f>P63+Q63</f>
        <v/>
      </c>
      <c r="S63" s="120">
        <f>IF(G63&gt;0, R63/G63, 0)</f>
        <v/>
      </c>
      <c r="T63" s="115" t="n">
        <v>72</v>
      </c>
      <c r="U63" s="115" t="inlineStr"/>
      <c r="V63" s="115" t="inlineStr">
        <is>
          <t>No</t>
        </is>
      </c>
      <c r="W63" s="115" t="inlineStr">
        <is>
          <t>▲</t>
        </is>
      </c>
    </row>
    <row r="64">
      <c r="A64" s="115" t="inlineStr">
        <is>
          <t>NMDC</t>
        </is>
      </c>
      <c r="B64" s="115" t="inlineStr">
        <is>
          <t>Mid Cap</t>
        </is>
      </c>
      <c r="C64" s="115" t="inlineStr">
        <is>
          <t>Industrial</t>
        </is>
      </c>
      <c r="D64" s="115" t="inlineStr">
        <is>
          <t>Satellite</t>
        </is>
      </c>
      <c r="E64" s="115" t="inlineStr"/>
      <c r="F64" s="115" t="n">
        <v>300</v>
      </c>
      <c r="G64" s="117" t="n">
        <v>25347</v>
      </c>
      <c r="H64" s="117" t="n">
        <v>84.48999999999999</v>
      </c>
      <c r="I64" s="115" t="n">
        <v>300</v>
      </c>
      <c r="J64" s="117" t="n">
        <v>26256</v>
      </c>
      <c r="K64" s="117" t="n">
        <v>87.52</v>
      </c>
      <c r="L64" s="115" t="n">
        <v>0</v>
      </c>
      <c r="M64" s="117" t="n">
        <v>0</v>
      </c>
      <c r="N64" s="117">
        <f>IFERROR(INDEX(Price_Update!$F:$F, MATCH(A64, Price_Update!$A:$A, 0)), 95.31)</f>
        <v/>
      </c>
      <c r="O64" s="117">
        <f>L64*N64</f>
        <v/>
      </c>
      <c r="P64" s="117" t="n">
        <v>909</v>
      </c>
      <c r="Q64" s="117">
        <f>O64-M64</f>
        <v/>
      </c>
      <c r="R64" s="117">
        <f>P64+Q64</f>
        <v/>
      </c>
      <c r="S64" s="120">
        <f>IF(G64&gt;0, R64/G64, 0)</f>
        <v/>
      </c>
      <c r="T64" s="115" t="n">
        <v>147</v>
      </c>
      <c r="U64" s="115" t="inlineStr"/>
      <c r="V64" s="115" t="inlineStr">
        <is>
          <t>No</t>
        </is>
      </c>
      <c r="W64" s="115" t="inlineStr">
        <is>
          <t>▲</t>
        </is>
      </c>
    </row>
    <row r="65">
      <c r="A65" s="115" t="inlineStr">
        <is>
          <t>NRBBEARING</t>
        </is>
      </c>
      <c r="B65" s="115" t="inlineStr">
        <is>
          <t>Small Cap</t>
        </is>
      </c>
      <c r="C65" s="115" t="inlineStr">
        <is>
          <t>Industrial</t>
        </is>
      </c>
      <c r="D65" s="115" t="inlineStr">
        <is>
          <t>Satellite</t>
        </is>
      </c>
      <c r="E65" s="115" t="inlineStr">
        <is>
          <t>Cheat 2</t>
        </is>
      </c>
      <c r="F65" s="115" t="n">
        <v>133</v>
      </c>
      <c r="G65" s="117" t="n">
        <v>50270</v>
      </c>
      <c r="H65" s="117" t="n">
        <v>377.97</v>
      </c>
      <c r="I65" s="115" t="n">
        <v>0</v>
      </c>
      <c r="J65" s="117" t="n">
        <v>0</v>
      </c>
      <c r="K65" s="117" t="n">
        <v>0</v>
      </c>
      <c r="L65" s="115" t="n">
        <v>133</v>
      </c>
      <c r="M65" s="117" t="n">
        <v>50270.01</v>
      </c>
      <c r="N65" s="117">
        <f>IFERROR(INDEX(Price_Update!$F:$F, MATCH(A65, Price_Update!$A:$A, 0)), 357.35)</f>
        <v/>
      </c>
      <c r="O65" s="117">
        <f>L65*N65</f>
        <v/>
      </c>
      <c r="P65" s="117" t="n">
        <v>0</v>
      </c>
      <c r="Q65" s="117">
        <f>O65-M65</f>
        <v/>
      </c>
      <c r="R65" s="117">
        <f>P65+Q65</f>
        <v/>
      </c>
      <c r="S65" s="120">
        <f>IF(G65&gt;0, R65/G65, 0)</f>
        <v/>
      </c>
      <c r="T65" s="115" t="n">
        <v>13</v>
      </c>
      <c r="U65" s="115" t="inlineStr"/>
      <c r="V65" s="115" t="inlineStr">
        <is>
          <t>No</t>
        </is>
      </c>
      <c r="W65" s="115" t="inlineStr">
        <is>
          <t>▼</t>
        </is>
      </c>
    </row>
    <row r="66">
      <c r="A66" s="115" t="inlineStr">
        <is>
          <t>OFSS</t>
        </is>
      </c>
      <c r="B66" s="115" t="inlineStr">
        <is>
          <t>Mid Cap</t>
        </is>
      </c>
      <c r="C66" s="115" t="inlineStr">
        <is>
          <t>Technology</t>
        </is>
      </c>
      <c r="D66" s="115" t="inlineStr">
        <is>
          <t>Core</t>
        </is>
      </c>
      <c r="E66" s="115" t="inlineStr">
        <is>
          <t>Cheat 1</t>
        </is>
      </c>
      <c r="F66" s="115" t="n">
        <v>3</v>
      </c>
      <c r="G66" s="117" t="n">
        <v>30903</v>
      </c>
      <c r="H66" s="117" t="n">
        <v>10301</v>
      </c>
      <c r="I66" s="115" t="n">
        <v>0</v>
      </c>
      <c r="J66" s="117" t="n">
        <v>0</v>
      </c>
      <c r="K66" s="117" t="n">
        <v>0</v>
      </c>
      <c r="L66" s="115" t="n">
        <v>3</v>
      </c>
      <c r="M66" s="117" t="n">
        <v>30903</v>
      </c>
      <c r="N66" s="117">
        <f>IFERROR(INDEX(Price_Update!$F:$F, MATCH(A66, Price_Update!$A:$A, 0)), 10344.5)</f>
        <v/>
      </c>
      <c r="O66" s="117">
        <f>L66*N66</f>
        <v/>
      </c>
      <c r="P66" s="117" t="n">
        <v>0</v>
      </c>
      <c r="Q66" s="117">
        <f>O66-M66</f>
        <v/>
      </c>
      <c r="R66" s="117">
        <f>P66+Q66</f>
        <v/>
      </c>
      <c r="S66" s="120">
        <f>IF(G66&gt;0, R66/G66, 0)</f>
        <v/>
      </c>
      <c r="T66" s="115" t="n">
        <v>2</v>
      </c>
      <c r="U66" s="115" t="inlineStr"/>
      <c r="V66" s="115" t="inlineStr">
        <is>
          <t>No</t>
        </is>
      </c>
      <c r="W66" s="115" t="inlineStr">
        <is>
          <t>▲</t>
        </is>
      </c>
    </row>
    <row r="67">
      <c r="A67" s="115" t="inlineStr">
        <is>
          <t>PIDILITIND</t>
        </is>
      </c>
      <c r="B67" s="115" t="inlineStr">
        <is>
          <t>Large Cap</t>
        </is>
      </c>
      <c r="C67" s="115" t="inlineStr">
        <is>
          <t>Health / Pharma / Chem</t>
        </is>
      </c>
      <c r="D67" s="115" t="inlineStr">
        <is>
          <t>Core</t>
        </is>
      </c>
      <c r="E67" s="115" t="inlineStr"/>
      <c r="F67" s="115" t="n">
        <v>60</v>
      </c>
      <c r="G67" s="117" t="n">
        <v>93744</v>
      </c>
      <c r="H67" s="117" t="n">
        <v>1562.4</v>
      </c>
      <c r="I67" s="115" t="n">
        <v>60</v>
      </c>
      <c r="J67" s="117" t="n">
        <v>88621.5</v>
      </c>
      <c r="K67" s="117" t="n">
        <v>1477.02</v>
      </c>
      <c r="L67" s="115" t="n">
        <v>0</v>
      </c>
      <c r="M67" s="117" t="n">
        <v>0</v>
      </c>
      <c r="N67" s="117">
        <f>IFERROR(INDEX(Price_Update!$F:$F, MATCH(A67, Price_Update!$A:$A, 0)), 1454.6)</f>
        <v/>
      </c>
      <c r="O67" s="117">
        <f>L67*N67</f>
        <v/>
      </c>
      <c r="P67" s="117" t="n">
        <v>-5122.5</v>
      </c>
      <c r="Q67" s="117">
        <f>O67-M67</f>
        <v/>
      </c>
      <c r="R67" s="117">
        <f>P67+Q67</f>
        <v/>
      </c>
      <c r="S67" s="120">
        <f>IF(G67&gt;0, R67/G67, 0)</f>
        <v/>
      </c>
      <c r="T67" s="115" t="n">
        <v>24</v>
      </c>
      <c r="U67" s="115" t="inlineStr">
        <is>
          <t>2:1 Split on 2025-09-23</t>
        </is>
      </c>
      <c r="V67" s="115" t="inlineStr">
        <is>
          <t>No</t>
        </is>
      </c>
      <c r="W67" s="115" t="inlineStr">
        <is>
          <t>▼</t>
        </is>
      </c>
    </row>
    <row r="68">
      <c r="A68" s="115" t="inlineStr">
        <is>
          <t>PNB</t>
        </is>
      </c>
      <c r="B68" s="115" t="inlineStr">
        <is>
          <t>Large Cap</t>
        </is>
      </c>
      <c r="C68" s="115" t="inlineStr">
        <is>
          <t>Finance</t>
        </is>
      </c>
      <c r="D68" s="115" t="inlineStr">
        <is>
          <t>Satellite</t>
        </is>
      </c>
      <c r="E68" s="115" t="inlineStr"/>
      <c r="F68" s="115" t="n">
        <v>200</v>
      </c>
      <c r="G68" s="117" t="n">
        <v>25540.1</v>
      </c>
      <c r="H68" s="117" t="n">
        <v>127.7</v>
      </c>
      <c r="I68" s="115" t="n">
        <v>200</v>
      </c>
      <c r="J68" s="117" t="n">
        <v>23912</v>
      </c>
      <c r="K68" s="117" t="n">
        <v>119.56</v>
      </c>
      <c r="L68" s="115" t="n">
        <v>0</v>
      </c>
      <c r="M68" s="117" t="n">
        <v>0</v>
      </c>
      <c r="N68" s="117">
        <f>IFERROR(INDEX(Price_Update!$F:$F, MATCH(A68, Price_Update!$A:$A, 0)), 104.09)</f>
        <v/>
      </c>
      <c r="O68" s="117">
        <f>L68*N68</f>
        <v/>
      </c>
      <c r="P68" s="117" t="n">
        <v>-1628</v>
      </c>
      <c r="Q68" s="117">
        <f>O68-M68</f>
        <v/>
      </c>
      <c r="R68" s="117">
        <f>P68+Q68</f>
        <v/>
      </c>
      <c r="S68" s="120">
        <f>IF(G68&gt;0, R68/G68, 0)</f>
        <v/>
      </c>
      <c r="T68" s="115" t="n">
        <v>17</v>
      </c>
      <c r="U68" s="115" t="inlineStr"/>
      <c r="V68" s="115" t="inlineStr">
        <is>
          <t>No</t>
        </is>
      </c>
      <c r="W68" s="115" t="inlineStr">
        <is>
          <t>▲</t>
        </is>
      </c>
    </row>
    <row r="69">
      <c r="A69" s="115" t="inlineStr">
        <is>
          <t>POCL</t>
        </is>
      </c>
      <c r="B69" s="115" t="inlineStr">
        <is>
          <t>Small Cap</t>
        </is>
      </c>
      <c r="C69" s="115" t="inlineStr">
        <is>
          <t>Industrial</t>
        </is>
      </c>
      <c r="D69" s="115" t="inlineStr">
        <is>
          <t>Satellite</t>
        </is>
      </c>
      <c r="E69" s="115" t="inlineStr"/>
      <c r="F69" s="115" t="n">
        <v>70</v>
      </c>
      <c r="G69" s="117" t="n">
        <v>99582.60000000001</v>
      </c>
      <c r="H69" s="117" t="n">
        <v>1422.61</v>
      </c>
      <c r="I69" s="115" t="n">
        <v>70</v>
      </c>
      <c r="J69" s="117" t="n">
        <v>90500.5</v>
      </c>
      <c r="K69" s="117" t="n">
        <v>1292.86</v>
      </c>
      <c r="L69" s="115" t="n">
        <v>0</v>
      </c>
      <c r="M69" s="117" t="n">
        <v>0</v>
      </c>
      <c r="N69" s="117">
        <f>IFERROR(INDEX(Price_Update!$F:$F, MATCH(A69, Price_Update!$A:$A, 0)), 1337.4)</f>
        <v/>
      </c>
      <c r="O69" s="117">
        <f>L69*N69</f>
        <v/>
      </c>
      <c r="P69" s="117" t="n">
        <v>-9082.200000000001</v>
      </c>
      <c r="Q69" s="117">
        <f>O69-M69</f>
        <v/>
      </c>
      <c r="R69" s="117">
        <f>P69+Q69</f>
        <v/>
      </c>
      <c r="S69" s="120">
        <f>IF(G69&gt;0, R69/G69, 0)</f>
        <v/>
      </c>
      <c r="T69" s="115" t="n">
        <v>25</v>
      </c>
      <c r="U69" s="115" t="inlineStr"/>
      <c r="V69" s="115" t="inlineStr">
        <is>
          <t>No</t>
        </is>
      </c>
      <c r="W69" s="115" t="inlineStr">
        <is>
          <t>▲</t>
        </is>
      </c>
    </row>
    <row r="70">
      <c r="A70" s="115" t="inlineStr">
        <is>
          <t>POLYCAB</t>
        </is>
      </c>
      <c r="B70" s="115" t="inlineStr">
        <is>
          <t>Large Cap</t>
        </is>
      </c>
      <c r="C70" s="115" t="inlineStr">
        <is>
          <t xml:space="preserve">Consumption </t>
        </is>
      </c>
      <c r="D70" s="115" t="inlineStr">
        <is>
          <t>Core</t>
        </is>
      </c>
      <c r="E70" s="115" t="inlineStr">
        <is>
          <t>Tranch 4</t>
        </is>
      </c>
      <c r="F70" s="115" t="n">
        <v>53</v>
      </c>
      <c r="G70" s="117" t="n">
        <v>414743</v>
      </c>
      <c r="H70" s="117" t="n">
        <v>7825.34</v>
      </c>
      <c r="I70" s="115" t="n">
        <v>0</v>
      </c>
      <c r="J70" s="117" t="n">
        <v>0</v>
      </c>
      <c r="K70" s="117" t="n">
        <v>0</v>
      </c>
      <c r="L70" s="115" t="n">
        <v>53</v>
      </c>
      <c r="M70" s="117" t="n">
        <v>414743.02</v>
      </c>
      <c r="N70" s="117">
        <f>IFERROR(INDEX(Price_Update!$F:$F, MATCH(A70, Price_Update!$A:$A, 0)), 9571.5)</f>
        <v/>
      </c>
      <c r="O70" s="117">
        <f>L70*N70</f>
        <v/>
      </c>
      <c r="P70" s="117" t="n">
        <v>0</v>
      </c>
      <c r="Q70" s="117">
        <f>O70-M70</f>
        <v/>
      </c>
      <c r="R70" s="117">
        <f>P70+Q70</f>
        <v/>
      </c>
      <c r="S70" s="120">
        <f>IF(G70&gt;0, R70/G70, 0)</f>
        <v/>
      </c>
      <c r="T70" s="115" t="n">
        <v>269</v>
      </c>
      <c r="U70" s="115" t="inlineStr"/>
      <c r="V70" s="115" t="inlineStr">
        <is>
          <t>No</t>
        </is>
      </c>
      <c r="W70" s="115" t="inlineStr">
        <is>
          <t>▲</t>
        </is>
      </c>
    </row>
    <row r="71">
      <c r="A71" s="115" t="inlineStr">
        <is>
          <t>POONAWALLA</t>
        </is>
      </c>
      <c r="B71" s="115" t="inlineStr">
        <is>
          <t>Mid Cap</t>
        </is>
      </c>
      <c r="C71" s="115" t="inlineStr">
        <is>
          <t>Finance</t>
        </is>
      </c>
      <c r="D71" s="115" t="inlineStr">
        <is>
          <t>Satellite</t>
        </is>
      </c>
      <c r="E71" s="115" t="inlineStr"/>
      <c r="F71" s="115" t="n">
        <v>188</v>
      </c>
      <c r="G71" s="117" t="n">
        <v>99892.65000000001</v>
      </c>
      <c r="H71" s="117" t="n">
        <v>531.34</v>
      </c>
      <c r="I71" s="115" t="n">
        <v>188</v>
      </c>
      <c r="J71" s="117" t="n">
        <v>90619.09999999999</v>
      </c>
      <c r="K71" s="117" t="n">
        <v>482.02</v>
      </c>
      <c r="L71" s="115" t="n">
        <v>0</v>
      </c>
      <c r="M71" s="117" t="n">
        <v>0</v>
      </c>
      <c r="N71" s="117">
        <f>IFERROR(INDEX(Price_Update!$F:$F, MATCH(A71, Price_Update!$A:$A, 0)), 397.8)</f>
        <v/>
      </c>
      <c r="O71" s="117">
        <f>L71*N71</f>
        <v/>
      </c>
      <c r="P71" s="117" t="n">
        <v>-9272.82</v>
      </c>
      <c r="Q71" s="117">
        <f>O71-M71</f>
        <v/>
      </c>
      <c r="R71" s="117">
        <f>P71+Q71</f>
        <v/>
      </c>
      <c r="S71" s="120">
        <f>IF(G71&gt;0, R71/G71, 0)</f>
        <v/>
      </c>
      <c r="T71" s="115" t="n">
        <v>21</v>
      </c>
      <c r="U71" s="115" t="inlineStr"/>
      <c r="V71" s="115" t="inlineStr">
        <is>
          <t>No</t>
        </is>
      </c>
      <c r="W71" s="115" t="inlineStr">
        <is>
          <t>▲</t>
        </is>
      </c>
    </row>
    <row r="72">
      <c r="A72" s="115" t="inlineStr">
        <is>
          <t>POWERINDIA</t>
        </is>
      </c>
      <c r="B72" s="115" t="inlineStr">
        <is>
          <t>Large Cap</t>
        </is>
      </c>
      <c r="C72" s="115" t="inlineStr">
        <is>
          <t>Industrial</t>
        </is>
      </c>
      <c r="D72" s="115" t="inlineStr">
        <is>
          <t>Core</t>
        </is>
      </c>
      <c r="E72" s="115" t="inlineStr">
        <is>
          <t>Cheat 1</t>
        </is>
      </c>
      <c r="F72" s="115" t="n">
        <v>1</v>
      </c>
      <c r="G72" s="117" t="n">
        <v>35105</v>
      </c>
      <c r="H72" s="117" t="n">
        <v>35105</v>
      </c>
      <c r="I72" s="115" t="n">
        <v>0</v>
      </c>
      <c r="J72" s="117" t="n">
        <v>0</v>
      </c>
      <c r="K72" s="117" t="n">
        <v>0</v>
      </c>
      <c r="L72" s="115" t="n">
        <v>1</v>
      </c>
      <c r="M72" s="117" t="n">
        <v>35105</v>
      </c>
      <c r="N72" s="117">
        <f>IFERROR(INDEX(Price_Update!$F:$F, MATCH(A72, Price_Update!$A:$A, 0)), 35105.0)</f>
        <v/>
      </c>
      <c r="O72" s="117">
        <f>L72*N72</f>
        <v/>
      </c>
      <c r="P72" s="117" t="n">
        <v>0</v>
      </c>
      <c r="Q72" s="117">
        <f>O72-M72</f>
        <v/>
      </c>
      <c r="R72" s="117">
        <f>P72+Q72</f>
        <v/>
      </c>
      <c r="S72" s="120">
        <f>IF(G72&gt;0, R72/G72, 0)</f>
        <v/>
      </c>
      <c r="T72" s="115" t="n">
        <v>2</v>
      </c>
      <c r="U72" s="115" t="inlineStr"/>
      <c r="V72" s="115" t="inlineStr">
        <is>
          <t>No</t>
        </is>
      </c>
      <c r="W72" s="115" t="inlineStr">
        <is>
          <t>▼</t>
        </is>
      </c>
    </row>
    <row r="73">
      <c r="A73" s="115" t="inlineStr">
        <is>
          <t>PRECWIRE</t>
        </is>
      </c>
      <c r="B73" s="115" t="inlineStr">
        <is>
          <t>Small Cap</t>
        </is>
      </c>
      <c r="C73" s="115" t="inlineStr">
        <is>
          <t>Industrial</t>
        </is>
      </c>
      <c r="D73" s="115" t="inlineStr">
        <is>
          <t>Satellite</t>
        </is>
      </c>
      <c r="E73" s="115" t="inlineStr"/>
      <c r="F73" s="115" t="n">
        <v>204</v>
      </c>
      <c r="G73" s="117" t="n">
        <v>48757.69</v>
      </c>
      <c r="H73" s="117" t="n">
        <v>239.01</v>
      </c>
      <c r="I73" s="115" t="n">
        <v>220</v>
      </c>
      <c r="J73" s="117" t="n">
        <v>54098</v>
      </c>
      <c r="K73" s="117" t="n">
        <v>245.9</v>
      </c>
      <c r="L73" s="115" t="n">
        <v>-16</v>
      </c>
      <c r="M73" s="117" t="n">
        <v>-3824.16</v>
      </c>
      <c r="N73" s="117">
        <f>IFERROR(INDEX(Price_Update!$F:$F, MATCH(A73, Price_Update!$A:$A, 0)), 428.45)</f>
        <v/>
      </c>
      <c r="O73" s="117">
        <f>L73*N73</f>
        <v/>
      </c>
      <c r="P73" s="117" t="n">
        <v>1515.8</v>
      </c>
      <c r="Q73" s="117">
        <f>O73-M73</f>
        <v/>
      </c>
      <c r="R73" s="117">
        <f>P73+Q73</f>
        <v/>
      </c>
      <c r="S73" s="120">
        <f>IF(G73&gt;0, R73/G73, 0)</f>
        <v/>
      </c>
      <c r="T73" s="115" t="n">
        <v>241</v>
      </c>
      <c r="U73" s="115" t="inlineStr"/>
      <c r="V73" s="115" t="inlineStr">
        <is>
          <t>No</t>
        </is>
      </c>
      <c r="W73" s="115" t="inlineStr">
        <is>
          <t>▼</t>
        </is>
      </c>
    </row>
    <row r="74">
      <c r="A74" s="115" t="inlineStr">
        <is>
          <t>PSPPROJECT</t>
        </is>
      </c>
      <c r="B74" s="115" t="inlineStr">
        <is>
          <t>Small Cap</t>
        </is>
      </c>
      <c r="C74" s="115" t="inlineStr">
        <is>
          <t>Industrial</t>
        </is>
      </c>
      <c r="D74" s="115" t="inlineStr">
        <is>
          <t>Core</t>
        </is>
      </c>
      <c r="E74" s="115" t="inlineStr">
        <is>
          <t>Cheat 1</t>
        </is>
      </c>
      <c r="F74" s="115" t="n">
        <v>35</v>
      </c>
      <c r="G74" s="117" t="n">
        <v>29351</v>
      </c>
      <c r="H74" s="117" t="n">
        <v>838.6</v>
      </c>
      <c r="I74" s="115" t="n">
        <v>0</v>
      </c>
      <c r="J74" s="117" t="n">
        <v>0</v>
      </c>
      <c r="K74" s="117" t="n">
        <v>0</v>
      </c>
      <c r="L74" s="115" t="n">
        <v>35</v>
      </c>
      <c r="M74" s="117" t="n">
        <v>29351</v>
      </c>
      <c r="N74" s="117">
        <f>IFERROR(INDEX(Price_Update!$F:$F, MATCH(A74, Price_Update!$A:$A, 0)), 842.65)</f>
        <v/>
      </c>
      <c r="O74" s="117">
        <f>L74*N74</f>
        <v/>
      </c>
      <c r="P74" s="117" t="n">
        <v>0</v>
      </c>
      <c r="Q74" s="117">
        <f>O74-M74</f>
        <v/>
      </c>
      <c r="R74" s="117">
        <f>P74+Q74</f>
        <v/>
      </c>
      <c r="S74" s="120">
        <f>IF(G74&gt;0, R74/G74, 0)</f>
        <v/>
      </c>
      <c r="T74" s="115" t="n">
        <v>2</v>
      </c>
      <c r="U74" s="115" t="inlineStr"/>
      <c r="V74" s="115" t="inlineStr">
        <is>
          <t>No</t>
        </is>
      </c>
      <c r="W74" s="115" t="inlineStr">
        <is>
          <t>▲</t>
        </is>
      </c>
    </row>
    <row r="75">
      <c r="A75" s="115" t="inlineStr">
        <is>
          <t>RAINBOW</t>
        </is>
      </c>
      <c r="B75" s="115" t="inlineStr">
        <is>
          <t>Small Cap</t>
        </is>
      </c>
      <c r="C75" s="115" t="inlineStr">
        <is>
          <t>Health / Pharma / Chem</t>
        </is>
      </c>
      <c r="D75" s="115" t="inlineStr">
        <is>
          <t>Core</t>
        </is>
      </c>
      <c r="E75" s="115" t="inlineStr">
        <is>
          <t>Cheat 1</t>
        </is>
      </c>
      <c r="F75" s="115" t="n">
        <v>21</v>
      </c>
      <c r="G75" s="117" t="n">
        <v>27948.9</v>
      </c>
      <c r="H75" s="117" t="n">
        <v>1330.9</v>
      </c>
      <c r="I75" s="115" t="n">
        <v>0</v>
      </c>
      <c r="J75" s="117" t="n">
        <v>0</v>
      </c>
      <c r="K75" s="117" t="n">
        <v>0</v>
      </c>
      <c r="L75" s="115" t="n">
        <v>21</v>
      </c>
      <c r="M75" s="117" t="n">
        <v>27948.9</v>
      </c>
      <c r="N75" s="117">
        <f>IFERROR(INDEX(Price_Update!$F:$F, MATCH(A75, Price_Update!$A:$A, 0)), 1341.4)</f>
        <v/>
      </c>
      <c r="O75" s="117">
        <f>L75*N75</f>
        <v/>
      </c>
      <c r="P75" s="117" t="n">
        <v>0</v>
      </c>
      <c r="Q75" s="117">
        <f>O75-M75</f>
        <v/>
      </c>
      <c r="R75" s="117">
        <f>P75+Q75</f>
        <v/>
      </c>
      <c r="S75" s="120">
        <f>IF(G75&gt;0, R75/G75, 0)</f>
        <v/>
      </c>
      <c r="T75" s="115" t="n">
        <v>2</v>
      </c>
      <c r="U75" s="115" t="inlineStr"/>
      <c r="V75" s="115" t="inlineStr">
        <is>
          <t>No</t>
        </is>
      </c>
      <c r="W75" s="115" t="inlineStr">
        <is>
          <t>▼</t>
        </is>
      </c>
    </row>
    <row r="76">
      <c r="A76" s="115" t="inlineStr">
        <is>
          <t>RAJRATAN</t>
        </is>
      </c>
      <c r="B76" s="115" t="inlineStr">
        <is>
          <t>Small Cap</t>
        </is>
      </c>
      <c r="C76" s="115" t="inlineStr">
        <is>
          <t>Industrial</t>
        </is>
      </c>
      <c r="D76" s="115" t="inlineStr">
        <is>
          <t>Satellite</t>
        </is>
      </c>
      <c r="E76" s="115" t="inlineStr"/>
      <c r="F76" s="115" t="n">
        <v>10</v>
      </c>
      <c r="G76" s="117" t="n">
        <v>4835.5</v>
      </c>
      <c r="H76" s="117" t="n">
        <v>483.55</v>
      </c>
      <c r="I76" s="115" t="n">
        <v>10</v>
      </c>
      <c r="J76" s="117" t="n">
        <v>4193</v>
      </c>
      <c r="K76" s="117" t="n">
        <v>419.3</v>
      </c>
      <c r="L76" s="115" t="n">
        <v>0</v>
      </c>
      <c r="M76" s="117" t="n">
        <v>0</v>
      </c>
      <c r="N76" s="117">
        <f>IFERROR(INDEX(Price_Update!$F:$F, MATCH(A76, Price_Update!$A:$A, 0)), 415.3)</f>
        <v/>
      </c>
      <c r="O76" s="117">
        <f>L76*N76</f>
        <v/>
      </c>
      <c r="P76" s="117" t="n">
        <v>-642.5</v>
      </c>
      <c r="Q76" s="117">
        <f>O76-M76</f>
        <v/>
      </c>
      <c r="R76" s="117">
        <f>P76+Q76</f>
        <v/>
      </c>
      <c r="S76" s="120">
        <f>IF(G76&gt;0, R76/G76, 0)</f>
        <v/>
      </c>
      <c r="T76" s="115" t="n">
        <v>15</v>
      </c>
      <c r="U76" s="115" t="inlineStr"/>
      <c r="V76" s="115" t="inlineStr">
        <is>
          <t>No</t>
        </is>
      </c>
      <c r="W76" s="115" t="inlineStr">
        <is>
          <t>▲</t>
        </is>
      </c>
    </row>
    <row r="77">
      <c r="A77" s="115" t="inlineStr">
        <is>
          <t>SBCL</t>
        </is>
      </c>
      <c r="B77" s="115" t="inlineStr">
        <is>
          <t>Small Cap</t>
        </is>
      </c>
      <c r="C77" s="115" t="inlineStr">
        <is>
          <t>Industrial</t>
        </is>
      </c>
      <c r="D77" s="115" t="inlineStr">
        <is>
          <t>Core</t>
        </is>
      </c>
      <c r="E77" s="115" t="inlineStr">
        <is>
          <t>Cheat 1</t>
        </is>
      </c>
      <c r="F77" s="115" t="n">
        <v>40</v>
      </c>
      <c r="G77" s="117" t="n">
        <v>29187.3</v>
      </c>
      <c r="H77" s="117" t="n">
        <v>729.6799999999999</v>
      </c>
      <c r="I77" s="115" t="n">
        <v>0</v>
      </c>
      <c r="J77" s="117" t="n">
        <v>0</v>
      </c>
      <c r="K77" s="117" t="n">
        <v>0</v>
      </c>
      <c r="L77" s="115" t="n">
        <v>40</v>
      </c>
      <c r="M77" s="117" t="n">
        <v>29187.2</v>
      </c>
      <c r="N77" s="117">
        <f>IFERROR(INDEX(Price_Update!$F:$F, MATCH(A77, Price_Update!$A:$A, 0)), 734.55)</f>
        <v/>
      </c>
      <c r="O77" s="117">
        <f>L77*N77</f>
        <v/>
      </c>
      <c r="P77" s="117" t="n">
        <v>0</v>
      </c>
      <c r="Q77" s="117">
        <f>O77-M77</f>
        <v/>
      </c>
      <c r="R77" s="117">
        <f>P77+Q77</f>
        <v/>
      </c>
      <c r="S77" s="120">
        <f>IF(G77&gt;0, R77/G77, 0)</f>
        <v/>
      </c>
      <c r="T77" s="115" t="n">
        <v>2</v>
      </c>
      <c r="U77" s="115" t="inlineStr"/>
      <c r="V77" s="115" t="inlineStr">
        <is>
          <t>No</t>
        </is>
      </c>
      <c r="W77" s="115" t="inlineStr">
        <is>
          <t>▲</t>
        </is>
      </c>
    </row>
    <row r="78">
      <c r="A78" s="115" t="inlineStr">
        <is>
          <t>SBIN</t>
        </is>
      </c>
      <c r="B78" s="115" t="inlineStr">
        <is>
          <t>Large Cap</t>
        </is>
      </c>
      <c r="C78" s="115" t="inlineStr">
        <is>
          <t>Finance</t>
        </is>
      </c>
      <c r="D78" s="115" t="inlineStr">
        <is>
          <t>Satellite</t>
        </is>
      </c>
      <c r="E78" s="115" t="inlineStr"/>
      <c r="F78" s="115" t="n">
        <v>208</v>
      </c>
      <c r="G78" s="117" t="n">
        <v>233369.9</v>
      </c>
      <c r="H78" s="117" t="n">
        <v>1121.97</v>
      </c>
      <c r="I78" s="115" t="n">
        <v>278</v>
      </c>
      <c r="J78" s="117" t="n">
        <v>269743.4</v>
      </c>
      <c r="K78" s="117" t="n">
        <v>970.3</v>
      </c>
      <c r="L78" s="115" t="n">
        <v>-70</v>
      </c>
      <c r="M78" s="117" t="n">
        <v>-78537.89999999999</v>
      </c>
      <c r="N78" s="117">
        <f>IFERROR(INDEX(Price_Update!$F:$F, MATCH(A78, Price_Update!$A:$A, 0)), 956.65)</f>
        <v/>
      </c>
      <c r="O78" s="117">
        <f>L78*N78</f>
        <v/>
      </c>
      <c r="P78" s="117" t="n">
        <v>-42164.26</v>
      </c>
      <c r="Q78" s="117">
        <f>O78-M78</f>
        <v/>
      </c>
      <c r="R78" s="117">
        <f>P78+Q78</f>
        <v/>
      </c>
      <c r="S78" s="120">
        <f>IF(G78&gt;0, R78/G78, 0)</f>
        <v/>
      </c>
      <c r="T78" s="115" t="n">
        <v>213</v>
      </c>
      <c r="U78" s="115" t="inlineStr"/>
      <c r="V78" s="115" t="inlineStr">
        <is>
          <t>No</t>
        </is>
      </c>
      <c r="W78" s="115" t="inlineStr">
        <is>
          <t>▲</t>
        </is>
      </c>
    </row>
    <row r="79">
      <c r="A79" s="115" t="inlineStr">
        <is>
          <t>SEAMECLTD</t>
        </is>
      </c>
      <c r="B79" s="115" t="inlineStr">
        <is>
          <t>Small Cap</t>
        </is>
      </c>
      <c r="C79" s="115" t="inlineStr">
        <is>
          <t>Industrial</t>
        </is>
      </c>
      <c r="D79" s="115" t="inlineStr">
        <is>
          <t>Satellite</t>
        </is>
      </c>
      <c r="E79" s="115" t="inlineStr">
        <is>
          <t>Cheat 4</t>
        </is>
      </c>
      <c r="F79" s="115" t="n">
        <v>42</v>
      </c>
      <c r="G79" s="117" t="n">
        <v>56862.5</v>
      </c>
      <c r="H79" s="117" t="n">
        <v>1353.87</v>
      </c>
      <c r="I79" s="115" t="n">
        <v>0</v>
      </c>
      <c r="J79" s="117" t="n">
        <v>0</v>
      </c>
      <c r="K79" s="117" t="n">
        <v>0</v>
      </c>
      <c r="L79" s="115" t="n">
        <v>42</v>
      </c>
      <c r="M79" s="117" t="n">
        <v>56862.54</v>
      </c>
      <c r="N79" s="117">
        <f>IFERROR(INDEX(Price_Update!$F:$F, MATCH(A79, Price_Update!$A:$A, 0)), 1617.3)</f>
        <v/>
      </c>
      <c r="O79" s="117">
        <f>L79*N79</f>
        <v/>
      </c>
      <c r="P79" s="117" t="n">
        <v>0</v>
      </c>
      <c r="Q79" s="117">
        <f>O79-M79</f>
        <v/>
      </c>
      <c r="R79" s="117">
        <f>P79+Q79</f>
        <v/>
      </c>
      <c r="S79" s="120">
        <f>IF(G79&gt;0, R79/G79, 0)</f>
        <v/>
      </c>
      <c r="T79" s="115" t="n">
        <v>125</v>
      </c>
      <c r="U79" s="115" t="inlineStr"/>
      <c r="V79" s="115" t="inlineStr">
        <is>
          <t>No</t>
        </is>
      </c>
      <c r="W79" s="115" t="inlineStr">
        <is>
          <t>▼</t>
        </is>
      </c>
    </row>
    <row r="80">
      <c r="A80" s="115" t="inlineStr">
        <is>
          <t>SFL</t>
        </is>
      </c>
      <c r="B80" s="115" t="inlineStr">
        <is>
          <t>Small Cap</t>
        </is>
      </c>
      <c r="C80" s="115" t="inlineStr">
        <is>
          <t>Consumption</t>
        </is>
      </c>
      <c r="D80" s="115" t="inlineStr">
        <is>
          <t>Satellite</t>
        </is>
      </c>
      <c r="E80" s="115" t="inlineStr">
        <is>
          <t>Cheat 1</t>
        </is>
      </c>
      <c r="F80" s="115" t="n">
        <v>40</v>
      </c>
      <c r="G80" s="117" t="n">
        <v>25568</v>
      </c>
      <c r="H80" s="117" t="n">
        <v>639.2</v>
      </c>
      <c r="I80" s="115" t="n">
        <v>0</v>
      </c>
      <c r="J80" s="117" t="n">
        <v>0</v>
      </c>
      <c r="K80" s="117" t="n">
        <v>0</v>
      </c>
      <c r="L80" s="115" t="n">
        <v>40</v>
      </c>
      <c r="M80" s="117" t="n">
        <v>25568</v>
      </c>
      <c r="N80" s="117">
        <f>IFERROR(INDEX(Price_Update!$F:$F, MATCH(A80, Price_Update!$A:$A, 0)), 597.5)</f>
        <v/>
      </c>
      <c r="O80" s="117">
        <f>L80*N80</f>
        <v/>
      </c>
      <c r="P80" s="117" t="n">
        <v>0</v>
      </c>
      <c r="Q80" s="117">
        <f>O80-M80</f>
        <v/>
      </c>
      <c r="R80" s="117">
        <f>P80+Q80</f>
        <v/>
      </c>
      <c r="S80" s="120">
        <f>IF(G80&gt;0, R80/G80, 0)</f>
        <v/>
      </c>
      <c r="T80" s="115" t="n">
        <v>13</v>
      </c>
      <c r="U80" s="115" t="inlineStr"/>
      <c r="V80" s="115" t="inlineStr">
        <is>
          <t>No</t>
        </is>
      </c>
      <c r="W80" s="115" t="inlineStr">
        <is>
          <t>▼</t>
        </is>
      </c>
    </row>
    <row r="81">
      <c r="A81" s="115" t="inlineStr">
        <is>
          <t>SKIPPER</t>
        </is>
      </c>
      <c r="B81" s="115" t="inlineStr">
        <is>
          <t>Small Cap</t>
        </is>
      </c>
      <c r="C81" s="115" t="inlineStr">
        <is>
          <t>Industrial</t>
        </is>
      </c>
      <c r="D81" s="115" t="inlineStr">
        <is>
          <t>Satellite</t>
        </is>
      </c>
      <c r="E81" s="115" t="inlineStr">
        <is>
          <t>Cheat 1</t>
        </is>
      </c>
      <c r="F81" s="115" t="n">
        <v>92</v>
      </c>
      <c r="G81" s="117" t="n">
        <v>50324</v>
      </c>
      <c r="H81" s="117" t="n">
        <v>547</v>
      </c>
      <c r="I81" s="115" t="n">
        <v>0</v>
      </c>
      <c r="J81" s="117" t="n">
        <v>0</v>
      </c>
      <c r="K81" s="117" t="n">
        <v>0</v>
      </c>
      <c r="L81" s="115" t="n">
        <v>92</v>
      </c>
      <c r="M81" s="117" t="n">
        <v>50324</v>
      </c>
      <c r="N81" s="117">
        <f>IFERROR(INDEX(Price_Update!$F:$F, MATCH(A81, Price_Update!$A:$A, 0)), 570.5)</f>
        <v/>
      </c>
      <c r="O81" s="117">
        <f>L81*N81</f>
        <v/>
      </c>
      <c r="P81" s="117" t="n">
        <v>0</v>
      </c>
      <c r="Q81" s="117">
        <f>O81-M81</f>
        <v/>
      </c>
      <c r="R81" s="117">
        <f>P81+Q81</f>
        <v/>
      </c>
      <c r="S81" s="120">
        <f>IF(G81&gt;0, R81/G81, 0)</f>
        <v/>
      </c>
      <c r="T81" s="115" t="n">
        <v>3</v>
      </c>
      <c r="U81" s="115" t="inlineStr"/>
      <c r="V81" s="115" t="inlineStr">
        <is>
          <t>No</t>
        </is>
      </c>
      <c r="W81" s="115" t="inlineStr">
        <is>
          <t>▲</t>
        </is>
      </c>
    </row>
    <row r="82">
      <c r="A82" s="115" t="inlineStr">
        <is>
          <t>SOLARINDS</t>
        </is>
      </c>
      <c r="B82" s="115" t="inlineStr">
        <is>
          <t>Large Cap</t>
        </is>
      </c>
      <c r="C82" s="115" t="inlineStr">
        <is>
          <t>Industrial</t>
        </is>
      </c>
      <c r="D82" s="115" t="inlineStr">
        <is>
          <t>Core</t>
        </is>
      </c>
      <c r="E82" s="115" t="inlineStr">
        <is>
          <t>Cheat 2</t>
        </is>
      </c>
      <c r="F82" s="115" t="n">
        <v>4</v>
      </c>
      <c r="G82" s="117" t="n">
        <v>62560</v>
      </c>
      <c r="H82" s="117" t="n">
        <v>15640</v>
      </c>
      <c r="I82" s="115" t="n">
        <v>0</v>
      </c>
      <c r="J82" s="117" t="n">
        <v>0</v>
      </c>
      <c r="K82" s="117" t="n">
        <v>0</v>
      </c>
      <c r="L82" s="115" t="n">
        <v>4</v>
      </c>
      <c r="M82" s="117" t="n">
        <v>62560</v>
      </c>
      <c r="N82" s="117">
        <f>IFERROR(INDEX(Price_Update!$F:$F, MATCH(A82, Price_Update!$A:$A, 0)), 18577.0)</f>
        <v/>
      </c>
      <c r="O82" s="117">
        <f>L82*N82</f>
        <v/>
      </c>
      <c r="P82" s="117" t="n">
        <v>0</v>
      </c>
      <c r="Q82" s="117">
        <f>O82-M82</f>
        <v/>
      </c>
      <c r="R82" s="117">
        <f>P82+Q82</f>
        <v/>
      </c>
      <c r="S82" s="120">
        <f>IF(G82&gt;0, R82/G82, 0)</f>
        <v/>
      </c>
      <c r="T82" s="115" t="n">
        <v>76</v>
      </c>
      <c r="U82" s="115" t="inlineStr"/>
      <c r="V82" s="115" t="inlineStr">
        <is>
          <t>No</t>
        </is>
      </c>
      <c r="W82" s="115" t="inlineStr">
        <is>
          <t>▲</t>
        </is>
      </c>
    </row>
    <row r="83">
      <c r="A83" s="115" t="inlineStr">
        <is>
          <t>SOLARINDS</t>
        </is>
      </c>
      <c r="B83" s="115" t="inlineStr">
        <is>
          <t>Large Cap</t>
        </is>
      </c>
      <c r="C83" s="115" t="inlineStr">
        <is>
          <t>Industrial</t>
        </is>
      </c>
      <c r="D83" s="115" t="inlineStr">
        <is>
          <t>Core</t>
        </is>
      </c>
      <c r="E83" s="115" t="inlineStr">
        <is>
          <t>Cheat 2</t>
        </is>
      </c>
      <c r="F83" s="115" t="n">
        <v>4</v>
      </c>
      <c r="G83" s="117" t="n">
        <v>62560</v>
      </c>
      <c r="H83" s="117" t="n">
        <v>15640</v>
      </c>
      <c r="I83" s="115" t="n">
        <v>0</v>
      </c>
      <c r="J83" s="117" t="n">
        <v>0</v>
      </c>
      <c r="K83" s="117" t="n">
        <v>0</v>
      </c>
      <c r="L83" s="115" t="n">
        <v>4</v>
      </c>
      <c r="M83" s="117" t="n">
        <v>62560</v>
      </c>
      <c r="N83" s="117">
        <f>IFERROR(INDEX(Price_Update!$F:$F, MATCH(A83, Price_Update!$A:$A, 0)), 18577.0)</f>
        <v/>
      </c>
      <c r="O83" s="117">
        <f>L83*N83</f>
        <v/>
      </c>
      <c r="P83" s="117" t="n">
        <v>0</v>
      </c>
      <c r="Q83" s="117">
        <f>O83-M83</f>
        <v/>
      </c>
      <c r="R83" s="117">
        <f>P83+Q83</f>
        <v/>
      </c>
      <c r="S83" s="120">
        <f>IF(G83&gt;0, R83/G83, 0)</f>
        <v/>
      </c>
      <c r="T83" s="115" t="n">
        <v>76</v>
      </c>
      <c r="U83" s="115" t="inlineStr"/>
      <c r="V83" s="115" t="inlineStr">
        <is>
          <t>No</t>
        </is>
      </c>
      <c r="W83" s="115" t="inlineStr">
        <is>
          <t>▲</t>
        </is>
      </c>
    </row>
    <row r="84">
      <c r="A84" s="115" t="inlineStr">
        <is>
          <t>SOUTHBANK</t>
        </is>
      </c>
      <c r="B84" s="115" t="inlineStr">
        <is>
          <t>Small Cap</t>
        </is>
      </c>
      <c r="C84" s="115" t="inlineStr">
        <is>
          <t>Finance</t>
        </is>
      </c>
      <c r="D84" s="115" t="inlineStr">
        <is>
          <t>Satellite</t>
        </is>
      </c>
      <c r="E84" s="115" t="inlineStr"/>
      <c r="F84" s="115" t="n">
        <v>600</v>
      </c>
      <c r="G84" s="117" t="n">
        <v>26682</v>
      </c>
      <c r="H84" s="117" t="n">
        <v>44.47</v>
      </c>
      <c r="I84" s="115" t="n">
        <v>600</v>
      </c>
      <c r="J84" s="117" t="n">
        <v>22532.01</v>
      </c>
      <c r="K84" s="117" t="n">
        <v>37.55</v>
      </c>
      <c r="L84" s="115" t="n">
        <v>0</v>
      </c>
      <c r="M84" s="117" t="n">
        <v>0</v>
      </c>
      <c r="N84" s="117">
        <f>IFERROR(INDEX(Price_Update!$F:$F, MATCH(A84, Price_Update!$A:$A, 0)), 42.08)</f>
        <v/>
      </c>
      <c r="O84" s="117">
        <f>L84*N84</f>
        <v/>
      </c>
      <c r="P84" s="117" t="n">
        <v>-4149.99</v>
      </c>
      <c r="Q84" s="117">
        <f>O84-M84</f>
        <v/>
      </c>
      <c r="R84" s="117">
        <f>P84+Q84</f>
        <v/>
      </c>
      <c r="S84" s="120">
        <f>IF(G84&gt;0, R84/G84, 0)</f>
        <v/>
      </c>
      <c r="T84" s="115" t="n">
        <v>14</v>
      </c>
      <c r="U84" s="115" t="inlineStr"/>
      <c r="V84" s="115" t="inlineStr">
        <is>
          <t>No</t>
        </is>
      </c>
      <c r="W84" s="115" t="inlineStr">
        <is>
          <t>▲</t>
        </is>
      </c>
    </row>
    <row r="85">
      <c r="A85" s="115" t="inlineStr">
        <is>
          <t>SPLPETRO</t>
        </is>
      </c>
      <c r="B85" s="115" t="inlineStr">
        <is>
          <t>Small Cap</t>
        </is>
      </c>
      <c r="C85" s="115" t="inlineStr">
        <is>
          <t>Health / Pharma / Chem</t>
        </is>
      </c>
      <c r="D85" s="115" t="inlineStr">
        <is>
          <t>Satellite</t>
        </is>
      </c>
      <c r="E85" s="115" t="inlineStr"/>
      <c r="F85" s="115" t="n">
        <v>57</v>
      </c>
      <c r="G85" s="117" t="n">
        <v>50160</v>
      </c>
      <c r="H85" s="117" t="n">
        <v>880</v>
      </c>
      <c r="I85" s="115" t="n">
        <v>57</v>
      </c>
      <c r="J85" s="117" t="n">
        <v>44850.6</v>
      </c>
      <c r="K85" s="117" t="n">
        <v>786.85</v>
      </c>
      <c r="L85" s="115" t="n">
        <v>0</v>
      </c>
      <c r="M85" s="117" t="n">
        <v>0</v>
      </c>
      <c r="N85" s="117">
        <f>IFERROR(INDEX(Price_Update!$F:$F, MATCH(A85, Price_Update!$A:$A, 0)), 702.3)</f>
        <v/>
      </c>
      <c r="O85" s="117">
        <f>L85*N85</f>
        <v/>
      </c>
      <c r="P85" s="117" t="n">
        <v>-5309.4</v>
      </c>
      <c r="Q85" s="117">
        <f>O85-M85</f>
        <v/>
      </c>
      <c r="R85" s="117">
        <f>P85+Q85</f>
        <v/>
      </c>
      <c r="S85" s="120">
        <f>IF(G85&gt;0, R85/G85, 0)</f>
        <v/>
      </c>
      <c r="T85" s="115" t="n">
        <v>9</v>
      </c>
      <c r="U85" s="115" t="inlineStr"/>
      <c r="V85" s="115" t="inlineStr">
        <is>
          <t>No</t>
        </is>
      </c>
      <c r="W85" s="115" t="inlineStr">
        <is>
          <t>▲</t>
        </is>
      </c>
    </row>
    <row r="86">
      <c r="A86" s="115" t="inlineStr">
        <is>
          <t>SUNPHARMA</t>
        </is>
      </c>
      <c r="B86" s="115" t="inlineStr">
        <is>
          <t>Large Cap</t>
        </is>
      </c>
      <c r="C86" s="115" t="inlineStr">
        <is>
          <t>Health / Pharma / Chem</t>
        </is>
      </c>
      <c r="D86" s="115" t="inlineStr">
        <is>
          <t>Satellite</t>
        </is>
      </c>
      <c r="E86" s="115" t="inlineStr">
        <is>
          <t>Cheat 1</t>
        </is>
      </c>
      <c r="F86" s="115" t="n">
        <v>26</v>
      </c>
      <c r="G86" s="117" t="n">
        <v>49379.2</v>
      </c>
      <c r="H86" s="117" t="n">
        <v>1899.2</v>
      </c>
      <c r="I86" s="115" t="n">
        <v>0</v>
      </c>
      <c r="J86" s="117" t="n">
        <v>0</v>
      </c>
      <c r="K86" s="117" t="n">
        <v>0</v>
      </c>
      <c r="L86" s="115" t="n">
        <v>26</v>
      </c>
      <c r="M86" s="117" t="n">
        <v>49379.2</v>
      </c>
      <c r="N86" s="117">
        <f>IFERROR(INDEX(Price_Update!$F:$F, MATCH(A86, Price_Update!$A:$A, 0)), 1788.5)</f>
        <v/>
      </c>
      <c r="O86" s="117">
        <f>L86*N86</f>
        <v/>
      </c>
      <c r="P86" s="117" t="n">
        <v>0</v>
      </c>
      <c r="Q86" s="117">
        <f>O86-M86</f>
        <v/>
      </c>
      <c r="R86" s="117">
        <f>P86+Q86</f>
        <v/>
      </c>
      <c r="S86" s="120">
        <f>IF(G86&gt;0, R86/G86, 0)</f>
        <v/>
      </c>
      <c r="T86" s="115" t="n">
        <v>17</v>
      </c>
      <c r="U86" s="115" t="inlineStr"/>
      <c r="V86" s="115" t="inlineStr">
        <is>
          <t>No</t>
        </is>
      </c>
      <c r="W86" s="115" t="inlineStr">
        <is>
          <t>▼</t>
        </is>
      </c>
    </row>
    <row r="87">
      <c r="A87" s="115" t="inlineStr">
        <is>
          <t>SUPREMEIND</t>
        </is>
      </c>
      <c r="B87" s="115" t="inlineStr">
        <is>
          <t>Mid Cap</t>
        </is>
      </c>
      <c r="C87" s="115" t="inlineStr">
        <is>
          <t>Health / Pharma / Chem</t>
        </is>
      </c>
      <c r="D87" s="115" t="inlineStr">
        <is>
          <t>Core</t>
        </is>
      </c>
      <c r="E87" s="115" t="inlineStr"/>
      <c r="F87" s="115" t="n">
        <v>20</v>
      </c>
      <c r="G87" s="117" t="n">
        <v>90180</v>
      </c>
      <c r="H87" s="117" t="n">
        <v>4509</v>
      </c>
      <c r="I87" s="115" t="n">
        <v>20</v>
      </c>
      <c r="J87" s="117" t="n">
        <v>83602.9004</v>
      </c>
      <c r="K87" s="117" t="n">
        <v>4180.15</v>
      </c>
      <c r="L87" s="115" t="n">
        <v>0</v>
      </c>
      <c r="M87" s="117" t="n">
        <v>0</v>
      </c>
      <c r="N87" s="117">
        <f>IFERROR(INDEX(Price_Update!$F:$F, MATCH(A87, Price_Update!$A:$A, 0)), 3553.1)</f>
        <v/>
      </c>
      <c r="O87" s="117">
        <f>L87*N87</f>
        <v/>
      </c>
      <c r="P87" s="117" t="n">
        <v>-6577.1</v>
      </c>
      <c r="Q87" s="117">
        <f>O87-M87</f>
        <v/>
      </c>
      <c r="R87" s="117">
        <f>P87+Q87</f>
        <v/>
      </c>
      <c r="S87" s="120">
        <f>IF(G87&gt;0, R87/G87, 0)</f>
        <v/>
      </c>
      <c r="T87" s="115" t="n">
        <v>25</v>
      </c>
      <c r="U87" s="115" t="inlineStr"/>
      <c r="V87" s="115" t="inlineStr">
        <is>
          <t>No</t>
        </is>
      </c>
      <c r="W87" s="115" t="inlineStr">
        <is>
          <t>▲</t>
        </is>
      </c>
    </row>
    <row r="88">
      <c r="A88" s="115" t="inlineStr">
        <is>
          <t>SYRMA</t>
        </is>
      </c>
      <c r="B88" s="115" t="inlineStr">
        <is>
          <t>Small Cap</t>
        </is>
      </c>
      <c r="C88" s="115" t="inlineStr">
        <is>
          <t>Industrial</t>
        </is>
      </c>
      <c r="D88" s="115" t="inlineStr">
        <is>
          <t>Core</t>
        </is>
      </c>
      <c r="E88" s="115" t="inlineStr">
        <is>
          <t>Cheat 1</t>
        </is>
      </c>
      <c r="F88" s="115" t="n">
        <v>26</v>
      </c>
      <c r="G88" s="117" t="n">
        <v>29975.4</v>
      </c>
      <c r="H88" s="117" t="n">
        <v>1152.9</v>
      </c>
      <c r="I88" s="115" t="n">
        <v>0</v>
      </c>
      <c r="J88" s="117" t="n">
        <v>0</v>
      </c>
      <c r="K88" s="117" t="n">
        <v>0</v>
      </c>
      <c r="L88" s="115" t="n">
        <v>26</v>
      </c>
      <c r="M88" s="117" t="n">
        <v>29975.4</v>
      </c>
      <c r="N88" s="117">
        <f>IFERROR(INDEX(Price_Update!$F:$F, MATCH(A88, Price_Update!$A:$A, 0)), 1166.8)</f>
        <v/>
      </c>
      <c r="O88" s="117">
        <f>L88*N88</f>
        <v/>
      </c>
      <c r="P88" s="117" t="n">
        <v>0</v>
      </c>
      <c r="Q88" s="117">
        <f>O88-M88</f>
        <v/>
      </c>
      <c r="R88" s="117">
        <f>P88+Q88</f>
        <v/>
      </c>
      <c r="S88" s="120">
        <f>IF(G88&gt;0, R88/G88, 0)</f>
        <v/>
      </c>
      <c r="T88" s="115" t="n">
        <v>2</v>
      </c>
      <c r="U88" s="115" t="inlineStr"/>
      <c r="V88" s="115" t="inlineStr">
        <is>
          <t>No</t>
        </is>
      </c>
      <c r="W88" s="115" t="inlineStr">
        <is>
          <t>▲</t>
        </is>
      </c>
    </row>
    <row r="89">
      <c r="A89" s="115" t="inlineStr">
        <is>
          <t>TARIL</t>
        </is>
      </c>
      <c r="B89" s="115" t="inlineStr">
        <is>
          <t>Small Cap</t>
        </is>
      </c>
      <c r="C89" s="115" t="inlineStr">
        <is>
          <t>Industrial</t>
        </is>
      </c>
      <c r="D89" s="115" t="inlineStr">
        <is>
          <t>Satellite</t>
        </is>
      </c>
      <c r="E89" s="115" t="inlineStr"/>
      <c r="F89" s="115" t="n">
        <v>80</v>
      </c>
      <c r="G89" s="117" t="n">
        <v>25175.98</v>
      </c>
      <c r="H89" s="117" t="n">
        <v>314.7</v>
      </c>
      <c r="I89" s="115" t="n">
        <v>80</v>
      </c>
      <c r="J89" s="117" t="n">
        <v>24328</v>
      </c>
      <c r="K89" s="117" t="n">
        <v>304.1</v>
      </c>
      <c r="L89" s="115" t="n">
        <v>0</v>
      </c>
      <c r="M89" s="117" t="n">
        <v>0</v>
      </c>
      <c r="N89" s="117">
        <f>IFERROR(INDEX(Price_Update!$F:$F, MATCH(A89, Price_Update!$A:$A, 0)), 312.35)</f>
        <v/>
      </c>
      <c r="O89" s="117">
        <f>L89*N89</f>
        <v/>
      </c>
      <c r="P89" s="117" t="n">
        <v>-848</v>
      </c>
      <c r="Q89" s="117">
        <f>O89-M89</f>
        <v/>
      </c>
      <c r="R89" s="117">
        <f>P89+Q89</f>
        <v/>
      </c>
      <c r="S89" s="120">
        <f>IF(G89&gt;0, R89/G89, 0)</f>
        <v/>
      </c>
      <c r="T89" s="115" t="n">
        <v>84</v>
      </c>
      <c r="U89" s="115" t="inlineStr"/>
      <c r="V89" s="115" t="inlineStr">
        <is>
          <t>No</t>
        </is>
      </c>
      <c r="W89" s="115" t="inlineStr">
        <is>
          <t>▲</t>
        </is>
      </c>
    </row>
    <row r="90">
      <c r="A90" s="115" t="inlineStr">
        <is>
          <t>TATATECH</t>
        </is>
      </c>
      <c r="B90" s="115" t="inlineStr">
        <is>
          <t>Small Cap</t>
        </is>
      </c>
      <c r="C90" s="115" t="inlineStr">
        <is>
          <t>Tech / Platform / IT</t>
        </is>
      </c>
      <c r="D90" s="115" t="inlineStr">
        <is>
          <t>Satellite</t>
        </is>
      </c>
      <c r="E90" s="115" t="inlineStr">
        <is>
          <t>Tranch 1</t>
        </is>
      </c>
      <c r="F90" s="115" t="n">
        <v>145</v>
      </c>
      <c r="G90" s="117" t="n">
        <v>100201.25</v>
      </c>
      <c r="H90" s="117" t="n">
        <v>691.04</v>
      </c>
      <c r="I90" s="115" t="n">
        <v>0</v>
      </c>
      <c r="J90" s="117" t="n">
        <v>0</v>
      </c>
      <c r="K90" s="117" t="n">
        <v>0</v>
      </c>
      <c r="L90" s="115" t="n">
        <v>145</v>
      </c>
      <c r="M90" s="117" t="n">
        <v>100200.8</v>
      </c>
      <c r="N90" s="117">
        <f>IFERROR(INDEX(Price_Update!$F:$F, MATCH(A90, Price_Update!$A:$A, 0)), 731.05)</f>
        <v/>
      </c>
      <c r="O90" s="117">
        <f>L90*N90</f>
        <v/>
      </c>
      <c r="P90" s="117" t="n">
        <v>0</v>
      </c>
      <c r="Q90" s="117">
        <f>O90-M90</f>
        <v/>
      </c>
      <c r="R90" s="117">
        <f>P90+Q90</f>
        <v/>
      </c>
      <c r="S90" s="120">
        <f>IF(G90&gt;0, R90/G90, 0)</f>
        <v/>
      </c>
      <c r="T90" s="115" t="n">
        <v>16</v>
      </c>
      <c r="U90" s="115" t="inlineStr"/>
      <c r="V90" s="115" t="inlineStr">
        <is>
          <t>No</t>
        </is>
      </c>
      <c r="W90" s="115" t="inlineStr">
        <is>
          <t>▲</t>
        </is>
      </c>
    </row>
    <row r="91">
      <c r="A91" s="115" t="inlineStr">
        <is>
          <t>TDPOWERSYS</t>
        </is>
      </c>
      <c r="B91" s="115" t="inlineStr">
        <is>
          <t>Small Cap</t>
        </is>
      </c>
      <c r="C91" s="115" t="inlineStr">
        <is>
          <t>Industrial</t>
        </is>
      </c>
      <c r="D91" s="115" t="inlineStr">
        <is>
          <t>Core</t>
        </is>
      </c>
      <c r="E91" s="115" t="inlineStr">
        <is>
          <t>Tranch 3</t>
        </is>
      </c>
      <c r="F91" s="115" t="n">
        <v>321</v>
      </c>
      <c r="G91" s="117" t="n">
        <v>305009.75</v>
      </c>
      <c r="H91" s="117" t="n">
        <v>950.1900000000001</v>
      </c>
      <c r="I91" s="115" t="n">
        <v>0</v>
      </c>
      <c r="J91" s="117" t="n">
        <v>0</v>
      </c>
      <c r="K91" s="117" t="n">
        <v>0</v>
      </c>
      <c r="L91" s="115" t="n">
        <v>321</v>
      </c>
      <c r="M91" s="117" t="n">
        <v>305010.99</v>
      </c>
      <c r="N91" s="117">
        <f>IFERROR(INDEX(Price_Update!$F:$F, MATCH(A91, Price_Update!$A:$A, 0)), 1286.3)</f>
        <v/>
      </c>
      <c r="O91" s="117">
        <f>L91*N91</f>
        <v/>
      </c>
      <c r="P91" s="117" t="n">
        <v>0</v>
      </c>
      <c r="Q91" s="117">
        <f>O91-M91</f>
        <v/>
      </c>
      <c r="R91" s="117">
        <f>P91+Q91</f>
        <v/>
      </c>
      <c r="S91" s="120">
        <f>IF(G91&gt;0, R91/G91, 0)</f>
        <v/>
      </c>
      <c r="T91" s="115" t="n">
        <v>112</v>
      </c>
      <c r="U91" s="115" t="inlineStr"/>
      <c r="V91" s="115" t="inlineStr">
        <is>
          <t>No</t>
        </is>
      </c>
      <c r="W91" s="115" t="inlineStr">
        <is>
          <t>▲</t>
        </is>
      </c>
    </row>
    <row r="92">
      <c r="A92" s="115" t="inlineStr">
        <is>
          <t>THERMAX</t>
        </is>
      </c>
      <c r="B92" s="115" t="inlineStr">
        <is>
          <t>Mid Cap</t>
        </is>
      </c>
      <c r="C92" s="115" t="inlineStr">
        <is>
          <t>Industrial</t>
        </is>
      </c>
      <c r="D92" s="115" t="inlineStr">
        <is>
          <t>Satellite</t>
        </is>
      </c>
      <c r="E92" s="115" t="inlineStr">
        <is>
          <t>Cheat 2</t>
        </is>
      </c>
      <c r="F92" s="115" t="n">
        <v>11</v>
      </c>
      <c r="G92" s="117" t="n">
        <v>54590.5981</v>
      </c>
      <c r="H92" s="117" t="n">
        <v>4962.78</v>
      </c>
      <c r="I92" s="115" t="n">
        <v>0</v>
      </c>
      <c r="J92" s="117" t="n">
        <v>0</v>
      </c>
      <c r="K92" s="117" t="n">
        <v>0</v>
      </c>
      <c r="L92" s="115" t="n">
        <v>11</v>
      </c>
      <c r="M92" s="117" t="n">
        <v>54590.58</v>
      </c>
      <c r="N92" s="117">
        <f>IFERROR(INDEX(Price_Update!$F:$F, MATCH(A92, Price_Update!$A:$A, 0)), 4784.5)</f>
        <v/>
      </c>
      <c r="O92" s="117">
        <f>L92*N92</f>
        <v/>
      </c>
      <c r="P92" s="117" t="n">
        <v>0</v>
      </c>
      <c r="Q92" s="117">
        <f>O92-M92</f>
        <v/>
      </c>
      <c r="R92" s="117">
        <f>P92+Q92</f>
        <v/>
      </c>
      <c r="S92" s="120">
        <f>IF(G92&gt;0, R92/G92, 0)</f>
        <v/>
      </c>
      <c r="T92" s="115" t="n">
        <v>6</v>
      </c>
      <c r="U92" s="115" t="inlineStr"/>
      <c r="V92" s="115" t="inlineStr">
        <is>
          <t>No</t>
        </is>
      </c>
      <c r="W92" s="115" t="inlineStr">
        <is>
          <t>▼</t>
        </is>
      </c>
    </row>
    <row r="93">
      <c r="A93" s="115" t="inlineStr">
        <is>
          <t>TIMKEN</t>
        </is>
      </c>
      <c r="B93" s="115" t="inlineStr">
        <is>
          <t>Small Cap</t>
        </is>
      </c>
      <c r="C93" s="115" t="inlineStr">
        <is>
          <t>Industrial</t>
        </is>
      </c>
      <c r="D93" s="115" t="inlineStr">
        <is>
          <t>Core</t>
        </is>
      </c>
      <c r="E93" s="115" t="inlineStr">
        <is>
          <t>Cheat 1</t>
        </is>
      </c>
      <c r="F93" s="115" t="n">
        <v>8</v>
      </c>
      <c r="G93" s="117" t="n">
        <v>28160.8008</v>
      </c>
      <c r="H93" s="117" t="n">
        <v>3520.1</v>
      </c>
      <c r="I93" s="115" t="n">
        <v>0</v>
      </c>
      <c r="J93" s="117" t="n">
        <v>0</v>
      </c>
      <c r="K93" s="117" t="n">
        <v>0</v>
      </c>
      <c r="L93" s="115" t="n">
        <v>8</v>
      </c>
      <c r="M93" s="117" t="n">
        <v>28160.8</v>
      </c>
      <c r="N93" s="117">
        <f>IFERROR(INDEX(Price_Update!$F:$F, MATCH(A93, Price_Update!$A:$A, 0)), 3529.2)</f>
        <v/>
      </c>
      <c r="O93" s="117">
        <f>L93*N93</f>
        <v/>
      </c>
      <c r="P93" s="117" t="n">
        <v>0</v>
      </c>
      <c r="Q93" s="117">
        <f>O93-M93</f>
        <v/>
      </c>
      <c r="R93" s="117">
        <f>P93+Q93</f>
        <v/>
      </c>
      <c r="S93" s="120">
        <f>IF(G93&gt;0, R93/G93, 0)</f>
        <v/>
      </c>
      <c r="T93" s="115" t="n">
        <v>2</v>
      </c>
      <c r="U93" s="115" t="inlineStr"/>
      <c r="V93" s="115" t="inlineStr">
        <is>
          <t>No</t>
        </is>
      </c>
      <c r="W93" s="115" t="inlineStr">
        <is>
          <t>▼</t>
        </is>
      </c>
    </row>
    <row r="94">
      <c r="A94" s="115" t="inlineStr">
        <is>
          <t>TIPSMUSIC</t>
        </is>
      </c>
      <c r="B94" s="115" t="inlineStr">
        <is>
          <t>Small Cap</t>
        </is>
      </c>
      <c r="C94" s="115" t="inlineStr">
        <is>
          <t>Technology</t>
        </is>
      </c>
      <c r="D94" s="115" t="inlineStr">
        <is>
          <t>Core</t>
        </is>
      </c>
      <c r="E94" s="115" t="inlineStr">
        <is>
          <t>Cheat 1</t>
        </is>
      </c>
      <c r="F94" s="115" t="n">
        <v>43</v>
      </c>
      <c r="G94" s="117" t="n">
        <v>28541.25</v>
      </c>
      <c r="H94" s="117" t="n">
        <v>663.75</v>
      </c>
      <c r="I94" s="115" t="n">
        <v>0</v>
      </c>
      <c r="J94" s="117" t="n">
        <v>0</v>
      </c>
      <c r="K94" s="117" t="n">
        <v>0</v>
      </c>
      <c r="L94" s="115" t="n">
        <v>43</v>
      </c>
      <c r="M94" s="117" t="n">
        <v>28541.25</v>
      </c>
      <c r="N94" s="117">
        <f>IFERROR(INDEX(Price_Update!$F:$F, MATCH(A94, Price_Update!$A:$A, 0)), 672.3)</f>
        <v/>
      </c>
      <c r="O94" s="117">
        <f>L94*N94</f>
        <v/>
      </c>
      <c r="P94" s="117" t="n">
        <v>0</v>
      </c>
      <c r="Q94" s="117">
        <f>O94-M94</f>
        <v/>
      </c>
      <c r="R94" s="117">
        <f>P94+Q94</f>
        <v/>
      </c>
      <c r="S94" s="120">
        <f>IF(G94&gt;0, R94/G94, 0)</f>
        <v/>
      </c>
      <c r="T94" s="115" t="n">
        <v>2</v>
      </c>
      <c r="U94" s="115" t="inlineStr"/>
      <c r="V94" s="115" t="inlineStr">
        <is>
          <t>No</t>
        </is>
      </c>
      <c r="W94" s="115" t="inlineStr">
        <is>
          <t>▲</t>
        </is>
      </c>
    </row>
    <row r="95">
      <c r="A95" s="115" t="inlineStr">
        <is>
          <t>TITAN</t>
        </is>
      </c>
      <c r="B95" s="115" t="inlineStr">
        <is>
          <t>Large Cap</t>
        </is>
      </c>
      <c r="C95" s="115" t="inlineStr">
        <is>
          <t>Consumption</t>
        </is>
      </c>
      <c r="D95" s="115" t="inlineStr">
        <is>
          <t>Core</t>
        </is>
      </c>
      <c r="E95" s="115" t="inlineStr"/>
      <c r="F95" s="115" t="n">
        <v>25</v>
      </c>
      <c r="G95" s="117" t="n">
        <v>91567.5</v>
      </c>
      <c r="H95" s="117" t="n">
        <v>3662.7</v>
      </c>
      <c r="I95" s="115" t="n">
        <v>25</v>
      </c>
      <c r="J95" s="117" t="n">
        <v>84762.5</v>
      </c>
      <c r="K95" s="117" t="n">
        <v>3390.5</v>
      </c>
      <c r="L95" s="115" t="n">
        <v>0</v>
      </c>
      <c r="M95" s="117" t="n">
        <v>0</v>
      </c>
      <c r="N95" s="117">
        <f>IFERROR(INDEX(Price_Update!$F:$F, MATCH(A95, Price_Update!$A:$A, 0)), 4078.1)</f>
        <v/>
      </c>
      <c r="O95" s="117">
        <f>L95*N95</f>
        <v/>
      </c>
      <c r="P95" s="117" t="n">
        <v>-6805</v>
      </c>
      <c r="Q95" s="117">
        <f>O95-M95</f>
        <v/>
      </c>
      <c r="R95" s="117">
        <f>P95+Q95</f>
        <v/>
      </c>
      <c r="S95" s="120">
        <f>IF(G95&gt;0, R95/G95, 0)</f>
        <v/>
      </c>
      <c r="T95" s="115" t="n">
        <v>25</v>
      </c>
      <c r="U95" s="115" t="inlineStr"/>
      <c r="V95" s="115" t="inlineStr">
        <is>
          <t>No</t>
        </is>
      </c>
      <c r="W95" s="115" t="inlineStr">
        <is>
          <t>▲</t>
        </is>
      </c>
    </row>
    <row r="96">
      <c r="A96" s="115" t="inlineStr">
        <is>
          <t>TRITURBINE</t>
        </is>
      </c>
      <c r="B96" s="115" t="inlineStr">
        <is>
          <t>Small Cap</t>
        </is>
      </c>
      <c r="C96" s="115" t="inlineStr">
        <is>
          <t>Industrial</t>
        </is>
      </c>
      <c r="D96" s="115" t="inlineStr">
        <is>
          <t>Core</t>
        </is>
      </c>
      <c r="E96" s="115" t="inlineStr">
        <is>
          <t>Cheat 2</t>
        </is>
      </c>
      <c r="F96" s="115" t="n">
        <v>114</v>
      </c>
      <c r="G96" s="117" t="n">
        <v>78698.70000000001</v>
      </c>
      <c r="H96" s="117" t="n">
        <v>690.34</v>
      </c>
      <c r="I96" s="115" t="n">
        <v>0</v>
      </c>
      <c r="J96" s="117" t="n">
        <v>0</v>
      </c>
      <c r="K96" s="117" t="n">
        <v>0</v>
      </c>
      <c r="L96" s="115" t="n">
        <v>114</v>
      </c>
      <c r="M96" s="117" t="n">
        <v>78698.75999999999</v>
      </c>
      <c r="N96" s="117">
        <f>IFERROR(INDEX(Price_Update!$F:$F, MATCH(A96, Price_Update!$A:$A, 0)), 668.85)</f>
        <v/>
      </c>
      <c r="O96" s="117">
        <f>L96*N96</f>
        <v/>
      </c>
      <c r="P96" s="117" t="n">
        <v>0</v>
      </c>
      <c r="Q96" s="117">
        <f>O96-M96</f>
        <v/>
      </c>
      <c r="R96" s="117">
        <f>P96+Q96</f>
        <v/>
      </c>
      <c r="S96" s="120">
        <f>IF(G96&gt;0, R96/G96, 0)</f>
        <v/>
      </c>
      <c r="T96" s="115" t="n">
        <v>3</v>
      </c>
      <c r="U96" s="115" t="inlineStr"/>
      <c r="V96" s="115" t="inlineStr">
        <is>
          <t>No</t>
        </is>
      </c>
      <c r="W96" s="115" t="inlineStr">
        <is>
          <t>▼</t>
        </is>
      </c>
    </row>
    <row r="97">
      <c r="A97" s="115" t="inlineStr">
        <is>
          <t>TVSSRICHAK</t>
        </is>
      </c>
      <c r="B97" s="115" t="inlineStr">
        <is>
          <t>Small Cap</t>
        </is>
      </c>
      <c r="C97" s="115" t="inlineStr">
        <is>
          <t>Consumption</t>
        </is>
      </c>
      <c r="D97" s="115" t="inlineStr">
        <is>
          <t>Satellite</t>
        </is>
      </c>
      <c r="E97" s="115" t="inlineStr"/>
      <c r="F97" s="115" t="n">
        <v>22</v>
      </c>
      <c r="G97" s="117" t="n">
        <v>101483.5</v>
      </c>
      <c r="H97" s="117" t="n">
        <v>4612.89</v>
      </c>
      <c r="I97" s="115" t="n">
        <v>22</v>
      </c>
      <c r="J97" s="117" t="n">
        <v>88669.19799999999</v>
      </c>
      <c r="K97" s="117" t="n">
        <v>4030.42</v>
      </c>
      <c r="L97" s="115" t="n">
        <v>0</v>
      </c>
      <c r="M97" s="117" t="n">
        <v>0</v>
      </c>
      <c r="N97" s="117">
        <f>IFERROR(INDEX(Price_Update!$F:$F, MATCH(A97, Price_Update!$A:$A, 0)), 3955.2)</f>
        <v/>
      </c>
      <c r="O97" s="117">
        <f>L97*N97</f>
        <v/>
      </c>
      <c r="P97" s="117" t="n">
        <v>-12814.38</v>
      </c>
      <c r="Q97" s="117">
        <f>O97-M97</f>
        <v/>
      </c>
      <c r="R97" s="117">
        <f>P97+Q97</f>
        <v/>
      </c>
      <c r="S97" s="120">
        <f>IF(G97&gt;0, R97/G97, 0)</f>
        <v/>
      </c>
      <c r="T97" s="115" t="n">
        <v>60</v>
      </c>
      <c r="U97" s="115" t="inlineStr"/>
      <c r="V97" s="115" t="inlineStr">
        <is>
          <t>No</t>
        </is>
      </c>
      <c r="W97" s="115" t="inlineStr">
        <is>
          <t>▲</t>
        </is>
      </c>
    </row>
    <row r="98">
      <c r="A98" s="115" t="inlineStr">
        <is>
          <t>UNOMINDA</t>
        </is>
      </c>
      <c r="B98" s="115" t="inlineStr">
        <is>
          <t>Mid Cap</t>
        </is>
      </c>
      <c r="C98" s="115" t="inlineStr">
        <is>
          <t>Consumption</t>
        </is>
      </c>
      <c r="D98" s="115" t="inlineStr">
        <is>
          <t>Core</t>
        </is>
      </c>
      <c r="E98" s="115" t="inlineStr"/>
      <c r="F98" s="115" t="n">
        <v>37</v>
      </c>
      <c r="G98" s="117" t="n">
        <v>47700.4</v>
      </c>
      <c r="H98" s="117" t="n">
        <v>1289.2</v>
      </c>
      <c r="I98" s="115" t="n">
        <v>71</v>
      </c>
      <c r="J98" s="117" t="n">
        <v>77517.8</v>
      </c>
      <c r="K98" s="117" t="n">
        <v>1091.8</v>
      </c>
      <c r="L98" s="115" t="n">
        <v>-34</v>
      </c>
      <c r="M98" s="117" t="n">
        <v>-43832.8</v>
      </c>
      <c r="N98" s="117">
        <f>IFERROR(INDEX(Price_Update!$F:$F, MATCH(A98, Price_Update!$A:$A, 0)), 1089.8)</f>
        <v/>
      </c>
      <c r="O98" s="117">
        <f>L98*N98</f>
        <v/>
      </c>
      <c r="P98" s="117" t="n">
        <v>-14015.4</v>
      </c>
      <c r="Q98" s="117">
        <f>O98-M98</f>
        <v/>
      </c>
      <c r="R98" s="117">
        <f>P98+Q98</f>
        <v/>
      </c>
      <c r="S98" s="120">
        <f>IF(G98&gt;0, R98/G98, 0)</f>
        <v/>
      </c>
      <c r="T98" s="115" t="n">
        <v>268</v>
      </c>
      <c r="U98" s="115" t="inlineStr"/>
      <c r="V98" s="115" t="inlineStr">
        <is>
          <t>No</t>
        </is>
      </c>
      <c r="W98" s="115" t="inlineStr">
        <is>
          <t>▲</t>
        </is>
      </c>
    </row>
    <row r="99">
      <c r="A99" s="115" t="inlineStr">
        <is>
          <t>VBL</t>
        </is>
      </c>
      <c r="B99" s="115" t="inlineStr">
        <is>
          <t>Large Cap</t>
        </is>
      </c>
      <c r="C99" s="115" t="inlineStr">
        <is>
          <t xml:space="preserve">Consumption </t>
        </is>
      </c>
      <c r="D99" s="115" t="inlineStr">
        <is>
          <t>Core</t>
        </is>
      </c>
      <c r="E99" s="115" t="inlineStr">
        <is>
          <t>Cheat 1</t>
        </is>
      </c>
      <c r="F99" s="115" t="n">
        <v>55</v>
      </c>
      <c r="G99" s="117" t="n">
        <v>29356.25</v>
      </c>
      <c r="H99" s="117" t="n">
        <v>533.75</v>
      </c>
      <c r="I99" s="115" t="n">
        <v>0</v>
      </c>
      <c r="J99" s="117" t="n">
        <v>0</v>
      </c>
      <c r="K99" s="117" t="n">
        <v>0</v>
      </c>
      <c r="L99" s="115" t="n">
        <v>55</v>
      </c>
      <c r="M99" s="117" t="n">
        <v>29356.25</v>
      </c>
      <c r="N99" s="117">
        <f>IFERROR(INDEX(Price_Update!$F:$F, MATCH(A99, Price_Update!$A:$A, 0)), 537.0)</f>
        <v/>
      </c>
      <c r="O99" s="117">
        <f>L99*N99</f>
        <v/>
      </c>
      <c r="P99" s="117" t="n">
        <v>0</v>
      </c>
      <c r="Q99" s="117">
        <f>O99-M99</f>
        <v/>
      </c>
      <c r="R99" s="117">
        <f>P99+Q99</f>
        <v/>
      </c>
      <c r="S99" s="120">
        <f>IF(G99&gt;0, R99/G99, 0)</f>
        <v/>
      </c>
      <c r="T99" s="115" t="n">
        <v>2</v>
      </c>
      <c r="U99" s="115" t="inlineStr"/>
      <c r="V99" s="115" t="inlineStr">
        <is>
          <t>No</t>
        </is>
      </c>
      <c r="W99" s="115" t="inlineStr">
        <is>
          <t>▲</t>
        </is>
      </c>
    </row>
    <row r="100">
      <c r="A100" s="115" t="inlineStr">
        <is>
          <t>VOLTAMP</t>
        </is>
      </c>
      <c r="B100" s="115" t="inlineStr">
        <is>
          <t>Small Cap</t>
        </is>
      </c>
      <c r="C100" s="115" t="inlineStr">
        <is>
          <t>Industrial</t>
        </is>
      </c>
      <c r="D100" s="115" t="inlineStr">
        <is>
          <t>Satellite</t>
        </is>
      </c>
      <c r="E100" s="115" t="inlineStr"/>
      <c r="F100" s="115" t="n">
        <v>10</v>
      </c>
      <c r="G100" s="117" t="n">
        <v>100330</v>
      </c>
      <c r="H100" s="117" t="n">
        <v>10033</v>
      </c>
      <c r="I100" s="115" t="n">
        <v>10</v>
      </c>
      <c r="J100" s="117" t="n">
        <v>99010</v>
      </c>
      <c r="K100" s="117" t="n">
        <v>9901</v>
      </c>
      <c r="L100" s="115" t="n">
        <v>0</v>
      </c>
      <c r="M100" s="117" t="n">
        <v>0</v>
      </c>
      <c r="N100" s="117">
        <f>IFERROR(INDEX(Price_Update!$F:$F, MATCH(A100, Price_Update!$A:$A, 0)), 9127.0)</f>
        <v/>
      </c>
      <c r="O100" s="117">
        <f>L100*N100</f>
        <v/>
      </c>
      <c r="P100" s="117" t="n">
        <v>-1320</v>
      </c>
      <c r="Q100" s="117">
        <f>O100-M100</f>
        <v/>
      </c>
      <c r="R100" s="117">
        <f>P100+Q100</f>
        <v/>
      </c>
      <c r="S100" s="120">
        <f>IF(G100&gt;0, R100/G100, 0)</f>
        <v/>
      </c>
      <c r="T100" s="115" t="n">
        <v>1</v>
      </c>
      <c r="U100" s="115" t="inlineStr"/>
      <c r="V100" s="115" t="inlineStr">
        <is>
          <t>No</t>
        </is>
      </c>
      <c r="W100" s="115" t="inlineStr">
        <is>
          <t>▼</t>
        </is>
      </c>
    </row>
    <row r="101">
      <c r="A101" s="115" t="inlineStr">
        <is>
          <t>ZYDUSLIFE</t>
        </is>
      </c>
      <c r="B101" s="115" t="inlineStr">
        <is>
          <t>Large Cap</t>
        </is>
      </c>
      <c r="C101" s="115" t="inlineStr">
        <is>
          <t>Health / Pharma / Chem</t>
        </is>
      </c>
      <c r="D101" s="115" t="inlineStr">
        <is>
          <t>Satellite</t>
        </is>
      </c>
      <c r="E101" s="115" t="inlineStr">
        <is>
          <t>Cheat 1</t>
        </is>
      </c>
      <c r="F101" s="115" t="n">
        <v>46</v>
      </c>
      <c r="G101" s="117" t="n">
        <v>50250.4</v>
      </c>
      <c r="H101" s="117" t="n">
        <v>1092.4</v>
      </c>
      <c r="I101" s="115" t="n">
        <v>0</v>
      </c>
      <c r="J101" s="117" t="n">
        <v>0</v>
      </c>
      <c r="K101" s="117" t="n">
        <v>0</v>
      </c>
      <c r="L101" s="115" t="n">
        <v>46</v>
      </c>
      <c r="M101" s="117" t="n">
        <v>50250.4</v>
      </c>
      <c r="N101" s="117">
        <f>IFERROR(INDEX(Price_Update!$F:$F, MATCH(A101, Price_Update!$A:$A, 0)), 1076.6)</f>
        <v/>
      </c>
      <c r="O101" s="117">
        <f>L101*N101</f>
        <v/>
      </c>
      <c r="P101" s="117" t="n">
        <v>0</v>
      </c>
      <c r="Q101" s="117">
        <f>O101-M101</f>
        <v/>
      </c>
      <c r="R101" s="117">
        <f>P101+Q101</f>
        <v/>
      </c>
      <c r="S101" s="120">
        <f>IF(G101&gt;0, R101/G101, 0)</f>
        <v/>
      </c>
      <c r="T101" s="115" t="n">
        <v>3</v>
      </c>
      <c r="U101" s="115" t="inlineStr"/>
      <c r="V101" s="115" t="inlineStr">
        <is>
          <t>No</t>
        </is>
      </c>
      <c r="W101" s="115" t="inlineStr">
        <is>
          <t>▼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U35"/>
  <sheetViews>
    <sheetView workbookViewId="0">
      <selection activeCell="B7" sqref="B7"/>
    </sheetView>
  </sheetViews>
  <sheetFormatPr baseColWidth="8" defaultRowHeight="15"/>
  <cols>
    <col width="13.28515625" bestFit="1" customWidth="1" style="87" min="1" max="1"/>
    <col width="75.140625" customWidth="1" style="87" min="2" max="2"/>
    <col width="18.5703125" customWidth="1" style="87" min="3" max="3"/>
    <col width="23.42578125" customWidth="1" style="87" min="4" max="4"/>
    <col width="19.85546875" customWidth="1" style="87" min="5" max="5"/>
    <col width="17.7109375" customWidth="1" style="87" min="6" max="6"/>
    <col width="23.140625" customWidth="1" style="87" min="7" max="7"/>
    <col width="19.5703125" customWidth="1" style="87" min="8" max="8"/>
    <col width="19.5703125" bestFit="1" customWidth="1" style="87" min="9" max="9"/>
    <col width="16" customWidth="1" style="87" min="10" max="10"/>
    <col width="15.85546875" customWidth="1" style="87" min="11" max="11"/>
    <col width="20.5703125" customWidth="1" style="87" min="12" max="12"/>
  </cols>
  <sheetData>
    <row r="1">
      <c r="E1" s="1">
        <f>SUM(E3:E30)</f>
        <v/>
      </c>
      <c r="G1" s="1">
        <f>SUM(G3:G30)</f>
        <v/>
      </c>
      <c r="H1" s="1">
        <f>SUM(H3:H30)</f>
        <v/>
      </c>
    </row>
    <row r="2">
      <c r="A2" t="inlineStr">
        <is>
          <t>Symbol</t>
        </is>
      </c>
      <c r="B2" t="inlineStr">
        <is>
          <t>Stock Name</t>
        </is>
      </c>
      <c r="C2" t="inlineStr">
        <is>
          <t>Quantity</t>
        </is>
      </c>
      <c r="D2" t="inlineStr">
        <is>
          <t>Buy Price</t>
        </is>
      </c>
      <c r="E2" t="inlineStr">
        <is>
          <t>Invested Value</t>
        </is>
      </c>
      <c r="F2" t="inlineStr">
        <is>
          <t>LTP</t>
        </is>
      </c>
      <c r="G2" t="inlineStr">
        <is>
          <t>Current Value</t>
        </is>
      </c>
      <c r="H2" t="inlineStr">
        <is>
          <t>P/L</t>
        </is>
      </c>
      <c r="I2" t="inlineStr">
        <is>
          <t>Previous Day Close</t>
        </is>
      </c>
      <c r="J2" t="inlineStr">
        <is>
          <t>1 Day Change %</t>
        </is>
      </c>
      <c r="K2" t="inlineStr">
        <is>
          <t xml:space="preserve">SL Price </t>
        </is>
      </c>
      <c r="L2" t="inlineStr">
        <is>
          <t>SL-LTP Diff</t>
        </is>
      </c>
    </row>
    <row r="3">
      <c r="A3" s="31" t="inlineStr">
        <is>
          <t>ACUTAAS</t>
        </is>
      </c>
      <c r="B3" s="31" t="e">
        <v>#VALUE!</v>
      </c>
      <c r="C3" s="31" t="n">
        <v>18</v>
      </c>
      <c r="D3" s="33" t="n">
        <v>2730</v>
      </c>
      <c r="E3" s="1">
        <f>C3*D3</f>
        <v/>
      </c>
      <c r="F3" s="1">
        <f t="array" ref="F3">_FV(B3,"Price")</f>
        <v/>
      </c>
      <c r="G3" s="1">
        <f>C3*F3</f>
        <v/>
      </c>
      <c r="H3" s="1">
        <f>G3-E3</f>
        <v/>
      </c>
      <c r="I3" s="1">
        <f t="array" ref="I3">_FV(B3,"Previous close",TRUE)</f>
        <v/>
      </c>
      <c r="J3" s="79">
        <f>(F3-I3)/I3</f>
        <v/>
      </c>
      <c r="K3" s="1" t="n">
        <v>2457</v>
      </c>
      <c r="L3" s="1" t="n">
        <v>577.8</v>
      </c>
    </row>
    <row r="4">
      <c r="A4" s="55" t="inlineStr">
        <is>
          <t>APLAPOLLO</t>
        </is>
      </c>
      <c r="B4" s="55" t="e">
        <v>#VALUE!</v>
      </c>
      <c r="C4" s="31" t="n">
        <v>96</v>
      </c>
      <c r="D4" s="33" t="n">
        <v>2100.8</v>
      </c>
      <c r="E4" s="1">
        <f>C4*D4</f>
        <v/>
      </c>
      <c r="F4" s="1">
        <f t="array" ref="F4">_FV(B4,"Price")</f>
        <v/>
      </c>
      <c r="G4" s="1">
        <f>C4*F4</f>
        <v/>
      </c>
      <c r="H4" s="1">
        <f>G4-E4</f>
        <v/>
      </c>
      <c r="I4" s="1">
        <f t="array" ref="I4">_FV(B4,"Previous close",TRUE)</f>
        <v/>
      </c>
      <c r="J4" s="79">
        <f>(F4-I4)/I4</f>
        <v/>
      </c>
      <c r="K4" s="1" t="n">
        <v>2454.48</v>
      </c>
      <c r="L4" s="1" t="n">
        <v>514.8200000000001</v>
      </c>
    </row>
    <row r="5">
      <c r="A5" s="53" t="inlineStr">
        <is>
          <t>BSE</t>
        </is>
      </c>
      <c r="B5" s="53" t="e">
        <v>#VALUE!</v>
      </c>
      <c r="C5" s="31" t="n">
        <v>30</v>
      </c>
      <c r="D5" s="33" t="n">
        <v>3359</v>
      </c>
      <c r="E5" s="1">
        <f>C5*D5</f>
        <v/>
      </c>
      <c r="F5" s="1">
        <f t="array" ref="F5">_FV(B5,"Price")</f>
        <v/>
      </c>
      <c r="G5" s="1">
        <f>C5*F5</f>
        <v/>
      </c>
      <c r="H5" s="1">
        <f>G5-E5</f>
        <v/>
      </c>
      <c r="I5" s="1">
        <f t="array" ref="I5">_FV(B5,"Previous close",TRUE)</f>
        <v/>
      </c>
      <c r="J5" s="79">
        <f>(F5-I5)/I5</f>
        <v/>
      </c>
      <c r="K5" s="1" t="n">
        <v>2821.19</v>
      </c>
      <c r="L5" s="1" t="n">
        <v>275.91</v>
      </c>
    </row>
    <row r="6">
      <c r="A6" s="31" t="inlineStr">
        <is>
          <t>CCL</t>
        </is>
      </c>
      <c r="B6" s="31" t="e">
        <v>#VALUE!</v>
      </c>
      <c r="C6" s="31" t="n">
        <v>49</v>
      </c>
      <c r="D6" s="33" t="n">
        <v>1033.16</v>
      </c>
      <c r="E6" s="1">
        <f>C6*D6</f>
        <v/>
      </c>
      <c r="F6" s="1">
        <f t="array" ref="F6">_FV(B6,"Price")</f>
        <v/>
      </c>
      <c r="G6" s="1">
        <f>C6*F6</f>
        <v/>
      </c>
      <c r="H6" s="1">
        <f>G6-E6</f>
        <v/>
      </c>
      <c r="I6" s="1">
        <f t="array" ref="I6">_FV(B6,"Previous close",TRUE)</f>
        <v/>
      </c>
      <c r="J6" s="79">
        <f>(F6-I6)/I6</f>
        <v/>
      </c>
      <c r="K6" s="1" t="n">
        <v>2237.6</v>
      </c>
      <c r="L6" s="1" t="n">
        <v>-363.5</v>
      </c>
    </row>
    <row r="7">
      <c r="A7" s="53" t="inlineStr">
        <is>
          <t>FEDERALBNK</t>
        </is>
      </c>
      <c r="B7" s="53" t="e">
        <v>#VALUE!</v>
      </c>
      <c r="C7" s="31" t="n">
        <v>1172</v>
      </c>
      <c r="D7" s="33" t="n">
        <v>256.22</v>
      </c>
      <c r="E7" s="1">
        <f>C7*D7</f>
        <v/>
      </c>
      <c r="F7" s="1">
        <f t="array" ref="F7">_FV(B7,"Price")</f>
        <v/>
      </c>
      <c r="G7" s="1">
        <f>C7*F7</f>
        <v/>
      </c>
      <c r="H7" s="1">
        <f>G7-E7</f>
        <v/>
      </c>
      <c r="I7" s="1">
        <f t="array" ref="I7">_FV(B7,"Previous close",TRUE)</f>
        <v/>
      </c>
      <c r="J7" s="79">
        <f>(F7-I7)/I7</f>
        <v/>
      </c>
      <c r="K7" s="1" t="n">
        <v>289.54</v>
      </c>
      <c r="L7" s="1" t="n">
        <v>122.56</v>
      </c>
    </row>
    <row r="8">
      <c r="A8" s="54" t="inlineStr">
        <is>
          <t>GVT&amp;D</t>
        </is>
      </c>
      <c r="B8" s="54" t="e">
        <v>#VALUE!</v>
      </c>
      <c r="C8" s="31" t="n">
        <v>49</v>
      </c>
      <c r="D8" s="33" t="n">
        <v>4088.24</v>
      </c>
      <c r="E8" s="1">
        <f>C8*D8</f>
        <v/>
      </c>
      <c r="F8" s="1">
        <f t="array" ref="F8">_FV(B8,"Price")</f>
        <v/>
      </c>
      <c r="G8" s="1">
        <f>C8*F8</f>
        <v/>
      </c>
      <c r="H8" s="1">
        <f>G8-E8</f>
        <v/>
      </c>
      <c r="I8" s="1">
        <f t="array" ref="I8">_FV(B8,"Previous close",TRUE)</f>
        <v/>
      </c>
      <c r="J8" s="79">
        <f>(F8-I8)/I8</f>
        <v/>
      </c>
      <c r="K8" s="1" t="n">
        <v>1027.39</v>
      </c>
      <c r="L8" s="1" t="n">
        <v>329.61</v>
      </c>
    </row>
    <row r="9">
      <c r="A9" s="53" t="inlineStr">
        <is>
          <t>M&amp;M</t>
        </is>
      </c>
      <c r="B9" s="53" t="e">
        <v>#VALUE!</v>
      </c>
      <c r="C9" s="31" t="n">
        <v>16</v>
      </c>
      <c r="D9" s="33" t="n">
        <v>3127</v>
      </c>
      <c r="E9" s="1">
        <f>C9*D9</f>
        <v/>
      </c>
      <c r="F9" s="1">
        <f t="array" ref="F9">_FV(B9,"Price")</f>
        <v/>
      </c>
      <c r="G9" s="1">
        <f>C9*F9</f>
        <v/>
      </c>
      <c r="H9" s="1">
        <f>G9-E9</f>
        <v/>
      </c>
      <c r="I9" s="1">
        <f t="array" ref="I9">_FV(B9,"Previous close",TRUE)</f>
        <v/>
      </c>
      <c r="J9" s="79">
        <f>(F9-I9)/I9</f>
        <v/>
      </c>
      <c r="K9" s="1" t="n">
        <v>1355.04</v>
      </c>
      <c r="L9" s="1" t="n">
        <v>106.16</v>
      </c>
    </row>
    <row r="10">
      <c r="A10" s="53" t="inlineStr">
        <is>
          <t>POLYCAB</t>
        </is>
      </c>
      <c r="B10" s="53" t="e">
        <v>#VALUE!</v>
      </c>
      <c r="C10" s="31" t="n">
        <v>50</v>
      </c>
      <c r="D10" s="33" t="n">
        <v>7728.94</v>
      </c>
      <c r="E10" s="1">
        <f>C10*D10</f>
        <v/>
      </c>
      <c r="F10" s="1">
        <f t="array" ref="F10">_FV(B10,"Price")</f>
        <v/>
      </c>
      <c r="G10" s="1">
        <f>C10*F10</f>
        <v/>
      </c>
      <c r="H10" s="1">
        <f>G10-E10</f>
        <v/>
      </c>
      <c r="I10" s="1">
        <f t="array" ref="I10">_FV(B10,"Previous close",TRUE)</f>
        <v/>
      </c>
      <c r="J10" s="79">
        <f>(F10-I10)/I10</f>
        <v/>
      </c>
      <c r="K10" s="1" t="n">
        <v>1586.05</v>
      </c>
      <c r="L10" s="1" t="n">
        <v>287.35</v>
      </c>
    </row>
    <row r="11">
      <c r="A11" s="52" t="inlineStr">
        <is>
          <t>SOLARINDS</t>
        </is>
      </c>
      <c r="B11" s="52" t="e">
        <v>#VALUE!</v>
      </c>
      <c r="C11" s="31" t="n">
        <v>2</v>
      </c>
      <c r="D11" s="33" t="n">
        <v>13021</v>
      </c>
      <c r="E11" s="1">
        <f>C11*D11</f>
        <v/>
      </c>
      <c r="F11" s="1">
        <f t="array" ref="F11">_FV(B11,"Price")</f>
        <v/>
      </c>
      <c r="G11" s="1">
        <f>C11*F11</f>
        <v/>
      </c>
      <c r="H11" s="1">
        <f>G11-E11</f>
        <v/>
      </c>
      <c r="I11" s="1">
        <f t="array" ref="I11">_FV(B11,"Previous close",TRUE)</f>
        <v/>
      </c>
      <c r="J11" s="79">
        <f>(F11-I11)/I11</f>
        <v/>
      </c>
      <c r="K11" s="1" t="n">
        <v>3023.1</v>
      </c>
      <c r="L11" s="1" t="n">
        <v>1380.2</v>
      </c>
    </row>
    <row r="12">
      <c r="A12" s="31" t="inlineStr">
        <is>
          <t>TDPOWERSYS</t>
        </is>
      </c>
      <c r="B12" s="31" t="e">
        <v>#VALUE!</v>
      </c>
      <c r="C12" s="31" t="n">
        <v>296</v>
      </c>
      <c r="D12" s="33" t="n">
        <v>928.29</v>
      </c>
      <c r="E12" s="1">
        <f>C12*D12</f>
        <v/>
      </c>
      <c r="F12" s="1">
        <f t="array" ref="F12">_FV(B12,"Price")</f>
        <v/>
      </c>
      <c r="G12" s="1">
        <f>C12*F12</f>
        <v/>
      </c>
      <c r="H12" s="1">
        <f>G12-E12</f>
        <v/>
      </c>
      <c r="I12" s="1">
        <f t="array" ref="I12">_FV(B12,"Previous close",TRUE)</f>
        <v/>
      </c>
      <c r="J12" s="79">
        <f>(F12-I12)/I12</f>
        <v/>
      </c>
      <c r="K12" s="1" t="n">
        <v>929.84</v>
      </c>
      <c r="L12" s="1" t="n">
        <v>134.06</v>
      </c>
    </row>
    <row r="13">
      <c r="A13" s="54" t="inlineStr">
        <is>
          <t>ADANIENT</t>
        </is>
      </c>
      <c r="B13" s="54" t="e">
        <v>#VALUE!</v>
      </c>
      <c r="C13" s="31" t="n">
        <v>36</v>
      </c>
      <c r="D13" s="33" t="n">
        <v>2834.43</v>
      </c>
      <c r="E13" s="1">
        <f>C13*D13</f>
        <v/>
      </c>
      <c r="F13" s="1">
        <f t="array" ref="F13">_FV(B13,"Price")</f>
        <v/>
      </c>
      <c r="G13" s="1">
        <f>C13*F13</f>
        <v/>
      </c>
      <c r="H13" s="1">
        <f>G13-E13</f>
        <v/>
      </c>
      <c r="I13" s="1">
        <f t="array" ref="I13">_FV(B13,"Previous close",TRUE)</f>
        <v/>
      </c>
      <c r="J13" s="79">
        <f>(F13-I13)/I13</f>
        <v/>
      </c>
      <c r="K13" s="1" t="n">
        <v>720.73</v>
      </c>
      <c r="L13" s="1" t="n">
        <v>158.42</v>
      </c>
    </row>
    <row r="14">
      <c r="A14" s="52" t="inlineStr">
        <is>
          <t>AJANTPHARM</t>
        </is>
      </c>
      <c r="B14" s="52" t="e">
        <v>#VALUE!</v>
      </c>
      <c r="C14" s="31" t="n">
        <v>14</v>
      </c>
      <c r="D14" s="33" t="n">
        <v>3134.66</v>
      </c>
      <c r="E14" s="1">
        <f>C14*D14</f>
        <v/>
      </c>
      <c r="F14" s="1">
        <f t="array" ref="F14">_FV(B14,"Price")</f>
        <v/>
      </c>
      <c r="G14" s="1">
        <f>C14*F14</f>
        <v/>
      </c>
      <c r="H14" s="1">
        <f>G14-E14</f>
        <v/>
      </c>
      <c r="I14" s="1">
        <f t="array" ref="I14">_FV(B14,"Previous close",TRUE)</f>
        <v/>
      </c>
      <c r="J14" s="79">
        <f>(F14-I14)/I14</f>
        <v/>
      </c>
      <c r="K14" s="1" t="n">
        <v>82.79000000000001</v>
      </c>
      <c r="L14" s="1" t="n">
        <v>45.05</v>
      </c>
    </row>
    <row r="15">
      <c r="A15" s="31" t="inlineStr">
        <is>
          <t>APOLLO</t>
        </is>
      </c>
      <c r="B15" s="31" t="e">
        <v>#VALUE!</v>
      </c>
      <c r="C15" s="31" t="n">
        <v>556</v>
      </c>
      <c r="D15" s="33" t="n">
        <v>360.41</v>
      </c>
      <c r="E15" s="1">
        <f>C15*D15</f>
        <v/>
      </c>
      <c r="F15" s="1">
        <f t="array" ref="F15">_FV(B15,"Price")</f>
        <v/>
      </c>
      <c r="G15" s="1">
        <f>C15*F15</f>
        <v/>
      </c>
      <c r="H15" s="1">
        <f>G15-E15</f>
        <v/>
      </c>
      <c r="I15" s="1">
        <f t="array" ref="I15">_FV(B15,"Previous close",TRUE)</f>
        <v/>
      </c>
      <c r="J15" s="79">
        <f>(F15-I15)/I15</f>
        <v/>
      </c>
      <c r="K15" s="1" t="n">
        <v>260.1</v>
      </c>
      <c r="L15" s="1" t="n">
        <v>30.1</v>
      </c>
    </row>
    <row r="16">
      <c r="A16" s="31" t="inlineStr">
        <is>
          <t>ASTRAMICRO</t>
        </is>
      </c>
      <c r="B16" s="31" t="e">
        <v>#VALUE!</v>
      </c>
      <c r="C16" s="31" t="n">
        <v>80</v>
      </c>
      <c r="D16" s="33" t="n">
        <v>1259.46</v>
      </c>
      <c r="E16" s="1">
        <f>C16*D16</f>
        <v/>
      </c>
      <c r="F16" s="1">
        <f t="array" ref="F16">_FV(B16,"Price")</f>
        <v/>
      </c>
      <c r="G16" s="1">
        <f>C16*F16</f>
        <v/>
      </c>
      <c r="H16" s="1">
        <f>G16-E16</f>
        <v/>
      </c>
      <c r="I16" s="1">
        <f t="array" ref="I16">_FV(B16,"Previous close",TRUE)</f>
        <v/>
      </c>
      <c r="J16" s="79">
        <f>(F16-I16)/I16</f>
        <v/>
      </c>
      <c r="K16" s="1" t="n">
        <v>124.88</v>
      </c>
      <c r="L16" s="1" t="n">
        <v>37.56</v>
      </c>
    </row>
    <row r="17">
      <c r="A17" s="31" t="inlineStr">
        <is>
          <t>AUROPHARMA</t>
        </is>
      </c>
      <c r="B17" s="31" t="e">
        <v>#VALUE!</v>
      </c>
      <c r="C17" s="31" t="n">
        <v>33</v>
      </c>
      <c r="D17" s="33" t="n">
        <v>1505.6</v>
      </c>
      <c r="E17" s="1">
        <f>C17*D17</f>
        <v/>
      </c>
      <c r="F17" s="1">
        <f t="array" ref="F17">_FV(B17,"Price")</f>
        <v/>
      </c>
      <c r="G17" s="1">
        <f>C17*F17</f>
        <v/>
      </c>
      <c r="H17" s="1">
        <f>G17-E17</f>
        <v/>
      </c>
      <c r="I17" s="1">
        <f t="array" ref="I17">_FV(B17,"Previous close",TRUE)</f>
        <v/>
      </c>
      <c r="J17" s="79">
        <f>(F17-I17)/I17</f>
        <v/>
      </c>
      <c r="K17" s="1" t="n">
        <v>250.87</v>
      </c>
      <c r="L17" s="1" t="n">
        <v>34.53</v>
      </c>
    </row>
    <row r="18">
      <c r="A18" s="31" t="inlineStr">
        <is>
          <t>BALAMINES</t>
        </is>
      </c>
      <c r="B18" s="31" t="e">
        <v>#VALUE!</v>
      </c>
      <c r="C18" s="31" t="n">
        <v>56</v>
      </c>
      <c r="D18" s="33" t="n">
        <v>1762.28</v>
      </c>
      <c r="E18" s="1">
        <f>C18*D18</f>
        <v/>
      </c>
      <c r="F18" s="1">
        <f t="array" ref="F18">_FV(B18,"Price")</f>
        <v/>
      </c>
      <c r="G18" s="1">
        <f>C18*F18</f>
        <v/>
      </c>
      <c r="H18" s="1">
        <f>G18-E18</f>
        <v/>
      </c>
      <c r="I18" s="1">
        <f t="array" ref="I18">_FV(B18,"Previous close",TRUE)</f>
        <v/>
      </c>
      <c r="J18" s="79">
        <f>(F18-I18)/I18</f>
        <v/>
      </c>
      <c r="K18" s="1" t="n">
        <v>3676.8</v>
      </c>
      <c r="L18" s="1" t="n">
        <v>1171.5</v>
      </c>
    </row>
    <row r="19">
      <c r="A19" s="31" t="inlineStr">
        <is>
          <t>CGPOWER</t>
        </is>
      </c>
      <c r="B19" s="31" t="e">
        <v>#VALUE!</v>
      </c>
      <c r="C19" s="31" t="n">
        <v>230</v>
      </c>
      <c r="D19" s="33" t="n">
        <v>864.34</v>
      </c>
      <c r="E19" s="1">
        <f>C19*D19</f>
        <v/>
      </c>
      <c r="F19" s="1">
        <f t="array" ref="F19">_FV(B19,"Price")</f>
        <v/>
      </c>
      <c r="G19" s="1">
        <f>C19*F19</f>
        <v/>
      </c>
      <c r="H19" s="1">
        <f>G19-E19</f>
        <v/>
      </c>
      <c r="I19" s="1">
        <f t="array" ref="I19">_FV(B19,"Previous close",TRUE)</f>
        <v/>
      </c>
      <c r="J19" s="79">
        <f>(F19-I19)/I19</f>
        <v/>
      </c>
      <c r="K19" s="1" t="n">
        <v>843.3099999999999</v>
      </c>
      <c r="L19" s="1" t="n">
        <v>260.49</v>
      </c>
    </row>
    <row r="20">
      <c r="A20" s="52" t="inlineStr">
        <is>
          <t>CUPID</t>
        </is>
      </c>
      <c r="B20" s="52" t="e">
        <v>#VALUE!</v>
      </c>
      <c r="C20" s="31" t="n">
        <v>1825</v>
      </c>
      <c r="D20" s="33" t="n">
        <v>97.73999999999999</v>
      </c>
      <c r="E20" s="1">
        <f>C20*D20</f>
        <v/>
      </c>
      <c r="F20" s="1">
        <f t="array" ref="F20">_FV(B20,"Price")</f>
        <v/>
      </c>
      <c r="G20" s="1">
        <f>C20*F20</f>
        <v/>
      </c>
      <c r="H20" s="1">
        <f>G20-E20</f>
        <v/>
      </c>
      <c r="I20" s="1">
        <f t="array" ref="I20">_FV(B20,"Previous close",TRUE)</f>
        <v/>
      </c>
      <c r="J20" s="79">
        <f>(F20-I20)/I20</f>
        <v/>
      </c>
      <c r="K20" s="1" t="n">
        <v>1192.95</v>
      </c>
      <c r="L20" s="1" t="n">
        <v>180.95</v>
      </c>
    </row>
    <row r="21">
      <c r="A21" s="31" t="inlineStr">
        <is>
          <t>EXIDEIND</t>
        </is>
      </c>
      <c r="B21" s="31" t="e">
        <v>#VALUE!</v>
      </c>
      <c r="C21" s="31" t="n">
        <v>129</v>
      </c>
      <c r="D21" s="33" t="n">
        <v>389.65</v>
      </c>
      <c r="E21" s="1">
        <f>C21*D21</f>
        <v/>
      </c>
      <c r="F21" s="1">
        <f t="array" ref="F21">_FV(B21,"Price")</f>
        <v/>
      </c>
      <c r="G21" s="1">
        <f>C21*F21</f>
        <v/>
      </c>
      <c r="H21" s="1">
        <f>G21-E21</f>
        <v/>
      </c>
      <c r="I21" s="1">
        <f t="array" ref="I21">_FV(B21,"Previous close",TRUE)</f>
        <v/>
      </c>
      <c r="J21" s="79">
        <f>(F21-I21)/I21</f>
        <v/>
      </c>
      <c r="K21" s="1" t="n">
        <v>2814.3</v>
      </c>
      <c r="L21" s="1" t="n">
        <v>293</v>
      </c>
    </row>
    <row r="22">
      <c r="A22" s="54" t="inlineStr">
        <is>
          <t>GAEL</t>
        </is>
      </c>
      <c r="B22" s="54" t="e">
        <v>#VALUE!</v>
      </c>
      <c r="C22" s="31" t="n">
        <v>362</v>
      </c>
      <c r="D22" s="33" t="n">
        <v>138.75</v>
      </c>
      <c r="E22" s="1">
        <f>C22*D22</f>
        <v/>
      </c>
      <c r="F22" s="1">
        <f t="array" ref="F22">_FV(B22,"Price")</f>
        <v/>
      </c>
      <c r="G22" s="1">
        <f>C22*F22</f>
        <v/>
      </c>
      <c r="H22" s="1">
        <f>G22-E22</f>
        <v/>
      </c>
      <c r="I22" s="1">
        <f t="array" ref="I22">_FV(B22,"Previous close",TRUE)</f>
        <v/>
      </c>
      <c r="J22" s="79">
        <f>(F22-I22)/I22</f>
        <v/>
      </c>
      <c r="K22" s="1" t="n">
        <v>76.04000000000001</v>
      </c>
      <c r="L22" s="1" t="n">
        <v>14.63</v>
      </c>
    </row>
    <row r="23">
      <c r="A23" s="54" t="inlineStr">
        <is>
          <t>GPIL</t>
        </is>
      </c>
      <c r="B23" s="54" t="e">
        <v>#VALUE!</v>
      </c>
      <c r="C23" s="31" t="n">
        <v>276</v>
      </c>
      <c r="D23" s="33" t="n">
        <v>278.74</v>
      </c>
      <c r="E23" s="1">
        <f>C23*D23</f>
        <v/>
      </c>
      <c r="F23" s="1">
        <f t="array" ref="F23">_FV(B23,"Price")</f>
        <v/>
      </c>
      <c r="G23" s="1">
        <f>C23*F23</f>
        <v/>
      </c>
      <c r="H23" s="1">
        <f>G23-E23</f>
        <v/>
      </c>
      <c r="I23" s="1">
        <f t="array" ref="I23">_FV(B23,"Previous close",TRUE)</f>
        <v/>
      </c>
      <c r="J23" s="79">
        <f>(F23-I23)/I23</f>
        <v/>
      </c>
      <c r="K23" s="1" t="n">
        <v>340.17</v>
      </c>
      <c r="L23" s="1" t="n">
        <v>44.43</v>
      </c>
    </row>
    <row r="24">
      <c r="A24" s="54" t="inlineStr">
        <is>
          <t>HINDALCO</t>
        </is>
      </c>
      <c r="B24" s="54" t="e">
        <v>#VALUE!</v>
      </c>
      <c r="C24" s="31" t="n">
        <v>340</v>
      </c>
      <c r="D24" s="33" t="n">
        <v>902.46</v>
      </c>
      <c r="E24" s="1">
        <f>C24*D24</f>
        <v/>
      </c>
      <c r="F24" s="1">
        <f t="array" ref="F24">_FV(B24,"Price")</f>
        <v/>
      </c>
      <c r="G24" s="1">
        <f>C24*F24</f>
        <v/>
      </c>
      <c r="H24" s="1">
        <f>G24-E24</f>
        <v/>
      </c>
      <c r="I24" s="1">
        <f t="array" ref="I24">_FV(B24,"Previous close",TRUE)</f>
        <v/>
      </c>
      <c r="J24" s="79">
        <f>(F24-I24)/I24</f>
        <v/>
      </c>
      <c r="K24" s="1" t="n">
        <v>1280.35</v>
      </c>
      <c r="L24" s="1" t="n">
        <v>113.65</v>
      </c>
    </row>
    <row r="25">
      <c r="A25" s="31" t="inlineStr">
        <is>
          <t>LAURUSLABS</t>
        </is>
      </c>
      <c r="B25" s="31" t="e">
        <v>#VALUE!</v>
      </c>
      <c r="C25" s="31" t="n">
        <v>75</v>
      </c>
      <c r="D25" s="33" t="n">
        <v>1350.41</v>
      </c>
      <c r="E25" s="1">
        <f>C25*D25</f>
        <v/>
      </c>
      <c r="F25" s="1">
        <f t="array" ref="F25">_FV(B25,"Price")</f>
        <v/>
      </c>
      <c r="G25" s="1">
        <f>C25*F25</f>
        <v/>
      </c>
      <c r="H25" s="1">
        <f>G25-E25</f>
        <v/>
      </c>
      <c r="I25" s="1">
        <f t="array" ref="I25">_FV(B25,"Previous close",TRUE)</f>
        <v/>
      </c>
      <c r="J25" s="79">
        <f>(F25-I25)/I25</f>
        <v/>
      </c>
      <c r="K25" s="1" t="n">
        <v>8833.940000000001</v>
      </c>
      <c r="L25" s="1" t="n">
        <v>779.5599999999999</v>
      </c>
    </row>
    <row r="26">
      <c r="A26" s="31" t="inlineStr">
        <is>
          <t>NETWEB</t>
        </is>
      </c>
      <c r="B26" s="31" t="e">
        <v>#VALUE!</v>
      </c>
      <c r="C26" s="31" t="n">
        <v>11</v>
      </c>
      <c r="D26" s="33" t="n">
        <v>4599.12</v>
      </c>
      <c r="E26" s="1">
        <f>C26*D26</f>
        <v/>
      </c>
      <c r="F26" s="1">
        <f t="array" ref="F26">_FV(B26,"Price")</f>
        <v/>
      </c>
      <c r="G26" s="1">
        <f>C26*F26</f>
        <v/>
      </c>
      <c r="H26" s="1">
        <f>G26-E26</f>
        <v/>
      </c>
      <c r="I26" s="1">
        <f t="array" ref="I26">_FV(B26,"Previous close",TRUE)</f>
        <v/>
      </c>
      <c r="J26" s="79">
        <f>(F26-I26)/I26</f>
        <v/>
      </c>
      <c r="K26" s="1" t="n">
        <v>1218.48</v>
      </c>
      <c r="L26" s="1" t="n">
        <v>376.72</v>
      </c>
    </row>
    <row r="27">
      <c r="A27" s="53" t="inlineStr">
        <is>
          <t>NRBBEARING</t>
        </is>
      </c>
      <c r="B27" s="53" t="e">
        <v>#VALUE!</v>
      </c>
      <c r="C27" s="31" t="n">
        <v>133</v>
      </c>
      <c r="D27" s="33" t="n">
        <v>377.97</v>
      </c>
      <c r="E27" s="1">
        <f>C27*D27</f>
        <v/>
      </c>
      <c r="F27" s="1">
        <f t="array" ref="F27">_FV(B27,"Price")</f>
        <v/>
      </c>
      <c r="G27" s="1">
        <f>C27*F27</f>
        <v/>
      </c>
      <c r="H27" s="1">
        <f>G27-E27</f>
        <v/>
      </c>
      <c r="I27" s="1">
        <f t="array" ref="I27">_FV(B27,"Previous close",TRUE)</f>
        <v/>
      </c>
      <c r="J27" s="79">
        <f>(F27-I27)/I27</f>
        <v/>
      </c>
      <c r="K27" s="1" t="n">
        <v>575.28</v>
      </c>
      <c r="L27" s="1" t="n">
        <v>51.42</v>
      </c>
    </row>
    <row r="28">
      <c r="A28" s="31" t="inlineStr">
        <is>
          <t>SEAMECLTD</t>
        </is>
      </c>
      <c r="B28" s="31" t="e">
        <v>#VALUE!</v>
      </c>
      <c r="C28" s="31" t="n">
        <v>42</v>
      </c>
      <c r="D28" s="33" t="n">
        <v>1353.87</v>
      </c>
      <c r="E28" s="1">
        <f>C28*D28</f>
        <v/>
      </c>
      <c r="F28" s="1">
        <f t="array" ref="F28">_FV(B28,"Price")</f>
        <v/>
      </c>
      <c r="G28" s="1">
        <f>C28*F28</f>
        <v/>
      </c>
      <c r="H28" s="1">
        <f>G28-E28</f>
        <v/>
      </c>
      <c r="I28" s="1">
        <f t="array" ref="I28">_FV(B28,"Previous close",TRUE)</f>
        <v/>
      </c>
      <c r="J28" s="79">
        <f>(F28-I28)/I28</f>
        <v/>
      </c>
      <c r="K28" s="1" t="n">
        <v>11718.9</v>
      </c>
      <c r="L28" s="1" t="n">
        <v>6760.1</v>
      </c>
    </row>
    <row r="29">
      <c r="A29" s="53" t="inlineStr">
        <is>
          <t>SFL</t>
        </is>
      </c>
      <c r="B29" s="53" t="e">
        <v>#VALUE!</v>
      </c>
      <c r="C29" s="31" t="n">
        <v>40</v>
      </c>
      <c r="D29" s="33" t="n">
        <v>639.2</v>
      </c>
      <c r="E29" s="1">
        <f>C29*D29</f>
        <v/>
      </c>
      <c r="F29" s="1">
        <f t="array" ref="F29">_FV(B29,"Price")</f>
        <v/>
      </c>
      <c r="G29" s="1">
        <f>C29*F29</f>
        <v/>
      </c>
      <c r="H29" s="1">
        <f>G29-E29</f>
        <v/>
      </c>
      <c r="I29" s="1">
        <f t="array" ref="I29">_FV(B29,"Previous close",TRUE)</f>
        <v/>
      </c>
      <c r="J29" s="79">
        <f>(F29-I29)/I29</f>
        <v/>
      </c>
      <c r="K29" s="1" t="n">
        <v>1709.28</v>
      </c>
      <c r="L29" s="1" t="n">
        <v>131.52</v>
      </c>
    </row>
    <row r="30">
      <c r="A30" s="31" t="inlineStr">
        <is>
          <t>SKIPPER</t>
        </is>
      </c>
      <c r="B30" s="31" t="e">
        <v>#VALUE!</v>
      </c>
      <c r="C30" s="31" t="n">
        <v>92</v>
      </c>
      <c r="D30" s="33" t="n">
        <v>547</v>
      </c>
      <c r="E30" s="1">
        <f>C30*D30</f>
        <v/>
      </c>
      <c r="F30" s="1">
        <f t="array" ref="F30">_FV(B30,"Price")</f>
        <v/>
      </c>
      <c r="G30" s="1">
        <f>C30*F30</f>
        <v/>
      </c>
      <c r="H30" s="1">
        <f>G30-E30</f>
        <v/>
      </c>
      <c r="I30" s="1">
        <f t="array" ref="I30">_FV(B30,"Previous close",TRUE)</f>
        <v/>
      </c>
      <c r="J30" s="79">
        <f>(F30-I30)/I30</f>
        <v/>
      </c>
      <c r="K30" s="1" t="n">
        <v>603.5</v>
      </c>
      <c r="L30" s="1" t="n">
        <v>102.8</v>
      </c>
    </row>
    <row r="31">
      <c r="A31" t="inlineStr">
        <is>
          <t>SUNPHARMA</t>
        </is>
      </c>
      <c r="B31" t="e">
        <v>#VALUE!</v>
      </c>
      <c r="C31" t="n">
        <v>26</v>
      </c>
      <c r="D31" t="n">
        <v>1899.2</v>
      </c>
      <c r="E31" s="1">
        <f>C31*D31</f>
        <v/>
      </c>
      <c r="F31" s="1">
        <f t="array" ref="F31">_FV(B31,"Price")</f>
        <v/>
      </c>
      <c r="G31" s="1">
        <f>C31*F31</f>
        <v/>
      </c>
      <c r="H31" s="1">
        <f>G31-E31</f>
        <v/>
      </c>
      <c r="I31" s="1">
        <f t="array" ref="I31">_FV(B31,"Previous close",TRUE)</f>
        <v/>
      </c>
      <c r="J31" s="79">
        <f>(F31-I31)/I31</f>
        <v/>
      </c>
    </row>
    <row r="32">
      <c r="A32" t="inlineStr">
        <is>
          <t>TATATECH</t>
        </is>
      </c>
      <c r="B32" t="e">
        <v>#VALUE!</v>
      </c>
      <c r="C32" t="n">
        <v>145</v>
      </c>
      <c r="D32" t="n">
        <v>691.04</v>
      </c>
      <c r="E32" s="1">
        <f>C32*D32</f>
        <v/>
      </c>
      <c r="F32" s="1">
        <f t="array" ref="F32">_FV(B32,"Price")</f>
        <v/>
      </c>
      <c r="G32" s="1">
        <f>C32*F32</f>
        <v/>
      </c>
      <c r="H32" s="1">
        <f>G32-E32</f>
        <v/>
      </c>
      <c r="I32" s="1">
        <f t="array" ref="I32">_FV(B32,"Previous close",TRUE)</f>
        <v/>
      </c>
      <c r="J32" s="79">
        <f>(F32-I32)/I32</f>
        <v/>
      </c>
    </row>
    <row r="33">
      <c r="A33" t="inlineStr">
        <is>
          <t>THERMAX</t>
        </is>
      </c>
      <c r="B33" t="e">
        <v>#VALUE!</v>
      </c>
      <c r="C33" t="n">
        <v>11</v>
      </c>
      <c r="D33" t="n">
        <v>4962.78</v>
      </c>
      <c r="E33" s="1">
        <f>C33*D33</f>
        <v/>
      </c>
      <c r="F33" s="1">
        <f t="array" ref="F33">_FV(B33,"Price")</f>
        <v/>
      </c>
      <c r="G33" s="1">
        <f>C33*F33</f>
        <v/>
      </c>
      <c r="H33" s="1">
        <f>G33-E33</f>
        <v/>
      </c>
      <c r="I33" s="1">
        <f t="array" ref="I33">_FV(B33,"Previous close",TRUE)</f>
        <v/>
      </c>
      <c r="J33" s="79">
        <f>(F33-I33)/I33</f>
        <v/>
      </c>
    </row>
    <row r="34">
      <c r="A34" t="inlineStr">
        <is>
          <t>TRITURBINE</t>
        </is>
      </c>
      <c r="B34" t="e">
        <v>#VALUE!</v>
      </c>
      <c r="C34" t="n">
        <v>72</v>
      </c>
      <c r="D34" t="n">
        <v>697.1</v>
      </c>
      <c r="E34" s="1">
        <f>C34*D34</f>
        <v/>
      </c>
      <c r="F34" s="1">
        <f t="array" ref="F34">_FV(B34,"Price")</f>
        <v/>
      </c>
      <c r="G34" s="1">
        <f>C34*F34</f>
        <v/>
      </c>
      <c r="H34" s="1">
        <f>G34-E34</f>
        <v/>
      </c>
      <c r="I34" s="1">
        <f t="array" ref="I34">_FV(B34,"Previous close",TRUE)</f>
        <v/>
      </c>
      <c r="J34" s="79">
        <f>(F34-I34)/I34</f>
        <v/>
      </c>
    </row>
    <row r="35">
      <c r="A35" t="inlineStr">
        <is>
          <t>ZYDUSLIFE</t>
        </is>
      </c>
      <c r="B35" t="e">
        <v>#VALUE!</v>
      </c>
      <c r="C35" t="n">
        <v>46</v>
      </c>
      <c r="D35" t="n">
        <v>1092.4</v>
      </c>
      <c r="E35" s="1">
        <f>C35*D35</f>
        <v/>
      </c>
      <c r="F35" s="1">
        <f t="array" ref="F35">_FV(B35,"Price")</f>
        <v/>
      </c>
      <c r="G35" s="1">
        <f>C35*F35</f>
        <v/>
      </c>
      <c r="H35" s="1">
        <f>G35-E35</f>
        <v/>
      </c>
      <c r="I35" s="1">
        <f t="array" ref="I35">_FV(B35,"Previous close",TRUE)</f>
        <v/>
      </c>
      <c r="J35" s="79">
        <f>(F35-I35)/I35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N3" sqref="N3"/>
    </sheetView>
  </sheetViews>
  <sheetFormatPr baseColWidth="8" defaultRowHeight="15"/>
  <cols>
    <col width="9.140625" customWidth="1" style="8" min="1" max="1"/>
    <col width="36.5703125" customWidth="1" style="87" min="2" max="2"/>
    <col width="13.7109375" bestFit="1" customWidth="1" style="87" min="3" max="3"/>
    <col width="17.85546875" customWidth="1" style="87" min="4" max="4"/>
  </cols>
  <sheetData>
    <row r="1">
      <c r="A1" s="9" t="inlineStr">
        <is>
          <t>S.No</t>
        </is>
      </c>
      <c r="B1" s="10" t="inlineStr">
        <is>
          <t>Details</t>
        </is>
      </c>
      <c r="C1" s="10" t="inlineStr">
        <is>
          <t>Bug/Change</t>
        </is>
      </c>
      <c r="D1" s="11" t="inlineStr">
        <is>
          <t>Status</t>
        </is>
      </c>
    </row>
    <row r="2">
      <c r="A2" s="6" t="n">
        <v>1</v>
      </c>
      <c r="B2" s="31" t="inlineStr">
        <is>
          <t xml:space="preserve">Bring core - Watchlist </t>
        </is>
      </c>
      <c r="C2" s="31" t="inlineStr">
        <is>
          <t>Change</t>
        </is>
      </c>
      <c r="D2" s="2" t="inlineStr">
        <is>
          <t>Not Done</t>
        </is>
      </c>
    </row>
    <row r="3" ht="30" customHeight="1" s="87">
      <c r="A3" s="6" t="n">
        <v>2</v>
      </c>
      <c r="B3" s="78" t="inlineStr">
        <is>
          <t>Transaction page - Seggregate core and satellite</t>
        </is>
      </c>
      <c r="C3" s="31" t="inlineStr">
        <is>
          <t>Change</t>
        </is>
      </c>
      <c r="D3" s="2" t="inlineStr">
        <is>
          <t>Done</t>
        </is>
      </c>
      <c r="N3" t="n">
        <v>900000</v>
      </c>
    </row>
    <row r="4" ht="30" customHeight="1" s="87">
      <c r="A4" s="6" t="n">
        <v>3</v>
      </c>
      <c r="B4" s="78" t="inlineStr">
        <is>
          <t xml:space="preserve">Dashboard - Formatting for Core &amp; Satellite % </t>
        </is>
      </c>
      <c r="C4" s="31" t="inlineStr">
        <is>
          <t>Bug</t>
        </is>
      </c>
      <c r="D4" s="2" t="inlineStr">
        <is>
          <t>Done</t>
        </is>
      </c>
    </row>
    <row r="5" ht="30" customHeight="1" s="87">
      <c r="A5" s="6" t="n">
        <v>4</v>
      </c>
      <c r="B5" s="78" t="inlineStr">
        <is>
          <t xml:space="preserve">Dashboard - Report separately Core &amp; Satellite </t>
        </is>
      </c>
      <c r="C5" s="31" t="inlineStr">
        <is>
          <t>Change</t>
        </is>
      </c>
      <c r="D5" s="2" t="inlineStr">
        <is>
          <t>Done</t>
        </is>
      </c>
    </row>
    <row r="6" ht="30" customHeight="1" s="87">
      <c r="A6" s="6" t="n">
        <v>5</v>
      </c>
      <c r="B6" s="78" t="inlineStr">
        <is>
          <t xml:space="preserve">Current_portfoli - Return % &amp; XIRR % format change to % </t>
        </is>
      </c>
      <c r="C6" s="31" t="inlineStr">
        <is>
          <t>Bug</t>
        </is>
      </c>
      <c r="D6" s="2" t="inlineStr">
        <is>
          <t>Done</t>
        </is>
      </c>
    </row>
    <row r="7" ht="30" customHeight="1" s="87">
      <c r="A7" s="6" t="n">
        <v>6</v>
      </c>
      <c r="B7" s="78" t="inlineStr">
        <is>
          <t xml:space="preserve">Dashboard - No need to have Core stop loss </t>
        </is>
      </c>
      <c r="C7" s="31" t="inlineStr">
        <is>
          <t>Change</t>
        </is>
      </c>
      <c r="D7" s="2" t="inlineStr">
        <is>
          <t>Done</t>
        </is>
      </c>
    </row>
    <row r="8">
      <c r="A8" s="6" t="n">
        <v>7</v>
      </c>
      <c r="B8" s="31" t="inlineStr">
        <is>
          <t xml:space="preserve">Core stocks - SL calculation not required </t>
        </is>
      </c>
      <c r="C8" s="31" t="inlineStr">
        <is>
          <t>Change</t>
        </is>
      </c>
      <c r="D8" s="2" t="inlineStr">
        <is>
          <t>Not Done</t>
        </is>
      </c>
    </row>
    <row r="9">
      <c r="A9" s="6" t="n">
        <v>8</v>
      </c>
      <c r="B9" s="31" t="inlineStr">
        <is>
          <t>Ridewinners Data - For Friday analysis</t>
        </is>
      </c>
      <c r="C9" s="31" t="inlineStr">
        <is>
          <t>Change</t>
        </is>
      </c>
      <c r="D9" s="2" t="inlineStr">
        <is>
          <t>Not Done</t>
        </is>
      </c>
    </row>
    <row r="10">
      <c r="A10" s="6" t="n">
        <v>9</v>
      </c>
      <c r="B10" s="31" t="inlineStr">
        <is>
          <t xml:space="preserve">Bring Win - Loss ration in Dashboard </t>
        </is>
      </c>
      <c r="C10" s="31" t="inlineStr">
        <is>
          <t>Change</t>
        </is>
      </c>
      <c r="D10" s="2" t="inlineStr">
        <is>
          <t>Done</t>
        </is>
      </c>
    </row>
    <row r="11">
      <c r="A11" s="6" t="n">
        <v>10</v>
      </c>
      <c r="B11" s="31" t="inlineStr">
        <is>
          <t xml:space="preserve">Bring Risk Reward Ratio in Dashboard </t>
        </is>
      </c>
      <c r="C11" s="31" t="inlineStr">
        <is>
          <t>Change</t>
        </is>
      </c>
      <c r="D11" s="2" t="inlineStr">
        <is>
          <t>Done</t>
        </is>
      </c>
    </row>
    <row r="12">
      <c r="A12" s="6" t="n">
        <v>11</v>
      </c>
      <c r="B12" s="31" t="inlineStr">
        <is>
          <t xml:space="preserve">Journal feature for transaction </t>
        </is>
      </c>
      <c r="C12" s="31" t="inlineStr">
        <is>
          <t>Change</t>
        </is>
      </c>
      <c r="D12" s="2" t="inlineStr">
        <is>
          <t>Not Done</t>
        </is>
      </c>
    </row>
    <row r="13" ht="45" customHeight="1" s="87">
      <c r="A13" s="7" t="n">
        <v>12</v>
      </c>
      <c r="B13" s="3" t="inlineStr">
        <is>
          <t>Current Portfolio - Graphical represenation of stocks trend by introducing a column</t>
        </is>
      </c>
      <c r="C13" s="4" t="inlineStr">
        <is>
          <t>Change</t>
        </is>
      </c>
      <c r="D13" s="5" t="inlineStr">
        <is>
          <t>Done</t>
        </is>
      </c>
    </row>
    <row r="14" ht="30" customHeight="1" s="87">
      <c r="A14" s="35" t="n">
        <v>13</v>
      </c>
      <c r="B14" s="78" t="inlineStr">
        <is>
          <t xml:space="preserve">Dashboard - coroproate split - remove realized stock </t>
        </is>
      </c>
      <c r="C14" s="31" t="inlineStr">
        <is>
          <t>Change</t>
        </is>
      </c>
      <c r="D14" s="31" t="inlineStr">
        <is>
          <t>Done</t>
        </is>
      </c>
    </row>
    <row r="15" ht="30" customHeight="1" s="87">
      <c r="A15" s="35" t="n">
        <v>14</v>
      </c>
      <c r="B15" s="78" t="inlineStr">
        <is>
          <t>Chron job - to update everything once in a day</t>
        </is>
      </c>
      <c r="C15" s="31" t="inlineStr">
        <is>
          <t>Change</t>
        </is>
      </c>
      <c r="D15" s="31" t="inlineStr">
        <is>
          <t>Not Done</t>
        </is>
      </c>
    </row>
    <row r="16" ht="30" customHeight="1" s="87">
      <c r="A16" s="35" t="n">
        <v>15</v>
      </c>
      <c r="B16" s="78" t="inlineStr">
        <is>
          <t>In tht Dashboard - Top 10 movers from watchlist is not getting dynamic LTP</t>
        </is>
      </c>
      <c r="C16" s="31" t="inlineStr">
        <is>
          <t>Bug</t>
        </is>
      </c>
      <c r="D16" s="31" t="inlineStr">
        <is>
          <t>Not Done</t>
        </is>
      </c>
    </row>
    <row r="17" ht="45" customHeight="1" s="87">
      <c r="A17" s="35" t="n">
        <v>16</v>
      </c>
      <c r="B17" s="78" t="inlineStr">
        <is>
          <t>Top 5 cheat stocks holding period , needs to check the days for sold and bougtht again</t>
        </is>
      </c>
      <c r="C17" s="31" t="inlineStr">
        <is>
          <t>Bug</t>
        </is>
      </c>
      <c r="D17" s="31" t="inlineStr">
        <is>
          <t>Done</t>
        </is>
      </c>
    </row>
    <row r="18">
      <c r="A18" s="35" t="n">
        <v>17</v>
      </c>
      <c r="B18" s="31" t="n"/>
      <c r="C18" s="31" t="n"/>
      <c r="D18" s="31" t="n"/>
    </row>
    <row r="19">
      <c r="A19" s="35" t="n">
        <v>18</v>
      </c>
      <c r="B19" s="31" t="n"/>
      <c r="C19" s="31" t="n"/>
      <c r="D19" s="31" t="n"/>
    </row>
    <row r="20">
      <c r="A20" s="35" t="n">
        <v>19</v>
      </c>
      <c r="B20" s="31" t="n"/>
      <c r="C20" s="31" t="n"/>
      <c r="D20" s="31" t="n"/>
    </row>
    <row r="21">
      <c r="A21" s="35" t="n">
        <v>20</v>
      </c>
      <c r="B21" s="31" t="n"/>
      <c r="C21" s="31" t="n"/>
      <c r="D21" s="31" t="n"/>
    </row>
    <row r="22">
      <c r="A22" s="35" t="n">
        <v>21</v>
      </c>
      <c r="B22" s="31" t="n"/>
      <c r="C22" s="31" t="n"/>
      <c r="D22" s="31" t="n"/>
    </row>
    <row r="23">
      <c r="A23" s="35" t="n">
        <v>22</v>
      </c>
      <c r="B23" s="31" t="n"/>
      <c r="C23" s="31" t="n"/>
      <c r="D23" s="31" t="n"/>
    </row>
    <row r="24">
      <c r="A24" s="35" t="n">
        <v>23</v>
      </c>
      <c r="B24" s="31" t="n"/>
      <c r="C24" s="31" t="n"/>
      <c r="D24" s="31" t="n"/>
    </row>
    <row r="25">
      <c r="A25" s="35" t="n">
        <v>24</v>
      </c>
      <c r="B25" s="31" t="n"/>
      <c r="C25" s="31" t="n"/>
      <c r="D25" s="31" t="n"/>
    </row>
    <row r="26">
      <c r="A26" s="35" t="n">
        <v>25</v>
      </c>
      <c r="B26" s="31" t="n"/>
      <c r="C26" s="31" t="n"/>
      <c r="D26" s="31" t="n"/>
    </row>
    <row r="27">
      <c r="A27" s="35" t="n"/>
      <c r="B27" s="31" t="n"/>
      <c r="C27" s="31" t="n"/>
      <c r="D27" s="3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2026-03-07T14:21:25Z</dcterms:created>
  <dcterms:modified xsi:type="dcterms:W3CDTF">2026-06-03T23:38:50Z</dcterms:modified>
  <cp:lastModifiedBy>Muralidharan Krishnaraj</cp:lastModifiedBy>
</cp:coreProperties>
</file>