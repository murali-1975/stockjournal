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143b6e31b9e74e02/Desktop/Projects/stockjournal/"/>
    </mc:Choice>
  </mc:AlternateContent>
  <xr:revisionPtr revIDLastSave="1166" documentId="11_FE3E5328178C83D22B0331EE2FF74E81D48AE736" xr6:coauthVersionLast="47" xr6:coauthVersionMax="47" xr10:uidLastSave="{84FACEF4-6F5C-4167-814B-2998E57C141B}"/>
  <bookViews>
    <workbookView xWindow="28680" yWindow="-120" windowWidth="29040" windowHeight="15720" xr2:uid="{00000000-000D-0000-FFFF-FFFF00000000}"/>
  </bookViews>
  <sheets>
    <sheet name="Dashboard" sheetId="19" r:id="rId1"/>
    <sheet name="Action Tracker" sheetId="2" r:id="rId2"/>
    <sheet name="Raw_Tradebook" sheetId="3" r:id="rId3"/>
    <sheet name="Transaction" sheetId="4" r:id="rId4"/>
    <sheet name="Current_Portfolio" sheetId="5" r:id="rId5"/>
    <sheet name="Core_Watchlist" sheetId="6" r:id="rId6"/>
    <sheet name="Satellite_Watchlist" sheetId="7" r:id="rId7"/>
    <sheet name="Overall_Portfolio" sheetId="8" r:id="rId8"/>
    <sheet name="Price_Update" sheetId="9" r:id="rId9"/>
    <sheet name="Todo " sheetId="10" r:id="rId10"/>
  </sheets>
  <definedNames>
    <definedName name="_xlnm._FilterDatabase" localSheetId="5" hidden="1">Core_Watchlist!$A$1:$G$158</definedName>
    <definedName name="_xlnm._FilterDatabase" localSheetId="4" hidden="1">Current_Portfolio!$A$1:$Z$61</definedName>
    <definedName name="_xlnm._FilterDatabase" localSheetId="7" hidden="1">Overall_Portfolio!$A$1:$BX$101</definedName>
    <definedName name="_xlnm._FilterDatabase" localSheetId="6" hidden="1">Satellite_Watchlist!$A$1:$J$272</definedName>
    <definedName name="_xlnm._FilterDatabase" localSheetId="3" hidden="1">Transaction!$A$1:$G$1</definedName>
    <definedName name="SAT_WATCH">Satellite_Watchlist!$B$1:$D$998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1" i="8" l="1"/>
  <c r="N100" i="8"/>
  <c r="N99" i="8"/>
  <c r="N98" i="8"/>
  <c r="N97" i="8"/>
  <c r="N96" i="8"/>
  <c r="N95" i="8"/>
  <c r="N94" i="8"/>
  <c r="N93" i="8"/>
  <c r="N92" i="8"/>
  <c r="N91" i="8"/>
  <c r="N90" i="8"/>
  <c r="N89" i="8"/>
  <c r="N88" i="8"/>
  <c r="N87" i="8"/>
  <c r="N86" i="8"/>
  <c r="N85" i="8"/>
  <c r="N84" i="8"/>
  <c r="N83" i="8"/>
  <c r="N82" i="8"/>
  <c r="N81" i="8"/>
  <c r="N80" i="8"/>
  <c r="O80" i="8" s="1"/>
  <c r="Q80" i="8" s="1"/>
  <c r="R80" i="8" s="1"/>
  <c r="S80" i="8" s="1"/>
  <c r="N79" i="8"/>
  <c r="N78" i="8"/>
  <c r="N77" i="8"/>
  <c r="N76" i="8"/>
  <c r="N75" i="8"/>
  <c r="O75" i="8" s="1"/>
  <c r="Q75" i="8" s="1"/>
  <c r="R75" i="8" s="1"/>
  <c r="S75" i="8" s="1"/>
  <c r="N74" i="8"/>
  <c r="N73" i="8"/>
  <c r="N72" i="8"/>
  <c r="O72" i="8" s="1"/>
  <c r="Q72" i="8" s="1"/>
  <c r="R72" i="8" s="1"/>
  <c r="S72" i="8" s="1"/>
  <c r="N71" i="8"/>
  <c r="N70" i="8"/>
  <c r="N69" i="8"/>
  <c r="N68" i="8"/>
  <c r="N67" i="8"/>
  <c r="O67" i="8" s="1"/>
  <c r="Q67" i="8" s="1"/>
  <c r="R67" i="8" s="1"/>
  <c r="S67" i="8" s="1"/>
  <c r="N66" i="8"/>
  <c r="N65" i="8"/>
  <c r="N64" i="8"/>
  <c r="O64" i="8" s="1"/>
  <c r="Q64" i="8" s="1"/>
  <c r="R64" i="8" s="1"/>
  <c r="S64" i="8" s="1"/>
  <c r="N63" i="8"/>
  <c r="N62" i="8"/>
  <c r="N61" i="8"/>
  <c r="N60" i="8"/>
  <c r="N59" i="8"/>
  <c r="O59" i="8" s="1"/>
  <c r="Q59" i="8" s="1"/>
  <c r="R59" i="8" s="1"/>
  <c r="S59" i="8" s="1"/>
  <c r="N58" i="8"/>
  <c r="N57" i="8"/>
  <c r="N56" i="8"/>
  <c r="O56" i="8" s="1"/>
  <c r="Q56" i="8" s="1"/>
  <c r="R56" i="8" s="1"/>
  <c r="S56" i="8" s="1"/>
  <c r="N55" i="8"/>
  <c r="N54" i="8"/>
  <c r="N53" i="8"/>
  <c r="N52" i="8"/>
  <c r="N51" i="8"/>
  <c r="O51" i="8" s="1"/>
  <c r="Q51" i="8" s="1"/>
  <c r="R51" i="8" s="1"/>
  <c r="S51" i="8" s="1"/>
  <c r="N50" i="8"/>
  <c r="N49" i="8"/>
  <c r="N48" i="8"/>
  <c r="O48" i="8" s="1"/>
  <c r="Q48" i="8" s="1"/>
  <c r="R48" i="8" s="1"/>
  <c r="S48" i="8" s="1"/>
  <c r="N47" i="8"/>
  <c r="N46" i="8"/>
  <c r="N45" i="8"/>
  <c r="N44" i="8"/>
  <c r="O44" i="8" s="1"/>
  <c r="Q44" i="8" s="1"/>
  <c r="R44" i="8" s="1"/>
  <c r="S44" i="8" s="1"/>
  <c r="N43" i="8"/>
  <c r="O43" i="8" s="1"/>
  <c r="Q43" i="8" s="1"/>
  <c r="R43" i="8" s="1"/>
  <c r="S43" i="8" s="1"/>
  <c r="N42" i="8"/>
  <c r="N41" i="8"/>
  <c r="N40" i="8"/>
  <c r="O40" i="8" s="1"/>
  <c r="Q40" i="8" s="1"/>
  <c r="R40" i="8" s="1"/>
  <c r="S40" i="8" s="1"/>
  <c r="N39" i="8"/>
  <c r="N38" i="8"/>
  <c r="N37" i="8"/>
  <c r="N36" i="8"/>
  <c r="O36" i="8" s="1"/>
  <c r="Q36" i="8" s="1"/>
  <c r="R36" i="8" s="1"/>
  <c r="S36" i="8" s="1"/>
  <c r="N35" i="8"/>
  <c r="N34" i="8"/>
  <c r="N33" i="8"/>
  <c r="O33" i="8" s="1"/>
  <c r="Q33" i="8" s="1"/>
  <c r="R33" i="8" s="1"/>
  <c r="S33" i="8" s="1"/>
  <c r="N32" i="8"/>
  <c r="N31" i="8"/>
  <c r="N30" i="8"/>
  <c r="N29" i="8"/>
  <c r="N28" i="8"/>
  <c r="N27" i="8"/>
  <c r="N26" i="8"/>
  <c r="N25" i="8"/>
  <c r="N24" i="8"/>
  <c r="N23" i="8"/>
  <c r="N22" i="8"/>
  <c r="N21" i="8"/>
  <c r="N20" i="8"/>
  <c r="N19" i="8"/>
  <c r="O19" i="8" s="1"/>
  <c r="Q19" i="8" s="1"/>
  <c r="R19" i="8" s="1"/>
  <c r="S19" i="8" s="1"/>
  <c r="N18" i="8"/>
  <c r="N17" i="8"/>
  <c r="N16" i="8"/>
  <c r="N15" i="8"/>
  <c r="O15" i="8" s="1"/>
  <c r="Q15" i="8" s="1"/>
  <c r="R15" i="8" s="1"/>
  <c r="S15" i="8" s="1"/>
  <c r="N14" i="8"/>
  <c r="N13" i="8"/>
  <c r="N12" i="8"/>
  <c r="O12" i="8" s="1"/>
  <c r="Q12" i="8" s="1"/>
  <c r="R12" i="8" s="1"/>
  <c r="S12" i="8" s="1"/>
  <c r="N11" i="8"/>
  <c r="N10" i="8"/>
  <c r="N9" i="8"/>
  <c r="N8" i="8"/>
  <c r="O8" i="8" s="1"/>
  <c r="Q8" i="8" s="1"/>
  <c r="R8" i="8" s="1"/>
  <c r="S8" i="8" s="1"/>
  <c r="N7" i="8"/>
  <c r="O7" i="8" s="1"/>
  <c r="Q7" i="8" s="1"/>
  <c r="R7" i="8" s="1"/>
  <c r="S7" i="8" s="1"/>
  <c r="N6" i="8"/>
  <c r="N5" i="8"/>
  <c r="N4" i="8"/>
  <c r="N3" i="8"/>
  <c r="N2" i="8"/>
  <c r="N61" i="5"/>
  <c r="M61" i="5"/>
  <c r="N60" i="5"/>
  <c r="M60" i="5"/>
  <c r="N59" i="5"/>
  <c r="M59" i="5"/>
  <c r="N58" i="5"/>
  <c r="M58" i="5"/>
  <c r="N57" i="5"/>
  <c r="M57" i="5"/>
  <c r="N56" i="5"/>
  <c r="M56" i="5"/>
  <c r="N55" i="5"/>
  <c r="M55" i="5"/>
  <c r="N54" i="5"/>
  <c r="M54" i="5"/>
  <c r="N53" i="5"/>
  <c r="M53" i="5"/>
  <c r="N52" i="5"/>
  <c r="M52" i="5"/>
  <c r="N51" i="5"/>
  <c r="M51" i="5"/>
  <c r="N50" i="5"/>
  <c r="M50" i="5"/>
  <c r="N49" i="5"/>
  <c r="M49" i="5"/>
  <c r="N48" i="5"/>
  <c r="M48" i="5"/>
  <c r="N47" i="5"/>
  <c r="M47" i="5"/>
  <c r="N46" i="5"/>
  <c r="M46" i="5"/>
  <c r="N45" i="5"/>
  <c r="M45" i="5"/>
  <c r="N44" i="5"/>
  <c r="M44" i="5"/>
  <c r="K84" i="19" s="1"/>
  <c r="L84" i="19" s="1"/>
  <c r="N43" i="5"/>
  <c r="M43" i="5"/>
  <c r="N42" i="5"/>
  <c r="M42" i="5"/>
  <c r="N41" i="5"/>
  <c r="M41" i="5"/>
  <c r="N40" i="5"/>
  <c r="M40" i="5"/>
  <c r="N39" i="5"/>
  <c r="M39" i="5"/>
  <c r="N38" i="5"/>
  <c r="M38" i="5"/>
  <c r="N37" i="5"/>
  <c r="M37" i="5"/>
  <c r="N36" i="5"/>
  <c r="M36" i="5"/>
  <c r="N35" i="5"/>
  <c r="M35" i="5"/>
  <c r="N34" i="5"/>
  <c r="M34" i="5"/>
  <c r="N33" i="5"/>
  <c r="M33" i="5"/>
  <c r="N32" i="5"/>
  <c r="M32" i="5"/>
  <c r="N31" i="5"/>
  <c r="M31" i="5"/>
  <c r="N30" i="5"/>
  <c r="M30" i="5"/>
  <c r="N29" i="5"/>
  <c r="M29" i="5"/>
  <c r="N28" i="5"/>
  <c r="M28" i="5"/>
  <c r="N27" i="5"/>
  <c r="M27" i="5"/>
  <c r="N26" i="5"/>
  <c r="M26" i="5"/>
  <c r="N25" i="5"/>
  <c r="M25" i="5"/>
  <c r="N24" i="5"/>
  <c r="M24" i="5"/>
  <c r="N23" i="5"/>
  <c r="M23" i="5"/>
  <c r="N22" i="5"/>
  <c r="M22" i="5"/>
  <c r="N21" i="5"/>
  <c r="M21" i="5"/>
  <c r="N20" i="5"/>
  <c r="M20" i="5"/>
  <c r="N19" i="5"/>
  <c r="M19" i="5"/>
  <c r="N18" i="5"/>
  <c r="M18" i="5"/>
  <c r="N17" i="5"/>
  <c r="M17" i="5"/>
  <c r="N16" i="5"/>
  <c r="M16" i="5"/>
  <c r="N15" i="5"/>
  <c r="M15" i="5"/>
  <c r="N14" i="5"/>
  <c r="M14" i="5"/>
  <c r="N13" i="5"/>
  <c r="M13" i="5"/>
  <c r="N12" i="5"/>
  <c r="M12" i="5"/>
  <c r="N11" i="5"/>
  <c r="M11" i="5"/>
  <c r="N10" i="5"/>
  <c r="M10" i="5"/>
  <c r="N9" i="5"/>
  <c r="M9" i="5"/>
  <c r="N8" i="5"/>
  <c r="M8" i="5"/>
  <c r="N7" i="5"/>
  <c r="M7" i="5"/>
  <c r="N6" i="5"/>
  <c r="M6" i="5"/>
  <c r="N5" i="5"/>
  <c r="M5" i="5"/>
  <c r="N4" i="5"/>
  <c r="M4" i="5"/>
  <c r="N3" i="5"/>
  <c r="M3" i="5"/>
  <c r="N2" i="5"/>
  <c r="M2" i="5"/>
  <c r="K87" i="19"/>
  <c r="J87" i="19"/>
  <c r="K86" i="19"/>
  <c r="J86" i="19"/>
  <c r="K85" i="19"/>
  <c r="J85" i="19"/>
  <c r="J84" i="19"/>
  <c r="K83" i="19"/>
  <c r="J83" i="19"/>
  <c r="K82" i="19"/>
  <c r="J82" i="19"/>
  <c r="K81" i="19"/>
  <c r="J81" i="19"/>
  <c r="K80" i="19"/>
  <c r="J80" i="19"/>
  <c r="K79" i="19"/>
  <c r="J79" i="19"/>
  <c r="K78" i="19"/>
  <c r="J78" i="19"/>
  <c r="G55" i="19"/>
  <c r="D55" i="19"/>
  <c r="C55" i="19"/>
  <c r="G54" i="19"/>
  <c r="D54" i="19"/>
  <c r="C54" i="19"/>
  <c r="J53" i="19"/>
  <c r="G53" i="19"/>
  <c r="D53" i="19"/>
  <c r="C53" i="19"/>
  <c r="J52" i="19"/>
  <c r="G52" i="19"/>
  <c r="D52" i="19"/>
  <c r="C52" i="19"/>
  <c r="J51" i="19"/>
  <c r="G51" i="19"/>
  <c r="D51" i="19"/>
  <c r="C51" i="19"/>
  <c r="K50" i="19"/>
  <c r="J50" i="19"/>
  <c r="G50" i="19"/>
  <c r="D50" i="19"/>
  <c r="C50" i="19"/>
  <c r="G49" i="19"/>
  <c r="D49" i="19"/>
  <c r="C49" i="19"/>
  <c r="G48" i="19"/>
  <c r="D48" i="19"/>
  <c r="C48" i="19"/>
  <c r="G47" i="19"/>
  <c r="D47" i="19"/>
  <c r="C47" i="19"/>
  <c r="G46" i="19"/>
  <c r="D46" i="19"/>
  <c r="C46" i="19"/>
  <c r="K44" i="19"/>
  <c r="J44" i="19"/>
  <c r="K43" i="19"/>
  <c r="J43" i="19"/>
  <c r="K42" i="19"/>
  <c r="J42" i="19"/>
  <c r="K41" i="19"/>
  <c r="J41" i="19"/>
  <c r="C41" i="19"/>
  <c r="K40" i="19"/>
  <c r="J40" i="19"/>
  <c r="C40" i="19"/>
  <c r="K39" i="19"/>
  <c r="J39" i="19"/>
  <c r="C39" i="19"/>
  <c r="K38" i="19"/>
  <c r="J38" i="19"/>
  <c r="C38" i="19"/>
  <c r="C37" i="19"/>
  <c r="C36" i="19"/>
  <c r="C35" i="19"/>
  <c r="C34" i="19"/>
  <c r="C33" i="19"/>
  <c r="J32" i="19"/>
  <c r="J31" i="19"/>
  <c r="J30" i="19"/>
  <c r="J29" i="19"/>
  <c r="J28" i="19"/>
  <c r="C28" i="19"/>
  <c r="J27" i="19"/>
  <c r="C27" i="19"/>
  <c r="J26" i="19"/>
  <c r="C26" i="19"/>
  <c r="C25" i="19"/>
  <c r="C24" i="19"/>
  <c r="C23" i="19"/>
  <c r="C22" i="19"/>
  <c r="C21" i="19"/>
  <c r="J20" i="19"/>
  <c r="C20" i="19"/>
  <c r="J19" i="19"/>
  <c r="C19" i="19"/>
  <c r="F16" i="19"/>
  <c r="E16" i="19"/>
  <c r="F15" i="19"/>
  <c r="E15" i="19"/>
  <c r="F14" i="19"/>
  <c r="E14" i="19"/>
  <c r="B14" i="19"/>
  <c r="J13" i="19"/>
  <c r="F13" i="19"/>
  <c r="E13" i="19"/>
  <c r="B13" i="19"/>
  <c r="J12" i="19"/>
  <c r="J11" i="19"/>
  <c r="B11" i="19"/>
  <c r="B8" i="19"/>
  <c r="K6" i="19"/>
  <c r="E6" i="19"/>
  <c r="E9" i="19" s="1"/>
  <c r="K5" i="19"/>
  <c r="L5" i="19" s="1"/>
  <c r="E5" i="19"/>
  <c r="E8" i="19" s="1"/>
  <c r="B5" i="19"/>
  <c r="B12" i="19" s="1"/>
  <c r="L87" i="19"/>
  <c r="L86" i="19"/>
  <c r="L85" i="19"/>
  <c r="L83" i="19"/>
  <c r="L82" i="19"/>
  <c r="L81" i="19"/>
  <c r="L80" i="19"/>
  <c r="L79" i="19"/>
  <c r="L78" i="19"/>
  <c r="E55" i="19"/>
  <c r="E54" i="19"/>
  <c r="E53" i="19"/>
  <c r="E52" i="19"/>
  <c r="E51" i="19"/>
  <c r="J54" i="19"/>
  <c r="E50" i="19"/>
  <c r="E49" i="19"/>
  <c r="F49" i="19" s="1"/>
  <c r="E47" i="19"/>
  <c r="F47" i="19" s="1"/>
  <c r="E46" i="19"/>
  <c r="L44" i="19"/>
  <c r="L43" i="19"/>
  <c r="L42" i="19"/>
  <c r="L41" i="19"/>
  <c r="L40" i="19"/>
  <c r="L39" i="19"/>
  <c r="K45" i="19"/>
  <c r="L38" i="19"/>
  <c r="J21" i="19"/>
  <c r="K20" i="19" s="1"/>
  <c r="K19" i="19"/>
  <c r="L6" i="19"/>
  <c r="O101" i="8"/>
  <c r="Q101" i="8" s="1"/>
  <c r="R101" i="8" s="1"/>
  <c r="S101" i="8" s="1"/>
  <c r="O100" i="8"/>
  <c r="Q100" i="8" s="1"/>
  <c r="R100" i="8" s="1"/>
  <c r="S100" i="8" s="1"/>
  <c r="O99" i="8"/>
  <c r="Q99" i="8" s="1"/>
  <c r="R99" i="8" s="1"/>
  <c r="S99" i="8" s="1"/>
  <c r="O98" i="8"/>
  <c r="Q98" i="8" s="1"/>
  <c r="R98" i="8" s="1"/>
  <c r="S98" i="8" s="1"/>
  <c r="O97" i="8"/>
  <c r="Q97" i="8" s="1"/>
  <c r="R97" i="8" s="1"/>
  <c r="S97" i="8" s="1"/>
  <c r="O96" i="8"/>
  <c r="Q96" i="8" s="1"/>
  <c r="R96" i="8" s="1"/>
  <c r="S96" i="8" s="1"/>
  <c r="O95" i="8"/>
  <c r="Q95" i="8" s="1"/>
  <c r="R95" i="8" s="1"/>
  <c r="S95" i="8" s="1"/>
  <c r="O94" i="8"/>
  <c r="Q94" i="8" s="1"/>
  <c r="R94" i="8" s="1"/>
  <c r="S94" i="8" s="1"/>
  <c r="O93" i="8"/>
  <c r="Q93" i="8" s="1"/>
  <c r="R93" i="8" s="1"/>
  <c r="S93" i="8" s="1"/>
  <c r="O92" i="8"/>
  <c r="Q92" i="8" s="1"/>
  <c r="R92" i="8" s="1"/>
  <c r="S92" i="8" s="1"/>
  <c r="O91" i="8"/>
  <c r="Q91" i="8" s="1"/>
  <c r="R91" i="8" s="1"/>
  <c r="S91" i="8" s="1"/>
  <c r="O90" i="8"/>
  <c r="Q90" i="8" s="1"/>
  <c r="R90" i="8" s="1"/>
  <c r="S90" i="8" s="1"/>
  <c r="O89" i="8"/>
  <c r="Q89" i="8" s="1"/>
  <c r="R89" i="8" s="1"/>
  <c r="S89" i="8" s="1"/>
  <c r="O88" i="8"/>
  <c r="Q88" i="8" s="1"/>
  <c r="R88" i="8" s="1"/>
  <c r="S88" i="8" s="1"/>
  <c r="O87" i="8"/>
  <c r="Q87" i="8" s="1"/>
  <c r="R87" i="8" s="1"/>
  <c r="S87" i="8" s="1"/>
  <c r="O86" i="8"/>
  <c r="Q86" i="8" s="1"/>
  <c r="R86" i="8" s="1"/>
  <c r="S86" i="8" s="1"/>
  <c r="O85" i="8"/>
  <c r="Q85" i="8" s="1"/>
  <c r="R85" i="8" s="1"/>
  <c r="S85" i="8" s="1"/>
  <c r="O84" i="8"/>
  <c r="Q84" i="8" s="1"/>
  <c r="R84" i="8" s="1"/>
  <c r="S84" i="8" s="1"/>
  <c r="O83" i="8"/>
  <c r="Q83" i="8" s="1"/>
  <c r="R83" i="8" s="1"/>
  <c r="S83" i="8" s="1"/>
  <c r="O82" i="8"/>
  <c r="Q82" i="8" s="1"/>
  <c r="R82" i="8" s="1"/>
  <c r="S82" i="8" s="1"/>
  <c r="O81" i="8"/>
  <c r="Q81" i="8" s="1"/>
  <c r="R81" i="8" s="1"/>
  <c r="S81" i="8" s="1"/>
  <c r="O79" i="8"/>
  <c r="Q79" i="8" s="1"/>
  <c r="R79" i="8" s="1"/>
  <c r="S79" i="8" s="1"/>
  <c r="O78" i="8"/>
  <c r="Q78" i="8" s="1"/>
  <c r="R78" i="8" s="1"/>
  <c r="S78" i="8" s="1"/>
  <c r="O77" i="8"/>
  <c r="Q77" i="8" s="1"/>
  <c r="R77" i="8" s="1"/>
  <c r="S77" i="8" s="1"/>
  <c r="O76" i="8"/>
  <c r="Q76" i="8" s="1"/>
  <c r="R76" i="8" s="1"/>
  <c r="S76" i="8" s="1"/>
  <c r="O74" i="8"/>
  <c r="Q74" i="8" s="1"/>
  <c r="R74" i="8" s="1"/>
  <c r="S74" i="8" s="1"/>
  <c r="O73" i="8"/>
  <c r="Q73" i="8" s="1"/>
  <c r="R73" i="8" s="1"/>
  <c r="S73" i="8" s="1"/>
  <c r="O71" i="8"/>
  <c r="Q71" i="8" s="1"/>
  <c r="R71" i="8" s="1"/>
  <c r="S71" i="8" s="1"/>
  <c r="O70" i="8"/>
  <c r="Q70" i="8" s="1"/>
  <c r="R70" i="8" s="1"/>
  <c r="S70" i="8" s="1"/>
  <c r="O69" i="8"/>
  <c r="Q69" i="8" s="1"/>
  <c r="R69" i="8" s="1"/>
  <c r="S69" i="8" s="1"/>
  <c r="O68" i="8"/>
  <c r="Q68" i="8" s="1"/>
  <c r="R68" i="8" s="1"/>
  <c r="S68" i="8" s="1"/>
  <c r="O66" i="8"/>
  <c r="Q66" i="8" s="1"/>
  <c r="R66" i="8" s="1"/>
  <c r="S66" i="8" s="1"/>
  <c r="O65" i="8"/>
  <c r="Q65" i="8" s="1"/>
  <c r="R65" i="8" s="1"/>
  <c r="S65" i="8" s="1"/>
  <c r="O63" i="8"/>
  <c r="Q63" i="8" s="1"/>
  <c r="R63" i="8" s="1"/>
  <c r="S63" i="8" s="1"/>
  <c r="O62" i="8"/>
  <c r="Q62" i="8" s="1"/>
  <c r="R62" i="8" s="1"/>
  <c r="S62" i="8" s="1"/>
  <c r="O61" i="8"/>
  <c r="Q61" i="8" s="1"/>
  <c r="R61" i="8" s="1"/>
  <c r="S61" i="8" s="1"/>
  <c r="O60" i="8"/>
  <c r="Q60" i="8" s="1"/>
  <c r="R60" i="8" s="1"/>
  <c r="S60" i="8" s="1"/>
  <c r="O58" i="8"/>
  <c r="Q58" i="8" s="1"/>
  <c r="R58" i="8" s="1"/>
  <c r="S58" i="8" s="1"/>
  <c r="O57" i="8"/>
  <c r="Q57" i="8" s="1"/>
  <c r="R57" i="8" s="1"/>
  <c r="S57" i="8" s="1"/>
  <c r="O55" i="8"/>
  <c r="Q55" i="8" s="1"/>
  <c r="R55" i="8" s="1"/>
  <c r="S55" i="8" s="1"/>
  <c r="O54" i="8"/>
  <c r="Q54" i="8" s="1"/>
  <c r="R54" i="8" s="1"/>
  <c r="S54" i="8" s="1"/>
  <c r="O53" i="8"/>
  <c r="Q53" i="8" s="1"/>
  <c r="R53" i="8" s="1"/>
  <c r="S53" i="8" s="1"/>
  <c r="O52" i="8"/>
  <c r="Q52" i="8" s="1"/>
  <c r="R52" i="8" s="1"/>
  <c r="S52" i="8" s="1"/>
  <c r="O50" i="8"/>
  <c r="Q50" i="8" s="1"/>
  <c r="R50" i="8" s="1"/>
  <c r="S50" i="8" s="1"/>
  <c r="O49" i="8"/>
  <c r="Q49" i="8" s="1"/>
  <c r="R49" i="8" s="1"/>
  <c r="S49" i="8" s="1"/>
  <c r="O47" i="8"/>
  <c r="Q47" i="8" s="1"/>
  <c r="R47" i="8" s="1"/>
  <c r="S47" i="8" s="1"/>
  <c r="O46" i="8"/>
  <c r="Q46" i="8" s="1"/>
  <c r="R46" i="8" s="1"/>
  <c r="S46" i="8" s="1"/>
  <c r="O45" i="8"/>
  <c r="Q45" i="8" s="1"/>
  <c r="R45" i="8" s="1"/>
  <c r="S45" i="8" s="1"/>
  <c r="O42" i="8"/>
  <c r="Q42" i="8" s="1"/>
  <c r="R42" i="8" s="1"/>
  <c r="S42" i="8" s="1"/>
  <c r="O41" i="8"/>
  <c r="Q41" i="8" s="1"/>
  <c r="R41" i="8" s="1"/>
  <c r="S41" i="8" s="1"/>
  <c r="O39" i="8"/>
  <c r="Q39" i="8" s="1"/>
  <c r="R39" i="8" s="1"/>
  <c r="S39" i="8" s="1"/>
  <c r="O38" i="8"/>
  <c r="Q38" i="8" s="1"/>
  <c r="R38" i="8" s="1"/>
  <c r="S38" i="8" s="1"/>
  <c r="O37" i="8"/>
  <c r="Q37" i="8" s="1"/>
  <c r="R37" i="8" s="1"/>
  <c r="S37" i="8" s="1"/>
  <c r="O35" i="8"/>
  <c r="Q35" i="8" s="1"/>
  <c r="R35" i="8" s="1"/>
  <c r="S35" i="8" s="1"/>
  <c r="O34" i="8"/>
  <c r="Q34" i="8" s="1"/>
  <c r="R34" i="8" s="1"/>
  <c r="S34" i="8" s="1"/>
  <c r="O32" i="8"/>
  <c r="Q32" i="8" s="1"/>
  <c r="R32" i="8" s="1"/>
  <c r="S32" i="8" s="1"/>
  <c r="O31" i="8"/>
  <c r="Q31" i="8" s="1"/>
  <c r="R31" i="8" s="1"/>
  <c r="S31" i="8" s="1"/>
  <c r="O30" i="8"/>
  <c r="Q30" i="8" s="1"/>
  <c r="R30" i="8" s="1"/>
  <c r="S30" i="8" s="1"/>
  <c r="O29" i="8"/>
  <c r="Q29" i="8" s="1"/>
  <c r="R29" i="8" s="1"/>
  <c r="S29" i="8" s="1"/>
  <c r="O28" i="8"/>
  <c r="Q28" i="8" s="1"/>
  <c r="R28" i="8" s="1"/>
  <c r="S28" i="8" s="1"/>
  <c r="O27" i="8"/>
  <c r="Q27" i="8" s="1"/>
  <c r="R27" i="8" s="1"/>
  <c r="S27" i="8" s="1"/>
  <c r="O26" i="8"/>
  <c r="Q26" i="8" s="1"/>
  <c r="R26" i="8" s="1"/>
  <c r="S26" i="8" s="1"/>
  <c r="O25" i="8"/>
  <c r="Q25" i="8" s="1"/>
  <c r="R25" i="8" s="1"/>
  <c r="S25" i="8" s="1"/>
  <c r="O24" i="8"/>
  <c r="Q24" i="8" s="1"/>
  <c r="R24" i="8" s="1"/>
  <c r="S24" i="8" s="1"/>
  <c r="O23" i="8"/>
  <c r="Q23" i="8" s="1"/>
  <c r="R23" i="8" s="1"/>
  <c r="S23" i="8" s="1"/>
  <c r="O22" i="8"/>
  <c r="Q22" i="8" s="1"/>
  <c r="R22" i="8" s="1"/>
  <c r="S22" i="8" s="1"/>
  <c r="O21" i="8"/>
  <c r="Q21" i="8" s="1"/>
  <c r="R21" i="8" s="1"/>
  <c r="S21" i="8" s="1"/>
  <c r="O20" i="8"/>
  <c r="Q20" i="8" s="1"/>
  <c r="R20" i="8" s="1"/>
  <c r="S20" i="8" s="1"/>
  <c r="O18" i="8"/>
  <c r="Q18" i="8" s="1"/>
  <c r="R18" i="8" s="1"/>
  <c r="S18" i="8" s="1"/>
  <c r="O17" i="8"/>
  <c r="Q17" i="8" s="1"/>
  <c r="R17" i="8" s="1"/>
  <c r="S17" i="8" s="1"/>
  <c r="O16" i="8"/>
  <c r="Q16" i="8" s="1"/>
  <c r="R16" i="8" s="1"/>
  <c r="S16" i="8" s="1"/>
  <c r="O14" i="8"/>
  <c r="Q14" i="8" s="1"/>
  <c r="R14" i="8" s="1"/>
  <c r="S14" i="8" s="1"/>
  <c r="O13" i="8"/>
  <c r="Q13" i="8" s="1"/>
  <c r="R13" i="8" s="1"/>
  <c r="S13" i="8" s="1"/>
  <c r="O11" i="8"/>
  <c r="Q11" i="8" s="1"/>
  <c r="R11" i="8" s="1"/>
  <c r="S11" i="8" s="1"/>
  <c r="O10" i="8"/>
  <c r="Q10" i="8" s="1"/>
  <c r="R10" i="8" s="1"/>
  <c r="S10" i="8" s="1"/>
  <c r="O9" i="8"/>
  <c r="Q9" i="8" s="1"/>
  <c r="R9" i="8" s="1"/>
  <c r="S9" i="8" s="1"/>
  <c r="O6" i="8"/>
  <c r="Q6" i="8" s="1"/>
  <c r="R6" i="8" s="1"/>
  <c r="S6" i="8" s="1"/>
  <c r="O5" i="8"/>
  <c r="Q5" i="8" s="1"/>
  <c r="R5" i="8" s="1"/>
  <c r="S5" i="8" s="1"/>
  <c r="O4" i="8"/>
  <c r="Q4" i="8" s="1"/>
  <c r="R4" i="8" s="1"/>
  <c r="S4" i="8" s="1"/>
  <c r="O3" i="8"/>
  <c r="Q3" i="8" s="1"/>
  <c r="R3" i="8" s="1"/>
  <c r="S3" i="8" s="1"/>
  <c r="O2" i="8"/>
  <c r="Q2" i="8" s="1"/>
  <c r="R2" i="8" s="1"/>
  <c r="S2" i="8" s="1"/>
  <c r="T61" i="5"/>
  <c r="U61" i="5" s="1"/>
  <c r="V61" i="5" s="1"/>
  <c r="K61" i="5"/>
  <c r="J61" i="5"/>
  <c r="H61" i="5"/>
  <c r="T60" i="5"/>
  <c r="U60" i="5" s="1"/>
  <c r="V60" i="5" s="1"/>
  <c r="K60" i="5"/>
  <c r="J60" i="5"/>
  <c r="H60" i="5"/>
  <c r="T59" i="5"/>
  <c r="U59" i="5" s="1"/>
  <c r="V59" i="5" s="1"/>
  <c r="K59" i="5"/>
  <c r="J59" i="5"/>
  <c r="H59" i="5"/>
  <c r="T58" i="5"/>
  <c r="U58" i="5" s="1"/>
  <c r="V58" i="5" s="1"/>
  <c r="K58" i="5"/>
  <c r="J58" i="5"/>
  <c r="H58" i="5"/>
  <c r="T57" i="5"/>
  <c r="U57" i="5" s="1"/>
  <c r="V57" i="5" s="1"/>
  <c r="K57" i="5"/>
  <c r="J57" i="5"/>
  <c r="H57" i="5"/>
  <c r="T56" i="5"/>
  <c r="U56" i="5" s="1"/>
  <c r="V56" i="5" s="1"/>
  <c r="K56" i="5"/>
  <c r="J56" i="5"/>
  <c r="H56" i="5"/>
  <c r="T55" i="5"/>
  <c r="U55" i="5" s="1"/>
  <c r="V55" i="5" s="1"/>
  <c r="K55" i="5"/>
  <c r="J55" i="5"/>
  <c r="H55" i="5"/>
  <c r="T54" i="5"/>
  <c r="U54" i="5" s="1"/>
  <c r="V54" i="5" s="1"/>
  <c r="K54" i="5"/>
  <c r="J54" i="5"/>
  <c r="H54" i="5"/>
  <c r="T53" i="5"/>
  <c r="U53" i="5" s="1"/>
  <c r="V53" i="5" s="1"/>
  <c r="K53" i="5"/>
  <c r="J53" i="5"/>
  <c r="H53" i="5"/>
  <c r="T52" i="5"/>
  <c r="U52" i="5" s="1"/>
  <c r="V52" i="5" s="1"/>
  <c r="K52" i="5"/>
  <c r="J52" i="5"/>
  <c r="H52" i="5"/>
  <c r="T51" i="5"/>
  <c r="U51" i="5" s="1"/>
  <c r="V51" i="5" s="1"/>
  <c r="K51" i="5"/>
  <c r="J51" i="5"/>
  <c r="H51" i="5"/>
  <c r="T50" i="5"/>
  <c r="U50" i="5" s="1"/>
  <c r="V50" i="5" s="1"/>
  <c r="K50" i="5"/>
  <c r="J50" i="5"/>
  <c r="H50" i="5"/>
  <c r="T49" i="5"/>
  <c r="U49" i="5" s="1"/>
  <c r="V49" i="5" s="1"/>
  <c r="K49" i="5"/>
  <c r="J49" i="5"/>
  <c r="H49" i="5"/>
  <c r="T48" i="5"/>
  <c r="U48" i="5" s="1"/>
  <c r="V48" i="5" s="1"/>
  <c r="K48" i="5"/>
  <c r="J48" i="5"/>
  <c r="H48" i="5"/>
  <c r="T47" i="5"/>
  <c r="U47" i="5" s="1"/>
  <c r="V47" i="5" s="1"/>
  <c r="K47" i="5"/>
  <c r="J47" i="5"/>
  <c r="H47" i="5"/>
  <c r="T46" i="5"/>
  <c r="U46" i="5" s="1"/>
  <c r="V46" i="5" s="1"/>
  <c r="J7" i="5"/>
  <c r="J6" i="5"/>
  <c r="J4" i="5"/>
  <c r="J3" i="5"/>
  <c r="J2" i="5"/>
  <c r="I4" i="9" a="1"/>
  <c r="I4" i="9" s="1"/>
  <c r="I5" i="9" a="1"/>
  <c r="I5" i="9" s="1"/>
  <c r="I6" i="9" a="1"/>
  <c r="I6" i="9" s="1"/>
  <c r="I7" i="9" a="1"/>
  <c r="I7" i="9" s="1"/>
  <c r="I8" i="9" a="1"/>
  <c r="I8" i="9" s="1"/>
  <c r="I9" i="9" a="1"/>
  <c r="I9" i="9" s="1"/>
  <c r="I10" i="9" a="1"/>
  <c r="I10" i="9" s="1"/>
  <c r="I11" i="9" a="1"/>
  <c r="I11" i="9" s="1"/>
  <c r="I12" i="9" a="1"/>
  <c r="I12" i="9" s="1"/>
  <c r="I13" i="9" a="1"/>
  <c r="I13" i="9" s="1"/>
  <c r="I14" i="9" a="1"/>
  <c r="I14" i="9" s="1"/>
  <c r="I15" i="9" a="1"/>
  <c r="I15" i="9" s="1"/>
  <c r="I16" i="9" a="1"/>
  <c r="I16" i="9" s="1"/>
  <c r="I17" i="9" a="1"/>
  <c r="I17" i="9" s="1"/>
  <c r="I18" i="9" a="1"/>
  <c r="I18" i="9" s="1"/>
  <c r="I19" i="9" a="1"/>
  <c r="I19" i="9" s="1"/>
  <c r="I20" i="9" a="1"/>
  <c r="I20" i="9" s="1"/>
  <c r="I21" i="9" a="1"/>
  <c r="I21" i="9" s="1"/>
  <c r="I22" i="9" a="1"/>
  <c r="I22" i="9" s="1"/>
  <c r="I23" i="9" a="1"/>
  <c r="I23" i="9" s="1"/>
  <c r="I24" i="9" a="1"/>
  <c r="I24" i="9" s="1"/>
  <c r="I25" i="9" a="1"/>
  <c r="I25" i="9" s="1"/>
  <c r="I26" i="9" a="1"/>
  <c r="I26" i="9" s="1"/>
  <c r="I27" i="9" a="1"/>
  <c r="I27" i="9" s="1"/>
  <c r="I28" i="9" a="1"/>
  <c r="I28" i="9" s="1"/>
  <c r="I29" i="9" a="1"/>
  <c r="I29" i="9" s="1"/>
  <c r="I30" i="9" a="1"/>
  <c r="I30" i="9" s="1"/>
  <c r="I31" i="9" a="1"/>
  <c r="I31" i="9" s="1"/>
  <c r="I32" i="9" a="1"/>
  <c r="I32" i="9" s="1"/>
  <c r="I33" i="9" a="1"/>
  <c r="I33" i="9" s="1"/>
  <c r="I34" i="9" a="1"/>
  <c r="I34" i="9" s="1"/>
  <c r="I35" i="9" a="1"/>
  <c r="I35" i="9" s="1"/>
  <c r="I36" i="9" a="1"/>
  <c r="I36" i="9" s="1"/>
  <c r="I37" i="9" a="1"/>
  <c r="I37" i="9" s="1"/>
  <c r="I38" i="9" a="1"/>
  <c r="I38" i="9" s="1"/>
  <c r="I39" i="9" a="1"/>
  <c r="I39" i="9" s="1"/>
  <c r="I40" i="9" a="1"/>
  <c r="I40" i="9" s="1"/>
  <c r="I41" i="9" a="1"/>
  <c r="I41" i="9" s="1"/>
  <c r="I42" i="9" a="1"/>
  <c r="I42" i="9" s="1"/>
  <c r="I43" i="9" a="1"/>
  <c r="I43" i="9" s="1"/>
  <c r="I44" i="9" a="1"/>
  <c r="I44" i="9" s="1"/>
  <c r="I45" i="9" a="1"/>
  <c r="I45" i="9" s="1"/>
  <c r="I46" i="9" a="1"/>
  <c r="I46" i="9" s="1"/>
  <c r="I47" i="9" a="1"/>
  <c r="I47" i="9" s="1"/>
  <c r="I48" i="9" a="1"/>
  <c r="I48" i="9" s="1"/>
  <c r="I49" i="9" a="1"/>
  <c r="I49" i="9" s="1"/>
  <c r="I50" i="9" a="1"/>
  <c r="I50" i="9" s="1"/>
  <c r="I51" i="9" a="1"/>
  <c r="I51" i="9" s="1"/>
  <c r="I52" i="9" a="1"/>
  <c r="I52" i="9" s="1"/>
  <c r="I53" i="9" a="1"/>
  <c r="I53" i="9" s="1"/>
  <c r="I54" i="9" a="1"/>
  <c r="I54" i="9" s="1"/>
  <c r="I55" i="9" a="1"/>
  <c r="I55" i="9" s="1"/>
  <c r="I56" i="9" a="1"/>
  <c r="I56" i="9" s="1"/>
  <c r="I57" i="9" a="1"/>
  <c r="I57" i="9" s="1"/>
  <c r="I58" i="9" a="1"/>
  <c r="I58" i="9" s="1"/>
  <c r="I59" i="9" a="1"/>
  <c r="I59" i="9" s="1"/>
  <c r="I60" i="9" a="1"/>
  <c r="I60" i="9" s="1"/>
  <c r="I61" i="9" a="1"/>
  <c r="I61" i="9" s="1"/>
  <c r="I62" i="9" a="1"/>
  <c r="I62" i="9" s="1"/>
  <c r="F4" i="9" a="1"/>
  <c r="F4" i="9" s="1"/>
  <c r="F5" i="9" a="1"/>
  <c r="F5" i="9" s="1"/>
  <c r="F6" i="9" a="1"/>
  <c r="F6" i="9" s="1"/>
  <c r="F7" i="9" a="1"/>
  <c r="F7" i="9" s="1"/>
  <c r="F8" i="9" a="1"/>
  <c r="F8" i="9" s="1"/>
  <c r="G8" i="9" s="1"/>
  <c r="H8" i="9" s="1"/>
  <c r="F9" i="9" a="1"/>
  <c r="F9" i="9" s="1"/>
  <c r="G9" i="9" s="1"/>
  <c r="H9" i="9" s="1"/>
  <c r="F10" i="9" a="1"/>
  <c r="F10" i="9" s="1"/>
  <c r="F11" i="9" a="1"/>
  <c r="F11" i="9" s="1"/>
  <c r="F12" i="9" a="1"/>
  <c r="F12" i="9" s="1"/>
  <c r="F13" i="9" a="1"/>
  <c r="F13" i="9" s="1"/>
  <c r="F14" i="9" a="1"/>
  <c r="F14" i="9" s="1"/>
  <c r="F15" i="9" a="1"/>
  <c r="F15" i="9" s="1"/>
  <c r="F16" i="9" a="1"/>
  <c r="F16" i="9" s="1"/>
  <c r="G16" i="9" s="1"/>
  <c r="H16" i="9" s="1"/>
  <c r="F17" i="9" a="1"/>
  <c r="F17" i="9" s="1"/>
  <c r="G17" i="9" s="1"/>
  <c r="H17" i="9" s="1"/>
  <c r="F18" i="9" a="1"/>
  <c r="F18" i="9" s="1"/>
  <c r="F19" i="9" a="1"/>
  <c r="F19" i="9" s="1"/>
  <c r="F20" i="9" a="1"/>
  <c r="F20" i="9" s="1"/>
  <c r="J20" i="9" s="1"/>
  <c r="F21" i="9" a="1"/>
  <c r="F21" i="9" s="1"/>
  <c r="F22" i="9" a="1"/>
  <c r="F22" i="9" s="1"/>
  <c r="F23" i="9" a="1"/>
  <c r="F23" i="9" s="1"/>
  <c r="F24" i="9" a="1"/>
  <c r="F24" i="9" s="1"/>
  <c r="G24" i="9" s="1"/>
  <c r="H24" i="9" s="1"/>
  <c r="F25" i="9" a="1"/>
  <c r="F25" i="9" s="1"/>
  <c r="F26" i="9" a="1"/>
  <c r="F26" i="9" s="1"/>
  <c r="F27" i="9" a="1"/>
  <c r="F27" i="9" s="1"/>
  <c r="F28" i="9" a="1"/>
  <c r="F28" i="9" s="1"/>
  <c r="J28" i="9" s="1"/>
  <c r="F29" i="9" a="1"/>
  <c r="F29" i="9" s="1"/>
  <c r="F30" i="9" a="1"/>
  <c r="F30" i="9" s="1"/>
  <c r="F31" i="9" a="1"/>
  <c r="F31" i="9" s="1"/>
  <c r="F32" i="9" a="1"/>
  <c r="F32" i="9" s="1"/>
  <c r="G32" i="9" s="1"/>
  <c r="H32" i="9" s="1"/>
  <c r="F33" i="9" a="1"/>
  <c r="F33" i="9" s="1"/>
  <c r="F34" i="9" a="1"/>
  <c r="F34" i="9" s="1"/>
  <c r="F35" i="9" a="1"/>
  <c r="F35" i="9" s="1"/>
  <c r="F36" i="9" a="1"/>
  <c r="F36" i="9" s="1"/>
  <c r="F37" i="9" a="1"/>
  <c r="F37" i="9" s="1"/>
  <c r="F38" i="9" a="1"/>
  <c r="F38" i="9" s="1"/>
  <c r="F39" i="9" a="1"/>
  <c r="F39" i="9" s="1"/>
  <c r="F40" i="9" a="1"/>
  <c r="F40" i="9" s="1"/>
  <c r="G40" i="9" s="1"/>
  <c r="H40" i="9" s="1"/>
  <c r="F41" i="9" a="1"/>
  <c r="F41" i="9" s="1"/>
  <c r="F42" i="9" a="1"/>
  <c r="F42" i="9"/>
  <c r="F43" i="9" a="1"/>
  <c r="F43" i="9" s="1"/>
  <c r="F44" i="9" a="1"/>
  <c r="F44" i="9" s="1"/>
  <c r="F45" i="9" a="1"/>
  <c r="F45" i="9" s="1"/>
  <c r="G45" i="9" s="1"/>
  <c r="H45" i="9" s="1"/>
  <c r="F46" i="9" a="1"/>
  <c r="F46" i="9" s="1"/>
  <c r="F47" i="9" a="1"/>
  <c r="F47" i="9" s="1"/>
  <c r="F48" i="9" a="1"/>
  <c r="F48" i="9" s="1"/>
  <c r="G48" i="9" s="1"/>
  <c r="H48" i="9" s="1"/>
  <c r="F49" i="9" a="1"/>
  <c r="F49" i="9" s="1"/>
  <c r="F50" i="9" a="1"/>
  <c r="F50" i="9" s="1"/>
  <c r="F51" i="9" a="1"/>
  <c r="F51" i="9" s="1"/>
  <c r="F52" i="9" a="1"/>
  <c r="F52" i="9" s="1"/>
  <c r="F53" i="9" a="1"/>
  <c r="F53" i="9" s="1"/>
  <c r="F54" i="9" a="1"/>
  <c r="F54" i="9" s="1"/>
  <c r="F55" i="9" a="1"/>
  <c r="F55" i="9" s="1"/>
  <c r="F56" i="9" a="1"/>
  <c r="F56" i="9" s="1"/>
  <c r="G56" i="9" s="1"/>
  <c r="H56" i="9" s="1"/>
  <c r="F57" i="9" a="1"/>
  <c r="F57" i="9" s="1"/>
  <c r="F58" i="9" a="1"/>
  <c r="F58" i="9" s="1"/>
  <c r="F59" i="9" a="1"/>
  <c r="F59" i="9" s="1"/>
  <c r="F60" i="9" a="1"/>
  <c r="F60" i="9" s="1"/>
  <c r="F61" i="9" a="1"/>
  <c r="F61" i="9" s="1"/>
  <c r="F62" i="9" a="1"/>
  <c r="F62" i="9" s="1"/>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D28" i="19" l="1"/>
  <c r="E28" i="19" s="1"/>
  <c r="F28" i="19" s="1"/>
  <c r="D19" i="19"/>
  <c r="E19" i="19" s="1"/>
  <c r="D26" i="19"/>
  <c r="E26" i="19" s="1"/>
  <c r="F26" i="19" s="1"/>
  <c r="D23" i="19"/>
  <c r="E23" i="19" s="1"/>
  <c r="F23" i="19" s="1"/>
  <c r="D20" i="19"/>
  <c r="E20" i="19" s="1"/>
  <c r="F20" i="19" s="1"/>
  <c r="D24" i="19"/>
  <c r="E24" i="19" s="1"/>
  <c r="F24" i="19" s="1"/>
  <c r="E7" i="19"/>
  <c r="F19" i="19"/>
  <c r="L45" i="19"/>
  <c r="J33" i="19"/>
  <c r="K32" i="19" s="1"/>
  <c r="F50" i="19"/>
  <c r="F51" i="19"/>
  <c r="F52" i="19"/>
  <c r="F53" i="19"/>
  <c r="F54" i="19"/>
  <c r="F55" i="19"/>
  <c r="F46" i="19"/>
  <c r="L50" i="19"/>
  <c r="E48" i="19"/>
  <c r="F48" i="19" s="1"/>
  <c r="J45" i="19"/>
  <c r="J14" i="19"/>
  <c r="K11" i="19"/>
  <c r="E10" i="19"/>
  <c r="T20" i="5"/>
  <c r="K20" i="5"/>
  <c r="J20" i="5"/>
  <c r="H20" i="5"/>
  <c r="T8" i="5"/>
  <c r="U8" i="5" s="1"/>
  <c r="V8" i="5" s="1"/>
  <c r="K8" i="5"/>
  <c r="J8" i="5"/>
  <c r="H8" i="5"/>
  <c r="T28" i="5"/>
  <c r="U28" i="5" s="1"/>
  <c r="V28" i="5" s="1"/>
  <c r="K28" i="5"/>
  <c r="J28" i="5"/>
  <c r="H28" i="5"/>
  <c r="T3" i="5"/>
  <c r="U3" i="5" s="1"/>
  <c r="K3" i="5"/>
  <c r="H3" i="5"/>
  <c r="T9" i="5"/>
  <c r="U9" i="5" s="1"/>
  <c r="V9" i="5" s="1"/>
  <c r="K9" i="5"/>
  <c r="J9" i="5"/>
  <c r="H9" i="5"/>
  <c r="T13" i="5"/>
  <c r="K13" i="5"/>
  <c r="J13" i="5"/>
  <c r="H13" i="5"/>
  <c r="T17" i="5"/>
  <c r="U17" i="5" s="1"/>
  <c r="V17" i="5" s="1"/>
  <c r="K17" i="5"/>
  <c r="J17" i="5"/>
  <c r="H17" i="5"/>
  <c r="T21" i="5"/>
  <c r="U21" i="5" s="1"/>
  <c r="V21" i="5" s="1"/>
  <c r="K21" i="5"/>
  <c r="J21" i="5"/>
  <c r="H21" i="5"/>
  <c r="T25" i="5"/>
  <c r="U25" i="5" s="1"/>
  <c r="V25" i="5" s="1"/>
  <c r="K25" i="5"/>
  <c r="J25" i="5"/>
  <c r="H25" i="5"/>
  <c r="T29" i="5"/>
  <c r="U29" i="5" s="1"/>
  <c r="V29" i="5" s="1"/>
  <c r="K29" i="5"/>
  <c r="J29" i="5"/>
  <c r="H29" i="5"/>
  <c r="T33" i="5"/>
  <c r="U33" i="5" s="1"/>
  <c r="V33" i="5" s="1"/>
  <c r="K33" i="5"/>
  <c r="J33" i="5"/>
  <c r="H33" i="5"/>
  <c r="T37" i="5"/>
  <c r="U37" i="5" s="1"/>
  <c r="V37" i="5" s="1"/>
  <c r="K37" i="5"/>
  <c r="J37" i="5"/>
  <c r="H37" i="5"/>
  <c r="T41" i="5"/>
  <c r="K41" i="5"/>
  <c r="J41" i="5"/>
  <c r="H41" i="5"/>
  <c r="T45" i="5"/>
  <c r="K45" i="5"/>
  <c r="J45" i="5"/>
  <c r="H45" i="5"/>
  <c r="T6" i="5"/>
  <c r="U6" i="5" s="1"/>
  <c r="K6" i="5"/>
  <c r="H6" i="5"/>
  <c r="T10" i="5"/>
  <c r="U10" i="5" s="1"/>
  <c r="V10" i="5" s="1"/>
  <c r="K10" i="5"/>
  <c r="J10" i="5"/>
  <c r="H10" i="5"/>
  <c r="T14" i="5"/>
  <c r="K14" i="5"/>
  <c r="J14" i="5"/>
  <c r="H14" i="5"/>
  <c r="T18" i="5"/>
  <c r="U18" i="5" s="1"/>
  <c r="V18" i="5" s="1"/>
  <c r="K18" i="5"/>
  <c r="J18" i="5"/>
  <c r="H18" i="5"/>
  <c r="T22" i="5"/>
  <c r="U22" i="5" s="1"/>
  <c r="V22" i="5" s="1"/>
  <c r="K22" i="5"/>
  <c r="J22" i="5"/>
  <c r="H22" i="5"/>
  <c r="T26" i="5"/>
  <c r="U26" i="5" s="1"/>
  <c r="V26" i="5" s="1"/>
  <c r="K26" i="5"/>
  <c r="J26" i="5"/>
  <c r="H26" i="5"/>
  <c r="T30" i="5"/>
  <c r="U30" i="5" s="1"/>
  <c r="V30" i="5" s="1"/>
  <c r="K30" i="5"/>
  <c r="J30" i="5"/>
  <c r="H30" i="5"/>
  <c r="T34" i="5"/>
  <c r="U34" i="5" s="1"/>
  <c r="V34" i="5" s="1"/>
  <c r="K34" i="5"/>
  <c r="J34" i="5"/>
  <c r="H34" i="5"/>
  <c r="T38" i="5"/>
  <c r="K38" i="5"/>
  <c r="J38" i="5"/>
  <c r="H38" i="5"/>
  <c r="T42" i="5"/>
  <c r="K42" i="5"/>
  <c r="J42" i="5"/>
  <c r="H42" i="5"/>
  <c r="T7" i="5"/>
  <c r="K7" i="5"/>
  <c r="H7" i="5"/>
  <c r="T11" i="5"/>
  <c r="U11" i="5" s="1"/>
  <c r="V11" i="5" s="1"/>
  <c r="K11" i="5"/>
  <c r="J11" i="5"/>
  <c r="H11" i="5"/>
  <c r="T15" i="5"/>
  <c r="K15" i="5"/>
  <c r="J15" i="5"/>
  <c r="H15" i="5"/>
  <c r="T19" i="5"/>
  <c r="U19" i="5" s="1"/>
  <c r="V19" i="5" s="1"/>
  <c r="K19" i="5"/>
  <c r="J19" i="5"/>
  <c r="H19" i="5"/>
  <c r="T23" i="5"/>
  <c r="U23" i="5" s="1"/>
  <c r="V23" i="5" s="1"/>
  <c r="K23" i="5"/>
  <c r="J23" i="5"/>
  <c r="H23" i="5"/>
  <c r="T27" i="5"/>
  <c r="K27" i="5"/>
  <c r="J27" i="5"/>
  <c r="H27" i="5"/>
  <c r="T31" i="5"/>
  <c r="U31" i="5" s="1"/>
  <c r="V31" i="5" s="1"/>
  <c r="K31" i="5"/>
  <c r="J31" i="5"/>
  <c r="H31" i="5"/>
  <c r="T35" i="5"/>
  <c r="K35" i="5"/>
  <c r="J35" i="5"/>
  <c r="H35" i="5"/>
  <c r="T39" i="5"/>
  <c r="U39" i="5" s="1"/>
  <c r="V39" i="5" s="1"/>
  <c r="K39" i="5"/>
  <c r="J39" i="5"/>
  <c r="H39" i="5"/>
  <c r="T43" i="5"/>
  <c r="U43" i="5" s="1"/>
  <c r="V43" i="5" s="1"/>
  <c r="K43" i="5"/>
  <c r="J43" i="5"/>
  <c r="H43" i="5"/>
  <c r="T5" i="5"/>
  <c r="K5" i="5"/>
  <c r="H5" i="5"/>
  <c r="T12" i="5"/>
  <c r="U12" i="5" s="1"/>
  <c r="V12" i="5" s="1"/>
  <c r="K12" i="5"/>
  <c r="J12" i="5"/>
  <c r="H12" i="5"/>
  <c r="T16" i="5"/>
  <c r="U16" i="5" s="1"/>
  <c r="V16" i="5" s="1"/>
  <c r="K16" i="5"/>
  <c r="J16" i="5"/>
  <c r="H16" i="5"/>
  <c r="T24" i="5"/>
  <c r="U24" i="5" s="1"/>
  <c r="V24" i="5" s="1"/>
  <c r="K24" i="5"/>
  <c r="J24" i="5"/>
  <c r="H24" i="5"/>
  <c r="T4" i="5"/>
  <c r="U4" i="5" s="1"/>
  <c r="V4" i="5" s="1"/>
  <c r="K4" i="5"/>
  <c r="H4" i="5"/>
  <c r="T2" i="5"/>
  <c r="K2" i="5"/>
  <c r="H2" i="5"/>
  <c r="J5" i="5"/>
  <c r="T32" i="5"/>
  <c r="U32" i="5" s="1"/>
  <c r="V32" i="5" s="1"/>
  <c r="K32" i="5"/>
  <c r="J32" i="5"/>
  <c r="H32" i="5"/>
  <c r="T36" i="5"/>
  <c r="U36" i="5" s="1"/>
  <c r="V36" i="5" s="1"/>
  <c r="K36" i="5"/>
  <c r="J36" i="5"/>
  <c r="H36" i="5"/>
  <c r="T40" i="5"/>
  <c r="U40" i="5" s="1"/>
  <c r="V40" i="5" s="1"/>
  <c r="K40" i="5"/>
  <c r="J40" i="5"/>
  <c r="H40" i="5"/>
  <c r="T44" i="5"/>
  <c r="K44" i="5"/>
  <c r="J44" i="5"/>
  <c r="H44" i="5"/>
  <c r="H46" i="5"/>
  <c r="J46" i="5"/>
  <c r="K46" i="5"/>
  <c r="J42" i="9"/>
  <c r="J57" i="9"/>
  <c r="J49" i="9"/>
  <c r="G52" i="9"/>
  <c r="H52" i="9" s="1"/>
  <c r="G37" i="9"/>
  <c r="H37" i="9" s="1"/>
  <c r="J21" i="9"/>
  <c r="J13" i="9"/>
  <c r="J31" i="9"/>
  <c r="J25" i="9"/>
  <c r="G25" i="9"/>
  <c r="H25" i="9" s="1"/>
  <c r="J47" i="9"/>
  <c r="J61" i="9"/>
  <c r="J58" i="9"/>
  <c r="J4" i="9"/>
  <c r="J26" i="9"/>
  <c r="J53" i="9"/>
  <c r="J15" i="9"/>
  <c r="J60" i="9"/>
  <c r="G13" i="9"/>
  <c r="H13" i="9" s="1"/>
  <c r="J17" i="9"/>
  <c r="J36" i="9"/>
  <c r="J29" i="9"/>
  <c r="G49" i="9"/>
  <c r="H49" i="9" s="1"/>
  <c r="G21" i="9"/>
  <c r="H21" i="9" s="1"/>
  <c r="G20" i="9"/>
  <c r="H20" i="9" s="1"/>
  <c r="J41" i="9"/>
  <c r="J33" i="9"/>
  <c r="J12" i="9"/>
  <c r="J5" i="9"/>
  <c r="G41" i="9"/>
  <c r="H41" i="9" s="1"/>
  <c r="J10" i="9"/>
  <c r="G61" i="9"/>
  <c r="H61" i="9" s="1"/>
  <c r="G36" i="9"/>
  <c r="H36" i="9" s="1"/>
  <c r="J45" i="9"/>
  <c r="G57" i="9"/>
  <c r="H57" i="9" s="1"/>
  <c r="G33" i="9"/>
  <c r="H33" i="9" s="1"/>
  <c r="G5" i="9"/>
  <c r="H5" i="9" s="1"/>
  <c r="J52" i="9"/>
  <c r="J44" i="9"/>
  <c r="J37" i="9"/>
  <c r="J9" i="9"/>
  <c r="G53" i="9"/>
  <c r="H53" i="9" s="1"/>
  <c r="G29" i="9"/>
  <c r="H29" i="9" s="1"/>
  <c r="G4" i="9"/>
  <c r="H4" i="9" s="1"/>
  <c r="J54" i="9"/>
  <c r="G54" i="9"/>
  <c r="H54" i="9" s="1"/>
  <c r="J46" i="9"/>
  <c r="G46" i="9"/>
  <c r="H46" i="9" s="1"/>
  <c r="G51" i="9"/>
  <c r="H51" i="9" s="1"/>
  <c r="J51" i="9"/>
  <c r="J30" i="9"/>
  <c r="G30" i="9"/>
  <c r="H30" i="9" s="1"/>
  <c r="J23" i="9"/>
  <c r="G23" i="9"/>
  <c r="H23" i="9" s="1"/>
  <c r="J50" i="9"/>
  <c r="G50" i="9"/>
  <c r="H50" i="9" s="1"/>
  <c r="G43" i="9"/>
  <c r="H43" i="9" s="1"/>
  <c r="J43" i="9"/>
  <c r="J22" i="9"/>
  <c r="G22" i="9"/>
  <c r="H22" i="9" s="1"/>
  <c r="G35" i="9"/>
  <c r="H35" i="9" s="1"/>
  <c r="J35" i="9"/>
  <c r="J14" i="9"/>
  <c r="G14" i="9"/>
  <c r="H14" i="9" s="1"/>
  <c r="J7" i="9"/>
  <c r="G7" i="9"/>
  <c r="H7" i="9" s="1"/>
  <c r="J39" i="9"/>
  <c r="G39" i="9"/>
  <c r="H39" i="9" s="1"/>
  <c r="G59" i="9"/>
  <c r="H59" i="9" s="1"/>
  <c r="J59" i="9"/>
  <c r="J38" i="9"/>
  <c r="G38" i="9"/>
  <c r="H38" i="9" s="1"/>
  <c r="J34" i="9"/>
  <c r="G34" i="9"/>
  <c r="H34" i="9" s="1"/>
  <c r="G27" i="9"/>
  <c r="H27" i="9" s="1"/>
  <c r="J27" i="9"/>
  <c r="J6" i="9"/>
  <c r="G6" i="9"/>
  <c r="H6" i="9" s="1"/>
  <c r="J18" i="9"/>
  <c r="G18" i="9"/>
  <c r="H18" i="9" s="1"/>
  <c r="G11" i="9"/>
  <c r="H11" i="9" s="1"/>
  <c r="J11" i="9"/>
  <c r="J62" i="9"/>
  <c r="G62" i="9"/>
  <c r="H62" i="9" s="1"/>
  <c r="J55" i="9"/>
  <c r="G55" i="9"/>
  <c r="H55" i="9" s="1"/>
  <c r="G19" i="9"/>
  <c r="H19" i="9" s="1"/>
  <c r="J19" i="9"/>
  <c r="G58" i="9"/>
  <c r="H58" i="9" s="1"/>
  <c r="G42" i="9"/>
  <c r="H42" i="9" s="1"/>
  <c r="G26" i="9"/>
  <c r="H26" i="9" s="1"/>
  <c r="G10" i="9"/>
  <c r="H10" i="9" s="1"/>
  <c r="J56" i="9"/>
  <c r="J48" i="9"/>
  <c r="J40" i="9"/>
  <c r="J32" i="9"/>
  <c r="J24" i="9"/>
  <c r="J16" i="9"/>
  <c r="J8" i="9"/>
  <c r="G47" i="9"/>
  <c r="H47" i="9" s="1"/>
  <c r="G31" i="9"/>
  <c r="H31" i="9" s="1"/>
  <c r="G15" i="9"/>
  <c r="H15" i="9" s="1"/>
  <c r="G60" i="9"/>
  <c r="H60" i="9" s="1"/>
  <c r="G44" i="9"/>
  <c r="H44" i="9" s="1"/>
  <c r="G28" i="9"/>
  <c r="H28" i="9" s="1"/>
  <c r="G12" i="9"/>
  <c r="H12" i="9" s="1"/>
  <c r="U45" i="5" l="1"/>
  <c r="V45" i="5" s="1"/>
  <c r="D22" i="19"/>
  <c r="E22" i="19" s="1"/>
  <c r="F22" i="19" s="1"/>
  <c r="U42" i="5"/>
  <c r="V42" i="5" s="1"/>
  <c r="D21" i="19"/>
  <c r="E21" i="19" s="1"/>
  <c r="F21" i="19" s="1"/>
  <c r="U7" i="5"/>
  <c r="V7" i="5" s="1"/>
  <c r="D37" i="19"/>
  <c r="E37" i="19" s="1"/>
  <c r="F37" i="19" s="1"/>
  <c r="U38" i="5"/>
  <c r="V38" i="5" s="1"/>
  <c r="D39" i="19"/>
  <c r="E39" i="19" s="1"/>
  <c r="F39" i="19" s="1"/>
  <c r="U14" i="5"/>
  <c r="V14" i="5" s="1"/>
  <c r="D36" i="19"/>
  <c r="E36" i="19" s="1"/>
  <c r="F36" i="19" s="1"/>
  <c r="V3" i="5"/>
  <c r="U5" i="5"/>
  <c r="V5" i="5" s="1"/>
  <c r="D41" i="19"/>
  <c r="E41" i="19" s="1"/>
  <c r="F41" i="19" s="1"/>
  <c r="U15" i="5"/>
  <c r="V15" i="5" s="1"/>
  <c r="D40" i="19"/>
  <c r="E40" i="19" s="1"/>
  <c r="F40" i="19" s="1"/>
  <c r="L14" i="19"/>
  <c r="L12" i="19"/>
  <c r="L11" i="19"/>
  <c r="U13" i="5"/>
  <c r="V13" i="5" s="1"/>
  <c r="D35" i="19"/>
  <c r="E35" i="19" s="1"/>
  <c r="F35" i="19" s="1"/>
  <c r="U35" i="5"/>
  <c r="V35" i="5" s="1"/>
  <c r="D33" i="19"/>
  <c r="E33" i="19" s="1"/>
  <c r="F33" i="19" s="1"/>
  <c r="U27" i="5"/>
  <c r="V27" i="5" s="1"/>
  <c r="D34" i="19"/>
  <c r="E34" i="19" s="1"/>
  <c r="F34" i="19" s="1"/>
  <c r="L13" i="19"/>
  <c r="U20" i="5"/>
  <c r="V20" i="5" s="1"/>
  <c r="D38" i="19"/>
  <c r="E38" i="19" s="1"/>
  <c r="F38" i="19" s="1"/>
  <c r="U44" i="5"/>
  <c r="V44" i="5" s="1"/>
  <c r="D25" i="19"/>
  <c r="E25" i="19" s="1"/>
  <c r="F25" i="19" s="1"/>
  <c r="U2" i="5"/>
  <c r="B6" i="19"/>
  <c r="B7" i="19" s="1"/>
  <c r="B9" i="19" s="1"/>
  <c r="B10" i="19" s="1"/>
  <c r="V6" i="5"/>
  <c r="U41" i="5"/>
  <c r="V41" i="5" s="1"/>
  <c r="D27" i="19"/>
  <c r="E27" i="19" s="1"/>
  <c r="F27" i="19" s="1"/>
  <c r="K30" i="19"/>
  <c r="K26" i="19"/>
  <c r="K12" i="19"/>
  <c r="K29" i="19"/>
  <c r="K27" i="19"/>
  <c r="K31" i="19"/>
  <c r="K13" i="19"/>
  <c r="K28" i="19"/>
  <c r="V2" i="5" l="1"/>
  <c r="F6" i="19"/>
  <c r="K53" i="19"/>
  <c r="L53" i="19" s="1"/>
  <c r="F5" i="19"/>
  <c r="F8" i="19" s="1"/>
  <c r="K52" i="19"/>
  <c r="L52" i="19" s="1"/>
  <c r="K51" i="19"/>
  <c r="J3" i="6"/>
  <c r="J9" i="6"/>
  <c r="J10" i="6"/>
  <c r="J11" i="6"/>
  <c r="J17" i="6"/>
  <c r="J18" i="6"/>
  <c r="J19" i="6"/>
  <c r="J25" i="6"/>
  <c r="J26" i="6"/>
  <c r="J27" i="6"/>
  <c r="J2" i="6"/>
  <c r="I3" i="6" a="1"/>
  <c r="I3" i="6" s="1"/>
  <c r="Q3" i="6" s="1"/>
  <c r="I4" i="6" a="1"/>
  <c r="I4" i="6" s="1"/>
  <c r="Q4" i="6" s="1"/>
  <c r="I5" i="6" a="1"/>
  <c r="I5" i="6" s="1"/>
  <c r="Q5" i="6" s="1"/>
  <c r="I6" i="6" a="1"/>
  <c r="I6" i="6" s="1"/>
  <c r="Q6" i="6" s="1"/>
  <c r="I7" i="6" a="1"/>
  <c r="I7" i="6" s="1"/>
  <c r="Q7" i="6" s="1"/>
  <c r="I8" i="6" a="1"/>
  <c r="I8" i="6" s="1"/>
  <c r="Q8" i="6" s="1"/>
  <c r="I9" i="6" a="1"/>
  <c r="I9" i="6" s="1"/>
  <c r="I10" i="6" a="1"/>
  <c r="I10" i="6" s="1"/>
  <c r="I11" i="6" a="1"/>
  <c r="I11" i="6" s="1"/>
  <c r="Q11" i="6" s="1"/>
  <c r="I12" i="6" a="1"/>
  <c r="I12" i="6" s="1"/>
  <c r="Q12" i="6" s="1"/>
  <c r="I13" i="6" a="1"/>
  <c r="I13" i="6" s="1"/>
  <c r="Q13" i="6" s="1"/>
  <c r="I14" i="6" a="1"/>
  <c r="I14" i="6" s="1"/>
  <c r="Q14" i="6" s="1"/>
  <c r="I15" i="6" a="1"/>
  <c r="I15" i="6" s="1"/>
  <c r="Q15" i="6" s="1"/>
  <c r="I16" i="6" a="1"/>
  <c r="I16" i="6" s="1"/>
  <c r="Q16" i="6" s="1"/>
  <c r="I17" i="6" a="1"/>
  <c r="I17" i="6" s="1"/>
  <c r="I18" i="6" a="1"/>
  <c r="I18" i="6" s="1"/>
  <c r="I19" i="6" a="1"/>
  <c r="I19" i="6" s="1"/>
  <c r="Q19" i="6" s="1"/>
  <c r="I20" i="6" a="1"/>
  <c r="I20" i="6" s="1"/>
  <c r="Q20" i="6" s="1"/>
  <c r="I21" i="6" a="1"/>
  <c r="I21" i="6" s="1"/>
  <c r="Q21" i="6" s="1"/>
  <c r="I22" i="6" a="1"/>
  <c r="I22" i="6" s="1"/>
  <c r="Q22" i="6" s="1"/>
  <c r="I23" i="6" a="1"/>
  <c r="I23" i="6" s="1"/>
  <c r="Q23" i="6" s="1"/>
  <c r="I24" i="6" a="1"/>
  <c r="I24" i="6" s="1"/>
  <c r="Q24" i="6" s="1"/>
  <c r="I25" i="6" a="1"/>
  <c r="I25" i="6" s="1"/>
  <c r="I26" i="6" a="1"/>
  <c r="I26" i="6" s="1"/>
  <c r="I27" i="6" a="1"/>
  <c r="I27" i="6" s="1"/>
  <c r="Q27" i="6" s="1"/>
  <c r="I28" i="6" a="1"/>
  <c r="I28" i="6" s="1"/>
  <c r="Q28" i="6" s="1"/>
  <c r="I29" i="6" a="1"/>
  <c r="I29" i="6" s="1"/>
  <c r="Q29" i="6" s="1"/>
  <c r="I30" i="6" a="1"/>
  <c r="I30" i="6" s="1"/>
  <c r="Q30" i="6" s="1"/>
  <c r="I31" i="6" a="1"/>
  <c r="I31" i="6" s="1"/>
  <c r="Q31" i="6" s="1"/>
  <c r="I32" i="6" a="1"/>
  <c r="I32" i="6" s="1"/>
  <c r="Q32" i="6" s="1"/>
  <c r="I2" i="6" a="1"/>
  <c r="I2" i="6" s="1"/>
  <c r="M4" i="6"/>
  <c r="O4" i="6" s="1"/>
  <c r="J4" i="6" s="1"/>
  <c r="E3" i="9"/>
  <c r="I3" i="9" a="1"/>
  <c r="I3" i="9" s="1"/>
  <c r="F3" i="9" a="1"/>
  <c r="F3" i="9" s="1"/>
  <c r="F272" i="7" a="1"/>
  <c r="F272" i="7" s="1"/>
  <c r="E272" i="7" a="1"/>
  <c r="E272" i="7" s="1"/>
  <c r="F271" i="7" a="1"/>
  <c r="F271" i="7" s="1"/>
  <c r="E271" i="7" a="1"/>
  <c r="E271" i="7" s="1"/>
  <c r="F270" i="7" a="1"/>
  <c r="F270" i="7" s="1"/>
  <c r="E270" i="7" a="1"/>
  <c r="E270" i="7" s="1"/>
  <c r="F269" i="7" a="1"/>
  <c r="F269" i="7" s="1"/>
  <c r="E269" i="7" a="1"/>
  <c r="E269" i="7" s="1"/>
  <c r="F268" i="7" a="1"/>
  <c r="F268" i="7" s="1"/>
  <c r="E268" i="7" a="1"/>
  <c r="E268" i="7" s="1"/>
  <c r="F267" i="7" a="1"/>
  <c r="F267" i="7" s="1"/>
  <c r="E267" i="7" a="1"/>
  <c r="E267" i="7" s="1"/>
  <c r="F266" i="7" a="1"/>
  <c r="F266" i="7" s="1"/>
  <c r="E266" i="7" a="1"/>
  <c r="E266" i="7" s="1"/>
  <c r="F265" i="7" a="1"/>
  <c r="F265" i="7" s="1"/>
  <c r="E265" i="7" a="1"/>
  <c r="E265" i="7" s="1"/>
  <c r="F264" i="7" a="1"/>
  <c r="F264" i="7" s="1"/>
  <c r="E264" i="7" a="1"/>
  <c r="E264" i="7" s="1"/>
  <c r="F263" i="7" a="1"/>
  <c r="F263" i="7" s="1"/>
  <c r="E263" i="7" a="1"/>
  <c r="E263" i="7" s="1"/>
  <c r="F262" i="7" a="1"/>
  <c r="F262" i="7" s="1"/>
  <c r="E262" i="7" a="1"/>
  <c r="E262" i="7" s="1"/>
  <c r="F261" i="7" a="1"/>
  <c r="F261" i="7" s="1"/>
  <c r="E261" i="7" a="1"/>
  <c r="E261" i="7" s="1"/>
  <c r="F260" i="7" a="1"/>
  <c r="F260" i="7" s="1"/>
  <c r="E260" i="7" a="1"/>
  <c r="E260" i="7" s="1"/>
  <c r="F259" i="7" a="1"/>
  <c r="F259" i="7" s="1"/>
  <c r="E259" i="7" a="1"/>
  <c r="E259" i="7" s="1"/>
  <c r="F258" i="7" a="1"/>
  <c r="F258" i="7" s="1"/>
  <c r="E258" i="7" a="1"/>
  <c r="E258" i="7" s="1"/>
  <c r="F257" i="7" a="1"/>
  <c r="F257" i="7" s="1"/>
  <c r="E257" i="7" a="1"/>
  <c r="E257" i="7" s="1"/>
  <c r="F256" i="7" a="1"/>
  <c r="F256" i="7" s="1"/>
  <c r="E256" i="7" a="1"/>
  <c r="E256" i="7" s="1"/>
  <c r="F255" i="7" a="1"/>
  <c r="F255" i="7" s="1"/>
  <c r="E255" i="7" a="1"/>
  <c r="E255" i="7" s="1"/>
  <c r="F254" i="7" a="1"/>
  <c r="F254" i="7" s="1"/>
  <c r="E254" i="7" a="1"/>
  <c r="E254" i="7" s="1"/>
  <c r="F253" i="7" a="1"/>
  <c r="F253" i="7" s="1"/>
  <c r="E253" i="7" a="1"/>
  <c r="E253" i="7" s="1"/>
  <c r="F252" i="7" a="1"/>
  <c r="F252" i="7" s="1"/>
  <c r="E252" i="7" a="1"/>
  <c r="E252" i="7" s="1"/>
  <c r="F251" i="7" a="1"/>
  <c r="F251" i="7" s="1"/>
  <c r="E251" i="7" a="1"/>
  <c r="E251" i="7" s="1"/>
  <c r="F250" i="7" a="1"/>
  <c r="F250" i="7" s="1"/>
  <c r="E250" i="7" a="1"/>
  <c r="E250" i="7" s="1"/>
  <c r="F249" i="7" a="1"/>
  <c r="F249" i="7" s="1"/>
  <c r="E249" i="7" a="1"/>
  <c r="E249" i="7" s="1"/>
  <c r="F248" i="7" a="1"/>
  <c r="F248" i="7" s="1"/>
  <c r="E248" i="7" a="1"/>
  <c r="E248" i="7" s="1"/>
  <c r="F247" i="7" a="1"/>
  <c r="F247" i="7" s="1"/>
  <c r="E247" i="7" a="1"/>
  <c r="E247" i="7" s="1"/>
  <c r="F246" i="7" a="1"/>
  <c r="F246" i="7" s="1"/>
  <c r="E246" i="7" a="1"/>
  <c r="E246" i="7" s="1"/>
  <c r="F245" i="7" a="1"/>
  <c r="F245" i="7" s="1"/>
  <c r="E245" i="7" a="1"/>
  <c r="E245" i="7" s="1"/>
  <c r="F244" i="7" a="1"/>
  <c r="F244" i="7" s="1"/>
  <c r="E244" i="7" a="1"/>
  <c r="E244" i="7" s="1"/>
  <c r="F243" i="7" a="1"/>
  <c r="F243" i="7" s="1"/>
  <c r="E243" i="7" a="1"/>
  <c r="E243" i="7" s="1"/>
  <c r="F242" i="7" a="1"/>
  <c r="F242" i="7" s="1"/>
  <c r="E242" i="7" a="1"/>
  <c r="E242" i="7" s="1"/>
  <c r="F241" i="7" a="1"/>
  <c r="F241" i="7" s="1"/>
  <c r="E241" i="7" a="1"/>
  <c r="E241" i="7" s="1"/>
  <c r="F240" i="7" a="1"/>
  <c r="F240" i="7" s="1"/>
  <c r="E240" i="7" a="1"/>
  <c r="E240" i="7" s="1"/>
  <c r="F239" i="7" a="1"/>
  <c r="F239" i="7" s="1"/>
  <c r="E239" i="7" a="1"/>
  <c r="E239" i="7" s="1"/>
  <c r="F238" i="7" a="1"/>
  <c r="F238" i="7" s="1"/>
  <c r="E238" i="7" a="1"/>
  <c r="E238" i="7" s="1"/>
  <c r="F237" i="7" a="1"/>
  <c r="F237" i="7" s="1"/>
  <c r="E237" i="7" a="1"/>
  <c r="E237" i="7" s="1"/>
  <c r="F236" i="7" a="1"/>
  <c r="F236" i="7" s="1"/>
  <c r="E236" i="7" a="1"/>
  <c r="E236" i="7" s="1"/>
  <c r="F235" i="7" a="1"/>
  <c r="F235" i="7" s="1"/>
  <c r="E235" i="7" a="1"/>
  <c r="E235" i="7" s="1"/>
  <c r="F234" i="7" a="1"/>
  <c r="F234" i="7" s="1"/>
  <c r="E234" i="7" a="1"/>
  <c r="E234" i="7" s="1"/>
  <c r="F233" i="7" a="1"/>
  <c r="F233" i="7" s="1"/>
  <c r="E233" i="7" a="1"/>
  <c r="E233" i="7" s="1"/>
  <c r="F232" i="7" a="1"/>
  <c r="F232" i="7" s="1"/>
  <c r="E232" i="7" a="1"/>
  <c r="E232" i="7" s="1"/>
  <c r="F231" i="7" a="1"/>
  <c r="F231" i="7" s="1"/>
  <c r="E231" i="7" a="1"/>
  <c r="E231" i="7" s="1"/>
  <c r="F230" i="7" a="1"/>
  <c r="F230" i="7" s="1"/>
  <c r="E230" i="7" a="1"/>
  <c r="E230" i="7" s="1"/>
  <c r="F229" i="7" a="1"/>
  <c r="F229" i="7" s="1"/>
  <c r="E229" i="7" a="1"/>
  <c r="E229" i="7" s="1"/>
  <c r="F228" i="7" a="1"/>
  <c r="F228" i="7" s="1"/>
  <c r="E228" i="7" a="1"/>
  <c r="E228" i="7" s="1"/>
  <c r="F227" i="7" a="1"/>
  <c r="F227" i="7" s="1"/>
  <c r="E227" i="7" a="1"/>
  <c r="E227" i="7" s="1"/>
  <c r="F226" i="7" a="1"/>
  <c r="F226" i="7" s="1"/>
  <c r="E226" i="7" a="1"/>
  <c r="E226" i="7" s="1"/>
  <c r="F225" i="7" a="1"/>
  <c r="F225" i="7" s="1"/>
  <c r="E225" i="7" a="1"/>
  <c r="E225" i="7" s="1"/>
  <c r="F224" i="7" a="1"/>
  <c r="F224" i="7" s="1"/>
  <c r="E224" i="7" a="1"/>
  <c r="E224" i="7" s="1"/>
  <c r="F223" i="7" a="1"/>
  <c r="F223" i="7" s="1"/>
  <c r="E223" i="7" a="1"/>
  <c r="E223" i="7" s="1"/>
  <c r="F222" i="7" a="1"/>
  <c r="F222" i="7" s="1"/>
  <c r="E222" i="7" a="1"/>
  <c r="E222" i="7" s="1"/>
  <c r="F221" i="7" a="1"/>
  <c r="F221" i="7" s="1"/>
  <c r="E221" i="7" a="1"/>
  <c r="E221" i="7" s="1"/>
  <c r="F220" i="7" a="1"/>
  <c r="F220" i="7" s="1"/>
  <c r="E220" i="7" a="1"/>
  <c r="E220" i="7" s="1"/>
  <c r="F219" i="7" a="1"/>
  <c r="F219" i="7" s="1"/>
  <c r="E219" i="7" a="1"/>
  <c r="E219" i="7" s="1"/>
  <c r="F218" i="7" a="1"/>
  <c r="F218" i="7" s="1"/>
  <c r="E218" i="7" a="1"/>
  <c r="E218" i="7" s="1"/>
  <c r="F217" i="7" a="1"/>
  <c r="F217" i="7" s="1"/>
  <c r="E217" i="7" a="1"/>
  <c r="E217" i="7" s="1"/>
  <c r="F216" i="7" a="1"/>
  <c r="F216" i="7" s="1"/>
  <c r="E216" i="7" a="1"/>
  <c r="E216" i="7" s="1"/>
  <c r="F215" i="7" a="1"/>
  <c r="F215" i="7" s="1"/>
  <c r="E215" i="7" a="1"/>
  <c r="E215" i="7" s="1"/>
  <c r="F214" i="7" a="1"/>
  <c r="F214" i="7" s="1"/>
  <c r="E214" i="7" a="1"/>
  <c r="E214" i="7" s="1"/>
  <c r="F213" i="7" a="1"/>
  <c r="F213" i="7" s="1"/>
  <c r="E213" i="7" a="1"/>
  <c r="E213" i="7" s="1"/>
  <c r="F212" i="7" a="1"/>
  <c r="F212" i="7" s="1"/>
  <c r="E212" i="7" a="1"/>
  <c r="E212" i="7" s="1"/>
  <c r="F211" i="7" a="1"/>
  <c r="F211" i="7" s="1"/>
  <c r="E211" i="7" a="1"/>
  <c r="E211" i="7" s="1"/>
  <c r="F210" i="7" a="1"/>
  <c r="F210" i="7" s="1"/>
  <c r="E210" i="7" a="1"/>
  <c r="E210" i="7" s="1"/>
  <c r="F209" i="7" a="1"/>
  <c r="F209" i="7" s="1"/>
  <c r="E209" i="7" a="1"/>
  <c r="E209" i="7" s="1"/>
  <c r="F208" i="7" a="1"/>
  <c r="F208" i="7" s="1"/>
  <c r="E208" i="7" a="1"/>
  <c r="E208" i="7" s="1"/>
  <c r="F207" i="7" a="1"/>
  <c r="F207" i="7" s="1"/>
  <c r="E207" i="7" a="1"/>
  <c r="E207" i="7" s="1"/>
  <c r="F206" i="7" a="1"/>
  <c r="F206" i="7" s="1"/>
  <c r="E206" i="7" a="1"/>
  <c r="E206" i="7" s="1"/>
  <c r="F205" i="7" a="1"/>
  <c r="F205" i="7" s="1"/>
  <c r="E205" i="7" a="1"/>
  <c r="E205" i="7" s="1"/>
  <c r="F204" i="7" a="1"/>
  <c r="F204" i="7" s="1"/>
  <c r="E204" i="7" a="1"/>
  <c r="E204" i="7" s="1"/>
  <c r="F203" i="7" a="1"/>
  <c r="F203" i="7" s="1"/>
  <c r="E203" i="7" a="1"/>
  <c r="E203" i="7" s="1"/>
  <c r="F202" i="7" a="1"/>
  <c r="F202" i="7" s="1"/>
  <c r="E202" i="7" a="1"/>
  <c r="E202" i="7" s="1"/>
  <c r="F201" i="7" a="1"/>
  <c r="F201" i="7" s="1"/>
  <c r="E201" i="7" a="1"/>
  <c r="E201" i="7" s="1"/>
  <c r="F200" i="7" a="1"/>
  <c r="F200" i="7" s="1"/>
  <c r="E200" i="7" a="1"/>
  <c r="E200" i="7" s="1"/>
  <c r="F199" i="7" a="1"/>
  <c r="F199" i="7" s="1"/>
  <c r="E199" i="7" a="1"/>
  <c r="E199" i="7" s="1"/>
  <c r="F198" i="7" a="1"/>
  <c r="F198" i="7" s="1"/>
  <c r="E198" i="7" a="1"/>
  <c r="E198" i="7" s="1"/>
  <c r="F197" i="7" a="1"/>
  <c r="F197" i="7" s="1"/>
  <c r="E197" i="7" a="1"/>
  <c r="E197" i="7" s="1"/>
  <c r="F196" i="7" a="1"/>
  <c r="F196" i="7" s="1"/>
  <c r="E196" i="7" a="1"/>
  <c r="E196" i="7" s="1"/>
  <c r="F195" i="7" a="1"/>
  <c r="F195" i="7" s="1"/>
  <c r="E195" i="7" a="1"/>
  <c r="E195" i="7" s="1"/>
  <c r="F194" i="7" a="1"/>
  <c r="F194" i="7" s="1"/>
  <c r="E194" i="7" a="1"/>
  <c r="E194" i="7" s="1"/>
  <c r="F193" i="7" a="1"/>
  <c r="F193" i="7" s="1"/>
  <c r="E193" i="7" a="1"/>
  <c r="E193" i="7" s="1"/>
  <c r="F192" i="7" a="1"/>
  <c r="F192" i="7" s="1"/>
  <c r="E192" i="7" a="1"/>
  <c r="E192" i="7" s="1"/>
  <c r="F191" i="7" a="1"/>
  <c r="F191" i="7" s="1"/>
  <c r="E191" i="7" a="1"/>
  <c r="E191" i="7" s="1"/>
  <c r="F190" i="7" a="1"/>
  <c r="F190" i="7" s="1"/>
  <c r="E190" i="7" a="1"/>
  <c r="E190" i="7" s="1"/>
  <c r="F189" i="7" a="1"/>
  <c r="F189" i="7" s="1"/>
  <c r="E189" i="7" a="1"/>
  <c r="E189" i="7" s="1"/>
  <c r="F188" i="7" a="1"/>
  <c r="F188" i="7" s="1"/>
  <c r="E188" i="7" a="1"/>
  <c r="E188" i="7" s="1"/>
  <c r="F187" i="7" a="1"/>
  <c r="F187" i="7" s="1"/>
  <c r="E187" i="7" a="1"/>
  <c r="E187" i="7" s="1"/>
  <c r="F186" i="7" a="1"/>
  <c r="F186" i="7" s="1"/>
  <c r="E186" i="7" a="1"/>
  <c r="E186" i="7" s="1"/>
  <c r="F185" i="7" a="1"/>
  <c r="F185" i="7" s="1"/>
  <c r="E185" i="7" a="1"/>
  <c r="E185" i="7" s="1"/>
  <c r="F184" i="7" a="1"/>
  <c r="F184" i="7" s="1"/>
  <c r="E184" i="7" a="1"/>
  <c r="E184" i="7" s="1"/>
  <c r="F183" i="7" a="1"/>
  <c r="F183" i="7" s="1"/>
  <c r="E183" i="7" a="1"/>
  <c r="E183" i="7" s="1"/>
  <c r="F182" i="7" a="1"/>
  <c r="F182" i="7" s="1"/>
  <c r="E182" i="7" a="1"/>
  <c r="E182" i="7" s="1"/>
  <c r="F181" i="7" a="1"/>
  <c r="F181" i="7" s="1"/>
  <c r="E181" i="7" a="1"/>
  <c r="E181" i="7" s="1"/>
  <c r="F180" i="7" a="1"/>
  <c r="F180" i="7" s="1"/>
  <c r="E180" i="7" a="1"/>
  <c r="E180" i="7" s="1"/>
  <c r="F179" i="7" a="1"/>
  <c r="F179" i="7" s="1"/>
  <c r="E179" i="7" a="1"/>
  <c r="E179" i="7" s="1"/>
  <c r="F178" i="7" a="1"/>
  <c r="F178" i="7" s="1"/>
  <c r="E178" i="7" a="1"/>
  <c r="E178" i="7" s="1"/>
  <c r="F177" i="7" a="1"/>
  <c r="F177" i="7" s="1"/>
  <c r="E177" i="7" a="1"/>
  <c r="E177" i="7" s="1"/>
  <c r="F176" i="7" a="1"/>
  <c r="F176" i="7" s="1"/>
  <c r="E176" i="7" a="1"/>
  <c r="E176" i="7" s="1"/>
  <c r="F175" i="7" a="1"/>
  <c r="F175" i="7" s="1"/>
  <c r="E175" i="7" a="1"/>
  <c r="E175" i="7" s="1"/>
  <c r="F174" i="7" a="1"/>
  <c r="F174" i="7" s="1"/>
  <c r="E174" i="7" a="1"/>
  <c r="E174" i="7" s="1"/>
  <c r="F173" i="7" a="1"/>
  <c r="F173" i="7" s="1"/>
  <c r="E173" i="7" a="1"/>
  <c r="E173" i="7" s="1"/>
  <c r="F172" i="7" a="1"/>
  <c r="F172" i="7" s="1"/>
  <c r="E172" i="7" a="1"/>
  <c r="E172" i="7" s="1"/>
  <c r="F171" i="7" a="1"/>
  <c r="F171" i="7" s="1"/>
  <c r="E171" i="7" a="1"/>
  <c r="E171" i="7" s="1"/>
  <c r="F170" i="7" a="1"/>
  <c r="F170" i="7" s="1"/>
  <c r="E170" i="7" a="1"/>
  <c r="E170" i="7" s="1"/>
  <c r="F169" i="7" a="1"/>
  <c r="F169" i="7" s="1"/>
  <c r="E169" i="7" a="1"/>
  <c r="E169" i="7" s="1"/>
  <c r="F168" i="7" a="1"/>
  <c r="F168" i="7" s="1"/>
  <c r="E168" i="7" a="1"/>
  <c r="E168" i="7" s="1"/>
  <c r="F167" i="7" a="1"/>
  <c r="F167" i="7" s="1"/>
  <c r="E167" i="7" a="1"/>
  <c r="E167" i="7" s="1"/>
  <c r="F166" i="7" a="1"/>
  <c r="F166" i="7" s="1"/>
  <c r="E166" i="7" a="1"/>
  <c r="E166" i="7" s="1"/>
  <c r="F165" i="7" a="1"/>
  <c r="F165" i="7" s="1"/>
  <c r="E165" i="7" a="1"/>
  <c r="E165" i="7" s="1"/>
  <c r="F164" i="7" a="1"/>
  <c r="F164" i="7" s="1"/>
  <c r="E164" i="7" a="1"/>
  <c r="E164" i="7" s="1"/>
  <c r="F163" i="7" a="1"/>
  <c r="F163" i="7" s="1"/>
  <c r="E163" i="7" a="1"/>
  <c r="E163" i="7" s="1"/>
  <c r="F162" i="7" a="1"/>
  <c r="F162" i="7" s="1"/>
  <c r="E162" i="7" a="1"/>
  <c r="E162" i="7" s="1"/>
  <c r="F161" i="7" a="1"/>
  <c r="F161" i="7" s="1"/>
  <c r="E161" i="7" a="1"/>
  <c r="E161" i="7" s="1"/>
  <c r="F160" i="7" a="1"/>
  <c r="F160" i="7" s="1"/>
  <c r="E160" i="7" a="1"/>
  <c r="E160" i="7" s="1"/>
  <c r="F159" i="7" a="1"/>
  <c r="F159" i="7" s="1"/>
  <c r="E159" i="7" a="1"/>
  <c r="E159" i="7" s="1"/>
  <c r="F158" i="7" a="1"/>
  <c r="F158" i="7" s="1"/>
  <c r="E158" i="7" a="1"/>
  <c r="E158" i="7" s="1"/>
  <c r="F157" i="7" a="1"/>
  <c r="F157" i="7" s="1"/>
  <c r="E157" i="7" a="1"/>
  <c r="E157" i="7" s="1"/>
  <c r="F156" i="7" a="1"/>
  <c r="F156" i="7" s="1"/>
  <c r="E156" i="7" a="1"/>
  <c r="E156" i="7" s="1"/>
  <c r="F155" i="7" a="1"/>
  <c r="F155" i="7" s="1"/>
  <c r="E155" i="7" a="1"/>
  <c r="E155" i="7" s="1"/>
  <c r="F154" i="7" a="1"/>
  <c r="F154" i="7" s="1"/>
  <c r="E154" i="7" a="1"/>
  <c r="E154" i="7" s="1"/>
  <c r="F153" i="7" a="1"/>
  <c r="F153" i="7" s="1"/>
  <c r="E153" i="7" a="1"/>
  <c r="E153" i="7" s="1"/>
  <c r="F152" i="7" a="1"/>
  <c r="F152" i="7" s="1"/>
  <c r="E152" i="7" a="1"/>
  <c r="E152" i="7" s="1"/>
  <c r="F151" i="7" a="1"/>
  <c r="F151" i="7" s="1"/>
  <c r="E151" i="7" a="1"/>
  <c r="E151" i="7" s="1"/>
  <c r="F150" i="7" a="1"/>
  <c r="F150" i="7" s="1"/>
  <c r="E150" i="7" a="1"/>
  <c r="E150" i="7" s="1"/>
  <c r="F149" i="7" a="1"/>
  <c r="F149" i="7" s="1"/>
  <c r="E149" i="7" a="1"/>
  <c r="E149" i="7" s="1"/>
  <c r="F148" i="7" a="1"/>
  <c r="F148" i="7" s="1"/>
  <c r="E148" i="7" a="1"/>
  <c r="E148" i="7" s="1"/>
  <c r="F147" i="7" a="1"/>
  <c r="F147" i="7" s="1"/>
  <c r="E147" i="7" a="1"/>
  <c r="E147" i="7" s="1"/>
  <c r="F146" i="7" a="1"/>
  <c r="F146" i="7" s="1"/>
  <c r="E146" i="7" a="1"/>
  <c r="E146" i="7" s="1"/>
  <c r="F145" i="7" a="1"/>
  <c r="F145" i="7" s="1"/>
  <c r="E145" i="7" a="1"/>
  <c r="E145" i="7" s="1"/>
  <c r="F144" i="7" a="1"/>
  <c r="F144" i="7" s="1"/>
  <c r="E144" i="7" a="1"/>
  <c r="E144" i="7" s="1"/>
  <c r="F143" i="7" a="1"/>
  <c r="F143" i="7" s="1"/>
  <c r="E143" i="7" a="1"/>
  <c r="E143" i="7" s="1"/>
  <c r="F142" i="7" a="1"/>
  <c r="F142" i="7" s="1"/>
  <c r="E142" i="7" a="1"/>
  <c r="E142" i="7" s="1"/>
  <c r="F141" i="7" a="1"/>
  <c r="F141" i="7" s="1"/>
  <c r="E141" i="7" a="1"/>
  <c r="E141" i="7" s="1"/>
  <c r="F140" i="7" a="1"/>
  <c r="F140" i="7" s="1"/>
  <c r="E140" i="7" a="1"/>
  <c r="E140" i="7" s="1"/>
  <c r="F139" i="7" a="1"/>
  <c r="F139" i="7" s="1"/>
  <c r="E139" i="7" a="1"/>
  <c r="E139" i="7" s="1"/>
  <c r="F138" i="7" a="1"/>
  <c r="F138" i="7" s="1"/>
  <c r="E138" i="7" a="1"/>
  <c r="E138" i="7" s="1"/>
  <c r="F137" i="7" a="1"/>
  <c r="F137" i="7" s="1"/>
  <c r="E137" i="7" a="1"/>
  <c r="E137" i="7" s="1"/>
  <c r="F136" i="7" a="1"/>
  <c r="F136" i="7" s="1"/>
  <c r="E136" i="7" a="1"/>
  <c r="E136" i="7" s="1"/>
  <c r="F135" i="7" a="1"/>
  <c r="F135" i="7" s="1"/>
  <c r="E135" i="7" a="1"/>
  <c r="E135" i="7" s="1"/>
  <c r="F134" i="7" a="1"/>
  <c r="F134" i="7" s="1"/>
  <c r="E134" i="7" a="1"/>
  <c r="E134" i="7" s="1"/>
  <c r="F133" i="7" a="1"/>
  <c r="F133" i="7" s="1"/>
  <c r="E133" i="7" a="1"/>
  <c r="E133" i="7" s="1"/>
  <c r="F132" i="7" a="1"/>
  <c r="F132" i="7" s="1"/>
  <c r="E132" i="7" a="1"/>
  <c r="E132" i="7" s="1"/>
  <c r="F131" i="7" a="1"/>
  <c r="F131" i="7" s="1"/>
  <c r="E131" i="7" a="1"/>
  <c r="E131" i="7" s="1"/>
  <c r="F130" i="7" a="1"/>
  <c r="F130" i="7" s="1"/>
  <c r="E130" i="7" a="1"/>
  <c r="E130" i="7" s="1"/>
  <c r="F129" i="7" a="1"/>
  <c r="F129" i="7" s="1"/>
  <c r="E129" i="7" a="1"/>
  <c r="E129" i="7" s="1"/>
  <c r="F128" i="7" a="1"/>
  <c r="F128" i="7" s="1"/>
  <c r="E128" i="7" a="1"/>
  <c r="E128" i="7" s="1"/>
  <c r="F127" i="7" a="1"/>
  <c r="F127" i="7" s="1"/>
  <c r="E127" i="7" a="1"/>
  <c r="E127" i="7" s="1"/>
  <c r="F126" i="7" a="1"/>
  <c r="F126" i="7" s="1"/>
  <c r="E126" i="7" a="1"/>
  <c r="E126" i="7" s="1"/>
  <c r="F125" i="7" a="1"/>
  <c r="F125" i="7" s="1"/>
  <c r="E125" i="7" a="1"/>
  <c r="E125" i="7" s="1"/>
  <c r="F124" i="7" a="1"/>
  <c r="F124" i="7" s="1"/>
  <c r="E124" i="7" a="1"/>
  <c r="E124" i="7" s="1"/>
  <c r="F123" i="7" a="1"/>
  <c r="F123" i="7" s="1"/>
  <c r="E123" i="7" a="1"/>
  <c r="E123" i="7" s="1"/>
  <c r="F122" i="7" a="1"/>
  <c r="F122" i="7" s="1"/>
  <c r="E122" i="7" a="1"/>
  <c r="E122" i="7" s="1"/>
  <c r="F121" i="7" a="1"/>
  <c r="F121" i="7" s="1"/>
  <c r="E121" i="7" a="1"/>
  <c r="E121" i="7" s="1"/>
  <c r="F120" i="7" a="1"/>
  <c r="F120" i="7" s="1"/>
  <c r="E120" i="7" a="1"/>
  <c r="E120" i="7" s="1"/>
  <c r="F119" i="7" a="1"/>
  <c r="F119" i="7" s="1"/>
  <c r="E119" i="7" a="1"/>
  <c r="E119" i="7" s="1"/>
  <c r="F118" i="7" a="1"/>
  <c r="F118" i="7" s="1"/>
  <c r="E118" i="7" a="1"/>
  <c r="E118" i="7" s="1"/>
  <c r="F117" i="7" a="1"/>
  <c r="F117" i="7" s="1"/>
  <c r="E117" i="7" a="1"/>
  <c r="E117" i="7" s="1"/>
  <c r="F116" i="7" a="1"/>
  <c r="F116" i="7" s="1"/>
  <c r="E116" i="7" a="1"/>
  <c r="E116" i="7" s="1"/>
  <c r="F115" i="7" a="1"/>
  <c r="F115" i="7" s="1"/>
  <c r="E115" i="7" a="1"/>
  <c r="E115" i="7" s="1"/>
  <c r="F114" i="7" a="1"/>
  <c r="F114" i="7" s="1"/>
  <c r="E114" i="7" a="1"/>
  <c r="E114" i="7" s="1"/>
  <c r="F113" i="7" a="1"/>
  <c r="F113" i="7" s="1"/>
  <c r="E113" i="7" a="1"/>
  <c r="E113" i="7" s="1"/>
  <c r="F112" i="7" a="1"/>
  <c r="F112" i="7" s="1"/>
  <c r="E112" i="7" a="1"/>
  <c r="E112" i="7" s="1"/>
  <c r="F111" i="7" a="1"/>
  <c r="F111" i="7" s="1"/>
  <c r="E111" i="7" a="1"/>
  <c r="E111" i="7" s="1"/>
  <c r="F110" i="7" a="1"/>
  <c r="F110" i="7" s="1"/>
  <c r="E110" i="7" a="1"/>
  <c r="E110" i="7" s="1"/>
  <c r="F109" i="7" a="1"/>
  <c r="F109" i="7" s="1"/>
  <c r="E109" i="7" a="1"/>
  <c r="E109" i="7" s="1"/>
  <c r="F108" i="7" a="1"/>
  <c r="F108" i="7" s="1"/>
  <c r="E108" i="7" a="1"/>
  <c r="E108" i="7" s="1"/>
  <c r="F107" i="7" a="1"/>
  <c r="F107" i="7" s="1"/>
  <c r="E107" i="7" a="1"/>
  <c r="E107" i="7" s="1"/>
  <c r="F106" i="7" a="1"/>
  <c r="F106" i="7" s="1"/>
  <c r="E106" i="7" a="1"/>
  <c r="E106" i="7" s="1"/>
  <c r="F105" i="7" a="1"/>
  <c r="F105" i="7" s="1"/>
  <c r="E105" i="7" a="1"/>
  <c r="E105" i="7" s="1"/>
  <c r="F104" i="7" a="1"/>
  <c r="F104" i="7" s="1"/>
  <c r="E104" i="7" a="1"/>
  <c r="E104" i="7" s="1"/>
  <c r="F103" i="7" a="1"/>
  <c r="F103" i="7" s="1"/>
  <c r="E103" i="7" a="1"/>
  <c r="E103" i="7" s="1"/>
  <c r="F102" i="7" a="1"/>
  <c r="F102" i="7" s="1"/>
  <c r="E102" i="7" a="1"/>
  <c r="E102" i="7" s="1"/>
  <c r="F101" i="7" a="1"/>
  <c r="F101" i="7" s="1"/>
  <c r="E101" i="7" a="1"/>
  <c r="E101" i="7" s="1"/>
  <c r="F100" i="7" a="1"/>
  <c r="F100" i="7" s="1"/>
  <c r="E100" i="7" a="1"/>
  <c r="E100" i="7" s="1"/>
  <c r="F99" i="7" a="1"/>
  <c r="F99" i="7" s="1"/>
  <c r="E99" i="7" a="1"/>
  <c r="E99" i="7" s="1"/>
  <c r="F98" i="7" a="1"/>
  <c r="F98" i="7" s="1"/>
  <c r="E98" i="7" a="1"/>
  <c r="E98" i="7" s="1"/>
  <c r="F97" i="7" a="1"/>
  <c r="F97" i="7" s="1"/>
  <c r="E97" i="7" a="1"/>
  <c r="E97" i="7" s="1"/>
  <c r="F96" i="7" a="1"/>
  <c r="F96" i="7" s="1"/>
  <c r="E96" i="7" a="1"/>
  <c r="E96" i="7" s="1"/>
  <c r="F95" i="7" a="1"/>
  <c r="F95" i="7" s="1"/>
  <c r="E95" i="7" a="1"/>
  <c r="E95" i="7" s="1"/>
  <c r="F94" i="7" a="1"/>
  <c r="F94" i="7" s="1"/>
  <c r="E94" i="7" a="1"/>
  <c r="E94" i="7" s="1"/>
  <c r="F93" i="7" a="1"/>
  <c r="F93" i="7" s="1"/>
  <c r="E93" i="7" a="1"/>
  <c r="E93" i="7" s="1"/>
  <c r="F92" i="7" a="1"/>
  <c r="F92" i="7" s="1"/>
  <c r="E92" i="7" a="1"/>
  <c r="E92" i="7" s="1"/>
  <c r="F91" i="7" a="1"/>
  <c r="F91" i="7" s="1"/>
  <c r="E91" i="7" a="1"/>
  <c r="E91" i="7" s="1"/>
  <c r="F90" i="7" a="1"/>
  <c r="F90" i="7" s="1"/>
  <c r="E90" i="7" a="1"/>
  <c r="E90" i="7" s="1"/>
  <c r="F89" i="7" a="1"/>
  <c r="F89" i="7" s="1"/>
  <c r="E89" i="7" a="1"/>
  <c r="E89" i="7" s="1"/>
  <c r="F88" i="7" a="1"/>
  <c r="F88" i="7" s="1"/>
  <c r="E88" i="7" a="1"/>
  <c r="E88" i="7" s="1"/>
  <c r="F87" i="7" a="1"/>
  <c r="F87" i="7" s="1"/>
  <c r="E87" i="7" a="1"/>
  <c r="E87" i="7" s="1"/>
  <c r="F86" i="7" a="1"/>
  <c r="F86" i="7" s="1"/>
  <c r="E86" i="7" a="1"/>
  <c r="E86" i="7" s="1"/>
  <c r="F85" i="7" a="1"/>
  <c r="F85" i="7" s="1"/>
  <c r="E85" i="7" a="1"/>
  <c r="E85" i="7" s="1"/>
  <c r="F84" i="7" a="1"/>
  <c r="F84" i="7" s="1"/>
  <c r="E84" i="7" a="1"/>
  <c r="E84" i="7" s="1"/>
  <c r="F83" i="7" a="1"/>
  <c r="F83" i="7" s="1"/>
  <c r="E83" i="7" a="1"/>
  <c r="E83" i="7" s="1"/>
  <c r="F82" i="7" a="1"/>
  <c r="F82" i="7" s="1"/>
  <c r="E82" i="7" a="1"/>
  <c r="E82" i="7" s="1"/>
  <c r="F81" i="7" a="1"/>
  <c r="F81" i="7" s="1"/>
  <c r="E81" i="7" a="1"/>
  <c r="E81" i="7" s="1"/>
  <c r="F80" i="7" a="1"/>
  <c r="F80" i="7" s="1"/>
  <c r="E80" i="7" a="1"/>
  <c r="E80" i="7" s="1"/>
  <c r="F79" i="7" a="1"/>
  <c r="F79" i="7" s="1"/>
  <c r="E79" i="7" a="1"/>
  <c r="E79" i="7" s="1"/>
  <c r="F78" i="7" a="1"/>
  <c r="F78" i="7" s="1"/>
  <c r="E78" i="7" a="1"/>
  <c r="E78" i="7" s="1"/>
  <c r="F77" i="7" a="1"/>
  <c r="F77" i="7" s="1"/>
  <c r="E77" i="7" a="1"/>
  <c r="E77" i="7" s="1"/>
  <c r="F76" i="7" a="1"/>
  <c r="F76" i="7" s="1"/>
  <c r="E76" i="7" a="1"/>
  <c r="E76" i="7" s="1"/>
  <c r="F75" i="7" a="1"/>
  <c r="F75" i="7" s="1"/>
  <c r="E75" i="7" a="1"/>
  <c r="E75" i="7" s="1"/>
  <c r="F74" i="7" a="1"/>
  <c r="F74" i="7" s="1"/>
  <c r="E74" i="7" a="1"/>
  <c r="E74" i="7" s="1"/>
  <c r="F73" i="7" a="1"/>
  <c r="F73" i="7" s="1"/>
  <c r="E73" i="7" a="1"/>
  <c r="E73" i="7" s="1"/>
  <c r="F72" i="7" a="1"/>
  <c r="F72" i="7" s="1"/>
  <c r="E72" i="7" a="1"/>
  <c r="E72" i="7" s="1"/>
  <c r="F71" i="7" a="1"/>
  <c r="F71" i="7" s="1"/>
  <c r="E71" i="7" a="1"/>
  <c r="E71" i="7" s="1"/>
  <c r="F70" i="7" a="1"/>
  <c r="F70" i="7" s="1"/>
  <c r="E70" i="7" a="1"/>
  <c r="E70" i="7" s="1"/>
  <c r="F69" i="7" a="1"/>
  <c r="F69" i="7" s="1"/>
  <c r="E69" i="7" a="1"/>
  <c r="E69" i="7" s="1"/>
  <c r="F68" i="7" a="1"/>
  <c r="F68" i="7" s="1"/>
  <c r="E68" i="7" a="1"/>
  <c r="E68" i="7" s="1"/>
  <c r="F67" i="7" a="1"/>
  <c r="F67" i="7" s="1"/>
  <c r="E67" i="7" a="1"/>
  <c r="E67" i="7" s="1"/>
  <c r="F66" i="7" a="1"/>
  <c r="F66" i="7" s="1"/>
  <c r="E66" i="7" a="1"/>
  <c r="E66" i="7" s="1"/>
  <c r="F65" i="7" a="1"/>
  <c r="F65" i="7" s="1"/>
  <c r="E65" i="7" a="1"/>
  <c r="E65" i="7" s="1"/>
  <c r="F64" i="7" a="1"/>
  <c r="F64" i="7" s="1"/>
  <c r="E64" i="7" a="1"/>
  <c r="E64" i="7" s="1"/>
  <c r="F63" i="7" a="1"/>
  <c r="F63" i="7" s="1"/>
  <c r="E63" i="7" a="1"/>
  <c r="E63" i="7" s="1"/>
  <c r="F62" i="7" a="1"/>
  <c r="F62" i="7" s="1"/>
  <c r="E62" i="7" a="1"/>
  <c r="E62" i="7" s="1"/>
  <c r="F61" i="7" a="1"/>
  <c r="F61" i="7" s="1"/>
  <c r="E61" i="7" a="1"/>
  <c r="E61" i="7" s="1"/>
  <c r="F60" i="7" a="1"/>
  <c r="F60" i="7" s="1"/>
  <c r="E60" i="7" a="1"/>
  <c r="E60" i="7" s="1"/>
  <c r="F59" i="7" a="1"/>
  <c r="F59" i="7" s="1"/>
  <c r="E59" i="7" a="1"/>
  <c r="E59" i="7" s="1"/>
  <c r="F58" i="7" a="1"/>
  <c r="F58" i="7" s="1"/>
  <c r="E58" i="7" a="1"/>
  <c r="E58" i="7" s="1"/>
  <c r="F57" i="7" a="1"/>
  <c r="F57" i="7" s="1"/>
  <c r="E57" i="7" a="1"/>
  <c r="E57" i="7" s="1"/>
  <c r="F56" i="7" a="1"/>
  <c r="F56" i="7" s="1"/>
  <c r="E56" i="7" a="1"/>
  <c r="E56" i="7" s="1"/>
  <c r="F55" i="7" a="1"/>
  <c r="F55" i="7" s="1"/>
  <c r="E55" i="7" a="1"/>
  <c r="E55" i="7" s="1"/>
  <c r="F54" i="7" a="1"/>
  <c r="F54" i="7" s="1"/>
  <c r="E54" i="7" a="1"/>
  <c r="E54" i="7" s="1"/>
  <c r="F53" i="7" a="1"/>
  <c r="F53" i="7" s="1"/>
  <c r="E53" i="7" a="1"/>
  <c r="E53" i="7" s="1"/>
  <c r="F52" i="7" a="1"/>
  <c r="F52" i="7" s="1"/>
  <c r="E52" i="7" a="1"/>
  <c r="E52" i="7" s="1"/>
  <c r="F51" i="7" a="1"/>
  <c r="F51" i="7" s="1"/>
  <c r="E51" i="7" a="1"/>
  <c r="E51" i="7" s="1"/>
  <c r="F50" i="7" a="1"/>
  <c r="F50" i="7" s="1"/>
  <c r="E50" i="7" a="1"/>
  <c r="E50" i="7" s="1"/>
  <c r="F49" i="7" a="1"/>
  <c r="F49" i="7" s="1"/>
  <c r="E49" i="7" a="1"/>
  <c r="E49" i="7" s="1"/>
  <c r="F48" i="7" a="1"/>
  <c r="F48" i="7" s="1"/>
  <c r="E48" i="7" a="1"/>
  <c r="E48" i="7" s="1"/>
  <c r="F47" i="7" a="1"/>
  <c r="F47" i="7" s="1"/>
  <c r="E47" i="7" a="1"/>
  <c r="E47" i="7" s="1"/>
  <c r="F46" i="7" a="1"/>
  <c r="F46" i="7" s="1"/>
  <c r="E46" i="7" a="1"/>
  <c r="E46" i="7" s="1"/>
  <c r="F45" i="7" a="1"/>
  <c r="F45" i="7" s="1"/>
  <c r="E45" i="7" a="1"/>
  <c r="E45" i="7" s="1"/>
  <c r="F44" i="7" a="1"/>
  <c r="F44" i="7" s="1"/>
  <c r="E44" i="7" a="1"/>
  <c r="E44" i="7" s="1"/>
  <c r="F43" i="7" a="1"/>
  <c r="F43" i="7" s="1"/>
  <c r="E43" i="7" a="1"/>
  <c r="E43" i="7" s="1"/>
  <c r="F42" i="7" a="1"/>
  <c r="F42" i="7" s="1"/>
  <c r="E42" i="7" a="1"/>
  <c r="E42" i="7" s="1"/>
  <c r="F41" i="7" a="1"/>
  <c r="F41" i="7" s="1"/>
  <c r="E41" i="7" a="1"/>
  <c r="E41" i="7" s="1"/>
  <c r="F40" i="7" a="1"/>
  <c r="F40" i="7" s="1"/>
  <c r="E40" i="7" a="1"/>
  <c r="E40" i="7" s="1"/>
  <c r="F39" i="7" a="1"/>
  <c r="F39" i="7" s="1"/>
  <c r="E39" i="7" a="1"/>
  <c r="E39" i="7" s="1"/>
  <c r="F38" i="7" a="1"/>
  <c r="F38" i="7" s="1"/>
  <c r="E38" i="7" a="1"/>
  <c r="E38" i="7" s="1"/>
  <c r="F37" i="7" a="1"/>
  <c r="F37" i="7" s="1"/>
  <c r="E37" i="7" a="1"/>
  <c r="E37" i="7" s="1"/>
  <c r="F36" i="7" a="1"/>
  <c r="F36" i="7" s="1"/>
  <c r="E36" i="7" a="1"/>
  <c r="E36" i="7" s="1"/>
  <c r="F35" i="7" a="1"/>
  <c r="F35" i="7" s="1"/>
  <c r="E35" i="7" a="1"/>
  <c r="E35" i="7" s="1"/>
  <c r="F34" i="7" a="1"/>
  <c r="F34" i="7" s="1"/>
  <c r="E34" i="7" a="1"/>
  <c r="E34" i="7" s="1"/>
  <c r="F33" i="7" a="1"/>
  <c r="F33" i="7" s="1"/>
  <c r="E33" i="7" a="1"/>
  <c r="E33" i="7" s="1"/>
  <c r="F32" i="7" a="1"/>
  <c r="F32" i="7" s="1"/>
  <c r="E32" i="7" a="1"/>
  <c r="E32" i="7" s="1"/>
  <c r="F31" i="7" a="1"/>
  <c r="F31" i="7" s="1"/>
  <c r="E31" i="7" a="1"/>
  <c r="E31" i="7" s="1"/>
  <c r="F30" i="7" a="1"/>
  <c r="F30" i="7" s="1"/>
  <c r="E30" i="7" a="1"/>
  <c r="E30" i="7" s="1"/>
  <c r="F29" i="7" a="1"/>
  <c r="F29" i="7" s="1"/>
  <c r="E29" i="7" a="1"/>
  <c r="E29" i="7" s="1"/>
  <c r="F28" i="7" a="1"/>
  <c r="F28" i="7" s="1"/>
  <c r="E28" i="7" a="1"/>
  <c r="E28" i="7" s="1"/>
  <c r="F27" i="7" a="1"/>
  <c r="F27" i="7" s="1"/>
  <c r="E27" i="7" a="1"/>
  <c r="E27" i="7" s="1"/>
  <c r="F26" i="7" a="1"/>
  <c r="F26" i="7" s="1"/>
  <c r="E26" i="7" a="1"/>
  <c r="E26" i="7" s="1"/>
  <c r="F25" i="7" a="1"/>
  <c r="F25" i="7" s="1"/>
  <c r="E25" i="7" a="1"/>
  <c r="E25" i="7" s="1"/>
  <c r="F24" i="7" a="1"/>
  <c r="F24" i="7" s="1"/>
  <c r="E24" i="7" a="1"/>
  <c r="E24" i="7" s="1"/>
  <c r="F23" i="7" a="1"/>
  <c r="F23" i="7" s="1"/>
  <c r="E23" i="7" a="1"/>
  <c r="E23" i="7" s="1"/>
  <c r="F22" i="7" a="1"/>
  <c r="F22" i="7" s="1"/>
  <c r="E22" i="7" a="1"/>
  <c r="E22" i="7" s="1"/>
  <c r="F21" i="7" a="1"/>
  <c r="F21" i="7" s="1"/>
  <c r="E21" i="7" a="1"/>
  <c r="E21" i="7" s="1"/>
  <c r="F20" i="7" a="1"/>
  <c r="F20" i="7" s="1"/>
  <c r="E20" i="7" a="1"/>
  <c r="E20" i="7" s="1"/>
  <c r="F19" i="7" a="1"/>
  <c r="F19" i="7" s="1"/>
  <c r="E19" i="7" a="1"/>
  <c r="E19" i="7" s="1"/>
  <c r="F18" i="7" a="1"/>
  <c r="F18" i="7" s="1"/>
  <c r="E18" i="7" a="1"/>
  <c r="E18" i="7" s="1"/>
  <c r="F17" i="7" a="1"/>
  <c r="F17" i="7" s="1"/>
  <c r="E17" i="7" a="1"/>
  <c r="E17" i="7" s="1"/>
  <c r="F16" i="7" a="1"/>
  <c r="F16" i="7" s="1"/>
  <c r="E16" i="7" a="1"/>
  <c r="E16" i="7" s="1"/>
  <c r="F15" i="7" a="1"/>
  <c r="F15" i="7" s="1"/>
  <c r="E15" i="7" a="1"/>
  <c r="E15" i="7" s="1"/>
  <c r="F14" i="7" a="1"/>
  <c r="F14" i="7" s="1"/>
  <c r="E14" i="7" a="1"/>
  <c r="E14" i="7" s="1"/>
  <c r="F13" i="7" a="1"/>
  <c r="F13" i="7" s="1"/>
  <c r="E13" i="7" a="1"/>
  <c r="E13" i="7" s="1"/>
  <c r="F12" i="7" a="1"/>
  <c r="F12" i="7" s="1"/>
  <c r="E12" i="7" a="1"/>
  <c r="E12" i="7" s="1"/>
  <c r="F11" i="7" a="1"/>
  <c r="F11" i="7" s="1"/>
  <c r="E11" i="7" a="1"/>
  <c r="E11" i="7" s="1"/>
  <c r="F10" i="7" a="1"/>
  <c r="F10" i="7" s="1"/>
  <c r="E10" i="7" a="1"/>
  <c r="E10" i="7" s="1"/>
  <c r="F9" i="7" a="1"/>
  <c r="F9" i="7" s="1"/>
  <c r="E9" i="7" a="1"/>
  <c r="E9" i="7" s="1"/>
  <c r="F8" i="7" a="1"/>
  <c r="F8" i="7" s="1"/>
  <c r="E8" i="7" a="1"/>
  <c r="E8" i="7" s="1"/>
  <c r="F7" i="7" a="1"/>
  <c r="F7" i="7" s="1"/>
  <c r="E7" i="7" a="1"/>
  <c r="E7" i="7" s="1"/>
  <c r="F6" i="7" a="1"/>
  <c r="F6" i="7" s="1"/>
  <c r="E6" i="7" a="1"/>
  <c r="E6" i="7" s="1"/>
  <c r="F5" i="7" a="1"/>
  <c r="F5" i="7" s="1"/>
  <c r="E5" i="7" a="1"/>
  <c r="E5" i="7" s="1"/>
  <c r="F4" i="7" a="1"/>
  <c r="F4" i="7" s="1"/>
  <c r="E4" i="7" a="1"/>
  <c r="E4" i="7" s="1"/>
  <c r="F3" i="7" a="1"/>
  <c r="F3" i="7" s="1"/>
  <c r="E3" i="7" a="1"/>
  <c r="E3" i="7" s="1"/>
  <c r="F2" i="7" a="1"/>
  <c r="F2" i="7" s="1"/>
  <c r="E2" i="7" a="1"/>
  <c r="E2" i="7" s="1"/>
  <c r="D158" i="6" a="1"/>
  <c r="D158" i="6" s="1"/>
  <c r="D157" i="6" a="1"/>
  <c r="D157" i="6" s="1"/>
  <c r="D156" i="6" a="1"/>
  <c r="D156" i="6" s="1"/>
  <c r="D155" i="6" a="1"/>
  <c r="D155" i="6" s="1"/>
  <c r="D154" i="6" a="1"/>
  <c r="D154" i="6" s="1"/>
  <c r="D153" i="6" a="1"/>
  <c r="D153" i="6" s="1"/>
  <c r="D152" i="6" a="1"/>
  <c r="D152" i="6" s="1"/>
  <c r="D151" i="6" a="1"/>
  <c r="D151" i="6" s="1"/>
  <c r="D150" i="6" a="1"/>
  <c r="D150" i="6" s="1"/>
  <c r="D149" i="6" a="1"/>
  <c r="D149" i="6" s="1"/>
  <c r="D148" i="6" a="1"/>
  <c r="D148" i="6" s="1"/>
  <c r="D147" i="6" a="1"/>
  <c r="D147" i="6" s="1"/>
  <c r="D146" i="6" a="1"/>
  <c r="D146" i="6" s="1"/>
  <c r="D145" i="6" a="1"/>
  <c r="D145" i="6" s="1"/>
  <c r="D144" i="6" a="1"/>
  <c r="D144" i="6" s="1"/>
  <c r="D143" i="6" a="1"/>
  <c r="D143" i="6" s="1"/>
  <c r="D142" i="6" a="1"/>
  <c r="D142" i="6" s="1"/>
  <c r="D141" i="6" a="1"/>
  <c r="D141" i="6" s="1"/>
  <c r="D140" i="6" a="1"/>
  <c r="D140" i="6" s="1"/>
  <c r="D139" i="6" a="1"/>
  <c r="D139" i="6" s="1"/>
  <c r="D138" i="6" a="1"/>
  <c r="D138" i="6" s="1"/>
  <c r="D137" i="6" a="1"/>
  <c r="D137" i="6" s="1"/>
  <c r="D136" i="6" a="1"/>
  <c r="D136" i="6" s="1"/>
  <c r="D135" i="6" a="1"/>
  <c r="D135" i="6" s="1"/>
  <c r="D134" i="6" a="1"/>
  <c r="D134" i="6" s="1"/>
  <c r="D133" i="6" a="1"/>
  <c r="D133" i="6" s="1"/>
  <c r="D132" i="6" a="1"/>
  <c r="D132" i="6" s="1"/>
  <c r="D131" i="6" a="1"/>
  <c r="D131" i="6" s="1"/>
  <c r="D130" i="6" a="1"/>
  <c r="D130" i="6" s="1"/>
  <c r="D129" i="6" a="1"/>
  <c r="D129" i="6" s="1"/>
  <c r="D128" i="6" a="1"/>
  <c r="D128" i="6" s="1"/>
  <c r="D127" i="6" a="1"/>
  <c r="D127" i="6" s="1"/>
  <c r="D126" i="6" a="1"/>
  <c r="D126" i="6" s="1"/>
  <c r="D125" i="6" a="1"/>
  <c r="D125" i="6" s="1"/>
  <c r="D124" i="6" a="1"/>
  <c r="D124" i="6" s="1"/>
  <c r="D123" i="6" a="1"/>
  <c r="D123" i="6" s="1"/>
  <c r="D122" i="6" a="1"/>
  <c r="D122" i="6" s="1"/>
  <c r="D121" i="6" a="1"/>
  <c r="D121" i="6" s="1"/>
  <c r="D120" i="6" a="1"/>
  <c r="D120" i="6" s="1"/>
  <c r="D119" i="6" a="1"/>
  <c r="D119" i="6" s="1"/>
  <c r="D118" i="6" a="1"/>
  <c r="D118" i="6" s="1"/>
  <c r="D117" i="6" a="1"/>
  <c r="D117" i="6" s="1"/>
  <c r="D116" i="6" a="1"/>
  <c r="D116" i="6" s="1"/>
  <c r="D115" i="6" a="1"/>
  <c r="D115" i="6" s="1"/>
  <c r="D114" i="6" a="1"/>
  <c r="D114" i="6" s="1"/>
  <c r="D113" i="6" a="1"/>
  <c r="D113" i="6" s="1"/>
  <c r="D112" i="6" a="1"/>
  <c r="D112" i="6" s="1"/>
  <c r="D111" i="6" a="1"/>
  <c r="D111" i="6" s="1"/>
  <c r="D110" i="6" a="1"/>
  <c r="D110" i="6" s="1"/>
  <c r="D109" i="6" a="1"/>
  <c r="D109" i="6" s="1"/>
  <c r="D108" i="6" a="1"/>
  <c r="D108" i="6" s="1"/>
  <c r="D107" i="6" a="1"/>
  <c r="D107" i="6" s="1"/>
  <c r="D106" i="6" a="1"/>
  <c r="D106" i="6" s="1"/>
  <c r="D105" i="6" a="1"/>
  <c r="D105" i="6" s="1"/>
  <c r="D104" i="6" a="1"/>
  <c r="D104" i="6" s="1"/>
  <c r="D103" i="6" a="1"/>
  <c r="D103" i="6" s="1"/>
  <c r="D102" i="6" a="1"/>
  <c r="D102" i="6" s="1"/>
  <c r="D101" i="6" a="1"/>
  <c r="D101" i="6" s="1"/>
  <c r="D100" i="6" a="1"/>
  <c r="D100" i="6" s="1"/>
  <c r="D99" i="6" a="1"/>
  <c r="D99" i="6" s="1"/>
  <c r="D98" i="6" a="1"/>
  <c r="D98" i="6" s="1"/>
  <c r="D97" i="6" a="1"/>
  <c r="D97" i="6" s="1"/>
  <c r="D96" i="6" a="1"/>
  <c r="D96" i="6" s="1"/>
  <c r="D95" i="6" a="1"/>
  <c r="D95" i="6" s="1"/>
  <c r="D94" i="6" a="1"/>
  <c r="D94" i="6" s="1"/>
  <c r="D93" i="6" a="1"/>
  <c r="D93" i="6" s="1"/>
  <c r="D92" i="6" a="1"/>
  <c r="D92" i="6" s="1"/>
  <c r="D91" i="6" a="1"/>
  <c r="D91" i="6" s="1"/>
  <c r="D90" i="6" a="1"/>
  <c r="D90" i="6" s="1"/>
  <c r="D89" i="6" a="1"/>
  <c r="D89" i="6" s="1"/>
  <c r="D88" i="6" a="1"/>
  <c r="D88" i="6" s="1"/>
  <c r="D87" i="6" a="1"/>
  <c r="D87" i="6" s="1"/>
  <c r="D86" i="6" a="1"/>
  <c r="D86" i="6" s="1"/>
  <c r="D85" i="6" a="1"/>
  <c r="D85" i="6" s="1"/>
  <c r="D84" i="6" a="1"/>
  <c r="D84" i="6" s="1"/>
  <c r="D83" i="6" a="1"/>
  <c r="D83" i="6" s="1"/>
  <c r="D82" i="6" a="1"/>
  <c r="D82" i="6" s="1"/>
  <c r="D81" i="6" a="1"/>
  <c r="D81" i="6" s="1"/>
  <c r="D80" i="6" a="1"/>
  <c r="D80" i="6" s="1"/>
  <c r="D79" i="6" a="1"/>
  <c r="D79" i="6" s="1"/>
  <c r="D78" i="6" a="1"/>
  <c r="D78" i="6" s="1"/>
  <c r="D77" i="6" a="1"/>
  <c r="D77" i="6" s="1"/>
  <c r="D76" i="6" a="1"/>
  <c r="D76" i="6" s="1"/>
  <c r="D75" i="6" a="1"/>
  <c r="D75" i="6" s="1"/>
  <c r="D74" i="6" a="1"/>
  <c r="D74" i="6" s="1"/>
  <c r="D73" i="6" a="1"/>
  <c r="D73" i="6" s="1"/>
  <c r="D72" i="6" a="1"/>
  <c r="D72" i="6" s="1"/>
  <c r="D71" i="6" a="1"/>
  <c r="D71" i="6" s="1"/>
  <c r="D70" i="6" a="1"/>
  <c r="D70" i="6" s="1"/>
  <c r="D69" i="6" a="1"/>
  <c r="D69" i="6" s="1"/>
  <c r="D68" i="6" a="1"/>
  <c r="D68" i="6" s="1"/>
  <c r="D67" i="6" a="1"/>
  <c r="D67" i="6" s="1"/>
  <c r="D66" i="6" a="1"/>
  <c r="D66" i="6" s="1"/>
  <c r="D65" i="6" a="1"/>
  <c r="D65" i="6" s="1"/>
  <c r="D64" i="6" a="1"/>
  <c r="D64" i="6" s="1"/>
  <c r="D63" i="6" a="1"/>
  <c r="D63" i="6" s="1"/>
  <c r="D62" i="6" a="1"/>
  <c r="D62" i="6" s="1"/>
  <c r="D61" i="6" a="1"/>
  <c r="D61" i="6" s="1"/>
  <c r="D60" i="6" a="1"/>
  <c r="D60" i="6" s="1"/>
  <c r="D59" i="6" a="1"/>
  <c r="D59" i="6" s="1"/>
  <c r="D58" i="6" a="1"/>
  <c r="D58" i="6" s="1"/>
  <c r="D57" i="6" a="1"/>
  <c r="D57" i="6" s="1"/>
  <c r="D56" i="6" a="1"/>
  <c r="D56" i="6" s="1"/>
  <c r="D55" i="6" a="1"/>
  <c r="D55" i="6" s="1"/>
  <c r="D54" i="6" a="1"/>
  <c r="D54" i="6" s="1"/>
  <c r="D53" i="6" a="1"/>
  <c r="D53" i="6" s="1"/>
  <c r="D52" i="6" a="1"/>
  <c r="D52" i="6" s="1"/>
  <c r="D51" i="6" a="1"/>
  <c r="D51" i="6" s="1"/>
  <c r="D50" i="6" a="1"/>
  <c r="D50" i="6" s="1"/>
  <c r="D49" i="6" a="1"/>
  <c r="D49" i="6" s="1"/>
  <c r="D48" i="6" a="1"/>
  <c r="D48" i="6" s="1"/>
  <c r="D47" i="6" a="1"/>
  <c r="D47" i="6" s="1"/>
  <c r="D46" i="6" a="1"/>
  <c r="D46" i="6" s="1"/>
  <c r="D45" i="6" a="1"/>
  <c r="D45" i="6" s="1"/>
  <c r="D44" i="6" a="1"/>
  <c r="D44" i="6" s="1"/>
  <c r="D43" i="6" a="1"/>
  <c r="D43" i="6" s="1"/>
  <c r="D42" i="6" a="1"/>
  <c r="D42" i="6" s="1"/>
  <c r="D41" i="6" a="1"/>
  <c r="D41" i="6" s="1"/>
  <c r="D40" i="6" a="1"/>
  <c r="D40" i="6" s="1"/>
  <c r="D39" i="6" a="1"/>
  <c r="D39" i="6" s="1"/>
  <c r="D38" i="6" a="1"/>
  <c r="D38" i="6" s="1"/>
  <c r="D37" i="6" a="1"/>
  <c r="D37" i="6" s="1"/>
  <c r="D36" i="6" a="1"/>
  <c r="D36" i="6" s="1"/>
  <c r="D35" i="6" a="1"/>
  <c r="D35" i="6" s="1"/>
  <c r="D34" i="6" a="1"/>
  <c r="D34" i="6" s="1"/>
  <c r="D33" i="6" a="1"/>
  <c r="D33" i="6" s="1"/>
  <c r="D32" i="6" a="1"/>
  <c r="D32" i="6" s="1"/>
  <c r="D31" i="6" a="1"/>
  <c r="D31" i="6" s="1"/>
  <c r="D30" i="6" a="1"/>
  <c r="D30" i="6" s="1"/>
  <c r="D29" i="6" a="1"/>
  <c r="D29" i="6" s="1"/>
  <c r="D28" i="6" a="1"/>
  <c r="D28" i="6" s="1"/>
  <c r="D27" i="6" a="1"/>
  <c r="D27" i="6" s="1"/>
  <c r="D26" i="6" a="1"/>
  <c r="D26" i="6" s="1"/>
  <c r="D25" i="6" a="1"/>
  <c r="D25" i="6" s="1"/>
  <c r="D24" i="6" a="1"/>
  <c r="D24" i="6" s="1"/>
  <c r="D23" i="6" a="1"/>
  <c r="D23" i="6" s="1"/>
  <c r="D22" i="6" a="1"/>
  <c r="D22" i="6" s="1"/>
  <c r="D21" i="6" a="1"/>
  <c r="D21" i="6" s="1"/>
  <c r="D20" i="6" a="1"/>
  <c r="D20" i="6" s="1"/>
  <c r="D19" i="6" a="1"/>
  <c r="D19" i="6" s="1"/>
  <c r="D18" i="6" a="1"/>
  <c r="D18" i="6" s="1"/>
  <c r="D17" i="6" a="1"/>
  <c r="D17" i="6" s="1"/>
  <c r="D16" i="6" a="1"/>
  <c r="D16" i="6" s="1"/>
  <c r="D15" i="6" a="1"/>
  <c r="D15" i="6" s="1"/>
  <c r="D14" i="6" a="1"/>
  <c r="D14" i="6" s="1"/>
  <c r="D13" i="6" a="1"/>
  <c r="D13" i="6" s="1"/>
  <c r="D12" i="6" a="1"/>
  <c r="D12" i="6" s="1"/>
  <c r="D11" i="6" a="1"/>
  <c r="D11" i="6" s="1"/>
  <c r="D10" i="6" a="1"/>
  <c r="D10" i="6" s="1"/>
  <c r="D9" i="6" a="1"/>
  <c r="D9" i="6" s="1"/>
  <c r="D8" i="6" a="1"/>
  <c r="D8" i="6" s="1"/>
  <c r="D7" i="6" a="1"/>
  <c r="D7" i="6" s="1"/>
  <c r="D6" i="6" a="1"/>
  <c r="D6" i="6" s="1"/>
  <c r="D5" i="6" a="1"/>
  <c r="D5" i="6" s="1"/>
  <c r="D4" i="6" a="1"/>
  <c r="D4" i="6" s="1"/>
  <c r="D3" i="6" a="1"/>
  <c r="D3" i="6" s="1"/>
  <c r="D2" i="6" a="1"/>
  <c r="D2" i="6" s="1"/>
  <c r="K54" i="19" l="1"/>
  <c r="L51" i="19"/>
  <c r="L54" i="19" s="1"/>
  <c r="F9" i="19"/>
  <c r="F10" i="19" s="1"/>
  <c r="F7" i="19"/>
  <c r="G3" i="9"/>
  <c r="H3" i="9" s="1"/>
  <c r="K4" i="6"/>
  <c r="K2" i="6"/>
  <c r="Q2" i="6"/>
  <c r="K26" i="6"/>
  <c r="Q26" i="6"/>
  <c r="K25" i="6"/>
  <c r="Q25" i="6"/>
  <c r="K18" i="6"/>
  <c r="Q18" i="6"/>
  <c r="K17" i="6"/>
  <c r="Q17" i="6"/>
  <c r="K10" i="6"/>
  <c r="Q10" i="6"/>
  <c r="K9" i="6"/>
  <c r="Q9" i="6"/>
  <c r="K27" i="6"/>
  <c r="K19" i="6"/>
  <c r="K11" i="6"/>
  <c r="K3" i="6"/>
  <c r="J32" i="6"/>
  <c r="K32" i="6" s="1"/>
  <c r="J24" i="6"/>
  <c r="K24" i="6" s="1"/>
  <c r="J16" i="6"/>
  <c r="K16" i="6" s="1"/>
  <c r="J8" i="6"/>
  <c r="K8" i="6" s="1"/>
  <c r="J31" i="6"/>
  <c r="K31" i="6" s="1"/>
  <c r="J23" i="6"/>
  <c r="K23" i="6" s="1"/>
  <c r="J15" i="6"/>
  <c r="K15" i="6" s="1"/>
  <c r="J7" i="6"/>
  <c r="K7" i="6" s="1"/>
  <c r="J30" i="6"/>
  <c r="K30" i="6" s="1"/>
  <c r="J22" i="6"/>
  <c r="K22" i="6" s="1"/>
  <c r="J14" i="6"/>
  <c r="K14" i="6" s="1"/>
  <c r="J6" i="6"/>
  <c r="K6" i="6" s="1"/>
  <c r="J29" i="6"/>
  <c r="K29" i="6" s="1"/>
  <c r="J21" i="6"/>
  <c r="K21" i="6" s="1"/>
  <c r="J13" i="6"/>
  <c r="K13" i="6" s="1"/>
  <c r="J5" i="6"/>
  <c r="K5" i="6" s="1"/>
  <c r="J28" i="6"/>
  <c r="K28" i="6" s="1"/>
  <c r="J20" i="6"/>
  <c r="K20" i="6" s="1"/>
  <c r="J12" i="6"/>
  <c r="K12" i="6" s="1"/>
  <c r="J3" i="9"/>
  <c r="E1" i="9"/>
  <c r="H1" i="9" l="1"/>
  <c r="G1"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0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6"/>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9"/>
        </ext>
      </extLst>
    </bk>
    <bk>
      <extLst>
        <ext uri="{3e2802c4-a4d2-4d8b-9148-e3be6c30e623}">
          <xlrd:rvb i="242"/>
        </ext>
      </extLst>
    </bk>
    <bk>
      <extLst>
        <ext uri="{3e2802c4-a4d2-4d8b-9148-e3be6c30e623}">
          <xlrd:rvb i="245"/>
        </ext>
      </extLst>
    </bk>
    <bk>
      <extLst>
        <ext uri="{3e2802c4-a4d2-4d8b-9148-e3be6c30e623}">
          <xlrd:rvb i="248"/>
        </ext>
      </extLst>
    </bk>
    <bk>
      <extLst>
        <ext uri="{3e2802c4-a4d2-4d8b-9148-e3be6c30e623}">
          <xlrd:rvb i="251"/>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3"/>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2"/>
        </ext>
      </extLst>
    </bk>
    <bk>
      <extLst>
        <ext uri="{3e2802c4-a4d2-4d8b-9148-e3be6c30e623}">
          <xlrd:rvb i="305"/>
        </ext>
      </extLst>
    </bk>
    <bk>
      <extLst>
        <ext uri="{3e2802c4-a4d2-4d8b-9148-e3be6c30e623}">
          <xlrd:rvb i="308"/>
        </ext>
      </extLst>
    </bk>
    <bk>
      <extLst>
        <ext uri="{3e2802c4-a4d2-4d8b-9148-e3be6c30e623}">
          <xlrd:rvb i="311"/>
        </ext>
      </extLst>
    </bk>
    <bk>
      <extLst>
        <ext uri="{3e2802c4-a4d2-4d8b-9148-e3be6c30e623}">
          <xlrd:rvb i="314"/>
        </ext>
      </extLst>
    </bk>
    <bk>
      <extLst>
        <ext uri="{3e2802c4-a4d2-4d8b-9148-e3be6c30e623}">
          <xlrd:rvb i="317"/>
        </ext>
      </extLst>
    </bk>
    <bk>
      <extLst>
        <ext uri="{3e2802c4-a4d2-4d8b-9148-e3be6c30e623}">
          <xlrd:rvb i="320"/>
        </ext>
      </extLst>
    </bk>
    <bk>
      <extLst>
        <ext uri="{3e2802c4-a4d2-4d8b-9148-e3be6c30e623}">
          <xlrd:rvb i="323"/>
        </ext>
      </extLst>
    </bk>
    <bk>
      <extLst>
        <ext uri="{3e2802c4-a4d2-4d8b-9148-e3be6c30e623}">
          <xlrd:rvb i="326"/>
        </ext>
      </extLst>
    </bk>
    <bk>
      <extLst>
        <ext uri="{3e2802c4-a4d2-4d8b-9148-e3be6c30e623}">
          <xlrd:rvb i="329"/>
        </ext>
      </extLst>
    </bk>
    <bk>
      <extLst>
        <ext uri="{3e2802c4-a4d2-4d8b-9148-e3be6c30e623}">
          <xlrd:rvb i="332"/>
        </ext>
      </extLst>
    </bk>
    <bk>
      <extLst>
        <ext uri="{3e2802c4-a4d2-4d8b-9148-e3be6c30e623}">
          <xlrd:rvb i="335"/>
        </ext>
      </extLst>
    </bk>
    <bk>
      <extLst>
        <ext uri="{3e2802c4-a4d2-4d8b-9148-e3be6c30e623}">
          <xlrd:rvb i="338"/>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1"/>
        </ext>
      </extLst>
    </bk>
    <bk>
      <extLst>
        <ext uri="{3e2802c4-a4d2-4d8b-9148-e3be6c30e623}">
          <xlrd:rvb i="414"/>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9"/>
        </ext>
      </extLst>
    </bk>
    <bk>
      <extLst>
        <ext uri="{3e2802c4-a4d2-4d8b-9148-e3be6c30e623}">
          <xlrd:rvb i="432"/>
        </ext>
      </extLst>
    </bk>
    <bk>
      <extLst>
        <ext uri="{3e2802c4-a4d2-4d8b-9148-e3be6c30e623}">
          <xlrd:rvb i="435"/>
        </ext>
      </extLst>
    </bk>
    <bk>
      <extLst>
        <ext uri="{3e2802c4-a4d2-4d8b-9148-e3be6c30e623}">
          <xlrd:rvb i="438"/>
        </ext>
      </extLst>
    </bk>
    <bk>
      <extLst>
        <ext uri="{3e2802c4-a4d2-4d8b-9148-e3be6c30e623}">
          <xlrd:rvb i="441"/>
        </ext>
      </extLst>
    </bk>
    <bk>
      <extLst>
        <ext uri="{3e2802c4-a4d2-4d8b-9148-e3be6c30e623}">
          <xlrd:rvb i="444"/>
        </ext>
      </extLst>
    </bk>
    <bk>
      <extLst>
        <ext uri="{3e2802c4-a4d2-4d8b-9148-e3be6c30e623}">
          <xlrd:rvb i="447"/>
        </ext>
      </extLst>
    </bk>
    <bk>
      <extLst>
        <ext uri="{3e2802c4-a4d2-4d8b-9148-e3be6c30e623}">
          <xlrd:rvb i="450"/>
        </ext>
      </extLst>
    </bk>
    <bk>
      <extLst>
        <ext uri="{3e2802c4-a4d2-4d8b-9148-e3be6c30e623}">
          <xlrd:rvb i="453"/>
        </ext>
      </extLst>
    </bk>
    <bk>
      <extLst>
        <ext uri="{3e2802c4-a4d2-4d8b-9148-e3be6c30e623}">
          <xlrd:rvb i="455"/>
        </ext>
      </extLst>
    </bk>
    <bk>
      <extLst>
        <ext uri="{3e2802c4-a4d2-4d8b-9148-e3be6c30e623}">
          <xlrd:rvb i="458"/>
        </ext>
      </extLst>
    </bk>
    <bk>
      <extLst>
        <ext uri="{3e2802c4-a4d2-4d8b-9148-e3be6c30e623}">
          <xlrd:rvb i="461"/>
        </ext>
      </extLst>
    </bk>
    <bk>
      <extLst>
        <ext uri="{3e2802c4-a4d2-4d8b-9148-e3be6c30e623}">
          <xlrd:rvb i="464"/>
        </ext>
      </extLst>
    </bk>
    <bk>
      <extLst>
        <ext uri="{3e2802c4-a4d2-4d8b-9148-e3be6c30e623}">
          <xlrd:rvb i="467"/>
        </ext>
      </extLst>
    </bk>
    <bk>
      <extLst>
        <ext uri="{3e2802c4-a4d2-4d8b-9148-e3be6c30e623}">
          <xlrd:rvb i="470"/>
        </ext>
      </extLst>
    </bk>
    <bk>
      <extLst>
        <ext uri="{3e2802c4-a4d2-4d8b-9148-e3be6c30e623}">
          <xlrd:rvb i="472"/>
        </ext>
      </extLst>
    </bk>
    <bk>
      <extLst>
        <ext uri="{3e2802c4-a4d2-4d8b-9148-e3be6c30e623}">
          <xlrd:rvb i="474"/>
        </ext>
      </extLst>
    </bk>
    <bk>
      <extLst>
        <ext uri="{3e2802c4-a4d2-4d8b-9148-e3be6c30e623}">
          <xlrd:rvb i="480"/>
        </ext>
      </extLst>
    </bk>
    <bk>
      <extLst>
        <ext uri="{3e2802c4-a4d2-4d8b-9148-e3be6c30e623}">
          <xlrd:rvb i="483"/>
        </ext>
      </extLst>
    </bk>
    <bk>
      <extLst>
        <ext uri="{3e2802c4-a4d2-4d8b-9148-e3be6c30e623}">
          <xlrd:rvb i="486"/>
        </ext>
      </extLst>
    </bk>
    <bk>
      <extLst>
        <ext uri="{3e2802c4-a4d2-4d8b-9148-e3be6c30e623}">
          <xlrd:rvb i="489"/>
        </ext>
      </extLst>
    </bk>
    <bk>
      <extLst>
        <ext uri="{3e2802c4-a4d2-4d8b-9148-e3be6c30e623}">
          <xlrd:rvb i="492"/>
        </ext>
      </extLst>
    </bk>
    <bk>
      <extLst>
        <ext uri="{3e2802c4-a4d2-4d8b-9148-e3be6c30e623}">
          <xlrd:rvb i="495"/>
        </ext>
      </extLst>
    </bk>
    <bk>
      <extLst>
        <ext uri="{3e2802c4-a4d2-4d8b-9148-e3be6c30e623}">
          <xlrd:rvb i="498"/>
        </ext>
      </extLst>
    </bk>
    <bk>
      <extLst>
        <ext uri="{3e2802c4-a4d2-4d8b-9148-e3be6c30e623}">
          <xlrd:rvb i="501"/>
        </ext>
      </extLst>
    </bk>
    <bk>
      <extLst>
        <ext uri="{3e2802c4-a4d2-4d8b-9148-e3be6c30e623}">
          <xlrd:rvb i="504"/>
        </ext>
      </extLst>
    </bk>
    <bk>
      <extLst>
        <ext uri="{3e2802c4-a4d2-4d8b-9148-e3be6c30e623}">
          <xlrd:rvb i="507"/>
        </ext>
      </extLst>
    </bk>
    <bk>
      <extLst>
        <ext uri="{3e2802c4-a4d2-4d8b-9148-e3be6c30e623}">
          <xlrd:rvb i="510"/>
        </ext>
      </extLst>
    </bk>
    <bk>
      <extLst>
        <ext uri="{3e2802c4-a4d2-4d8b-9148-e3be6c30e623}">
          <xlrd:rvb i="513"/>
        </ext>
      </extLst>
    </bk>
    <bk>
      <extLst>
        <ext uri="{3e2802c4-a4d2-4d8b-9148-e3be6c30e623}">
          <xlrd:rvb i="516"/>
        </ext>
      </extLst>
    </bk>
    <bk>
      <extLst>
        <ext uri="{3e2802c4-a4d2-4d8b-9148-e3be6c30e623}">
          <xlrd:rvb i="519"/>
        </ext>
      </extLst>
    </bk>
    <bk>
      <extLst>
        <ext uri="{3e2802c4-a4d2-4d8b-9148-e3be6c30e623}">
          <xlrd:rvb i="522"/>
        </ext>
      </extLst>
    </bk>
    <bk>
      <extLst>
        <ext uri="{3e2802c4-a4d2-4d8b-9148-e3be6c30e623}">
          <xlrd:rvb i="524"/>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0"/>
        </ext>
      </extLst>
    </bk>
    <bk>
      <extLst>
        <ext uri="{3e2802c4-a4d2-4d8b-9148-e3be6c30e623}">
          <xlrd:rvb i="603"/>
        </ext>
      </extLst>
    </bk>
    <bk>
      <extLst>
        <ext uri="{3e2802c4-a4d2-4d8b-9148-e3be6c30e623}">
          <xlrd:rvb i="606"/>
        </ext>
      </extLst>
    </bk>
    <bk>
      <extLst>
        <ext uri="{3e2802c4-a4d2-4d8b-9148-e3be6c30e623}">
          <xlrd:rvb i="608"/>
        </ext>
      </extLst>
    </bk>
    <bk>
      <extLst>
        <ext uri="{3e2802c4-a4d2-4d8b-9148-e3be6c30e623}">
          <xlrd:rvb i="610"/>
        </ext>
      </extLst>
    </bk>
    <bk>
      <extLst>
        <ext uri="{3e2802c4-a4d2-4d8b-9148-e3be6c30e623}">
          <xlrd:rvb i="612"/>
        </ext>
      </extLst>
    </bk>
    <bk>
      <extLst>
        <ext uri="{3e2802c4-a4d2-4d8b-9148-e3be6c30e623}">
          <xlrd:rvb i="615"/>
        </ext>
      </extLst>
    </bk>
    <bk>
      <extLst>
        <ext uri="{3e2802c4-a4d2-4d8b-9148-e3be6c30e623}">
          <xlrd:rvb i="618"/>
        </ext>
      </extLst>
    </bk>
    <bk>
      <extLst>
        <ext uri="{3e2802c4-a4d2-4d8b-9148-e3be6c30e623}">
          <xlrd:rvb i="621"/>
        </ext>
      </extLst>
    </bk>
    <bk>
      <extLst>
        <ext uri="{3e2802c4-a4d2-4d8b-9148-e3be6c30e623}">
          <xlrd:rvb i="624"/>
        </ext>
      </extLst>
    </bk>
    <bk>
      <extLst>
        <ext uri="{3e2802c4-a4d2-4d8b-9148-e3be6c30e623}">
          <xlrd:rvb i="627"/>
        </ext>
      </extLst>
    </bk>
    <bk>
      <extLst>
        <ext uri="{3e2802c4-a4d2-4d8b-9148-e3be6c30e623}">
          <xlrd:rvb i="629"/>
        </ext>
      </extLst>
    </bk>
    <bk>
      <extLst>
        <ext uri="{3e2802c4-a4d2-4d8b-9148-e3be6c30e623}">
          <xlrd:rvb i="632"/>
        </ext>
      </extLst>
    </bk>
    <bk>
      <extLst>
        <ext uri="{3e2802c4-a4d2-4d8b-9148-e3be6c30e623}">
          <xlrd:rvb i="635"/>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7"/>
        </ext>
      </extLst>
    </bk>
    <bk>
      <extLst>
        <ext uri="{3e2802c4-a4d2-4d8b-9148-e3be6c30e623}">
          <xlrd:rvb i="650"/>
        </ext>
      </extLst>
    </bk>
    <bk>
      <extLst>
        <ext uri="{3e2802c4-a4d2-4d8b-9148-e3be6c30e623}">
          <xlrd:rvb i="653"/>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0"/>
        </ext>
      </extLst>
    </bk>
    <bk>
      <extLst>
        <ext uri="{3e2802c4-a4d2-4d8b-9148-e3be6c30e623}">
          <xlrd:rvb i="673"/>
        </ext>
      </extLst>
    </bk>
    <bk>
      <extLst>
        <ext uri="{3e2802c4-a4d2-4d8b-9148-e3be6c30e623}">
          <xlrd:rvb i="676"/>
        </ext>
      </extLst>
    </bk>
    <bk>
      <extLst>
        <ext uri="{3e2802c4-a4d2-4d8b-9148-e3be6c30e623}">
          <xlrd:rvb i="679"/>
        </ext>
      </extLst>
    </bk>
    <bk>
      <extLst>
        <ext uri="{3e2802c4-a4d2-4d8b-9148-e3be6c30e623}">
          <xlrd:rvb i="682"/>
        </ext>
      </extLst>
    </bk>
    <bk>
      <extLst>
        <ext uri="{3e2802c4-a4d2-4d8b-9148-e3be6c30e623}">
          <xlrd:rvb i="685"/>
        </ext>
      </extLst>
    </bk>
    <bk>
      <extLst>
        <ext uri="{3e2802c4-a4d2-4d8b-9148-e3be6c30e623}">
          <xlrd:rvb i="688"/>
        </ext>
      </extLst>
    </bk>
    <bk>
      <extLst>
        <ext uri="{3e2802c4-a4d2-4d8b-9148-e3be6c30e623}">
          <xlrd:rvb i="690"/>
        </ext>
      </extLst>
    </bk>
    <bk>
      <extLst>
        <ext uri="{3e2802c4-a4d2-4d8b-9148-e3be6c30e623}">
          <xlrd:rvb i="692"/>
        </ext>
      </extLst>
    </bk>
    <bk>
      <extLst>
        <ext uri="{3e2802c4-a4d2-4d8b-9148-e3be6c30e623}">
          <xlrd:rvb i="694"/>
        </ext>
      </extLst>
    </bk>
    <bk>
      <extLst>
        <ext uri="{3e2802c4-a4d2-4d8b-9148-e3be6c30e623}">
          <xlrd:rvb i="697"/>
        </ext>
      </extLst>
    </bk>
    <bk>
      <extLst>
        <ext uri="{3e2802c4-a4d2-4d8b-9148-e3be6c30e623}">
          <xlrd:rvb i="700"/>
        </ext>
      </extLst>
    </bk>
    <bk>
      <extLst>
        <ext uri="{3e2802c4-a4d2-4d8b-9148-e3be6c30e623}">
          <xlrd:rvb i="703"/>
        </ext>
      </extLst>
    </bk>
    <bk>
      <extLst>
        <ext uri="{3e2802c4-a4d2-4d8b-9148-e3be6c30e623}">
          <xlrd:rvb i="706"/>
        </ext>
      </extLst>
    </bk>
    <bk>
      <extLst>
        <ext uri="{3e2802c4-a4d2-4d8b-9148-e3be6c30e623}">
          <xlrd:rvb i="709"/>
        </ext>
      </extLst>
    </bk>
    <bk>
      <extLst>
        <ext uri="{3e2802c4-a4d2-4d8b-9148-e3be6c30e623}">
          <xlrd:rvb i="712"/>
        </ext>
      </extLst>
    </bk>
    <bk>
      <extLst>
        <ext uri="{3e2802c4-a4d2-4d8b-9148-e3be6c30e623}">
          <xlrd:rvb i="715"/>
        </ext>
      </extLst>
    </bk>
    <bk>
      <extLst>
        <ext uri="{3e2802c4-a4d2-4d8b-9148-e3be6c30e623}">
          <xlrd:rvb i="718"/>
        </ext>
      </extLst>
    </bk>
    <bk>
      <extLst>
        <ext uri="{3e2802c4-a4d2-4d8b-9148-e3be6c30e623}">
          <xlrd:rvb i="721"/>
        </ext>
      </extLst>
    </bk>
    <bk>
      <extLst>
        <ext uri="{3e2802c4-a4d2-4d8b-9148-e3be6c30e623}">
          <xlrd:rvb i="724"/>
        </ext>
      </extLst>
    </bk>
    <bk>
      <extLst>
        <ext uri="{3e2802c4-a4d2-4d8b-9148-e3be6c30e623}">
          <xlrd:rvb i="727"/>
        </ext>
      </extLst>
    </bk>
    <bk>
      <extLst>
        <ext uri="{3e2802c4-a4d2-4d8b-9148-e3be6c30e623}">
          <xlrd:rvb i="730"/>
        </ext>
      </extLst>
    </bk>
    <bk>
      <extLst>
        <ext uri="{3e2802c4-a4d2-4d8b-9148-e3be6c30e623}">
          <xlrd:rvb i="733"/>
        </ext>
      </extLst>
    </bk>
    <bk>
      <extLst>
        <ext uri="{3e2802c4-a4d2-4d8b-9148-e3be6c30e623}">
          <xlrd:rvb i="736"/>
        </ext>
      </extLst>
    </bk>
    <bk>
      <extLst>
        <ext uri="{3e2802c4-a4d2-4d8b-9148-e3be6c30e623}">
          <xlrd:rvb i="739"/>
        </ext>
      </extLst>
    </bk>
    <bk>
      <extLst>
        <ext uri="{3e2802c4-a4d2-4d8b-9148-e3be6c30e623}">
          <xlrd:rvb i="742"/>
        </ext>
      </extLst>
    </bk>
    <bk>
      <extLst>
        <ext uri="{3e2802c4-a4d2-4d8b-9148-e3be6c30e623}">
          <xlrd:rvb i="745"/>
        </ext>
      </extLst>
    </bk>
    <bk>
      <extLst>
        <ext uri="{3e2802c4-a4d2-4d8b-9148-e3be6c30e623}">
          <xlrd:rvb i="748"/>
        </ext>
      </extLst>
    </bk>
    <bk>
      <extLst>
        <ext uri="{3e2802c4-a4d2-4d8b-9148-e3be6c30e623}">
          <xlrd:rvb i="751"/>
        </ext>
      </extLst>
    </bk>
    <bk>
      <extLst>
        <ext uri="{3e2802c4-a4d2-4d8b-9148-e3be6c30e623}">
          <xlrd:rvb i="754"/>
        </ext>
      </extLst>
    </bk>
    <bk>
      <extLst>
        <ext uri="{3e2802c4-a4d2-4d8b-9148-e3be6c30e623}">
          <xlrd:rvb i="757"/>
        </ext>
      </extLst>
    </bk>
    <bk>
      <extLst>
        <ext uri="{3e2802c4-a4d2-4d8b-9148-e3be6c30e623}">
          <xlrd:rvb i="760"/>
        </ext>
      </extLst>
    </bk>
    <bk>
      <extLst>
        <ext uri="{3e2802c4-a4d2-4d8b-9148-e3be6c30e623}">
          <xlrd:rvb i="763"/>
        </ext>
      </extLst>
    </bk>
    <bk>
      <extLst>
        <ext uri="{3e2802c4-a4d2-4d8b-9148-e3be6c30e623}">
          <xlrd:rvb i="766"/>
        </ext>
      </extLst>
    </bk>
    <bk>
      <extLst>
        <ext uri="{3e2802c4-a4d2-4d8b-9148-e3be6c30e623}">
          <xlrd:rvb i="769"/>
        </ext>
      </extLst>
    </bk>
    <bk>
      <extLst>
        <ext uri="{3e2802c4-a4d2-4d8b-9148-e3be6c30e623}">
          <xlrd:rvb i="772"/>
        </ext>
      </extLst>
    </bk>
    <bk>
      <extLst>
        <ext uri="{3e2802c4-a4d2-4d8b-9148-e3be6c30e623}">
          <xlrd:rvb i="774"/>
        </ext>
      </extLst>
    </bk>
    <bk>
      <extLst>
        <ext uri="{3e2802c4-a4d2-4d8b-9148-e3be6c30e623}">
          <xlrd:rvb i="777"/>
        </ext>
      </extLst>
    </bk>
    <bk>
      <extLst>
        <ext uri="{3e2802c4-a4d2-4d8b-9148-e3be6c30e623}">
          <xlrd:rvb i="780"/>
        </ext>
      </extLst>
    </bk>
    <bk>
      <extLst>
        <ext uri="{3e2802c4-a4d2-4d8b-9148-e3be6c30e623}">
          <xlrd:rvb i="782"/>
        </ext>
      </extLst>
    </bk>
    <bk>
      <extLst>
        <ext uri="{3e2802c4-a4d2-4d8b-9148-e3be6c30e623}">
          <xlrd:rvb i="785"/>
        </ext>
      </extLst>
    </bk>
    <bk>
      <extLst>
        <ext uri="{3e2802c4-a4d2-4d8b-9148-e3be6c30e623}">
          <xlrd:rvb i="788"/>
        </ext>
      </extLst>
    </bk>
    <bk>
      <extLst>
        <ext uri="{3e2802c4-a4d2-4d8b-9148-e3be6c30e623}">
          <xlrd:rvb i="791"/>
        </ext>
      </extLst>
    </bk>
    <bk>
      <extLst>
        <ext uri="{3e2802c4-a4d2-4d8b-9148-e3be6c30e623}">
          <xlrd:rvb i="794"/>
        </ext>
      </extLst>
    </bk>
    <bk>
      <extLst>
        <ext uri="{3e2802c4-a4d2-4d8b-9148-e3be6c30e623}">
          <xlrd:rvb i="797"/>
        </ext>
      </extLst>
    </bk>
    <bk>
      <extLst>
        <ext uri="{3e2802c4-a4d2-4d8b-9148-e3be6c30e623}">
          <xlrd:rvb i="800"/>
        </ext>
      </extLst>
    </bk>
    <bk>
      <extLst>
        <ext uri="{3e2802c4-a4d2-4d8b-9148-e3be6c30e623}">
          <xlrd:rvb i="803"/>
        </ext>
      </extLst>
    </bk>
    <bk>
      <extLst>
        <ext uri="{3e2802c4-a4d2-4d8b-9148-e3be6c30e623}">
          <xlrd:rvb i="806"/>
        </ext>
      </extLst>
    </bk>
    <bk>
      <extLst>
        <ext uri="{3e2802c4-a4d2-4d8b-9148-e3be6c30e623}">
          <xlrd:rvb i="809"/>
        </ext>
      </extLst>
    </bk>
    <bk>
      <extLst>
        <ext uri="{3e2802c4-a4d2-4d8b-9148-e3be6c30e623}">
          <xlrd:rvb i="812"/>
        </ext>
      </extLst>
    </bk>
    <bk>
      <extLst>
        <ext uri="{3e2802c4-a4d2-4d8b-9148-e3be6c30e623}">
          <xlrd:rvb i="815"/>
        </ext>
      </extLst>
    </bk>
    <bk>
      <extLst>
        <ext uri="{3e2802c4-a4d2-4d8b-9148-e3be6c30e623}">
          <xlrd:rvb i="818"/>
        </ext>
      </extLst>
    </bk>
    <bk>
      <extLst>
        <ext uri="{3e2802c4-a4d2-4d8b-9148-e3be6c30e623}">
          <xlrd:rvb i="821"/>
        </ext>
      </extLst>
    </bk>
    <bk>
      <extLst>
        <ext uri="{3e2802c4-a4d2-4d8b-9148-e3be6c30e623}">
          <xlrd:rvb i="824"/>
        </ext>
      </extLst>
    </bk>
    <bk>
      <extLst>
        <ext uri="{3e2802c4-a4d2-4d8b-9148-e3be6c30e623}">
          <xlrd:rvb i="827"/>
        </ext>
      </extLst>
    </bk>
    <bk>
      <extLst>
        <ext uri="{3e2802c4-a4d2-4d8b-9148-e3be6c30e623}">
          <xlrd:rvb i="830"/>
        </ext>
      </extLst>
    </bk>
    <bk>
      <extLst>
        <ext uri="{3e2802c4-a4d2-4d8b-9148-e3be6c30e623}">
          <xlrd:rvb i="833"/>
        </ext>
      </extLst>
    </bk>
    <bk>
      <extLst>
        <ext uri="{3e2802c4-a4d2-4d8b-9148-e3be6c30e623}">
          <xlrd:rvb i="836"/>
        </ext>
      </extLst>
    </bk>
    <bk>
      <extLst>
        <ext uri="{3e2802c4-a4d2-4d8b-9148-e3be6c30e623}">
          <xlrd:rvb i="839"/>
        </ext>
      </extLst>
    </bk>
    <bk>
      <extLst>
        <ext uri="{3e2802c4-a4d2-4d8b-9148-e3be6c30e623}">
          <xlrd:rvb i="842"/>
        </ext>
      </extLst>
    </bk>
    <bk>
      <extLst>
        <ext uri="{3e2802c4-a4d2-4d8b-9148-e3be6c30e623}">
          <xlrd:rvb i="844"/>
        </ext>
      </extLst>
    </bk>
    <bk>
      <extLst>
        <ext uri="{3e2802c4-a4d2-4d8b-9148-e3be6c30e623}">
          <xlrd:rvb i="847"/>
        </ext>
      </extLst>
    </bk>
    <bk>
      <extLst>
        <ext uri="{3e2802c4-a4d2-4d8b-9148-e3be6c30e623}">
          <xlrd:rvb i="850"/>
        </ext>
      </extLst>
    </bk>
    <bk>
      <extLst>
        <ext uri="{3e2802c4-a4d2-4d8b-9148-e3be6c30e623}">
          <xlrd:rvb i="853"/>
        </ext>
      </extLst>
    </bk>
    <bk>
      <extLst>
        <ext uri="{3e2802c4-a4d2-4d8b-9148-e3be6c30e623}">
          <xlrd:rvb i="856"/>
        </ext>
      </extLst>
    </bk>
    <bk>
      <extLst>
        <ext uri="{3e2802c4-a4d2-4d8b-9148-e3be6c30e623}">
          <xlrd:rvb i="859"/>
        </ext>
      </extLst>
    </bk>
    <bk>
      <extLst>
        <ext uri="{3e2802c4-a4d2-4d8b-9148-e3be6c30e623}">
          <xlrd:rvb i="861"/>
        </ext>
      </extLst>
    </bk>
    <bk>
      <extLst>
        <ext uri="{3e2802c4-a4d2-4d8b-9148-e3be6c30e623}">
          <xlrd:rvb i="864"/>
        </ext>
      </extLst>
    </bk>
    <bk>
      <extLst>
        <ext uri="{3e2802c4-a4d2-4d8b-9148-e3be6c30e623}">
          <xlrd:rvb i="867"/>
        </ext>
      </extLst>
    </bk>
    <bk>
      <extLst>
        <ext uri="{3e2802c4-a4d2-4d8b-9148-e3be6c30e623}">
          <xlrd:rvb i="870"/>
        </ext>
      </extLst>
    </bk>
    <bk>
      <extLst>
        <ext uri="{3e2802c4-a4d2-4d8b-9148-e3be6c30e623}">
          <xlrd:rvb i="873"/>
        </ext>
      </extLst>
    </bk>
    <bk>
      <extLst>
        <ext uri="{3e2802c4-a4d2-4d8b-9148-e3be6c30e623}">
          <xlrd:rvb i="876"/>
        </ext>
      </extLst>
    </bk>
    <bk>
      <extLst>
        <ext uri="{3e2802c4-a4d2-4d8b-9148-e3be6c30e623}">
          <xlrd:rvb i="879"/>
        </ext>
      </extLst>
    </bk>
    <bk>
      <extLst>
        <ext uri="{3e2802c4-a4d2-4d8b-9148-e3be6c30e623}">
          <xlrd:rvb i="882"/>
        </ext>
      </extLst>
    </bk>
    <bk>
      <extLst>
        <ext uri="{3e2802c4-a4d2-4d8b-9148-e3be6c30e623}">
          <xlrd:rvb i="885"/>
        </ext>
      </extLst>
    </bk>
    <bk>
      <extLst>
        <ext uri="{3e2802c4-a4d2-4d8b-9148-e3be6c30e623}">
          <xlrd:rvb i="888"/>
        </ext>
      </extLst>
    </bk>
    <bk>
      <extLst>
        <ext uri="{3e2802c4-a4d2-4d8b-9148-e3be6c30e623}">
          <xlrd:rvb i="891"/>
        </ext>
      </extLst>
    </bk>
    <bk>
      <extLst>
        <ext uri="{3e2802c4-a4d2-4d8b-9148-e3be6c30e623}">
          <xlrd:rvb i="894"/>
        </ext>
      </extLst>
    </bk>
    <bk>
      <extLst>
        <ext uri="{3e2802c4-a4d2-4d8b-9148-e3be6c30e623}">
          <xlrd:rvb i="896"/>
        </ext>
      </extLst>
    </bk>
  </futureMetadata>
  <futureMetadata name="XLDAPR" count="1">
    <bk>
      <extLst>
        <ext uri="{bdbb8cdc-fa1e-496e-a857-3c3f30c029c3}">
          <xda:dynamicArrayProperties fDynamic="1" fCollapsed="0"/>
        </ext>
      </extLst>
    </bk>
  </futureMetadata>
  <cellMetadata count="1">
    <bk>
      <rc t="2" v="0"/>
    </bk>
  </cellMetadata>
  <valueMetadata count="30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valueMetadata>
</metadata>
</file>

<file path=xl/sharedStrings.xml><?xml version="1.0" encoding="utf-8"?>
<sst xmlns="http://schemas.openxmlformats.org/spreadsheetml/2006/main" count="8350" uniqueCount="1082">
  <si>
    <t>📊 Portfolio Dashboard</t>
  </si>
  <si>
    <t>Portfolio Summary</t>
  </si>
  <si>
    <t>Trading Performance</t>
  </si>
  <si>
    <t>📈 Benchmark Returns (Since Invest Start)</t>
  </si>
  <si>
    <t>Metric</t>
  </si>
  <si>
    <t>Value</t>
  </si>
  <si>
    <t>Realized (Closed)</t>
  </si>
  <si>
    <t>Unrealized (Open)</t>
  </si>
  <si>
    <t>Index Tracker (ETF)</t>
  </si>
  <si>
    <t>Start Price (₹)</t>
  </si>
  <si>
    <t>LTP (₹)</t>
  </si>
  <si>
    <t>Return %</t>
  </si>
  <si>
    <t>Total Invested Value</t>
  </si>
  <si>
    <t>Winning Trades</t>
  </si>
  <si>
    <t>NIFTY_50</t>
  </si>
  <si>
    <t>Total Current Value</t>
  </si>
  <si>
    <t>Losing Trades</t>
  </si>
  <si>
    <t>CNXMIDCAP</t>
  </si>
  <si>
    <t>Unrealized PnL</t>
  </si>
  <si>
    <t>Win / Loss Ratio</t>
  </si>
  <si>
    <t>Realized PnL</t>
  </si>
  <si>
    <t>Avg Win (₹)</t>
  </si>
  <si>
    <t>Combined PnL</t>
  </si>
  <si>
    <t>Avg Loss (₹)</t>
  </si>
  <si>
    <t>Allocation by Market Cap</t>
  </si>
  <si>
    <t>Combined PnL %</t>
  </si>
  <si>
    <t>Risk / Reward Ratio</t>
  </si>
  <si>
    <t>Market Cap</t>
  </si>
  <si>
    <t>Invested (₹)</t>
  </si>
  <si>
    <t>% of Total</t>
  </si>
  <si>
    <t>Returns</t>
  </si>
  <si>
    <t>Core Allocation (%)</t>
  </si>
  <si>
    <t>Small Cap</t>
  </si>
  <si>
    <t>Satellite Allocation (%)</t>
  </si>
  <si>
    <t>Large Cap</t>
  </si>
  <si>
    <t>Active Holdings</t>
  </si>
  <si>
    <t>Mid Cap</t>
  </si>
  <si>
    <t>Total Stocks Traded</t>
  </si>
  <si>
    <t>TOTAL</t>
  </si>
  <si>
    <t>Top 5 Gainers / Bottom 5 Losers (Satellite)</t>
  </si>
  <si>
    <t>Core &amp; Satellite Distribution</t>
  </si>
  <si>
    <t>Symbol</t>
  </si>
  <si>
    <t>Classification</t>
  </si>
  <si>
    <t>Current (₹)</t>
  </si>
  <si>
    <t>PnL (₹)</t>
  </si>
  <si>
    <t>PnL %</t>
  </si>
  <si>
    <t>HINDALCO</t>
  </si>
  <si>
    <t>Satellite</t>
  </si>
  <si>
    <t>CUPID</t>
  </si>
  <si>
    <t>Core</t>
  </si>
  <si>
    <t>APOLLO</t>
  </si>
  <si>
    <t>BALAMINES</t>
  </si>
  <si>
    <t>SEAMECLTD</t>
  </si>
  <si>
    <t>SFL</t>
  </si>
  <si>
    <t>Allocation by Sector</t>
  </si>
  <si>
    <t>AUROPHARMA</t>
  </si>
  <si>
    <t>Sector</t>
  </si>
  <si>
    <t>SUNPHARMA</t>
  </si>
  <si>
    <t>Industrial</t>
  </si>
  <si>
    <t>NRBBEARING</t>
  </si>
  <si>
    <t>Consumption</t>
  </si>
  <si>
    <t>AJANTPHARM</t>
  </si>
  <si>
    <t>Health / Pharma / Chem</t>
  </si>
  <si>
    <t>Finance</t>
  </si>
  <si>
    <t xml:space="preserve">Consumption </t>
  </si>
  <si>
    <t>Top 5 Gainers / Bottom 5 Losers (Core)</t>
  </si>
  <si>
    <t>Tech / Platform / IT</t>
  </si>
  <si>
    <t>TDPOWERSYS</t>
  </si>
  <si>
    <t>POLYCAB</t>
  </si>
  <si>
    <t>FEDERALBNK</t>
  </si>
  <si>
    <t>Sector Allocation (Core vs Satellite)</t>
  </si>
  <si>
    <t>GVT&amp;D</t>
  </si>
  <si>
    <t>Core (₹)</t>
  </si>
  <si>
    <t>Satellite (₹)</t>
  </si>
  <si>
    <t>Total (₹)</t>
  </si>
  <si>
    <t>BSE</t>
  </si>
  <si>
    <t>ACUTAAS</t>
  </si>
  <si>
    <t>CCL</t>
  </si>
  <si>
    <t>TRITURBINE</t>
  </si>
  <si>
    <t>M&amp;M</t>
  </si>
  <si>
    <t>APLAPOLLO</t>
  </si>
  <si>
    <t>⚠️ Stocks Nearest to Stop Loss</t>
  </si>
  <si>
    <t>LTP</t>
  </si>
  <si>
    <t>SL</t>
  </si>
  <si>
    <t>Diff (₹)</t>
  </si>
  <si>
    <t>Diff (%)</t>
  </si>
  <si>
    <t>Tranche</t>
  </si>
  <si>
    <t>PnL Breakdown by Cap</t>
  </si>
  <si>
    <t>CGPOWER</t>
  </si>
  <si>
    <t>Cap</t>
  </si>
  <si>
    <t>Total PnL</t>
  </si>
  <si>
    <t>ZYDUSLIFE</t>
  </si>
  <si>
    <t>THERMAX</t>
  </si>
  <si>
    <t>LAURUSLABS</t>
  </si>
  <si>
    <t>Tranche Distribution</t>
  </si>
  <si>
    <t>GPIL</t>
  </si>
  <si>
    <t>Count</t>
  </si>
  <si>
    <t>% of Holdings</t>
  </si>
  <si>
    <t>Cheat 1</t>
  </si>
  <si>
    <t>Cheat 2</t>
  </si>
  <si>
    <t>🔔 Corporate Actions (Splits / Bonus)</t>
  </si>
  <si>
    <t>Cheat 4</t>
  </si>
  <si>
    <t>Split / Bonus Details</t>
  </si>
  <si>
    <t>Adj Required</t>
  </si>
  <si>
    <t>Tranch 1</t>
  </si>
  <si>
    <t>5:1 Split on 2026-03-09</t>
  </si>
  <si>
    <t>No</t>
  </si>
  <si>
    <t>Tranch 2</t>
  </si>
  <si>
    <t>Tranch 3</t>
  </si>
  <si>
    <t>Tranch 4</t>
  </si>
  <si>
    <t>Top 5 Cheat Stocks by Holding Period</t>
  </si>
  <si>
    <t>Stock Name</t>
  </si>
  <si>
    <t>Cheat</t>
  </si>
  <si>
    <t>Holding Period (Days)</t>
  </si>
  <si>
    <t>Invested Value</t>
  </si>
  <si>
    <t>Current Value</t>
  </si>
  <si>
    <t>XIRR</t>
  </si>
  <si>
    <t>Holding Period Distribution</t>
  </si>
  <si>
    <t>GAEL</t>
  </si>
  <si>
    <t>Period</t>
  </si>
  <si>
    <t>0 - 30 days</t>
  </si>
  <si>
    <t>31 - 90 days</t>
  </si>
  <si>
    <t>91 - 180 days</t>
  </si>
  <si>
    <t>180+ days</t>
  </si>
  <si>
    <t>Top 10 Movers (Current Portfolio)</t>
  </si>
  <si>
    <t>Prev Week Close</t>
  </si>
  <si>
    <t>% Change</t>
  </si>
  <si>
    <t>EXIDEIND</t>
  </si>
  <si>
    <t>TATATECH</t>
  </si>
  <si>
    <t>SKIPPER</t>
  </si>
  <si>
    <t>NETWEB</t>
  </si>
  <si>
    <t>ADANIENT</t>
  </si>
  <si>
    <t>Top 10 Movers (Watchlist Only)</t>
  </si>
  <si>
    <t>Price</t>
  </si>
  <si>
    <t>CPPLUS</t>
  </si>
  <si>
    <t>E2E</t>
  </si>
  <si>
    <t>BIRLACABLE</t>
  </si>
  <si>
    <t>ANTELOPUS</t>
  </si>
  <si>
    <t>STLTECH</t>
  </si>
  <si>
    <t>MODISONLTD</t>
  </si>
  <si>
    <t>NMDC</t>
  </si>
  <si>
    <t>ALKYLAMINE</t>
  </si>
  <si>
    <t>SKYGOLD</t>
  </si>
  <si>
    <t>SYRMA</t>
  </si>
  <si>
    <t>Date</t>
  </si>
  <si>
    <t>TF_Classification</t>
  </si>
  <si>
    <t xml:space="preserve">Stock </t>
  </si>
  <si>
    <t xml:space="preserve">TF Classification </t>
  </si>
  <si>
    <t>Latest Tranch or Cheat</t>
  </si>
  <si>
    <t xml:space="preserve">Action (Recommended) </t>
  </si>
  <si>
    <t>Reason</t>
  </si>
  <si>
    <t xml:space="preserve">Action Taken </t>
  </si>
  <si>
    <t>Remarks</t>
  </si>
  <si>
    <t>29-05-2026</t>
  </si>
  <si>
    <t>SELL</t>
  </si>
  <si>
    <t>Cheat holding period long and less return (214 days, 1.56% return)</t>
  </si>
  <si>
    <t xml:space="preserve">Sakthiman- OK, </t>
  </si>
  <si>
    <t>Cheat holding period long and red (144 days, -4.47% return)</t>
  </si>
  <si>
    <t>Cheat holding period long and less return (14 days, 3.74% return)</t>
  </si>
  <si>
    <t>Cheat holding period long and red (11 days, -4.00% return)</t>
  </si>
  <si>
    <t>Cheat holding period long and red (11 days, -3.09% return)</t>
  </si>
  <si>
    <t>POCL</t>
  </si>
  <si>
    <t>Tranch LTP close to stop loss (&lt; 5% difference)</t>
  </si>
  <si>
    <t>Sakthiman- X, Reversing Positively, Wait Mode</t>
  </si>
  <si>
    <t>ADD</t>
  </si>
  <si>
    <t>Cheat positive return (147 days, 14.90% return, -2.46% return from prev week close)</t>
  </si>
  <si>
    <t>Weekly Red Candle 
Shaktimaan shows Green and "C" even though the weekly candle is red
"Green" indicates a positive trend signal
"C" typically suggests consolidation or caution but not a sell signal
In this case, the green color in Shaktimaan outweighs the red candle, meaning the overall trend is still positive.
So, the strategy remains: 🔵 Hold your position for now.</t>
  </si>
  <si>
    <t>Cheat positive return (147 days, 8.49% return, 4.34% return from prev week close)</t>
  </si>
  <si>
    <t>Yes</t>
  </si>
  <si>
    <t xml:space="preserve">Weekly candle is higher than previous week closing
Shaktimaan shows B (Green)
Donchian Channel breakout two weekly candles back
The strategy is:  Buy/Add position </t>
  </si>
  <si>
    <t>Cheat positive return (119 days, 20.27% return, 1.28% return from prev week close)</t>
  </si>
  <si>
    <t xml:space="preserve">No </t>
  </si>
  <si>
    <t>This week red candle but current price is above last week's green candle close
Has NOT formed a new weekly high compared to previous week</t>
  </si>
  <si>
    <t>Cheat 3</t>
  </si>
  <si>
    <t>Cheat positive return (106 days, 15.78% return, 7.10% return from prev week close)</t>
  </si>
  <si>
    <t>Green Candle, DC High, Volume almost equivalent to Average</t>
  </si>
  <si>
    <t>ASTRAMICRO</t>
  </si>
  <si>
    <t>Cheat positive return (32 days, 22.88% return, 19.39% return from prev week close)</t>
  </si>
  <si>
    <t>Green candle, DC high, Above Average Volume</t>
  </si>
  <si>
    <t>Cheat positive return (14 days, 8.42% return, 8.81% return from prev week close)</t>
  </si>
  <si>
    <t>Cheat positive return (10 days, 6.41% return, 6.28% return from prev week close)</t>
  </si>
  <si>
    <t>Tranch LTP above previous week close [&gt; 5%] (15.93% above)</t>
  </si>
  <si>
    <t>Tranch LTP above previous week close [0 to 5%] (0.10% above)</t>
  </si>
  <si>
    <t>NO</t>
  </si>
  <si>
    <t>Red Candle, DC high, Sakthiman C</t>
  </si>
  <si>
    <t>Tranch LTP above previous week close [&gt; 5%] (7.82% above)</t>
  </si>
  <si>
    <t>Tranch LTP above previous week close [0 to 5%] (3.07% above)</t>
  </si>
  <si>
    <t>ADANIENSOL</t>
  </si>
  <si>
    <t>Watchlist</t>
  </si>
  <si>
    <t>BUY</t>
  </si>
  <si>
    <t>Buy breakout (RSI: 74.3, ADX: 33.0, Vol: +53% above average)</t>
  </si>
  <si>
    <t>HFCL</t>
  </si>
  <si>
    <t>Buy breakout (RSI: 91.9, ADX: 39.5, Vol: +68% above average)</t>
  </si>
  <si>
    <t>MAYURUNIQ</t>
  </si>
  <si>
    <t>Buy breakout (RSI: 79.5, ADX: 28.3, Vol: +83% above average)</t>
  </si>
  <si>
    <t>NGLFINE</t>
  </si>
  <si>
    <t>Buy breakout (RSI: 77.5, ADX: 65.9, Vol: +199% above average)</t>
  </si>
  <si>
    <t>SHILPAMED</t>
  </si>
  <si>
    <t>Buy breakout (RSI: 75.8, ADX: 37.8, Vol: +104% above average)</t>
  </si>
  <si>
    <t>SPARC</t>
  </si>
  <si>
    <t>Buy breakout (RSI: 75.3, ADX: 44.3, Vol: +511% above average)</t>
  </si>
  <si>
    <t>SUPRIYA</t>
  </si>
  <si>
    <t>Buy breakout (RSI: 78.9, ADX: 25.8, Vol: +420% above average)</t>
  </si>
  <si>
    <t>SUVEN</t>
  </si>
  <si>
    <t>Buy breakout (RSI: 76.7, ADX: 34.5, Vol: +34% above average)</t>
  </si>
  <si>
    <t>Buy breakout (RSI: 79.8, ADX: 31.5, Vol: +52% above average)</t>
  </si>
  <si>
    <t>yes</t>
  </si>
  <si>
    <t>ABB</t>
  </si>
  <si>
    <t>Buy breakout (RSI: 66.3, ADX: 38.1, Vol: +50% above average)</t>
  </si>
  <si>
    <t>Buy breakout (RSI: 73.5, ADX: 33.0, Vol: +89% above average)</t>
  </si>
  <si>
    <t>CONFIPET</t>
  </si>
  <si>
    <t>Buy breakout (RSI: 74.6, ADX: 55.7, Vol: +12% above average)</t>
  </si>
  <si>
    <t>Buy breakout (RSI: 70.5, ADX: 28.6, Vol: +78% above average)</t>
  </si>
  <si>
    <t>Buy breakout (RSI: 63.5, ADX: 28.0, Vol: +239% above average)</t>
  </si>
  <si>
    <t>FCL</t>
  </si>
  <si>
    <t>Buy breakout (RSI: 76.4, ADX: 35.1, Vol: +468% above average)</t>
  </si>
  <si>
    <t>FINCABLES</t>
  </si>
  <si>
    <t>Buy breakout (RSI: 66.8, ADX: 34.8, Vol: +108% above average)</t>
  </si>
  <si>
    <t>MARKSANS</t>
  </si>
  <si>
    <t>Buy breakout (RSI: 75.4, ADX: 26.9, Vol: +720% above average)</t>
  </si>
  <si>
    <t>MOLDTKPAC</t>
  </si>
  <si>
    <t>Buy breakout (RSI: 63.7, ADX: 26.2, Vol: +8% above average)</t>
  </si>
  <si>
    <t>Buy breakout (RSI: 65.9, ADX: 45.1, Vol: +156% above average)</t>
  </si>
  <si>
    <t>Buy breakout (RSI: 71.4, ADX: 31.9, Vol: +277% above average)</t>
  </si>
  <si>
    <t>Buy breakout (RSI: 76.2, ADX: 34.5, Vol: +109% above average)</t>
  </si>
  <si>
    <t>Buy breakout (RSI: 82.1, ADX: 26.6, Vol: +74% above average)</t>
  </si>
  <si>
    <t>Unnamed: 0.1</t>
  </si>
  <si>
    <t>ISIN</t>
  </si>
  <si>
    <t>Trade Date</t>
  </si>
  <si>
    <t>Exchange</t>
  </si>
  <si>
    <t>Segment</t>
  </si>
  <si>
    <t>Series</t>
  </si>
  <si>
    <t>Trade Type</t>
  </si>
  <si>
    <t>Auction</t>
  </si>
  <si>
    <t>Quantity</t>
  </si>
  <si>
    <t>Trade ID</t>
  </si>
  <si>
    <t>Order ID</t>
  </si>
  <si>
    <t>Order Execution Time</t>
  </si>
  <si>
    <t>Unnamed: 0</t>
  </si>
  <si>
    <t>INE455K01017</t>
  </si>
  <si>
    <t>2025-09-08</t>
  </si>
  <si>
    <t>NSE</t>
  </si>
  <si>
    <t>EQ</t>
  </si>
  <si>
    <t>buy</t>
  </si>
  <si>
    <t>2025-09-08T13:01:01</t>
  </si>
  <si>
    <t>CIPLA</t>
  </si>
  <si>
    <t>INE059A01026</t>
  </si>
  <si>
    <t>2025-09-08T13:15:31</t>
  </si>
  <si>
    <t>HBLENGINE</t>
  </si>
  <si>
    <t>INE292B01021</t>
  </si>
  <si>
    <t>2025-09-08T13:22:33</t>
  </si>
  <si>
    <t>SUPREMEIND</t>
  </si>
  <si>
    <t>INE195A01028</t>
  </si>
  <si>
    <t>2025-09-08T13:36:34</t>
  </si>
  <si>
    <t>TITAN</t>
  </si>
  <si>
    <t>INE280A01028</t>
  </si>
  <si>
    <t>2025-09-08T13:52:01</t>
  </si>
  <si>
    <t>DMART</t>
  </si>
  <si>
    <t>INE192R01011</t>
  </si>
  <si>
    <t>2025-09-08T13:56:18</t>
  </si>
  <si>
    <t>METROPOLIS</t>
  </si>
  <si>
    <t>INE112L01020</t>
  </si>
  <si>
    <t>2025-09-08T14:00:59</t>
  </si>
  <si>
    <t>AVANTEL</t>
  </si>
  <si>
    <t>INE005B01027</t>
  </si>
  <si>
    <t>2025-09-09</t>
  </si>
  <si>
    <t>2025-09-09T11:27:29</t>
  </si>
  <si>
    <t>GMDCLTD</t>
  </si>
  <si>
    <t>INE131A01031</t>
  </si>
  <si>
    <t>2025-09-09T11:27:52</t>
  </si>
  <si>
    <t>UNOMINDA</t>
  </si>
  <si>
    <t>INE405E01023</t>
  </si>
  <si>
    <t>2025-09-09T11:50:25</t>
  </si>
  <si>
    <t>PIDILITIND</t>
  </si>
  <si>
    <t>INE318A01026</t>
  </si>
  <si>
    <t>2025-09-09T11:58:50</t>
  </si>
  <si>
    <t>INE067A01029</t>
  </si>
  <si>
    <t>2025-09-15</t>
  </si>
  <si>
    <t>2025-09-15T10:20:52</t>
  </si>
  <si>
    <t>JBMA</t>
  </si>
  <si>
    <t>INE927D01051</t>
  </si>
  <si>
    <t>2025-09-16</t>
  </si>
  <si>
    <t>2025-09-16T15:22:47</t>
  </si>
  <si>
    <t>CANBK</t>
  </si>
  <si>
    <t>INE476A01022</t>
  </si>
  <si>
    <t>2025-09-22</t>
  </si>
  <si>
    <t>2025-09-22T13:57:19</t>
  </si>
  <si>
    <t>2025-09-22T14:09:54</t>
  </si>
  <si>
    <t>2025-09-22T14:14:57</t>
  </si>
  <si>
    <t>SPLPETRO</t>
  </si>
  <si>
    <t>INE663A01033</t>
  </si>
  <si>
    <t>2025-09-29</t>
  </si>
  <si>
    <t>2025-09-29T13:44:57</t>
  </si>
  <si>
    <t>2025-10-03</t>
  </si>
  <si>
    <t>sell</t>
  </si>
  <si>
    <t>2025-10-03T10:11:43</t>
  </si>
  <si>
    <t>2025-10-03T10:12:04</t>
  </si>
  <si>
    <t>2025-10-03T10:12:36</t>
  </si>
  <si>
    <t>2025-10-06</t>
  </si>
  <si>
    <t>2025-10-06T14:28:07</t>
  </si>
  <si>
    <t>A</t>
  </si>
  <si>
    <t>2025-10-06T14:43:43</t>
  </si>
  <si>
    <t>POONAWALLA</t>
  </si>
  <si>
    <t>INE511C01022</t>
  </si>
  <si>
    <t>2025-10-06T14:49:23</t>
  </si>
  <si>
    <t>PRECWIRE</t>
  </si>
  <si>
    <t>INE372C01037</t>
  </si>
  <si>
    <t>2025-10-06T14:53:24</t>
  </si>
  <si>
    <t>2025-10-06T14:55:34</t>
  </si>
  <si>
    <t>INE038A01020</t>
  </si>
  <si>
    <t>2025-10-06T15:06:32</t>
  </si>
  <si>
    <t>2025-10-08</t>
  </si>
  <si>
    <t>2025-10-08T13:18:12</t>
  </si>
  <si>
    <t>2025-10-09</t>
  </si>
  <si>
    <t>2025-10-09T11:10:16</t>
  </si>
  <si>
    <t>2025-10-13</t>
  </si>
  <si>
    <t>2025-10-13T14:44:00</t>
  </si>
  <si>
    <t>2025-10-13T15:12:12</t>
  </si>
  <si>
    <t>BAJFINANCE</t>
  </si>
  <si>
    <t>INE296A01032</t>
  </si>
  <si>
    <t>2025-10-16</t>
  </si>
  <si>
    <t>2025-10-16T14:02:53</t>
  </si>
  <si>
    <t>2025-10-16T14:05:36</t>
  </si>
  <si>
    <t>2025-10-17</t>
  </si>
  <si>
    <t>2025-10-17T14:27:40</t>
  </si>
  <si>
    <t>2025-10-17T14:27:54</t>
  </si>
  <si>
    <t>2025-10-20</t>
  </si>
  <si>
    <t>2025-10-20T09:00:03</t>
  </si>
  <si>
    <t>ETERNAL</t>
  </si>
  <si>
    <t>INE758T01015</t>
  </si>
  <si>
    <t>2025-10-21</t>
  </si>
  <si>
    <t>2025-10-21T14:13:25</t>
  </si>
  <si>
    <t>2025-10-21T14:42:11</t>
  </si>
  <si>
    <t>2025-10-24</t>
  </si>
  <si>
    <t>2025-10-24T12:58:42</t>
  </si>
  <si>
    <t>2025-10-27</t>
  </si>
  <si>
    <t>2025-10-27T09:15:24</t>
  </si>
  <si>
    <t>2025-10-27T14:53:01</t>
  </si>
  <si>
    <t>INE177H01039</t>
  </si>
  <si>
    <t>2025-10-27T14:56:38</t>
  </si>
  <si>
    <t>2025-10-31</t>
  </si>
  <si>
    <t>2025-10-31T15:14:31</t>
  </si>
  <si>
    <t>HINDPETRO</t>
  </si>
  <si>
    <t>INE094A01015</t>
  </si>
  <si>
    <t>2025-11-03</t>
  </si>
  <si>
    <t>2025-11-03T14:37:07</t>
  </si>
  <si>
    <t>CHENNPETRO</t>
  </si>
  <si>
    <t>INE178A01016</t>
  </si>
  <si>
    <t>2025-11-03T14:37:50</t>
  </si>
  <si>
    <t>BPCL</t>
  </si>
  <si>
    <t>INE029A01011</t>
  </si>
  <si>
    <t>2025-11-03T14:38:30</t>
  </si>
  <si>
    <t>IOC</t>
  </si>
  <si>
    <t>INE242A01010</t>
  </si>
  <si>
    <t>2025-11-03T14:38:57</t>
  </si>
  <si>
    <t>SBIN</t>
  </si>
  <si>
    <t>INE062A01020</t>
  </si>
  <si>
    <t>2025-11-03T14:39:52</t>
  </si>
  <si>
    <t>BANKBARODA</t>
  </si>
  <si>
    <t>INE028A01039</t>
  </si>
  <si>
    <t>2025-11-03T14:40:15</t>
  </si>
  <si>
    <t>INE171A01029</t>
  </si>
  <si>
    <t>2025-11-03T14:41:00</t>
  </si>
  <si>
    <t>2025-11-10</t>
  </si>
  <si>
    <t>2025-11-10T09:26:54</t>
  </si>
  <si>
    <t>2025-11-11</t>
  </si>
  <si>
    <t>2025-11-11T13:34:21</t>
  </si>
  <si>
    <t>2025-11-11T13:35:27</t>
  </si>
  <si>
    <t>2025-11-13</t>
  </si>
  <si>
    <t>2025-11-13T10:59:29</t>
  </si>
  <si>
    <t>2025-11-14</t>
  </si>
  <si>
    <t>2025-11-14T15:19:43</t>
  </si>
  <si>
    <t>BHARATFORG</t>
  </si>
  <si>
    <t>2025-11-17</t>
  </si>
  <si>
    <t>2025-11-17T11:53:38</t>
  </si>
  <si>
    <t>TVSSRICHAK</t>
  </si>
  <si>
    <t>2025-11-17T12:03:55</t>
  </si>
  <si>
    <t>INE421C01016</t>
  </si>
  <si>
    <t>2025-11-21</t>
  </si>
  <si>
    <t>2025-11-21T14:27:21</t>
  </si>
  <si>
    <t>2025-11-21T14:28:03</t>
  </si>
  <si>
    <t>2025-11-28</t>
  </si>
  <si>
    <t>2025-11-28T14:55:57</t>
  </si>
  <si>
    <t>GMRAIRPORT</t>
  </si>
  <si>
    <t>INE776C01039</t>
  </si>
  <si>
    <t>2025-11-28T14:58:37</t>
  </si>
  <si>
    <t>BSOFT</t>
  </si>
  <si>
    <t>INE836A01035</t>
  </si>
  <si>
    <t>2025-12-08</t>
  </si>
  <si>
    <t>2025-12-08T14:24:37</t>
  </si>
  <si>
    <t>INE118H01025</t>
  </si>
  <si>
    <t>2025-12-08T14:25:48</t>
  </si>
  <si>
    <t>JKTYRE</t>
  </si>
  <si>
    <t>INE573A01042</t>
  </si>
  <si>
    <t>2025-12-22</t>
  </si>
  <si>
    <t>2025-12-22T10:04:41</t>
  </si>
  <si>
    <t>2025-12-22T10:38:47</t>
  </si>
  <si>
    <t>KIRLOSENG</t>
  </si>
  <si>
    <t>INE146L01010</t>
  </si>
  <si>
    <t>2025-12-23</t>
  </si>
  <si>
    <t>2025-12-23T10:32:12</t>
  </si>
  <si>
    <t>2025-12-30</t>
  </si>
  <si>
    <t>2025-12-30T10:09:53</t>
  </si>
  <si>
    <t>2026-01-02</t>
  </si>
  <si>
    <t>2026-01-02T14:57:40</t>
  </si>
  <si>
    <t>INE584A01023</t>
  </si>
  <si>
    <t>2026-01-02T14:58:35</t>
  </si>
  <si>
    <t>INE036B01030</t>
  </si>
  <si>
    <t>2026-01-02T15:08:42</t>
  </si>
  <si>
    <t>INE509F01029</t>
  </si>
  <si>
    <t>2026-01-05</t>
  </si>
  <si>
    <t>2026-01-05T12:26:28</t>
  </si>
  <si>
    <t>2026-01-05T13:16:53</t>
  </si>
  <si>
    <t>2026-01-05T13:37:39</t>
  </si>
  <si>
    <t>2026-01-05T15:02:07</t>
  </si>
  <si>
    <t>2026-01-05T15:03:01</t>
  </si>
  <si>
    <t>INE031B01049</t>
  </si>
  <si>
    <t>2026-01-05T15:04:11</t>
  </si>
  <si>
    <t>2026-01-06</t>
  </si>
  <si>
    <t>2026-01-06T09:20:12</t>
  </si>
  <si>
    <t>2026-01-16</t>
  </si>
  <si>
    <t>2026-01-16T13:10:12</t>
  </si>
  <si>
    <t>2026-01-16T13:52:00</t>
  </si>
  <si>
    <t>B</t>
  </si>
  <si>
    <t>2026-01-16T14:35:07</t>
  </si>
  <si>
    <t>SOUTHBANK</t>
  </si>
  <si>
    <t>INE683A01023</t>
  </si>
  <si>
    <t>2026-01-16T14:45:38</t>
  </si>
  <si>
    <t>PNB</t>
  </si>
  <si>
    <t>INE160A01022</t>
  </si>
  <si>
    <t>2026-01-16T14:47:54</t>
  </si>
  <si>
    <t>BANKINDIA</t>
  </si>
  <si>
    <t>INE084A01016</t>
  </si>
  <si>
    <t>2026-01-16T14:48:01</t>
  </si>
  <si>
    <t>MAHABANK</t>
  </si>
  <si>
    <t>INE457A01014</t>
  </si>
  <si>
    <t>2026-01-16T14:48:13</t>
  </si>
  <si>
    <t>2026-01-16T15:03:27</t>
  </si>
  <si>
    <t>2026-01-16T15:06:29</t>
  </si>
  <si>
    <t>2026-01-16T15:07:23</t>
  </si>
  <si>
    <t>2026-01-19</t>
  </si>
  <si>
    <t>2026-01-19T15:02:09</t>
  </si>
  <si>
    <t>2026-01-19T15:02:46</t>
  </si>
  <si>
    <t>2026-01-19T15:13:22</t>
  </si>
  <si>
    <t>2026-01-27</t>
  </si>
  <si>
    <t>2026-01-27T12:05:51</t>
  </si>
  <si>
    <t>2026-01-27T12:06:38</t>
  </si>
  <si>
    <t>2026-01-30</t>
  </si>
  <si>
    <t>2026-01-30T14:07:47</t>
  </si>
  <si>
    <t>2026-01-30T15:03:50</t>
  </si>
  <si>
    <t>BEL</t>
  </si>
  <si>
    <t>INE263A01024</t>
  </si>
  <si>
    <t>2026-01-30T15:05:10</t>
  </si>
  <si>
    <t>INE497B01018</t>
  </si>
  <si>
    <t>2026-01-30T15:11:39</t>
  </si>
  <si>
    <t>2026-01-30T15:15:06</t>
  </si>
  <si>
    <t>2026-01-30T15:17:25</t>
  </si>
  <si>
    <t>2026-02-02</t>
  </si>
  <si>
    <t>2026-02-02T09:16:02</t>
  </si>
  <si>
    <t>2026-02-02T09:20:16</t>
  </si>
  <si>
    <t>2026-02-02T11:20:59</t>
  </si>
  <si>
    <t>2026-02-02T12:07:44</t>
  </si>
  <si>
    <t>2026-02-02T12:08:58</t>
  </si>
  <si>
    <t>INE465A01025</t>
  </si>
  <si>
    <t>2026-02-02T13:47:52</t>
  </si>
  <si>
    <t>2026-02-06</t>
  </si>
  <si>
    <t>2026-02-06T15:05:00</t>
  </si>
  <si>
    <t>INE702C01027</t>
  </si>
  <si>
    <t>2026-02-09</t>
  </si>
  <si>
    <t>2026-02-09T15:07:12</t>
  </si>
  <si>
    <t>INE419M01027</t>
  </si>
  <si>
    <t>2026-02-12</t>
  </si>
  <si>
    <t>2026-02-12T13:37:04</t>
  </si>
  <si>
    <t>2026-02-12T13:37:37</t>
  </si>
  <si>
    <t>RAJRATAN</t>
  </si>
  <si>
    <t>INE451D01029</t>
  </si>
  <si>
    <t>2026-02-12T13:37:49</t>
  </si>
  <si>
    <t>2026-02-12T15:00:09</t>
  </si>
  <si>
    <t>2026-02-13</t>
  </si>
  <si>
    <t>2026-02-13T15:13:06</t>
  </si>
  <si>
    <t>2026-02-20</t>
  </si>
  <si>
    <t>2026-02-20T14:54:17</t>
  </si>
  <si>
    <t>2026-02-20T14:55:29</t>
  </si>
  <si>
    <t>2026-02-20T14:57:35</t>
  </si>
  <si>
    <t>TARIL</t>
  </si>
  <si>
    <t>INE763I01026</t>
  </si>
  <si>
    <t>2026-02-20T15:09:31</t>
  </si>
  <si>
    <t>2026-02-27</t>
  </si>
  <si>
    <t>2026-02-27T14:12:27</t>
  </si>
  <si>
    <t>2026-02-27T14:16:17</t>
  </si>
  <si>
    <t>2026-02-27T14:24:28</t>
  </si>
  <si>
    <t>2026-02-27T15:13:26</t>
  </si>
  <si>
    <t>2026-03-02</t>
  </si>
  <si>
    <t>2026-03-02T09:00:08</t>
  </si>
  <si>
    <t>2026-03-06</t>
  </si>
  <si>
    <t>2026-03-06T15:06:07</t>
  </si>
  <si>
    <t>MRPL</t>
  </si>
  <si>
    <t>INE103A01014</t>
  </si>
  <si>
    <t>2026-03-06T15:29:10</t>
  </si>
  <si>
    <t>2026-03-09</t>
  </si>
  <si>
    <t>2026-03-09T15:08:32</t>
  </si>
  <si>
    <t>NIFTYBEES</t>
  </si>
  <si>
    <t>INF204KB14I2</t>
  </si>
  <si>
    <t>2026-03-09T15:10:00</t>
  </si>
  <si>
    <t>2026-03-09T15:18:40</t>
  </si>
  <si>
    <t>INE421D01022</t>
  </si>
  <si>
    <t>2026-03-09T15:22:29</t>
  </si>
  <si>
    <t>INE200A01026</t>
  </si>
  <si>
    <t>2026-03-09T15:26:29</t>
  </si>
  <si>
    <t>2026-03-18</t>
  </si>
  <si>
    <t>2026-03-18T10:02:29</t>
  </si>
  <si>
    <t>2026-03-20</t>
  </si>
  <si>
    <t>2026-03-20T14:34:29</t>
  </si>
  <si>
    <t>2026-03-20T14:37:00</t>
  </si>
  <si>
    <t>2026-03-20T14:37:36</t>
  </si>
  <si>
    <t>2026-03-20T14:44:09</t>
  </si>
  <si>
    <t>SOLARINDS</t>
  </si>
  <si>
    <t>INE343H01029</t>
  </si>
  <si>
    <t>2026-03-20T14:47:54</t>
  </si>
  <si>
    <t>2026-03-20T15:22:03</t>
  </si>
  <si>
    <t>MAZDOCK</t>
  </si>
  <si>
    <t>INE249Z01020</t>
  </si>
  <si>
    <t>2026-04-27</t>
  </si>
  <si>
    <t>2026-04-27T14:56:01</t>
  </si>
  <si>
    <t>INE386C01029</t>
  </si>
  <si>
    <t>2026-04-27T14:56:23</t>
  </si>
  <si>
    <t>2026-05-04</t>
  </si>
  <si>
    <t>2026-05-04T14:57:16</t>
  </si>
  <si>
    <t>2026-05-04T14:58:14</t>
  </si>
  <si>
    <t>INE063E01053</t>
  </si>
  <si>
    <t>2026-05-04T15:00:15</t>
  </si>
  <si>
    <t>INE713T01028</t>
  </si>
  <si>
    <t>2026-05-04T15:00:40</t>
  </si>
  <si>
    <t>VOLTAMP</t>
  </si>
  <si>
    <t>INE540H01012</t>
  </si>
  <si>
    <t>2026-05-05</t>
  </si>
  <si>
    <t>2026-05-05T13:54:18</t>
  </si>
  <si>
    <t>2026-05-06</t>
  </si>
  <si>
    <t>2026-05-06T09:18:16</t>
  </si>
  <si>
    <t>2026-05-06T09:34:29</t>
  </si>
  <si>
    <t>2026-05-06T09:38:07</t>
  </si>
  <si>
    <t>2026-05-08</t>
  </si>
  <si>
    <t>2026-05-08T14:53:19</t>
  </si>
  <si>
    <t>2026-05-08T14:55:01</t>
  </si>
  <si>
    <t>2026-05-08T14:56:21</t>
  </si>
  <si>
    <t>2026-05-06T09:43:13</t>
  </si>
  <si>
    <t>2026-05-15</t>
  </si>
  <si>
    <t>2026-05-15T13:23:52</t>
  </si>
  <si>
    <t>2026-05-15T13:32:35</t>
  </si>
  <si>
    <t>2026-05-15T13:33:48</t>
  </si>
  <si>
    <t>2026-05-15T13:34:47</t>
  </si>
  <si>
    <t>2026-05-15T13:35:53</t>
  </si>
  <si>
    <t>2026-05-15T13:35:59</t>
  </si>
  <si>
    <t>2026-05-15T14:04:50</t>
  </si>
  <si>
    <t>INE947Q01028</t>
  </si>
  <si>
    <t>2026-05-15T15:04:11</t>
  </si>
  <si>
    <t>INE423A01024</t>
  </si>
  <si>
    <t>2026-05-15T15:06:02</t>
  </si>
  <si>
    <t>INE00FF01025</t>
  </si>
  <si>
    <t>2026-05-15T15:21:39</t>
  </si>
  <si>
    <t>INE101A01026</t>
  </si>
  <si>
    <t>2026-05-15T15:22:04</t>
  </si>
  <si>
    <t>INE406A01037</t>
  </si>
  <si>
    <t>2026-05-18</t>
  </si>
  <si>
    <t>2026-05-18T14:02:54</t>
  </si>
  <si>
    <t>INE050E01027</t>
  </si>
  <si>
    <t>2026-05-18T14:03:13</t>
  </si>
  <si>
    <t>2026-05-18T14:04:56</t>
  </si>
  <si>
    <t>2026-05-18T14:30:58</t>
  </si>
  <si>
    <t>INE044A01036</t>
  </si>
  <si>
    <t>2026-05-18T14:31:39</t>
  </si>
  <si>
    <t>INE142M01025</t>
  </si>
  <si>
    <t>2026-05-19</t>
  </si>
  <si>
    <t>2026-05-19T15:18:13</t>
  </si>
  <si>
    <t>2026-05-20</t>
  </si>
  <si>
    <t>2026-05-20T10:11:52</t>
  </si>
  <si>
    <t>2026-05-20T10:13:15</t>
  </si>
  <si>
    <t>2026-05-20T10:13:22</t>
  </si>
  <si>
    <t>2026-05-22</t>
  </si>
  <si>
    <t>2026-05-22T14:53:53</t>
  </si>
  <si>
    <t>2026-05-22T14:54:36</t>
  </si>
  <si>
    <t>INE916U01025</t>
  </si>
  <si>
    <t>2026-05-22T15:04:15</t>
  </si>
  <si>
    <t>2026-05-22T15:10:58</t>
  </si>
  <si>
    <t>INE349A01021</t>
  </si>
  <si>
    <t>2026-05-22T15:25:21</t>
  </si>
  <si>
    <t>2026-05-25</t>
  </si>
  <si>
    <t>2026-05-25T14:40:02</t>
  </si>
  <si>
    <t>2026-05-26</t>
  </si>
  <si>
    <t>2026-05-26T10:12:23</t>
  </si>
  <si>
    <t>2026-05-27</t>
  </si>
  <si>
    <t>2026-05-27T12:06:35</t>
  </si>
  <si>
    <t>2026-05-29</t>
  </si>
  <si>
    <t>2026-05-29T13:19:09</t>
  </si>
  <si>
    <t>2026-05-29T13:20:46</t>
  </si>
  <si>
    <t>2026-05-29T14:08:14</t>
  </si>
  <si>
    <t>2026-05-29T14:31:48</t>
  </si>
  <si>
    <t>2026-05-29T14:48:30</t>
  </si>
  <si>
    <t>2026-05-29T14:50:55</t>
  </si>
  <si>
    <t>2026-05-29T14:54:04</t>
  </si>
  <si>
    <t>2026-05-29T14:57:15</t>
  </si>
  <si>
    <t>2026-05-29T15:10:54</t>
  </si>
  <si>
    <t>INE152A01029</t>
  </si>
  <si>
    <t>2026-05-29T15:16:11</t>
  </si>
  <si>
    <t>2026-06-01</t>
  </si>
  <si>
    <t>2026-06-01T14:06:20</t>
  </si>
  <si>
    <t>INE439E01022</t>
  </si>
  <si>
    <t>2026-06-01T14:07:05</t>
  </si>
  <si>
    <t>INE0NT901020</t>
  </si>
  <si>
    <t>2026-06-01T14:08:17</t>
  </si>
  <si>
    <t>INE010B01027</t>
  </si>
  <si>
    <t>2026-06-01T14:12:10</t>
  </si>
  <si>
    <t>INE152M01016</t>
  </si>
  <si>
    <t>2026-06-01T14:15:44</t>
  </si>
  <si>
    <t>INE302A01020</t>
  </si>
  <si>
    <t>2026-06-01T14:17:15</t>
  </si>
  <si>
    <t>Total_Quantity</t>
  </si>
  <si>
    <t>Average_Price</t>
  </si>
  <si>
    <t>Total_Value</t>
  </si>
  <si>
    <t>Tranches/Cheat</t>
  </si>
  <si>
    <t>N/A</t>
  </si>
  <si>
    <t>TF_Sector</t>
  </si>
  <si>
    <t>Latest_Tranche</t>
  </si>
  <si>
    <t>Current_Quantity</t>
  </si>
  <si>
    <t>Average_Buy_Price</t>
  </si>
  <si>
    <t>Trend</t>
  </si>
  <si>
    <t>LTP_SL_Diff</t>
  </si>
  <si>
    <t>LTP_SL_Diff_Pct</t>
  </si>
  <si>
    <t>Invested_Value</t>
  </si>
  <si>
    <t>Prev_Day_Close</t>
  </si>
  <si>
    <t>Prev_Week_Close</t>
  </si>
  <si>
    <t>EMA9</t>
  </si>
  <si>
    <t>EMA10</t>
  </si>
  <si>
    <t>EMA11</t>
  </si>
  <si>
    <t>EMA21</t>
  </si>
  <si>
    <t>Current_Value</t>
  </si>
  <si>
    <t>Unrealized_PnL</t>
  </si>
  <si>
    <t>Return_Pct</t>
  </si>
  <si>
    <t>Holding_Period</t>
  </si>
  <si>
    <t>Split_Info</t>
  </si>
  <si>
    <t>Adj_Required</t>
  </si>
  <si>
    <t>Month</t>
  </si>
  <si>
    <t>Company</t>
  </si>
  <si>
    <t>Company Name</t>
  </si>
  <si>
    <t>Theme</t>
  </si>
  <si>
    <t>Market Cap (MC)</t>
  </si>
  <si>
    <t>Trend Status</t>
  </si>
  <si>
    <t>No of shares</t>
  </si>
  <si>
    <t>CARYSIL</t>
  </si>
  <si>
    <t>SC (Small Cap)</t>
  </si>
  <si>
    <t>Strong Trend- Green</t>
  </si>
  <si>
    <t>NEULANDLAB</t>
  </si>
  <si>
    <t>POWERINDIA</t>
  </si>
  <si>
    <t>MC (Mid Cap)</t>
  </si>
  <si>
    <t>VBL</t>
  </si>
  <si>
    <t>LC (Large Cap)</t>
  </si>
  <si>
    <t>BAJAJ-AUTO</t>
  </si>
  <si>
    <t>TIPSMUSIC</t>
  </si>
  <si>
    <t>Technology</t>
  </si>
  <si>
    <t>AIAENG</t>
  </si>
  <si>
    <t>OFSS</t>
  </si>
  <si>
    <t>APARINDS</t>
  </si>
  <si>
    <t>CRAFTSMAN</t>
  </si>
  <si>
    <t>LALPATHLAB</t>
  </si>
  <si>
    <t>KEI</t>
  </si>
  <si>
    <t>KRISHANA</t>
  </si>
  <si>
    <t>NH</t>
  </si>
  <si>
    <t>PSPPROJECT</t>
  </si>
  <si>
    <t>RAINBOW</t>
  </si>
  <si>
    <t>SBCL</t>
  </si>
  <si>
    <t>TIMKEN</t>
  </si>
  <si>
    <t>NAVINFLUOR</t>
  </si>
  <si>
    <t>CAPLIPOINT</t>
  </si>
  <si>
    <t>POWERGRID</t>
  </si>
  <si>
    <t>Medium Trend</t>
  </si>
  <si>
    <t>TATAPOWER</t>
  </si>
  <si>
    <t>SCHAEFFLER</t>
  </si>
  <si>
    <t>ESABINDIA</t>
  </si>
  <si>
    <t>FIEMIND</t>
  </si>
  <si>
    <t>SIEMENS</t>
  </si>
  <si>
    <t>SIRCA</t>
  </si>
  <si>
    <t>DATAPATTNS</t>
  </si>
  <si>
    <t>CUB</t>
  </si>
  <si>
    <t>Financials</t>
  </si>
  <si>
    <t>DIVISLAB</t>
  </si>
  <si>
    <t>EICHERMOT</t>
  </si>
  <si>
    <t>NESCO</t>
  </si>
  <si>
    <t>NESTLEIND</t>
  </si>
  <si>
    <t>PRIVISCL</t>
  </si>
  <si>
    <t>TATACONSUM</t>
  </si>
  <si>
    <t>RPGLIFE</t>
  </si>
  <si>
    <t>TORNTPHARM</t>
  </si>
  <si>
    <t>MANORAMA</t>
  </si>
  <si>
    <t>TVSMOTOR</t>
  </si>
  <si>
    <t>PRICOLLTD</t>
  </si>
  <si>
    <t>LUPIN</t>
  </si>
  <si>
    <t>CONTROLPR</t>
  </si>
  <si>
    <t>Weak Trend- Red</t>
  </si>
  <si>
    <t>NEWGEN</t>
  </si>
  <si>
    <t>TRENT</t>
  </si>
  <si>
    <t>ACE</t>
  </si>
  <si>
    <t>POLYMED</t>
  </si>
  <si>
    <t>JASH</t>
  </si>
  <si>
    <t>COLPAL</t>
  </si>
  <si>
    <t>FINEORG</t>
  </si>
  <si>
    <t>ABBOTINDIA</t>
  </si>
  <si>
    <t>SONATSOFTW</t>
  </si>
  <si>
    <t>MSTCLTD</t>
  </si>
  <si>
    <t>SHANTIGEAR</t>
  </si>
  <si>
    <t>COFORGE</t>
  </si>
  <si>
    <t>KSB</t>
  </si>
  <si>
    <t>BECTORFOOD</t>
  </si>
  <si>
    <t>BRITANNIA</t>
  </si>
  <si>
    <t>GILLETTE</t>
  </si>
  <si>
    <t>AFFLE</t>
  </si>
  <si>
    <t>ASIANPAINT</t>
  </si>
  <si>
    <t>ASTEC</t>
  </si>
  <si>
    <t>ASTRAL</t>
  </si>
  <si>
    <t>BALKRISIND</t>
  </si>
  <si>
    <t>CHOLAFIN</t>
  </si>
  <si>
    <t>DEEPAKNTR</t>
  </si>
  <si>
    <t>GMMPFAUDLR</t>
  </si>
  <si>
    <t>GUFICBIO</t>
  </si>
  <si>
    <t>HAL</t>
  </si>
  <si>
    <t>HNDFDS</t>
  </si>
  <si>
    <t>IONEXCHANG</t>
  </si>
  <si>
    <t>KPITTECH</t>
  </si>
  <si>
    <t>LTM</t>
  </si>
  <si>
    <t>PAGEIND</t>
  </si>
  <si>
    <t>PERSISTENT</t>
  </si>
  <si>
    <t>PIIND</t>
  </si>
  <si>
    <t>RHIM</t>
  </si>
  <si>
    <t>SAKSOFT</t>
  </si>
  <si>
    <t>SRF</t>
  </si>
  <si>
    <t>SUMICHEM</t>
  </si>
  <si>
    <t>TATAELXSI</t>
  </si>
  <si>
    <t>TCIEXP</t>
  </si>
  <si>
    <t>TIINDIA</t>
  </si>
  <si>
    <t>VGUARD</t>
  </si>
  <si>
    <t>VINATIORGA</t>
  </si>
  <si>
    <t>SAREGAMA</t>
  </si>
  <si>
    <t>LIKHITHA</t>
  </si>
  <si>
    <t>ICICIBANK</t>
  </si>
  <si>
    <t>3MINDIA</t>
  </si>
  <si>
    <t>AARTIIND</t>
  </si>
  <si>
    <t>BHARATRAS</t>
  </si>
  <si>
    <t>CERA</t>
  </si>
  <si>
    <t>CRISIL</t>
  </si>
  <si>
    <t>DIXON</t>
  </si>
  <si>
    <t>FAIRCHEMOR</t>
  </si>
  <si>
    <t>GALAXYSURF</t>
  </si>
  <si>
    <t>GUJGASLTD</t>
  </si>
  <si>
    <t>HAVELLS</t>
  </si>
  <si>
    <t>HDFCBANK</t>
  </si>
  <si>
    <t>HDFCLIFE</t>
  </si>
  <si>
    <t>ICICIGI</t>
  </si>
  <si>
    <t>IEX</t>
  </si>
  <si>
    <t>IGL</t>
  </si>
  <si>
    <t>NAUKRI</t>
  </si>
  <si>
    <t>IRCTC</t>
  </si>
  <si>
    <t>KAJARIACER</t>
  </si>
  <si>
    <t>KOTAKBANK</t>
  </si>
  <si>
    <t>MASTEK</t>
  </si>
  <si>
    <t>MGL</t>
  </si>
  <si>
    <t>MRF</t>
  </si>
  <si>
    <t>RELAXO</t>
  </si>
  <si>
    <t>TCS</t>
  </si>
  <si>
    <t>INDIAMART</t>
  </si>
  <si>
    <t>SAFARI</t>
  </si>
  <si>
    <t>VIPIND</t>
  </si>
  <si>
    <t>ELGIEQUIP</t>
  </si>
  <si>
    <t>CARBORUNIV</t>
  </si>
  <si>
    <t>BAJAJFINSV</t>
  </si>
  <si>
    <t>BLS</t>
  </si>
  <si>
    <t>BLUESTARCO</t>
  </si>
  <si>
    <t>KOVAI</t>
  </si>
  <si>
    <t>ANUP</t>
  </si>
  <si>
    <t>BIKAJI</t>
  </si>
  <si>
    <t>ANGELONE</t>
  </si>
  <si>
    <t>Core-Weekly</t>
  </si>
  <si>
    <t>CDSL</t>
  </si>
  <si>
    <t>CAMS</t>
  </si>
  <si>
    <t>MOTILALOFS</t>
  </si>
  <si>
    <t>KFINTECH</t>
  </si>
  <si>
    <t>Stock</t>
  </si>
  <si>
    <t>Color</t>
  </si>
  <si>
    <t xml:space="preserve">Previous Close </t>
  </si>
  <si>
    <t>Previous week Close</t>
  </si>
  <si>
    <t>EMA 9 (weekly)</t>
  </si>
  <si>
    <t>EMA 11 (weekly)</t>
  </si>
  <si>
    <t>EMA 21 (weekly)</t>
  </si>
  <si>
    <t>Blue</t>
  </si>
  <si>
    <t>Prev Day Close</t>
  </si>
  <si>
    <t>Diff vs Prev Day (%)</t>
  </si>
  <si>
    <t>Diff vs Prev Week (%)</t>
  </si>
  <si>
    <t>IDEAFORGE</t>
  </si>
  <si>
    <t>₹ 169.14</t>
  </si>
  <si>
    <t>₹ 161.80</t>
  </si>
  <si>
    <t>₹ 148.21</t>
  </si>
  <si>
    <t>OIL</t>
  </si>
  <si>
    <t>₹ 716.90</t>
  </si>
  <si>
    <t>₹ 690.45</t>
  </si>
  <si>
    <t>₹ 706.95</t>
  </si>
  <si>
    <t>GRINDWELL</t>
  </si>
  <si>
    <t>₹ 1,088.60</t>
  </si>
  <si>
    <t>₹ 1,079.05</t>
  </si>
  <si>
    <t>₹ 1,038.95</t>
  </si>
  <si>
    <t>ONGC</t>
  </si>
  <si>
    <t>₹ 735.35</t>
  </si>
  <si>
    <t>₹ 725.55</t>
  </si>
  <si>
    <t>₹ 595.50</t>
  </si>
  <si>
    <t>₹ 710.05</t>
  </si>
  <si>
    <t>₹ 691.25</t>
  </si>
  <si>
    <t>₹ 622.50</t>
  </si>
  <si>
    <t>APOLLOPIPE</t>
  </si>
  <si>
    <t>₹ 735.50</t>
  </si>
  <si>
    <t>₹ 730.50</t>
  </si>
  <si>
    <t>₹ 714.45</t>
  </si>
  <si>
    <t>HINDCOPPER</t>
  </si>
  <si>
    <t>₹ 809.40</t>
  </si>
  <si>
    <t>₹ 780.95</t>
  </si>
  <si>
    <t>₹ 774.10</t>
  </si>
  <si>
    <t>₹ 497.20</t>
  </si>
  <si>
    <t>₹ 491.00</t>
  </si>
  <si>
    <t>₹ 476.20</t>
  </si>
  <si>
    <t>₹ 603.45</t>
  </si>
  <si>
    <t>₹ 576.00</t>
  </si>
  <si>
    <t>₹ 551.25</t>
  </si>
  <si>
    <t>₹ 2,046.00</t>
  </si>
  <si>
    <t>₹ 2,035.80</t>
  </si>
  <si>
    <t>₹ 2,028.00</t>
  </si>
  <si>
    <t>₹ 4,545.50</t>
  </si>
  <si>
    <t>₹ 4,435.80</t>
  </si>
  <si>
    <t>₹ 4,454.60</t>
  </si>
  <si>
    <t>₹ 270.85</t>
  </si>
  <si>
    <t>₹ 267.55</t>
  </si>
  <si>
    <t>₹ 264.50</t>
  </si>
  <si>
    <t>CARERATING</t>
  </si>
  <si>
    <t>₹ 1,529.80</t>
  </si>
  <si>
    <t>₹ 1,463.30</t>
  </si>
  <si>
    <t>₹ 1,367.90</t>
  </si>
  <si>
    <t>Green</t>
  </si>
  <si>
    <t>₹ 385.75</t>
  </si>
  <si>
    <t>₹ 384.60</t>
  </si>
  <si>
    <t>₹ 373.90</t>
  </si>
  <si>
    <t>₹ 5,026.70</t>
  </si>
  <si>
    <t>₹ 4,848.30</t>
  </si>
  <si>
    <t>₹ 4,849.50</t>
  </si>
  <si>
    <t>MCLEODRUSS</t>
  </si>
  <si>
    <t>₹ 422.30</t>
  </si>
  <si>
    <t>₹ 412.10</t>
  </si>
  <si>
    <t>₹ 355.05</t>
  </si>
  <si>
    <t>₹ 2,843.90</t>
  </si>
  <si>
    <t>₹ 2,819.80</t>
  </si>
  <si>
    <t>₹ 2,735.80</t>
  </si>
  <si>
    <t>₹ 1,816.40</t>
  </si>
  <si>
    <t>₹ 1,731.50</t>
  </si>
  <si>
    <t>₹ 1,734.40</t>
  </si>
  <si>
    <t>MENONBE</t>
  </si>
  <si>
    <t>₹ 917.00</t>
  </si>
  <si>
    <t>₹ 879.15</t>
  </si>
  <si>
    <t>₹ 865.70</t>
  </si>
  <si>
    <t>₹ 1,379.00</t>
  </si>
  <si>
    <t>₹ 1,357.00</t>
  </si>
  <si>
    <t>₹ 1,174.90</t>
  </si>
  <si>
    <t>MEDANTA</t>
  </si>
  <si>
    <t>₹ 766.45</t>
  </si>
  <si>
    <t>₹ 746.55</t>
  </si>
  <si>
    <t>₹ 704.90</t>
  </si>
  <si>
    <t>MANKIND</t>
  </si>
  <si>
    <t>₹ 345.90</t>
  </si>
  <si>
    <t>₹ 344.45</t>
  </si>
  <si>
    <t>₹ 339.35</t>
  </si>
  <si>
    <t>IPCALAB</t>
  </si>
  <si>
    <t>₹ 3,988.10</t>
  </si>
  <si>
    <t>₹ 3,851.70</t>
  </si>
  <si>
    <t>₹ 3,851.30</t>
  </si>
  <si>
    <t>NLCINDIA</t>
  </si>
  <si>
    <t>₹ 92.37</t>
  </si>
  <si>
    <t>₹ 90.67</t>
  </si>
  <si>
    <t>₹ 87.85</t>
  </si>
  <si>
    <t>SOLARA</t>
  </si>
  <si>
    <t>ARTEMISMED</t>
  </si>
  <si>
    <t>SATIN</t>
  </si>
  <si>
    <t>ZENTEC</t>
  </si>
  <si>
    <t>Orange</t>
  </si>
  <si>
    <t>MTARTECH</t>
  </si>
  <si>
    <t>MCX</t>
  </si>
  <si>
    <t>BBOX</t>
  </si>
  <si>
    <t>WHEELS</t>
  </si>
  <si>
    <t>CUMMINSIND</t>
  </si>
  <si>
    <t>ADANIPORTS</t>
  </si>
  <si>
    <t>SAKAR</t>
  </si>
  <si>
    <t>MANINDS</t>
  </si>
  <si>
    <t>VIJAYA</t>
  </si>
  <si>
    <t>RADICO</t>
  </si>
  <si>
    <t>NATIONALUM</t>
  </si>
  <si>
    <t>GESHIP</t>
  </si>
  <si>
    <t>ATHERENERG</t>
  </si>
  <si>
    <t>ANANDRATHI</t>
  </si>
  <si>
    <t>VEDL</t>
  </si>
  <si>
    <t>ATLANTAELE</t>
  </si>
  <si>
    <t>KRN</t>
  </si>
  <si>
    <t>AZAD</t>
  </si>
  <si>
    <t>SMSPHARMA</t>
  </si>
  <si>
    <t>GRAPHITE</t>
  </si>
  <si>
    <t>ASTERDM</t>
  </si>
  <si>
    <t>SHAILY</t>
  </si>
  <si>
    <t>GRWRHITECH</t>
  </si>
  <si>
    <t>NYKAA</t>
  </si>
  <si>
    <t>ANURAS</t>
  </si>
  <si>
    <t>HSCL</t>
  </si>
  <si>
    <t>BIOCON</t>
  </si>
  <si>
    <t>Red</t>
  </si>
  <si>
    <t>DIACABS</t>
  </si>
  <si>
    <t>GRSE</t>
  </si>
  <si>
    <t>KSCL</t>
  </si>
  <si>
    <t>AVALON</t>
  </si>
  <si>
    <t>COALINDIA</t>
  </si>
  <si>
    <t>AVANTIFEED</t>
  </si>
  <si>
    <t>UNIONBANK</t>
  </si>
  <si>
    <t>BAJAJCON</t>
  </si>
  <si>
    <t>COCHINSHIP</t>
  </si>
  <si>
    <t>SOUTHWEST</t>
  </si>
  <si>
    <t>RRKABEL</t>
  </si>
  <si>
    <t>NIBE</t>
  </si>
  <si>
    <t>GLAND</t>
  </si>
  <si>
    <t>PREMEXPLN</t>
  </si>
  <si>
    <t>SANGHVIMOV</t>
  </si>
  <si>
    <t>SANDHAR</t>
  </si>
  <si>
    <t>JINDRILL</t>
  </si>
  <si>
    <t>RATEGAIN</t>
  </si>
  <si>
    <t>JSWENERGY</t>
  </si>
  <si>
    <t>DEEPAKFERT</t>
  </si>
  <si>
    <t>KTKBANK</t>
  </si>
  <si>
    <t>APOLLOHOSP</t>
  </si>
  <si>
    <t>SANSERA</t>
  </si>
  <si>
    <t>SAIL</t>
  </si>
  <si>
    <t>GOODLUCK</t>
  </si>
  <si>
    <t>SCHNEIDER</t>
  </si>
  <si>
    <t>ADANIPOWER</t>
  </si>
  <si>
    <t>BHEL</t>
  </si>
  <si>
    <t>GVPIL</t>
  </si>
  <si>
    <t>DSSL</t>
  </si>
  <si>
    <t>GRASIM</t>
  </si>
  <si>
    <t>TALBROAUTO</t>
  </si>
  <si>
    <t>PARAS</t>
  </si>
  <si>
    <t>MFSL</t>
  </si>
  <si>
    <t>BALRAMCHIN</t>
  </si>
  <si>
    <t>PANAMAPET</t>
  </si>
  <si>
    <t>MANALIPETC</t>
  </si>
  <si>
    <t>NARMADA</t>
  </si>
  <si>
    <t>BLUE</t>
  </si>
  <si>
    <t>MARINE</t>
  </si>
  <si>
    <t>ORANGE</t>
  </si>
  <si>
    <t>WOCKPHARMA</t>
  </si>
  <si>
    <t>CEMPRO</t>
  </si>
  <si>
    <t>WELCORP</t>
  </si>
  <si>
    <t>BLISSGVS</t>
  </si>
  <si>
    <t>KOPRAN</t>
  </si>
  <si>
    <t>SJS</t>
  </si>
  <si>
    <t>GRANULES</t>
  </si>
  <si>
    <t>ENRIN</t>
  </si>
  <si>
    <t>SIGMAADV</t>
  </si>
  <si>
    <t>THYROCARE</t>
  </si>
  <si>
    <t>ABSLAMC</t>
  </si>
  <si>
    <t>CENTUM</t>
  </si>
  <si>
    <t>GREEN</t>
  </si>
  <si>
    <t>TIMEX</t>
  </si>
  <si>
    <t>KERNEX</t>
  </si>
  <si>
    <t>MOTHERSON</t>
  </si>
  <si>
    <t>MINDACORP</t>
  </si>
  <si>
    <t>STARHEALTH</t>
  </si>
  <si>
    <t>RED</t>
  </si>
  <si>
    <t>TATACOMM</t>
  </si>
  <si>
    <t>HESTERBIO</t>
  </si>
  <si>
    <t>Total_Buy_Quantity</t>
  </si>
  <si>
    <t>Total_Buy_Value</t>
  </si>
  <si>
    <t>Total_Sell_Quantity</t>
  </si>
  <si>
    <t>Total_Sell_Value</t>
  </si>
  <si>
    <t>Average_Sell_Price</t>
  </si>
  <si>
    <t>Realized_PnL</t>
  </si>
  <si>
    <t>Total_PnL</t>
  </si>
  <si>
    <t>Total_PnL_Percentage</t>
  </si>
  <si>
    <t>▲</t>
  </si>
  <si>
    <t>▼</t>
  </si>
  <si>
    <t>4:1 Split on 2026-03-20</t>
  </si>
  <si>
    <t>2:1 Split on 2025-09-23</t>
  </si>
  <si>
    <t>Buy Price</t>
  </si>
  <si>
    <t>P/L</t>
  </si>
  <si>
    <t>Previous Day Close</t>
  </si>
  <si>
    <t>1 Day Change %</t>
  </si>
  <si>
    <t xml:space="preserve">SL Price </t>
  </si>
  <si>
    <t>SL-LTP Diff</t>
  </si>
  <si>
    <t>S.No</t>
  </si>
  <si>
    <t>Details</t>
  </si>
  <si>
    <t>Bug/Change</t>
  </si>
  <si>
    <t>Status</t>
  </si>
  <si>
    <t xml:space="preserve">Bring core - Watchlist </t>
  </si>
  <si>
    <t>Change</t>
  </si>
  <si>
    <t>Not Done</t>
  </si>
  <si>
    <t>Transaction page - Seggregate core and satellite</t>
  </si>
  <si>
    <t>Done</t>
  </si>
  <si>
    <t xml:space="preserve">Dashboard - Formatting for Core &amp; Satellite % </t>
  </si>
  <si>
    <t>Bug</t>
  </si>
  <si>
    <t xml:space="preserve">Dashboard - Report separately Core &amp; Satellite </t>
  </si>
  <si>
    <t xml:space="preserve">Current_portfoli - Return % &amp; XIRR % format change to % </t>
  </si>
  <si>
    <t xml:space="preserve">Dashboard - No need to have Core stop loss </t>
  </si>
  <si>
    <t xml:space="preserve">Core stocks - SL calculation not required </t>
  </si>
  <si>
    <t>Ridewinners Data - For Friday analysis</t>
  </si>
  <si>
    <t xml:space="preserve">Bring Win - Loss ration in Dashboard </t>
  </si>
  <si>
    <t xml:space="preserve">Bring Risk Reward Ratio in Dashboard </t>
  </si>
  <si>
    <t xml:space="preserve">Journal feature for transaction </t>
  </si>
  <si>
    <t>Current Portfolio - Graphical represenation of stocks trend by introducing a column</t>
  </si>
  <si>
    <t xml:space="preserve">Dashboard - coroproate split - remove realized stock </t>
  </si>
  <si>
    <t>Chron job - to update everything once in a day</t>
  </si>
  <si>
    <t>In tht Dashboard - Top 10 movers from watchlist is not getting dynamic LTP</t>
  </si>
  <si>
    <t>Top 5 cheat stocks holding period , needs to check the days for sold and bougtht again</t>
  </si>
  <si>
    <t>INE482D01024</t>
  </si>
  <si>
    <t>2026-06-02</t>
  </si>
  <si>
    <t>2026-06-02T11:53:47</t>
  </si>
  <si>
    <t>2026-06-02T11:54:50</t>
  </si>
  <si>
    <t>INE07Y701011</t>
  </si>
  <si>
    <t>2026-06-02T11:55:20</t>
  </si>
  <si>
    <t>INE0DYJ01015</t>
  </si>
  <si>
    <t>2026-06-02T11:55:33</t>
  </si>
  <si>
    <t>INE200M01039</t>
  </si>
  <si>
    <t>2026-06-02T11:55:45</t>
  </si>
  <si>
    <t>INE917I01010</t>
  </si>
  <si>
    <t>2026-06-02T11:55:57</t>
  </si>
  <si>
    <t>INE716B01029</t>
  </si>
  <si>
    <t>2026-06-02T11:56:15</t>
  </si>
  <si>
    <t>INE212H01026</t>
  </si>
  <si>
    <t>2026-06-02T11:56:28</t>
  </si>
  <si>
    <t>2026-06-02T11:56:44</t>
  </si>
  <si>
    <t>INE881D01027</t>
  </si>
  <si>
    <t>2026-06-02T11:56:57</t>
  </si>
  <si>
    <t>INE372A01015</t>
  </si>
  <si>
    <t>2026-06-02T11:57:07</t>
  </si>
  <si>
    <t>INE00LO01017</t>
  </si>
  <si>
    <t>2026-06-02T11:57:16</t>
  </si>
  <si>
    <t>2026-06-02T11:58:06</t>
  </si>
  <si>
    <t>2026-06-02T11:58:15</t>
  </si>
  <si>
    <t>2026-06-02T11:59:39</t>
  </si>
  <si>
    <t>INE600L01024</t>
  </si>
  <si>
    <t>2026-06-02T12:00:18</t>
  </si>
  <si>
    <t>INE045J01034</t>
  </si>
  <si>
    <t>2026-06-02T12:01:18</t>
  </si>
  <si>
    <t>INE878B01027</t>
  </si>
  <si>
    <t>2026-06-02T12:01:39</t>
  </si>
  <si>
    <t>INE506W01012</t>
  </si>
  <si>
    <t>2026-06-02T12:02:11</t>
  </si>
  <si>
    <t>INE410P01011</t>
  </si>
  <si>
    <t>2026-06-02T12:02:38</t>
  </si>
  <si>
    <t>INE488V01015</t>
  </si>
  <si>
    <t>2026-06-02T12:03:05</t>
  </si>
  <si>
    <t>INE961O01016</t>
  </si>
  <si>
    <t>2026-06-02T12:03:25</t>
  </si>
  <si>
    <t>INE386D01027</t>
  </si>
  <si>
    <t>2026-06-02T12:03:44</t>
  </si>
  <si>
    <t>INE325A01013</t>
  </si>
  <si>
    <t>2026-06-02T12:04:01</t>
  </si>
  <si>
    <t>2026-06-02T12:04:17</t>
  </si>
  <si>
    <t>2026-06-02T12:04:38</t>
  </si>
  <si>
    <t>INE048G01026</t>
  </si>
  <si>
    <t>2026-06-02T12:05:08</t>
  </si>
  <si>
    <t>INE887E01022</t>
  </si>
  <si>
    <t>2026-06-02T12:05:25</t>
  </si>
  <si>
    <t>INE475E01026</t>
  </si>
  <si>
    <t>2026-06-02T12:05:49</t>
  </si>
  <si>
    <t>2026-06-02T12:06:03</t>
  </si>
  <si>
    <t>2026-06-02T12:06:35</t>
  </si>
  <si>
    <t>2026-06-02T12:06:56</t>
  </si>
  <si>
    <t>🕒 Last Transacted Date: 02 Jun 2026</t>
  </si>
  <si>
    <t>Declining</t>
  </si>
  <si>
    <t>Core (Previous Close)</t>
  </si>
  <si>
    <t>Satellite (Previous Close)</t>
  </si>
  <si>
    <t>Core (Previous month close)</t>
  </si>
  <si>
    <t>Satellite (Previous week close)</t>
  </si>
  <si>
    <t>Prev_Month_Close</t>
  </si>
  <si>
    <t/>
  </si>
  <si>
    <t>Advancing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</si>
</sst>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44D]\ * #,##0.00_ ;_ [$₹-44D]\ * \-#,##0.00_ ;_ [$₹-44D]\ * &quot;-&quot;??_ ;_ @_ "/>
    <numFmt numFmtId="165" formatCode="[$₹-4009]\ #,##0.00"/>
    <numFmt numFmtId="166" formatCode="_ [$₹-4009]\ * #,##0.00_ ;_ [$₹-4009]\ * \-#,##0.00_ ;_ [$₹-4009]\ * &quot;-&quot;??_ ;_ @_ "/>
    <numFmt numFmtId="167" formatCode="_ &quot;₹&quot;\ * #,##0_ ;_ &quot;₹&quot;\ * \-#,##0_ ;_ &quot;₹&quot;\ * &quot;-&quot;??_ ;_ @_ "/>
  </numFmts>
  <fonts count="27">
    <font>
      <sz val="11"/>
      <color theme="1"/>
      <name val="Calibri"/>
      <family val="2"/>
      <scheme val="minor"/>
    </font>
    <font>
      <b/>
      <sz val="11"/>
      <name val="Calibri"/>
    </font>
    <font>
      <sz val="11"/>
      <name val="Calibri"/>
    </font>
    <font>
      <sz val="11"/>
      <color rgb="FF1F1F1F"/>
      <name val="Google Sans Text"/>
      <family val="2"/>
      <charset val="1"/>
    </font>
    <font>
      <b/>
      <sz val="11"/>
      <color rgb="FFA93226"/>
      <name val="Calibri"/>
    </font>
    <font>
      <b/>
      <sz val="11"/>
      <color rgb="FF1F4E78"/>
      <name val="Calibri"/>
    </font>
    <font>
      <b/>
      <sz val="11"/>
      <color rgb="FF375623"/>
      <name val="Calibri"/>
    </font>
    <font>
      <b/>
      <sz val="11"/>
      <color rgb="FFC65911"/>
      <name val="Calibri"/>
    </font>
    <font>
      <b/>
      <sz val="11"/>
      <color rgb="FFFFFFFF"/>
      <name val="Calibri"/>
    </font>
    <font>
      <sz val="11"/>
      <color rgb="FF1F1F1F"/>
      <name val="Google Sans Text"/>
      <charset val="1"/>
    </font>
    <font>
      <b/>
      <sz val="11"/>
      <color theme="1"/>
      <name val="Calibri"/>
      <family val="2"/>
      <scheme val="minor"/>
    </font>
    <font>
      <b/>
      <sz val="11"/>
      <color rgb="FFFFFFFF"/>
      <name val="Calibri"/>
      <family val="2"/>
      <scheme val="minor"/>
    </font>
    <font>
      <b/>
      <sz val="11"/>
      <color rgb="FF375623"/>
      <name val="Calibri"/>
      <family val="2"/>
      <scheme val="minor"/>
    </font>
    <font>
      <b/>
      <sz val="11"/>
      <color rgb="FF1F4E78"/>
      <name val="Calibri"/>
      <family val="2"/>
      <scheme val="minor"/>
    </font>
    <font>
      <b/>
      <sz val="11"/>
      <color rgb="FFA93226"/>
      <name val="Calibri"/>
      <family val="2"/>
      <scheme val="minor"/>
    </font>
    <font>
      <b/>
      <sz val="11"/>
      <color rgb="FF8B0000"/>
      <name val="Calibri"/>
      <family val="2"/>
      <scheme val="minor"/>
    </font>
    <font>
      <b/>
      <sz val="11"/>
      <color rgb="FFC65911"/>
      <name val="Calibri"/>
      <family val="2"/>
      <scheme val="minor"/>
    </font>
    <font>
      <sz val="10"/>
      <color theme="1"/>
      <name val="Arial"/>
      <family val="2"/>
    </font>
    <font>
      <sz val="11"/>
      <color rgb="FF000000"/>
      <name val="Calibri"/>
    </font>
    <font>
      <b/>
      <sz val="11"/>
      <color rgb="FF000000"/>
      <name val="Calibri"/>
    </font>
    <font>
      <b/>
      <sz val="18"/>
      <color rgb="FF2F5496"/>
      <name val="Calibri"/>
    </font>
    <font>
      <b/>
      <i/>
      <sz val="12"/>
      <color rgb="FF595959"/>
      <name val="Calibri"/>
    </font>
    <font>
      <b/>
      <sz val="12"/>
      <color rgb="FF2F5496"/>
      <name val="Calibri"/>
    </font>
    <font>
      <b/>
      <sz val="11"/>
      <color rgb="FF147A1E"/>
      <name val="Calibri"/>
    </font>
    <font>
      <b/>
      <sz val="11"/>
      <color rgb="FFC00000"/>
      <name val="Calibri"/>
    </font>
    <font>
      <b/>
      <sz val="11"/>
      <color rgb="FF8B0000"/>
      <name val="Calibri"/>
    </font>
    <font>
      <sz val="11"/>
      <color theme="1"/>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rgb="FFD6DCE4"/>
        <bgColor indexed="64"/>
      </patternFill>
    </fill>
    <fill>
      <patternFill patternType="solid">
        <fgColor rgb="FFBDD7EE"/>
        <bgColor indexed="64"/>
      </patternFill>
    </fill>
    <fill>
      <patternFill patternType="solid">
        <fgColor rgb="FFC6EFCE"/>
        <bgColor indexed="64"/>
      </patternFill>
    </fill>
    <fill>
      <patternFill patternType="solid">
        <fgColor rgb="FF2F5496"/>
        <bgColor indexed="64"/>
      </patternFill>
    </fill>
    <fill>
      <patternFill patternType="solid">
        <fgColor rgb="FFE2EFDA"/>
        <bgColor indexed="64"/>
      </patternFill>
    </fill>
    <fill>
      <patternFill patternType="solid">
        <fgColor rgb="FFDDEBF7"/>
        <bgColor indexed="64"/>
      </patternFill>
    </fill>
    <fill>
      <patternFill patternType="solid">
        <fgColor rgb="FFFADBD8"/>
        <bgColor indexed="64"/>
      </patternFill>
    </fill>
    <fill>
      <patternFill patternType="solid">
        <fgColor rgb="FFFCE4D6"/>
        <bgColor indexed="64"/>
      </patternFill>
    </fill>
    <fill>
      <patternFill patternType="solid">
        <fgColor rgb="FF00B050"/>
        <bgColor indexed="64"/>
      </patternFill>
    </fill>
    <fill>
      <patternFill patternType="solid">
        <fgColor rgb="FFFFC000"/>
        <bgColor indexed="64"/>
      </patternFill>
    </fill>
    <fill>
      <patternFill patternType="solid">
        <fgColor rgb="FFDC3939"/>
        <bgColor indexed="64"/>
      </patternFill>
    </fill>
    <fill>
      <patternFill patternType="solid">
        <fgColor theme="7" tint="0.39997558519241921"/>
        <bgColor indexed="64"/>
      </patternFill>
    </fill>
    <fill>
      <patternFill patternType="solid">
        <fgColor rgb="FFFCE4D6"/>
        <bgColor rgb="FFFCE4D6"/>
      </patternFill>
    </fill>
    <fill>
      <patternFill patternType="solid">
        <fgColor rgb="FFDDEBF7"/>
        <bgColor rgb="FFDDEBF7"/>
      </patternFill>
    </fill>
    <fill>
      <patternFill patternType="solid">
        <fgColor rgb="FFE2EFDA"/>
        <bgColor rgb="FFE2EFDA"/>
      </patternFill>
    </fill>
    <fill>
      <patternFill patternType="solid">
        <fgColor rgb="FFFADBD8"/>
        <bgColor rgb="FFFADBD8"/>
      </patternFill>
    </fill>
    <fill>
      <patternFill patternType="solid">
        <fgColor rgb="FF00B050"/>
        <bgColor rgb="FF00B050"/>
      </patternFill>
    </fill>
    <fill>
      <patternFill patternType="solid">
        <fgColor rgb="FFFFC000"/>
        <bgColor rgb="FFFFC000"/>
      </patternFill>
    </fill>
    <fill>
      <patternFill patternType="solid">
        <fgColor rgb="FFB1A0C7"/>
        <bgColor rgb="FFB1A0C7"/>
      </patternFill>
    </fill>
    <fill>
      <patternFill patternType="solid">
        <fgColor rgb="FF2F5496"/>
        <bgColor rgb="FF2F5496"/>
      </patternFill>
    </fill>
  </fills>
  <borders count="11">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3">
    <xf numFmtId="0" fontId="0" fillId="0" borderId="0"/>
    <xf numFmtId="44" fontId="26" fillId="0" borderId="0" applyFont="0" applyFill="0" applyBorder="0" applyAlignment="0" applyProtection="0"/>
    <xf numFmtId="9" fontId="26" fillId="0" borderId="0" applyFont="0" applyFill="0" applyBorder="0" applyAlignment="0" applyProtection="0"/>
  </cellStyleXfs>
  <cellXfs count="90">
    <xf numFmtId="0" fontId="0" fillId="0" borderId="0" xfId="0"/>
    <xf numFmtId="164" fontId="0" fillId="0" borderId="0" xfId="0" applyNumberFormat="1"/>
    <xf numFmtId="0" fontId="0" fillId="0" borderId="2" xfId="0" applyBorder="1"/>
    <xf numFmtId="0" fontId="0" fillId="0" borderId="7" xfId="0" applyBorder="1" applyAlignment="1">
      <alignment wrapText="1"/>
    </xf>
    <xf numFmtId="0" fontId="0" fillId="0" borderId="7" xfId="0" applyBorder="1"/>
    <xf numFmtId="0" fontId="0" fillId="0" borderId="8" xfId="0" applyBorder="1"/>
    <xf numFmtId="0" fontId="0" fillId="0" borderId="1"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10" fillId="2" borderId="3" xfId="0" applyFont="1" applyFill="1" applyBorder="1" applyAlignment="1">
      <alignment horizontal="center"/>
    </xf>
    <xf numFmtId="0" fontId="10" fillId="2" borderId="4" xfId="0" applyFont="1" applyFill="1" applyBorder="1" applyAlignment="1">
      <alignment horizontal="center"/>
    </xf>
    <xf numFmtId="0" fontId="10" fillId="2" borderId="5" xfId="0" applyFont="1" applyFill="1" applyBorder="1" applyAlignment="1">
      <alignment horizontal="center"/>
    </xf>
    <xf numFmtId="0" fontId="0" fillId="0" borderId="0" xfId="0" applyAlignment="1">
      <alignment horizontal="right"/>
    </xf>
    <xf numFmtId="0" fontId="22" fillId="0" borderId="0" xfId="0" applyFont="1"/>
    <xf numFmtId="0" fontId="1" fillId="0" borderId="10" xfId="0" applyFont="1" applyBorder="1"/>
    <xf numFmtId="165" fontId="0" fillId="0" borderId="10" xfId="0" applyNumberFormat="1" applyBorder="1"/>
    <xf numFmtId="1" fontId="0" fillId="0" borderId="10" xfId="0" applyNumberFormat="1" applyBorder="1"/>
    <xf numFmtId="10" fontId="0" fillId="0" borderId="10" xfId="0" applyNumberFormat="1" applyBorder="1"/>
    <xf numFmtId="2" fontId="0" fillId="0" borderId="10" xfId="0" applyNumberFormat="1" applyBorder="1"/>
    <xf numFmtId="165" fontId="1" fillId="0" borderId="10" xfId="0" applyNumberFormat="1" applyFont="1" applyBorder="1"/>
    <xf numFmtId="10" fontId="1" fillId="0" borderId="10" xfId="0" applyNumberFormat="1" applyFont="1" applyBorder="1"/>
    <xf numFmtId="0" fontId="0" fillId="0" borderId="10" xfId="0" applyBorder="1"/>
    <xf numFmtId="0" fontId="19" fillId="19" borderId="10" xfId="0" applyFont="1" applyFill="1" applyBorder="1"/>
    <xf numFmtId="0" fontId="19" fillId="20" borderId="10" xfId="0" applyFont="1" applyFill="1" applyBorder="1"/>
    <xf numFmtId="0" fontId="19" fillId="21" borderId="10" xfId="0" applyFont="1" applyFill="1" applyBorder="1"/>
    <xf numFmtId="0" fontId="2" fillId="0" borderId="10" xfId="0" applyFont="1" applyBorder="1"/>
    <xf numFmtId="1" fontId="2" fillId="0" borderId="10" xfId="0" applyNumberFormat="1" applyFont="1" applyBorder="1"/>
    <xf numFmtId="165" fontId="2" fillId="0" borderId="10" xfId="0" applyNumberFormat="1" applyFont="1" applyBorder="1"/>
    <xf numFmtId="10" fontId="23" fillId="0" borderId="10" xfId="0" applyNumberFormat="1" applyFont="1" applyBorder="1"/>
    <xf numFmtId="10" fontId="24" fillId="0" borderId="10" xfId="0" applyNumberFormat="1" applyFont="1" applyBorder="1"/>
    <xf numFmtId="0" fontId="25" fillId="0" borderId="10" xfId="0" applyFont="1" applyBorder="1"/>
    <xf numFmtId="0" fontId="0" fillId="0" borderId="9" xfId="0" applyBorder="1"/>
    <xf numFmtId="1" fontId="0" fillId="0" borderId="9" xfId="0" applyNumberFormat="1" applyBorder="1"/>
    <xf numFmtId="165" fontId="0" fillId="0" borderId="9" xfId="0" applyNumberFormat="1" applyBorder="1"/>
    <xf numFmtId="0" fontId="19" fillId="19" borderId="9" xfId="0" applyFont="1" applyFill="1" applyBorder="1"/>
    <xf numFmtId="0" fontId="0" fillId="0" borderId="9" xfId="0" applyBorder="1" applyAlignment="1">
      <alignment horizontal="center"/>
    </xf>
    <xf numFmtId="10" fontId="0" fillId="0" borderId="9" xfId="0" applyNumberFormat="1" applyBorder="1"/>
    <xf numFmtId="0" fontId="19" fillId="20" borderId="9" xfId="0" applyFont="1" applyFill="1" applyBorder="1"/>
    <xf numFmtId="0" fontId="19" fillId="21" borderId="9" xfId="0" applyFont="1" applyFill="1" applyBorder="1"/>
    <xf numFmtId="0" fontId="18" fillId="0" borderId="9" xfId="0" applyFont="1" applyBorder="1"/>
    <xf numFmtId="14" fontId="0" fillId="0" borderId="9" xfId="0" applyNumberFormat="1" applyBorder="1"/>
    <xf numFmtId="0" fontId="3" fillId="0" borderId="9" xfId="0" applyFont="1" applyBorder="1" applyAlignment="1">
      <alignment readingOrder="1"/>
    </xf>
    <xf numFmtId="164" fontId="0" fillId="0" borderId="9" xfId="0" applyNumberFormat="1" applyBorder="1" applyAlignment="1">
      <alignment horizontal="right"/>
    </xf>
    <xf numFmtId="164" fontId="0" fillId="0" borderId="9" xfId="0" applyNumberFormat="1" applyBorder="1"/>
    <xf numFmtId="0" fontId="10" fillId="3" borderId="9" xfId="0" applyFont="1" applyFill="1" applyBorder="1" applyAlignment="1">
      <alignment horizontal="center"/>
    </xf>
    <xf numFmtId="0" fontId="0" fillId="4" borderId="9" xfId="0" applyFill="1" applyBorder="1" applyAlignment="1">
      <alignment horizontal="center"/>
    </xf>
    <xf numFmtId="0" fontId="0" fillId="0" borderId="9" xfId="0" applyBorder="1" applyAlignment="1">
      <alignment horizontal="right"/>
    </xf>
    <xf numFmtId="10" fontId="0" fillId="0" borderId="9" xfId="0" applyNumberFormat="1" applyBorder="1" applyAlignment="1">
      <alignment horizontal="right"/>
    </xf>
    <xf numFmtId="0" fontId="0" fillId="5" borderId="9" xfId="0" applyFill="1" applyBorder="1" applyAlignment="1">
      <alignment horizontal="center"/>
    </xf>
    <xf numFmtId="0" fontId="9" fillId="0" borderId="9" xfId="0" applyFont="1" applyBorder="1" applyAlignment="1">
      <alignment readingOrder="1"/>
    </xf>
    <xf numFmtId="0" fontId="17" fillId="0" borderId="9" xfId="0" applyFont="1" applyBorder="1" applyAlignment="1">
      <alignment wrapText="1"/>
    </xf>
    <xf numFmtId="0" fontId="8" fillId="22" borderId="9" xfId="0" applyFont="1" applyFill="1" applyBorder="1" applyAlignment="1">
      <alignment horizontal="center" vertical="center" wrapText="1"/>
    </xf>
    <xf numFmtId="0" fontId="7" fillId="15" borderId="9" xfId="0" applyFont="1" applyFill="1" applyBorder="1"/>
    <xf numFmtId="0" fontId="5" fillId="16" borderId="9" xfId="0" applyFont="1" applyFill="1" applyBorder="1"/>
    <xf numFmtId="0" fontId="6" fillId="17" borderId="9" xfId="0" applyFont="1" applyFill="1" applyBorder="1"/>
    <xf numFmtId="0" fontId="4" fillId="18" borderId="9" xfId="0" applyFont="1" applyFill="1" applyBorder="1"/>
    <xf numFmtId="0" fontId="8" fillId="22" borderId="10" xfId="0" applyFont="1" applyFill="1" applyBorder="1" applyAlignment="1">
      <alignment horizontal="center"/>
    </xf>
    <xf numFmtId="0" fontId="7" fillId="15" borderId="10" xfId="0" applyFont="1" applyFill="1" applyBorder="1"/>
    <xf numFmtId="0" fontId="6" fillId="17" borderId="10" xfId="0" applyFont="1" applyFill="1" applyBorder="1"/>
    <xf numFmtId="0" fontId="4" fillId="18" borderId="10" xfId="0" applyFont="1" applyFill="1" applyBorder="1"/>
    <xf numFmtId="0" fontId="5" fillId="16" borderId="10" xfId="0" applyFont="1" applyFill="1" applyBorder="1"/>
    <xf numFmtId="0" fontId="11" fillId="6" borderId="10" xfId="0" applyFont="1" applyFill="1" applyBorder="1" applyAlignment="1">
      <alignment horizontal="center" vertical="center"/>
    </xf>
    <xf numFmtId="0" fontId="0" fillId="0" borderId="10" xfId="0" applyBorder="1" applyAlignment="1">
      <alignment horizontal="center"/>
    </xf>
    <xf numFmtId="14" fontId="0" fillId="0" borderId="10" xfId="0" applyNumberFormat="1" applyBorder="1" applyAlignment="1">
      <alignment horizontal="center"/>
    </xf>
    <xf numFmtId="0" fontId="0" fillId="0" borderId="10" xfId="0" applyBorder="1" applyAlignment="1">
      <alignment horizontal="left"/>
    </xf>
    <xf numFmtId="0" fontId="0" fillId="0" borderId="10" xfId="0" applyBorder="1" applyAlignment="1">
      <alignment horizontal="left" wrapText="1"/>
    </xf>
    <xf numFmtId="0" fontId="14" fillId="9" borderId="10" xfId="0" applyFont="1" applyFill="1" applyBorder="1" applyAlignment="1">
      <alignment horizontal="center"/>
    </xf>
    <xf numFmtId="0" fontId="15" fillId="0" borderId="10" xfId="0" applyFont="1" applyBorder="1" applyAlignment="1">
      <alignment horizontal="center"/>
    </xf>
    <xf numFmtId="0" fontId="13" fillId="8" borderId="10" xfId="0" applyFont="1" applyFill="1" applyBorder="1" applyAlignment="1">
      <alignment horizontal="center"/>
    </xf>
    <xf numFmtId="0" fontId="16" fillId="10" borderId="10" xfId="0" applyFont="1" applyFill="1" applyBorder="1" applyAlignment="1">
      <alignment horizontal="center"/>
    </xf>
    <xf numFmtId="0" fontId="12" fillId="7" borderId="10" xfId="0" applyFont="1" applyFill="1" applyBorder="1" applyAlignment="1">
      <alignment horizontal="center"/>
    </xf>
    <xf numFmtId="0" fontId="8" fillId="22" borderId="10" xfId="0" applyFont="1" applyFill="1" applyBorder="1" applyAlignment="1">
      <alignment horizontal="center" vertical="center" wrapText="1"/>
    </xf>
    <xf numFmtId="0" fontId="8" fillId="22" borderId="1" xfId="0" applyFont="1" applyFill="1" applyBorder="1" applyAlignment="1">
      <alignment horizontal="center" vertical="center" wrapText="1"/>
    </xf>
    <xf numFmtId="17" fontId="0" fillId="0" borderId="10" xfId="0" applyNumberFormat="1" applyBorder="1"/>
    <xf numFmtId="0" fontId="0" fillId="11" borderId="10" xfId="0" applyFill="1" applyBorder="1"/>
    <xf numFmtId="0" fontId="0" fillId="12" borderId="10" xfId="0" applyFill="1" applyBorder="1"/>
    <xf numFmtId="0" fontId="0" fillId="13" borderId="10" xfId="0" applyFill="1" applyBorder="1"/>
    <xf numFmtId="0" fontId="0" fillId="14" borderId="10" xfId="0" applyFill="1" applyBorder="1"/>
    <xf numFmtId="0" fontId="0" fillId="0" borderId="9" xfId="0" applyBorder="1" applyAlignment="1">
      <alignment wrapText="1"/>
    </xf>
    <xf numFmtId="9" fontId="0" fillId="0" borderId="0" xfId="2" applyFont="1"/>
    <xf numFmtId="166" fontId="0" fillId="0" borderId="0" xfId="0" applyNumberFormat="1"/>
    <xf numFmtId="0" fontId="8" fillId="22" borderId="0" xfId="0" applyFont="1" applyFill="1" applyAlignment="1">
      <alignment horizontal="center" vertical="center" wrapText="1"/>
    </xf>
    <xf numFmtId="2" fontId="0" fillId="0" borderId="0" xfId="0" applyNumberFormat="1"/>
    <xf numFmtId="1" fontId="0" fillId="0" borderId="0" xfId="0" applyNumberFormat="1"/>
    <xf numFmtId="167" fontId="0" fillId="0" borderId="0" xfId="1" applyNumberFormat="1" applyFont="1"/>
    <xf numFmtId="1" fontId="0" fillId="2" borderId="0" xfId="0" applyNumberFormat="1" applyFill="1"/>
    <xf numFmtId="0" fontId="20" fillId="0" borderId="0" xfId="0" applyFont="1" applyAlignment="1">
      <alignment horizontal="center"/>
    </xf>
    <xf numFmtId="0" fontId="0" fillId="0" borderId="0" xfId="0"/>
    <xf numFmtId="0" fontId="21" fillId="0" borderId="0" xfId="0" applyFont="1" applyAlignment="1">
      <alignment horizontal="right"/>
    </xf>
    <xf numFmtId="0" fontId="8" fillId="0" borderId="10" xfId="0" applyFont="1" applyBorder="1" applyAlignment="1">
      <alignment horizontal="center"/>
    </xf>
  </cellXfs>
  <cellStyles count="3">
    <cellStyle name="Currency" xfId="1" builtinId="4"/>
    <cellStyle name="Normal" xfId="0" builtinId="0"/>
    <cellStyle name="Percent" xfId="2" builtinId="5"/>
  </cellStyles>
  <dxfs count="42">
    <dxf>
      <font>
        <b/>
        <color rgb="FFC00000"/>
        <name val="Calibri"/>
      </font>
    </dxf>
    <dxf>
      <font>
        <b/>
        <color rgb="FF147A1E"/>
        <name val="Calibri"/>
      </font>
    </dxf>
    <dxf>
      <font>
        <b/>
        <color rgb="FFC00000"/>
        <name val="Calibri"/>
      </font>
    </dxf>
    <dxf>
      <font>
        <b/>
        <color rgb="FF147A1E"/>
        <name val="Calibri"/>
      </font>
    </dxf>
    <dxf>
      <font>
        <b/>
        <color rgb="FFC00000"/>
        <name val="Calibri"/>
      </font>
    </dxf>
    <dxf>
      <font>
        <b/>
        <color rgb="FF147A1E"/>
        <name val="Calibri"/>
      </font>
    </dxf>
    <dxf>
      <font>
        <b/>
        <color rgb="FFC00000"/>
        <name val="Calibri"/>
      </font>
    </dxf>
    <dxf>
      <font>
        <b/>
        <color rgb="FF147A1E"/>
        <name val="Calibri"/>
      </font>
    </dxf>
    <dxf>
      <font>
        <b/>
        <color rgb="FFC00000"/>
        <name val="Calibri"/>
      </font>
    </dxf>
    <dxf>
      <font>
        <b/>
        <color rgb="FF147A1E"/>
        <name val="Calibri"/>
      </font>
    </dxf>
    <dxf>
      <font>
        <b/>
        <color rgb="FF147A1E"/>
        <name val="Calibri"/>
      </font>
    </dxf>
    <dxf>
      <font>
        <b/>
        <color rgb="FFC00000"/>
        <name val="Calibri"/>
      </font>
    </dxf>
    <dxf>
      <font>
        <b/>
        <color rgb="FFC00000"/>
        <name val="Calibri"/>
      </font>
    </dxf>
    <dxf>
      <font>
        <b/>
        <color rgb="FF147A1E"/>
        <name val="Calibri"/>
      </font>
    </dxf>
    <dxf>
      <font>
        <b/>
        <color rgb="FFC00000"/>
        <name val="Calibri"/>
      </font>
    </dxf>
    <dxf>
      <font>
        <b/>
        <color rgb="FF147A1E"/>
        <name val="Calibri"/>
      </font>
    </dxf>
    <dxf>
      <font>
        <b/>
        <color rgb="FFC00000"/>
        <name val="Calibri"/>
      </font>
    </dxf>
    <dxf>
      <font>
        <b/>
        <color rgb="FF147A1E"/>
        <name val="Calibri"/>
      </font>
    </dxf>
    <dxf>
      <fill>
        <patternFill patternType="solid">
          <fgColor rgb="FFFCE4D6"/>
          <bgColor rgb="FFFCE4D6"/>
        </patternFill>
      </fill>
    </dxf>
    <dxf>
      <fill>
        <patternFill patternType="solid">
          <fgColor rgb="FFE2EFDA"/>
          <bgColor rgb="FFE2EFDA"/>
        </patternFill>
      </fill>
    </dxf>
    <dxf>
      <fill>
        <patternFill patternType="solid">
          <fgColor rgb="FFFCE4D6"/>
          <bgColor rgb="FFFCE4D6"/>
        </patternFill>
      </fill>
    </dxf>
    <dxf>
      <fill>
        <patternFill patternType="solid">
          <fgColor rgb="FFE2EFDA"/>
          <bgColor rgb="FFE2EFDA"/>
        </patternFill>
      </fill>
    </dxf>
    <dxf>
      <fill>
        <patternFill patternType="solid">
          <fgColor rgb="FFFCE4D6"/>
          <bgColor rgb="FFFCE4D6"/>
        </patternFill>
      </fill>
    </dxf>
    <dxf>
      <fill>
        <patternFill patternType="solid">
          <fgColor rgb="FFE2EFDA"/>
          <bgColor rgb="FFE2EFDA"/>
        </patternFill>
      </fill>
    </dxf>
    <dxf>
      <font>
        <b/>
        <color rgb="FFC00000"/>
        <name val="Calibri"/>
      </font>
    </dxf>
    <dxf>
      <font>
        <b/>
        <color rgb="FF147A1E"/>
        <name val="Calibri"/>
      </font>
    </dxf>
    <dxf>
      <font>
        <b/>
        <color rgb="FF375623"/>
      </font>
      <fill>
        <patternFill patternType="solid">
          <fgColor rgb="FFE2EFDA"/>
          <bgColor rgb="FFE2EFDA"/>
        </patternFill>
      </fill>
    </dxf>
    <dxf>
      <font>
        <b/>
        <color rgb="FF375623"/>
      </font>
      <fill>
        <patternFill patternType="solid">
          <fgColor rgb="FFE2EFDA"/>
          <bgColor rgb="FFE2EFDA"/>
        </patternFill>
      </fill>
    </dxf>
    <dxf>
      <fill>
        <patternFill patternType="solid">
          <fgColor rgb="FFFCE4D6"/>
          <bgColor rgb="FFFCE4D6"/>
        </patternFill>
      </fill>
    </dxf>
    <dxf>
      <fill>
        <patternFill patternType="solid">
          <fgColor rgb="FFE2EFDA"/>
          <bgColor rgb="FFE2EFDA"/>
        </patternFill>
      </fill>
    </dxf>
    <dxf>
      <fill>
        <patternFill patternType="solid">
          <fgColor rgb="FFFCE4D6"/>
          <bgColor rgb="FFFCE4D6"/>
        </patternFill>
      </fill>
    </dxf>
    <dxf>
      <fill>
        <patternFill patternType="solid">
          <fgColor rgb="FFE2EFDA"/>
          <bgColor rgb="FFE2EFDA"/>
        </patternFill>
      </fill>
    </dxf>
    <dxf>
      <font>
        <b/>
        <color rgb="FFC00000"/>
        <name val="Calibri"/>
      </font>
    </dxf>
    <dxf>
      <font>
        <b/>
        <color rgb="FF147A1E"/>
        <name val="Calibri"/>
      </font>
    </dxf>
    <dxf>
      <border>
        <left style="thin">
          <color rgb="FF000000"/>
        </left>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horizontal/>
      </border>
    </dxf>
    <dxf>
      <alignment horizontal="center"/>
      <border>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font>
      <fill>
        <patternFill patternType="solid">
          <fgColor indexed="64"/>
          <bgColor rgb="FFFFFF00"/>
        </patternFill>
      </fill>
      <border>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897">
  <rv s="0">
    <v>https://www.bing.com/financeapi/forcetrigger?t=bxdqsm&amp;q=XNSE%3aACRYSIL&amp;form=skydnc</v>
    <v>Learn more on Bing</v>
  </rv>
  <rv s="1">
    <v>en-IN</v>
    <v>bxdqsm</v>
    <v>268435456</v>
    <v>1</v>
    <v>Powered by Refinitiv</v>
    <v>0</v>
    <v>CARYSIL LIMITED (XNSE:CARYSIL)</v>
    <v>2</v>
    <v>3</v>
    <v>Finance</v>
    <v>4</v>
    <v>1148</v>
    <v>732.1</v>
    <v>1.2541</v>
    <v>24.5</v>
    <v>2.2002999999999998E-2</v>
    <v>INR</v>
    <v>Carysil Limited is an India-based company. The Company is engaged in manufacturing and trading quartz kitchen sinks, stainless steel kitchen sinks, bath products, tiles, kitchen appliances, and accessories. The activities of the Company fall under a single segment of manufacturing and trading of kitchen sinks and other appliances. Its kitchen sinks include Quartz Sinks, Stainless Steel Sinks, Green Sinks, and Sink Accessories. Its kitchen faucets include faucets, and food waste disposers. Its built-in appliances include chimneys, coffee makers, cooking ranges, cooktops, dishwashers, hobs, ice makers, microwaves, wine chillers, and ovens. Its brands include Sternhagen, Tekcarysil, and Carysil. The Company's subsidiaries include Carysil Online Limited, Carysil Steel Limited, Carysil Ceramictech Limited, Carysil Gmbh, Carysil UK Limited, Carysil USA Inc, and others. It serves countries, including the United States, the United Kingdom, Germany, France, China, and others.</v>
    <v>479</v>
    <v>National Stock Exchange of India</v>
    <v>XNSE</v>
    <v>XNSE</v>
    <v>A-702, 7TH FLOOR, KANAKIA WALL STREET ANDHERI- KURLA RD, CITI POINT, ANDHERI KURLA ROAD,, ANDHERI EAST, ANDHERI (E), MAHARASHTRA, 400093 IN</v>
    <v>1148</v>
    <v>Homebuilding &amp; Construction Supplies</v>
    <v>Stock</v>
    <v>46176.466840277775</v>
    <v>0</v>
    <v>1080.7</v>
    <v>22596230000</v>
    <v>CARYSIL LIMITED</v>
    <v>CARYSIL LIMITED</v>
    <v>1118</v>
    <v>32.97</v>
    <v>1113.5</v>
    <v>1138</v>
    <v>28442610</v>
    <v>CARYSIL</v>
    <v>CARYSIL LIMITED (XNSE:CARYSIL)</v>
    <v>182936</v>
    <v>342410</v>
    <v>1987</v>
  </rv>
  <rv s="2">
    <v>1</v>
  </rv>
  <rv s="0">
    <v>https://www.bing.com/financeapi/forcetrigger?t=ahi2yc&amp;q=XNSE%3aHBLPOWER&amp;form=skydnc</v>
    <v>Learn more on Bing</v>
  </rv>
  <rv s="1">
    <v>en-IN</v>
    <v>ahi2yc</v>
    <v>268435456</v>
    <v>1</v>
    <v>Powered by Refinitiv</v>
    <v>0</v>
    <v>HBL Engineering Limited (XNSE:HBLENGINE)</v>
    <v>2</v>
    <v>3</v>
    <v>Finance</v>
    <v>4</v>
    <v>1122</v>
    <v>551.6</v>
    <v>0.93259999999999998</v>
    <v>-16.45</v>
    <v>-2.0493000000000001E-2</v>
    <v>INR</v>
    <v>HBL Engineering Ltd, formerly HBL Power Systems Limited, is an India-based research-based engineering company. The Company's principal activities include manufacturing of different types of batteries, e-mobility and other products. It is also engaged in service activities related to its products. Its segments include Industrial batteries, Defence &amp; Aviation batteries, and Electronics. The Industrial batteries segment's products include lead batteries (valve regulated lead acid and pure lead thin), nickel cadmium batteries and lithium batteries. This segment serves various sectors, such as telecom, railways, and others. Its Defense segment has three divisions batteries, electronic fuzes for ammunition and other defense products. Electronics segment is organized into two divisions, namely railway electronics and electric mobility. Its flagship products in this vertical are the KAVACH, which is a train collision avoidance system.</v>
    <v>2152</v>
    <v>National Stock Exchange of India</v>
    <v>XNSE</v>
    <v>XNSE</v>
    <v>No. 8-2-601, Road No.10, Banjara Hills, HYDERABAD, TELANGANA, 500034 IN</v>
    <v>805.6</v>
    <v>Machinery, Equipment &amp; Components</v>
    <v>Stock</v>
    <v>46176.466863425929</v>
    <v>3</v>
    <v>781.05</v>
    <v>234520800000</v>
    <v>HBL Engineering Limited</v>
    <v>HBL Engineering Limited</v>
    <v>804</v>
    <v>26.75</v>
    <v>802.7</v>
    <v>786.25</v>
    <v>277194900</v>
    <v>HBLENGINE</v>
    <v>HBL Engineering Limited (XNSE:HBLENGINE)</v>
    <v>987669</v>
    <v>2414200</v>
    <v>1986</v>
  </rv>
  <rv s="2">
    <v>4</v>
  </rv>
  <rv s="0">
    <v>https://www.bing.com/financeapi/forcetrigger?t=ahj6c7&amp;q=XNSE%3aNEULANDLAB&amp;form=skydnc</v>
    <v>Learn more on Bing</v>
  </rv>
  <rv s="1">
    <v>en-IN</v>
    <v>ahj6c7</v>
    <v>268435456</v>
    <v>1</v>
    <v>Powered by Refinitiv</v>
    <v>0</v>
    <v>NEULAND LABORATORIES LTD. (XNSE:NEULANDLAB)</v>
    <v>2</v>
    <v>3</v>
    <v>Finance</v>
    <v>4</v>
    <v>19747</v>
    <v>11412</v>
    <v>0.97599999999999998</v>
    <v>83</v>
    <v>4.9090000000000002E-3</v>
    <v>INR</v>
    <v>Neuland Laboratories Ltd. is a global provider of active pharmaceutical ingredients (APIs) contract development and manufacturing organization (CDMO) services. It is focused on manufacture and sale of active pharmaceutical ingredients and allied services. It supports biotechnology and pharmaceutical companies in the design, development and manufacturing of complex APIs. It has two business verticals: generic drug substances (GDS) and custom manufacturing solutions (CMS). It develops and manufactures non-exclusive APIs both Prime APIs comprising large volume, mature molecules, and specialty APIs comprising lower volume, complex molecules with less competition. It develops small molecules and peptides for clinical trials and beyond. It provides an end-to-end continuum of customized services from early-stage drug development (Pre-IND) through to commercial manufacturing of complex APIs, including process development, process optimization, analytical testing, and regulatory support.</v>
    <v>2188</v>
    <v>National Stock Exchange of India</v>
    <v>XNSE</v>
    <v>XNSE</v>
    <v>11TH FLOOR (5TH LEVEL) PHOENIX IVY BUILDING, PLOT NO. 573A-III, ROAD NO. 82, JUBILEE HILLS,, TELANGANA, 500033 IN</v>
    <v>17380</v>
    <v>Pharmaceuticals</v>
    <v>Stock</v>
    <v>46176.466840277775</v>
    <v>6</v>
    <v>16925</v>
    <v>183801000000</v>
    <v>NEULAND LABORATORIES LTD.</v>
    <v>NEULAND LABORATORIES LTD.</v>
    <v>16993</v>
    <v>59.89</v>
    <v>16909</v>
    <v>16992</v>
    <v>12829890</v>
    <v>NEULANDLAB</v>
    <v>NEULAND LABORATORIES LTD. (XNSE:NEULANDLAB)</v>
    <v>26919</v>
    <v>47930</v>
    <v>1984</v>
  </rv>
  <rv s="2">
    <v>7</v>
  </rv>
  <rv s="0">
    <v>https://www.bing.com/financeapi/forcetrigger?t=bu6uk2&amp;q=XNSE%3aPOWERINDIA&amp;form=skydnc</v>
    <v>Learn more on Bing</v>
  </rv>
  <rv s="1">
    <v>en-IN</v>
    <v>bu6uk2</v>
    <v>268435456</v>
    <v>1</v>
    <v>Powered by Refinitiv</v>
    <v>0</v>
    <v>HITACHI ENERGY INDIA LIMITED (XNSE:POWERINDIA)</v>
    <v>2</v>
    <v>3</v>
    <v>Finance</v>
    <v>4</v>
    <v>38785</v>
    <v>16111</v>
    <v>0.85319999999999996</v>
    <v>85</v>
    <v>2.421E-3</v>
    <v>INR</v>
    <v>Hitachi Energy India Limited is an India-based global technology company that operates within the energy sector. The Company is engaged in the business relating to products, projects and services for electricity transmission and related activities. The Company provides products and solutions, including asset &amp; work management, cable accessories, capacitors and filters, communication networks, cooling systems, disconnectors, energy storage, generator circuit-breakers (GCB), semiconductors, substation automation, protection &amp; control, substations &amp; electrification, surge arresters, transformer, insulation and components, and others. It also provides service and consulting, such as install &amp; commission, assess &amp; secure, train &amp; develop, parts &amp; maintain, upgrade, repair &amp; extend, sustain &amp; decarbonize and replace &amp; decommission. Its consulting services provide a comprehensive combination of business, functional, and technical expertise.</v>
    <v>2481</v>
    <v>National Stock Exchange of India</v>
    <v>XNSE</v>
    <v>XNSE</v>
    <v>8TH FLOOR, BRIGADE OPUS 70/401, KODIGEHALLI MAIN ROAD, KARNATAKA, 560092 IN</v>
    <v>36110</v>
    <v>Machinery, Equipment &amp; Components</v>
    <v>Stock</v>
    <v>46176.466874999998</v>
    <v>9</v>
    <v>35010</v>
    <v>762454800000</v>
    <v>HITACHI ENERGY INDIA LIMITED</v>
    <v>HITACHI ENERGY INDIA LIMITED</v>
    <v>35350</v>
    <v>158.78</v>
    <v>35105</v>
    <v>35190</v>
    <v>44572360</v>
    <v>POWERINDIA</v>
    <v>HITACHI ENERGY INDIA LIMITED (XNSE:POWERINDIA)</v>
    <v>235330</v>
    <v>248090</v>
    <v>2019</v>
  </rv>
  <rv s="2">
    <v>10</v>
  </rv>
  <rv s="3">
    <v>en-IN</v>
    <v>c776w7</v>
    <v>268435456</v>
    <v>1</v>
    <v>Powered by Refinitiv</v>
    <v>5</v>
    <v>SYRMA SGS TECHNOLOGY LIMITED (XNSE:SYRMA)</v>
    <v>6</v>
    <v>3</v>
    <v>Finance</v>
    <v>4</v>
    <v>1214.8</v>
    <v>500</v>
    <v>0.72189999999999999</v>
    <v>28.5</v>
    <v>2.4426E-2</v>
    <v>INR</v>
    <v>Syrma SGS Technology Limited is an India-based electronic manufacturing services company engaged in providing electronic system design and manufacturing. The Company is engaged in the business of manufacturing various electronic sub-assemblies, assemblies and box builds, disk drives, memory modules, power supplies / adapters, fiber optic assemblies, magnetic induction coils and radio frequency identification (RFID) products and other electronic products. Its services include electronic manufacturing, engineering &amp; technology, RFID, MedTech ODM and magnetics. It supplies complete high-level assemblies, including PCBAs, enclosures, wire harnesses, testing and custom packing. Its engineering &amp; technology services include product engineering, digital engineering, design studio and prototyping. Its MedTech products include Aesthetic Devices, Diagnostic Devices, Wearable Devices, Microcurrent Devices and Neubie- Neuro Muscular Stimulation Devices.</v>
    <v>764</v>
    <v>National Stock Exchange of India</v>
    <v>XNSE</v>
    <v>XNSE</v>
    <v>UNIT NO. 601, 6TH FLOOR ,FLORAL DECK PL MIDC, ANDHERI (EAST), MAHARASHTRA, 400093 IN</v>
    <v>1214.8</v>
    <v>Electronic Equipment &amp; Parts</v>
    <v>Stock</v>
    <v>46176.466851851852</v>
    <v>1156.7</v>
    <v>135875200000</v>
    <v>SYRMA SGS TECHNOLOGY LIMITED</v>
    <v>SYRMA SGS TECHNOLOGY LIMITED</v>
    <v>1172</v>
    <v>70.56</v>
    <v>1166.8</v>
    <v>1195.3</v>
    <v>192625000</v>
    <v>SYRMA</v>
    <v>SYRMA SGS TECHNOLOGY LIMITED (XNSE:SYRMA)</v>
    <v>2008192</v>
    <v>1271340</v>
    <v>2004</v>
  </rv>
  <rv s="2">
    <v>12</v>
  </rv>
  <rv s="0">
    <v>https://www.bing.com/financeapi/forcetrigger?t=ahkjqh&amp;q=XNSE%3aVBL&amp;form=skydnc</v>
    <v>Learn more on Bing</v>
  </rv>
  <rv s="1">
    <v>en-IN</v>
    <v>ahkjqh</v>
    <v>268435456</v>
    <v>1</v>
    <v>Powered by Refinitiv</v>
    <v>0</v>
    <v>VARUN BEVERAGES LIMITED (XNSE:VBL)</v>
    <v>2</v>
    <v>3</v>
    <v>Finance</v>
    <v>4</v>
    <v>544.4</v>
    <v>381</v>
    <v>1.1832</v>
    <v>-3.6</v>
    <v>-6.7039999999999999E-3</v>
    <v>INR</v>
    <v>Varun Beverages Limited is an India-based company, which is a franchisee of PepsiCo. It produces and distributes a range of carbonated soft drinks (CSDs), as well as non-carbonated beverages (NCBs), including packaged drinking water sold under trademarks owned by PepsiCo. PepsiCo CSD brands produced and sold by the Company include Pepsi, Pepsi Black, Mountain Dew, Sting, Seven-Up, Mirinda Orange, Seven-Up Nimbooz Masala Soda and Evervess. PepsiCo NCB brands produced and sold by it include Tropicana Slice, Tropicana Juices (100% and Delight), Seven-Up Nimbooz, Gatorade as well as packaged drinking water under the brand Aquafina. It is also engaged in co-manufacturing of Kurkure puffcorn in India.Its subsidiaries include Varun Beverages (Nepal) Private Limited, The Beverage Company Proprietary Limited, and Varun Beverages Lanka (Private) Limited, and others.</v>
    <v>10654</v>
    <v>National Stock Exchange of India</v>
    <v>XNSE</v>
    <v>XNSE</v>
    <v>F-2/7 PHASE I, OKHLA INDUSTRIAL AREA, DELHI, 110020 IN</v>
    <v>539.65</v>
    <v>Beverages</v>
    <v>Stock</v>
    <v>46176.466874999998</v>
    <v>14</v>
    <v>528.5</v>
    <v>1695053000000</v>
    <v>VARUN BEVERAGES LIMITED</v>
    <v>VARUN BEVERAGES LIMITED</v>
    <v>538.95000000000005</v>
    <v>56.71</v>
    <v>537</v>
    <v>533.4</v>
    <v>3382296000</v>
    <v>VBL</v>
    <v>VARUN BEVERAGES LIMITED (XNSE:VBL)</v>
    <v>4501572</v>
    <v>7939940</v>
    <v>1995</v>
  </rv>
  <rv s="2">
    <v>15</v>
  </rv>
  <rv s="0">
    <v>https://creativecommons.org/licenses/by-sa/4.0</v>
    <v>CC BY-SA 4.0</v>
  </rv>
  <rv s="0">
    <v>http://ja.wikipedia.org/wiki/バジャージ・オート</v>
    <v>Wikipedia</v>
  </rv>
  <rv s="4">
    <v>17</v>
    <v>18</v>
  </rv>
  <rv s="5">
    <v>11</v>
    <v>https://www.bing.com/th?id=AMMS_bf8c7b0a287214e88ed81aee6f721048&amp;qlt=95</v>
    <v>19</v>
    <v>0</v>
    <v>https://www.bing.com/images/search?form=xlimg&amp;q=bajaj+auto</v>
    <v>Image of BAJAJ AUTO LIMITED.</v>
  </rv>
  <rv s="0">
    <v>https://www.bing.com/financeapi/forcetrigger?t=ahh31h&amp;q=XNSE%3aBAJAJ-AUTO&amp;form=skydnc</v>
    <v>Learn more on Bing</v>
  </rv>
  <rv s="6">
    <v>en-IN</v>
    <v>ahh31h</v>
    <v>268435456</v>
    <v>1</v>
    <v>Powered by Refinitiv</v>
    <v>7</v>
    <v>BAJAJ AUTO LIMITED. (XNSE:BAJAJ-AUTO)</v>
    <v>9</v>
    <v>10</v>
    <v>Finance</v>
    <v>4</v>
    <v>10834</v>
    <v>7858.5</v>
    <v>0.9929</v>
    <v>-22</v>
    <v>-2.14E-3</v>
    <v>INR</v>
    <v>Bajaj Auto Limited is an India-based company which is engaged in the business of the development, manufacturing, and distribution of automobiles, such as motorcycles, commercial vehicles, electric vehicles, and parts. It is a manufacturer of two-wheelers, three-wheelers, and quadri-cycles. The Company sells its products in India as well as in various other global markets. Its segments include Automotive, Financing and Investment and others. The Automotive segment includes all activities related to the development, design, manufacture, assembly, and sale of two-wheelers/three-wheelers as well as the sale of related parts and accessories. Its products include Motorcycles, Chetak, 3 Wheelers &amp; Qute, KTM, and Triumph. Its motorcycles include Plusar, CT, Platina, Avenger, KTM, and Dominar. Its 3 Wheelers &amp; Qute include Gogo, RE, Maxima Z, Riki, Maxima X Wide, and Maxima C. Its subsidiaries include Bajaj Auto Credit Ltd., Chetak Technology Ltd., and others.</v>
    <v>5598</v>
    <v>National Stock Exchange of India</v>
    <v>XNSE</v>
    <v>XNSE</v>
    <v>Akurdi,, PUNE, MAHARASHTRA, 411035 IN</v>
    <v>10415</v>
    <v>20</v>
    <v>Automobiles &amp; Auto Parts</v>
    <v>Stock</v>
    <v>46176.466874999998</v>
    <v>21</v>
    <v>10202</v>
    <v>2669985000000</v>
    <v>BAJAJ AUTO LIMITED.</v>
    <v>BAJAJ AUTO LIMITED.</v>
    <v>10281</v>
    <v>26.71</v>
    <v>10281</v>
    <v>10259</v>
    <v>279271700</v>
    <v>BAJAJ-AUTO</v>
    <v>BAJAJ AUTO LIMITED. (XNSE:BAJAJ-AUTO)</v>
    <v>355015</v>
    <v>401740</v>
    <v>2007</v>
  </rv>
  <rv s="2">
    <v>22</v>
  </rv>
  <rv s="0">
    <v>https://www.bing.com/financeapi/forcetrigger?t=ahkdp2&amp;q=XNSE%3aTIPSINDLTD&amp;form=skydnc</v>
    <v>Learn more on Bing</v>
  </rv>
  <rv s="1">
    <v>en-IN</v>
    <v>ahkdp2</v>
    <v>268435456</v>
    <v>1</v>
    <v>Powered by Refinitiv</v>
    <v>0</v>
    <v>TIPS MUSIC LIMITED (XNSE:TIPSMUSIC)</v>
    <v>2</v>
    <v>3</v>
    <v>Finance</v>
    <v>4</v>
    <v>718</v>
    <v>481.15</v>
    <v>1.1345000000000001</v>
    <v>-12.45</v>
    <v>-1.8519000000000001E-2</v>
    <v>INR</v>
    <v>Tips Music Limited is an India-based music company. The Company is engaged in the business of the creation and acquisition of audiovisual content for music and monetization content libraries digitally in India and overseas through licensing on various platforms. The Company has a diversified music library and has a collection of over 34,000 songs across all genres and major languages. The Company has a presence across global digital platforms such as YouTube, Spotify, Jio Saavn, Apple Music, and Amazon Prime. The Company operates through the Audio / Video Products segment. It has approximately 4,000 plus traditional songs spanning devotional music, folk music, and cultural storytelling.</v>
    <v>59</v>
    <v>National Stock Exchange of India</v>
    <v>XNSE</v>
    <v>XNSE</v>
    <v>2nd Floor, Raheja Chambers, Linking Road, Santacruz West, MUMBAI, MAHARASHTRA, 400054 IN</v>
    <v>674</v>
    <v>Media &amp; Publishing</v>
    <v>Stock</v>
    <v>46176.466851851852</v>
    <v>24</v>
    <v>647.4</v>
    <v>65015150000</v>
    <v>TIPS MUSIC LIMITED</v>
    <v>TIPS MUSIC LIMITED</v>
    <v>674</v>
    <v>38.909999999999997</v>
    <v>672.3</v>
    <v>659.85</v>
    <v>127831600</v>
    <v>TIPSMUSIC</v>
    <v>TIPS MUSIC LIMITED (XNSE:TIPSMUSIC)</v>
    <v>116411</v>
    <v>246840</v>
    <v>1996</v>
  </rv>
  <rv s="2">
    <v>25</v>
  </rv>
  <rv s="0">
    <v>https://www.bing.com/financeapi/forcetrigger?t=ahgsvh&amp;q=XNSE%3aAIAENG&amp;form=skydnc</v>
    <v>Learn more on Bing</v>
  </rv>
  <rv s="1">
    <v>en-IN</v>
    <v>ahgsvh</v>
    <v>268435456</v>
    <v>1</v>
    <v>Powered by Refinitiv</v>
    <v>0</v>
    <v>AIA ENGINEERING LIMITED (XNSE:AIAENG)</v>
    <v>2</v>
    <v>3</v>
    <v>Finance</v>
    <v>4</v>
    <v>4607.3999999999996</v>
    <v>3001.1</v>
    <v>0.63929999999999998</v>
    <v>-31</v>
    <v>-6.8100000000000001E-3</v>
    <v>INR</v>
    <v>AIA Engineering Limited is engaged in the manufacturing of high chrome mill internals. The Company is engaged in designing and optimizing mill linings for the mineral processing industry. It specializes in the designing, manufacturing and servicing of wear-resistant parts for grinding applications in the mining and cement industries. The Company provides comprehensive solutions ranging from grinding optimization to recovery enhancements. Its products include Blow Bars, Hammers, Impellers, Anvils, and Feed Disk. It has installed 11 wind energy turbines at the Kutch and Jamjodhpur sites and three sets of hybrids (Wind+Solar) at Amreli, Gujarat, which have a total installed capacity of 37.38 megawatts of renewable energy. Its services include design modeling, wear monitoring, grinding circuit survey, reline supervision, mill operation support, bench test for improved recovery, and ball size optimization for grinding efficiency. It also offers ball mill lining solutions.</v>
    <v>1306</v>
    <v>National Stock Exchange of India</v>
    <v>XNSE</v>
    <v>XNSE</v>
    <v>115, G.V.M.M. ESTATE ODHAV ROAD, ODHAV, GUJARAT, 382410 IN</v>
    <v>4574.7</v>
    <v>Machinery, Equipment &amp; Components</v>
    <v>Stock</v>
    <v>46176.466863425929</v>
    <v>27</v>
    <v>4483.3</v>
    <v>364425400000</v>
    <v>AIA ENGINEERING LIMITED</v>
    <v>AIA ENGINEERING LIMITED</v>
    <v>4525</v>
    <v>33.22</v>
    <v>4552.3</v>
    <v>4521.3</v>
    <v>93320370</v>
    <v>AIAENG</v>
    <v>AIA ENGINEERING LIMITED (XNSE:AIAENG)</v>
    <v>49880</v>
    <v>202740</v>
    <v>1991</v>
  </rv>
  <rv s="2">
    <v>28</v>
  </rv>
  <rv s="0">
    <v>https://www.bing.com/financeapi/forcetrigger?t=c3ecoc&amp;q=XNSE%3aAMIORG&amp;form=skydnc</v>
    <v>Learn more on Bing</v>
  </rv>
  <rv s="1">
    <v>en-IN</v>
    <v>c3ecoc</v>
    <v>268435456</v>
    <v>1</v>
    <v>Powered by Refinitiv</v>
    <v>0</v>
    <v>ACUTAAS CHEMICALS LIMITED (XNSE:ACUTAAS)</v>
    <v>2</v>
    <v>3</v>
    <v>Finance</v>
    <v>4</v>
    <v>3188.1</v>
    <v>1059</v>
    <v>0.36859999999999998</v>
    <v>98.1</v>
    <v>3.2294999999999997E-2</v>
    <v>INR</v>
    <v>Acutaas Chemicals Limited, formerly Ami Organics Limited, is an India-based company, which is engaged in the manufacturing of pharma intermediates and specialty chemicals. It is focused on the development and manufacturing of advanced pharmaceutical intermediates (Pharma Intermediates), New Chemical Entities (NCE) and other specialty chemicals for pharmaceuticals, agrochemicals, dyes, polymers, personal care, animal food, and other industries. It manufactures pharma intermediates for certain active pharmaceutical ingredients (APIs), including dolutegravir, trazodone, entacapone, nintedanib, and rivaroxaban. The pharma intermediates cater to several therapeutic areas, including anti-retroviral, anti-inflammatory, anti-psychotic, anti-cancer, anti-Parkinson, anti-depressant, and anti-coagulant. It has developed and commercialized over 610 plus products, including specialty chemicals, Pharma Intermediates for APIs across 23 key therapeutic areas.</v>
    <v>879</v>
    <v>National Stock Exchange of India</v>
    <v>XNSE</v>
    <v>XNSE</v>
    <v>PLOT NO. 440/4, 5 &amp; 6, ROAD NO. 82/A,, GIDC, SACHIN, GUJARAT, 394230 IN</v>
    <v>3180</v>
    <v>Chemicals</v>
    <v>Stock</v>
    <v>46176.466851851852</v>
    <v>30</v>
    <v>3037.7</v>
    <v>137813700000</v>
    <v>ACUTAAS CHEMICALS LIMITED</v>
    <v>ACUTAAS CHEMICALS LIMITED</v>
    <v>3049</v>
    <v>72.069999999999993</v>
    <v>3037.6</v>
    <v>3135.7</v>
    <v>81871120</v>
    <v>ACUTAAS</v>
    <v>ACUTAAS CHEMICALS LIMITED (XNSE:ACUTAAS)</v>
    <v>385864</v>
    <v>456870</v>
    <v>2007</v>
  </rv>
  <rv s="2">
    <v>31</v>
  </rv>
  <rv s="0">
    <v>https://www.bing.com/financeapi/forcetrigger?t=ahj9a2&amp;q=XNSE%3aOFSS&amp;form=skydnc</v>
    <v>Learn more on Bing</v>
  </rv>
  <rv s="1">
    <v>en-IN</v>
    <v>ahj9a2</v>
    <v>268435456</v>
    <v>1</v>
    <v>Powered by Refinitiv</v>
    <v>0</v>
    <v>ORACLE FINANCIAL SERVICES SOFTWARE LIMITED (XNSE:OFSS)</v>
    <v>2</v>
    <v>3</v>
    <v>Finance</v>
    <v>4</v>
    <v>10584.5</v>
    <v>6234.5</v>
    <v>1.1763999999999999</v>
    <v>-347</v>
    <v>-3.3543999999999997E-2</v>
    <v>INR</v>
    <v>Oracle Financial Services Software Limited is an India-based company, which is engaged in the business of providing products and services to the financial services industry. The Company's segments include Product licenses and related activities and IT solutions and consulting services. Its Product licenses and related activities segment deals with various banking software products. The related activities include enhancements, implementation and maintenance activities. The IT solutions and consulting services segment offers services spanning the entire lifecycle of applications used by financial service institutions. Its banking product portfolio includes Oracle FLEXCUBE Universal Banking; Oracle Banking Accounts; Oracle Banking Origination; Oracle FLEXCUBE for Islamic Banking; Oracle Banking Treasury Management; Oracle Financial Services Lending and Leasing; Oracle FLEXCUBE Investor Servicing; Oracle Banking Corporate Lending; Oracle Banking Payments, and others.</v>
    <v>8887</v>
    <v>National Stock Exchange of India</v>
    <v>XNSE</v>
    <v>XNSE</v>
    <v>ORACLE PARK OFF WESTERN EXPRESS HIGHWAY,, GOREGAON EAST, MAHARASHTRA, 400063 IN</v>
    <v>10300.5</v>
    <v>Software &amp; IT Services</v>
    <v>Stock</v>
    <v>46176.466851851852</v>
    <v>33</v>
    <v>9933.5</v>
    <v>669682100000</v>
    <v>ORACLE FINANCIAL SERVICES SOFTWARE LIMITED</v>
    <v>ORACLE FINANCIAL SERVICES SOFTWARE LIMITED</v>
    <v>10300</v>
    <v>32.94</v>
    <v>10344.5</v>
    <v>9997.5</v>
    <v>87064330</v>
    <v>OFSS</v>
    <v>ORACLE FINANCIAL SERVICES SOFTWARE LIMITED (XNSE:OFSS)</v>
    <v>235347</v>
    <v>355760</v>
    <v>1989</v>
  </rv>
  <rv s="2">
    <v>34</v>
  </rv>
  <rv s="0">
    <v>https://www.bing.com/financeapi/forcetrigger?t=ahgwbh&amp;q=XNSE%3aAPARINDS&amp;form=skydnc</v>
    <v>Learn more on Bing</v>
  </rv>
  <rv s="1">
    <v>en-IN</v>
    <v>ahgwbh</v>
    <v>268435456</v>
    <v>1</v>
    <v>Powered by Refinitiv</v>
    <v>0</v>
    <v>APAR INDUSTRIES LIMITED (XNSE:APARINDS)</v>
    <v>2</v>
    <v>3</v>
    <v>Finance</v>
    <v>4</v>
    <v>14080</v>
    <v>6801</v>
    <v>0.82179999999999997</v>
    <v>268</v>
    <v>2.0196000000000002E-2</v>
    <v>INR</v>
    <v>Apar Industries Limited (Apar) is an India-based manufacturer and supplier of conductors, a variety of cables, specialty oils, polymers, and lubricants. The Company’s segments include Conductor; Transformer &amp; Specialties Oils; Power/Telecom Cables, and others. It provides diverse fields of electrical and metallurgical engineering offering value-added products and services in Power Transmission Conductors, Petroleum Specialty Oils, Power &amp; Telecom Cables, and House wires. The Company's specialty oil business has a range of products, which falls under approximately four categories, such as transformer oils, white oils (liquid paraffins), petroleum jelly, and process oils. Its lubricants serve diverse equipment, including rotating machinery, metalworking and quenching applications. It also provides CTC/PICC conductors, railway overhead conductors, T&amp;D overhead conductors, optical ground wires, aluminum and alloy rods, specialty wires, turnkey solutions, among others.</v>
    <v>2155</v>
    <v>National Stock Exchange of India</v>
    <v>XNSE</v>
    <v>XNSE</v>
    <v>APAR house, Bldg no. 4 &amp; 5, Corporate Park, V.N. Purav marg, Chembur, MUMBAI, MAHARASHTRA, 400071 IN</v>
    <v>14080</v>
    <v>Machinery, Equipment &amp; Components</v>
    <v>Stock</v>
    <v>46176.466863425929</v>
    <v>36</v>
    <v>13270</v>
    <v>307347900000</v>
    <v>APAR INDUSTRIES LIMITED</v>
    <v>APAR INDUSTRIES LIMITED</v>
    <v>13270</v>
    <v>55.66</v>
    <v>13270</v>
    <v>13538</v>
    <v>40174240</v>
    <v>APARINDS</v>
    <v>APAR INDUSTRIES LIMITED (XNSE:APARINDS)</v>
    <v>231576</v>
    <v>129890</v>
    <v>1989</v>
  </rv>
  <rv s="2">
    <v>37</v>
  </rv>
  <rv s="0">
    <v>https://www.bing.com/financeapi/forcetrigger?t=c1c3rw&amp;q=XNSE%3aCRAFTSMAN&amp;form=skydnc</v>
    <v>Learn more on Bing</v>
  </rv>
  <rv s="1">
    <v>en-IN</v>
    <v>c1c3rw</v>
    <v>268435456</v>
    <v>1</v>
    <v>Powered by Refinitiv</v>
    <v>0</v>
    <v>CRAFTSMAN AUTOMATION LIMITED (XNSE:CRAFTSMAN)</v>
    <v>2</v>
    <v>3</v>
    <v>Finance</v>
    <v>4</v>
    <v>9738</v>
    <v>5100</v>
    <v>0.8871</v>
    <v>-80.5</v>
    <v>-8.964999999999999E-3</v>
    <v>INR</v>
    <v>Craftsman Automation Limited is a diversified engineering company with vertically integrated production capabilities. Its Powertrain segment develops, manufactures and sells goods and services of power trains and related products to the manufacturers of commercial/ passenger vehicles, farm equipment, mining and construction equipment. Its Aluminium Products segment develops, manufactures, and sells goods and services consisting of aluminum products to the manufacturers of two-wheelers, passenger vehicles and commercial vehicles and products for power transmission and other industrial usage. Its Industrial &amp; Engineering segment develops, manufactures, and sells goods and services, such as castings, gears, material handling equipment, special purpose machines, other general engineering products and storage products to various end user industries. The Company primarily offers pallet racking, shelving solutions and modular mezzanine under conventional storage.</v>
    <v>2893</v>
    <v>National Stock Exchange of India</v>
    <v>XNSE</v>
    <v>XNSE</v>
    <v>123/4, SANGOTHIPALAYAM ROAD, ARASUR POST,, TAMIL NADU, 641407 IN</v>
    <v>9001</v>
    <v>Machinery, Equipment &amp; Components</v>
    <v>Stock</v>
    <v>46176.466840277775</v>
    <v>39</v>
    <v>8613.5</v>
    <v>183365900000</v>
    <v>CRAFTSMAN AUTOMATION LIMITED</v>
    <v>CRAFTSMAN AUTOMATION LIMITED</v>
    <v>8978</v>
    <v>55.28</v>
    <v>8979</v>
    <v>8898.5</v>
    <v>23855580</v>
    <v>CRAFTSMAN</v>
    <v>CRAFTSMAN AUTOMATION LIMITED (XNSE:CRAFTSMAN)</v>
    <v>95289</v>
    <v>62440</v>
    <v>1986</v>
  </rv>
  <rv s="2">
    <v>40</v>
  </rv>
  <rv s="0">
    <v>https://www.bing.com/financeapi/forcetrigger?t=ahipnm&amp;q=XNSE%3aLALPATHLAB&amp;form=skydnc</v>
    <v>Learn more on Bing</v>
  </rv>
  <rv s="1">
    <v>en-IN</v>
    <v>ahipnm</v>
    <v>268435456</v>
    <v>1</v>
    <v>Powered by Refinitiv</v>
    <v>0</v>
    <v>DR. LAL PATHLABS LIMITED (XNSE:LALPATHLAB)</v>
    <v>2</v>
    <v>3</v>
    <v>Finance</v>
    <v>4</v>
    <v>1770</v>
    <v>1272.5999999999999</v>
    <v>0.87480000000000002</v>
    <v>8.6</v>
    <v>5.5089999999999991E-3</v>
    <v>INR</v>
    <v>Dr. Lal PathLabs Limited is an India-based provider of diagnostic and related healthcare tests and services. The Company is engaged primarily in the business of running laboratories for carrying out pathological investigations in various branches of bio-chemistry, hematology, histopathology, microbiology, electrophoresis, immuno-chemistry, immunology, virology, cytology, and other pathological and radiological investigations. It offers a range of tests, including Pregnancy Test, Full Body Checkups, Covid 19 Test, Heart Test, Kidney Test, Liver Test, Cholesterol Test, Hepatitis B Test, Kidney Function Test, Sugar Test, Thyroid Test, Typhoid Test, Uric Acid Test, Vitamin B12 Test and vitamin D Test. It has approximately 298 clinical laboratories (including National Reference Lab at Delhi, Regional Reference Lab in Kolkata, Bangalore and Mumbai), 6,607 patient service centers, and 12,365 pick-up points (PUPs). Its customers include individual patients, hospitals, and corporate customers.</v>
    <v>4980</v>
    <v>National Stock Exchange of India</v>
    <v>XNSE</v>
    <v>XNSE</v>
    <v>12th Floor, SAS Tower, Sec-38, Medicity, HARYANA, 122001 IN</v>
    <v>1593.4</v>
    <v>Healthcare Providers &amp; Services</v>
    <v>Stock</v>
    <v>46176.466863425929</v>
    <v>42</v>
    <v>1563.9</v>
    <v>237651800000</v>
    <v>DR. LAL PATHLABS LIMITED</v>
    <v>DR. LAL PATHLABS LIMITED</v>
    <v>1565.1</v>
    <v>51.81</v>
    <v>1561</v>
    <v>1569.6</v>
    <v>167060500</v>
    <v>LALPATHLAB</v>
    <v>DR. LAL PATHLABS LIMITED (XNSE:LALPATHLAB)</v>
    <v>108328</v>
    <v>269980</v>
    <v>1995</v>
  </rv>
  <rv s="2">
    <v>43</v>
  </rv>
  <rv s="0">
    <v>https://www.bing.com/financeapi/forcetrigger?t=b1nulh&amp;q=XNSE%3aFCL&amp;form=skydnc</v>
    <v>Learn more on Bing</v>
  </rv>
  <rv s="1">
    <v>en-IN</v>
    <v>b1nulh</v>
    <v>268435456</v>
    <v>1</v>
    <v>Powered by Refinitiv</v>
    <v>0</v>
    <v>FINEOTEX CHEMICAL LIMITED (XNSE:FCL)</v>
    <v>2</v>
    <v>3</v>
    <v>Finance</v>
    <v>4</v>
    <v>44.44</v>
    <v>19.100000000000001</v>
    <v>1.1740999999999999</v>
    <v>1.18</v>
    <v>2.7856000000000002E-2</v>
    <v>INR</v>
    <v>Fineotex Chemical Limited is an India-based company, which is engaged in the manufacturing of textile chemicals, auxiliaries, and specialty chemicals. It provides a range of products for the Pretreatment Process, Dyeing Process, Printing Process, Oil &amp; Gas, Water Treatment, Paint, Cleaning and Hygiene, Construction, Enzymes, and Finishing Process. Its water-based drilling fluid chemicals include clay/ shale inhibitors, lubricants, specialty chemicals, spotting fluid and loss circulation additives. Its oil-based drilling fluid chemicals include specialty oil-based drilling fluid chemicals. Its cleaning and hygiene product categories include disinfection, housekeeping, kitchen care, and laundry. It offers a range of polymers under the Diquest brand for water treatment. Its manufacturing plants are in Navi Mumbai (India) and Selangor (Malaysia). It supplies textile chemicals and specialty chemicals to approximately 69 countries.</v>
    <v>210</v>
    <v>National Stock Exchange of India</v>
    <v>XNSE</v>
    <v>XNSE</v>
    <v>42/43, MANORAMA CHAMBERS 4TH FLOOR, S V ROAD, BANDRA (W), MAHARASHTRA, 400050 IN</v>
    <v>44.44</v>
    <v>Chemicals</v>
    <v>Stock</v>
    <v>46176.466851851852</v>
    <v>45</v>
    <v>42.6</v>
    <v>26807660000</v>
    <v>FINEOTEX CHEMICAL LIMITED</v>
    <v>FINEOTEX CHEMICAL LIMITED</v>
    <v>42.69</v>
    <v>44.59</v>
    <v>42.36</v>
    <v>43.54</v>
    <v>1164501000</v>
    <v>FCL</v>
    <v>FINEOTEX CHEMICAL LIMITED (XNSE:FCL)</v>
    <v>29794119</v>
    <v>75003440</v>
    <v>2004</v>
  </rv>
  <rv s="2">
    <v>46</v>
  </rv>
  <rv s="0">
    <v>https://www.bing.com/financeapi/forcetrigger?t=ahil6h&amp;q=XNSE%3aKEI&amp;form=skydnc</v>
    <v>Learn more on Bing</v>
  </rv>
  <rv s="1">
    <v>en-IN</v>
    <v>ahil6h</v>
    <v>268435456</v>
    <v>1</v>
    <v>Powered by Refinitiv</v>
    <v>0</v>
    <v>KEI INDUSTRIES LIMITED (XNSE:KEI)</v>
    <v>2</v>
    <v>3</v>
    <v>Finance</v>
    <v>4</v>
    <v>5476.3</v>
    <v>3500</v>
    <v>1.3382000000000001</v>
    <v>-39.5</v>
    <v>-7.5070000000000007E-3</v>
    <v>INR</v>
    <v>KEI Industries Limited is a manufacturer of wires and cables. The Company's segments include Cables and Wires, Stainless Steel Wire, and Engineering, Procurement and Construction (EPC) Projects. Cables and Wires segment is engaged in the manufacturing, sale and marketing of all ranges of power cables, such as low tension (LT), high tension (HT) and extra-high voltage (EHV), control and instrumentation cables, specialty cables, elastomeric/rubber cables, flexible and house wires, and winding wires. Stainless Steel Wire segment comprises manufacturing, sale and job work related to stainless steel wire. EPC Projects segment comprises the design, engineering, supply, erection, testing and commissioning of high-voltage and extra-high-voltage underground cabling projects from 33 kilovolts (kV) to 400 kV, substations (AIS &amp; GIS) on a turnkey basis up to 400 KV and conversion of overhead line to underground line for complete town including HT and LT distribution system, among others.</v>
    <v>2050</v>
    <v>National Stock Exchange of India</v>
    <v>XNSE</v>
    <v>XNSE</v>
    <v>D-90 OKHLA INDL AREA, PHASE-I, DELHI, 110020 IN</v>
    <v>5347.5</v>
    <v>Machinery, Equipment &amp; Components</v>
    <v>Stock</v>
    <v>46176.466863425929</v>
    <v>48</v>
    <v>5204.5</v>
    <v>412115000000</v>
    <v>KEI INDUSTRIES LIMITED</v>
    <v>KEI INDUSTRIES LIMITED</v>
    <v>5299</v>
    <v>54.34</v>
    <v>5261.5</v>
    <v>5222</v>
    <v>95600590</v>
    <v>KEI</v>
    <v>KEI INDUSTRIES LIMITED (XNSE:KEI)</v>
    <v>265111</v>
    <v>307500</v>
    <v>1992</v>
  </rv>
  <rv s="2">
    <v>49</v>
  </rv>
  <rv s="0">
    <v>https://www.bing.com/financeapi/forcetrigger?t=ahiooc&amp;q=XNSE%3aKRISHANA&amp;form=skydnc</v>
    <v>Learn more on Bing</v>
  </rv>
  <rv s="1">
    <v>en-IN</v>
    <v>ahiooc</v>
    <v>268435456</v>
    <v>1</v>
    <v>Powered by Refinitiv</v>
    <v>0</v>
    <v>KRISHANA PHOSCHEM LIMITED (XNSE:KRISHANA)</v>
    <v>2</v>
    <v>3</v>
    <v>Finance</v>
    <v>4</v>
    <v>718.5</v>
    <v>375.4</v>
    <v>1.0165999999999999</v>
    <v>-3.8</v>
    <v>-5.5360000000000001E-3</v>
    <v>INR</v>
    <v>Krishana Phoschem Limited is an India-based company, which is primarily engaged in the business of fertilizer manufacturing and other products that are backward integration. The Company is also engaged in the manufacturing of Beneficiated Rock Phosphate (BRP), Single Super Phosphate (SSP), Sulfuric Acid (SA), Oleum, Coloro Sulphonic Acid &amp; Liquid SO3, Di-ammonium Phosphate (DAP), Nitrogen, Phosphorus and Potassium (NPK) complex fertilizer. The Company’s products category includes bulk products, water soluble fertilizer, secondary nutrients, micro nutrients, and supplement and organic nutrients. Its products include Annadata (Diammonium Phosphate) DAP, Annadata (Diammonium Phosphate) NPK, Annadata Single Super Phosphate (Powder &amp; Granular), Annadata N:P:K (00: 00: 50), Annadata N:P:K (12: 61: 00), Annadata Casma, Annadata creation zinc 5, Annadata Potash, and Annadata Mono Zinc 33. Its manufacturing facilities are located near Meghnagar, Jhabua, Madhya Pradesh.</v>
    <v>267</v>
    <v>National Stock Exchange of India</v>
    <v>XNSE</v>
    <v>XNSE</v>
    <v>Wing A/2, 1st Floor, Ostwal Heights, Urban Forest, Atun, RAJASTHAN, 311802 IN</v>
    <v>698.7</v>
    <v>Chemicals</v>
    <v>Stock</v>
    <v>46176.466863425929</v>
    <v>51</v>
    <v>675</v>
    <v>30851970000</v>
    <v>KRISHANA PHOSCHEM LIMITED</v>
    <v>KRISHANA PHOSCHEM LIMITED</v>
    <v>694</v>
    <v>23.43</v>
    <v>686.45</v>
    <v>682.65</v>
    <v>61827600</v>
    <v>KRISHANA</v>
    <v>KRISHANA PHOSCHEM LIMITED (XNSE:KRISHANA)</v>
    <v>190922</v>
    <v>314620</v>
    <v>2004</v>
  </rv>
  <rv s="2">
    <v>52</v>
  </rv>
  <rv s="0">
    <v>https://www.bing.com/financeapi/forcetrigger?t=ahj6kr&amp;q=XNSE%3aNH&amp;form=skydnc</v>
    <v>Learn more on Bing</v>
  </rv>
  <rv s="1">
    <v>en-IN</v>
    <v>ahj6kr</v>
    <v>268435456</v>
    <v>1</v>
    <v>Powered by Refinitiv</v>
    <v>0</v>
    <v>NARAYANA HRUDAYALAYA LIMITED (XNSE:NH)</v>
    <v>2</v>
    <v>3</v>
    <v>Finance</v>
    <v>4</v>
    <v>2370.1999999999998</v>
    <v>1589</v>
    <v>0.80530000000000002</v>
    <v>46.4</v>
    <v>2.3988999999999996E-2</v>
    <v>INR</v>
    <v>Narayana Hrudayalaya Limited is engaged in medical and healthcare services. The Company operates a network of multispecialty and super-specialty hospitals across multiple locations. Its operating segment is Medical and Healthcare Related Services. Its medical services include anesthesiology, audiology, breast oncology and oncoplastic surgery, clinical psychology, congenital adult heart disease, cardiac sciences, developmental and behavioral pediatrics, endocrinology and diabetology, gastrointestinal oncology, gynecologic oncology, hepatology and liver transplantation, interventional and endovascular radiology, medical gastroenterology, neuro rehabilitation, pediatric hematology oncology, speech and swallow rehabilitation, thoracic and vascular surgery, vascular and endovascular surgery, surgical gastroenterology, and surgical oncology, among others. It has a network of over 18 hospitals and three heart centers across India, along with an international presence in the Cayman Islands.</v>
    <v>11411</v>
    <v>National Stock Exchange of India</v>
    <v>XNSE</v>
    <v>XNSE</v>
    <v>2nd Floor, No. 261/A, Bommasandra Industrial Area, HOSUR Road, BANGALORE, KARNATAKA, 560099 IN</v>
    <v>1989</v>
    <v>Healthcare Providers &amp; Services</v>
    <v>Stock</v>
    <v>46176.466863425929</v>
    <v>54</v>
    <v>1920.5</v>
    <v>383391600000</v>
    <v>NARAYANA HRUDAYALAYA LIMITED</v>
    <v>NARAYANA HRUDAYALAYA LIMITED</v>
    <v>1933</v>
    <v>49.34</v>
    <v>1934.2</v>
    <v>1980.6</v>
    <v>203099800</v>
    <v>NH</v>
    <v>NARAYANA HRUDAYALAYA LIMITED (XNSE:NH)</v>
    <v>428361</v>
    <v>498230</v>
    <v>2000</v>
  </rv>
  <rv s="2">
    <v>55</v>
  </rv>
  <rv s="0">
    <v>https://www.bing.com/financeapi/forcetrigger?t=bprqu2&amp;q=XNSE%3aPOLYCAB&amp;form=skydnc</v>
    <v>Learn more on Bing</v>
  </rv>
  <rv s="1">
    <v>en-IN</v>
    <v>bprqu2</v>
    <v>268435456</v>
    <v>1</v>
    <v>Powered by Refinitiv</v>
    <v>0</v>
    <v>POLYCAB INDIA LIMITED (XNSE:POLYCAB)</v>
    <v>2</v>
    <v>3</v>
    <v>Finance</v>
    <v>4</v>
    <v>9747</v>
    <v>5760</v>
    <v>1.1621999999999999</v>
    <v>40</v>
    <v>4.1970000000000002E-3</v>
    <v>INR</v>
    <v>Polycab India Limited is a manufacturer of wires and cables. It is engaged in fast-moving electrical goods (FMEG). Its segment includes Wires and cables, FMEG, and Other. Wire and cable segment is engaged in the manufacturing and selling of wires and cables. FMEG segment is engaged in fans, light-emitting diode (LED) lighting and luminaires, switches, switchgear, solar products, pumps, conduits, and domestic appliances. Other segment consists of the engineering, procurement, and construction (EPC) business, which includes design, engineering, supply of materials, survey, execution and commissioning of power distribution, and rural electrification projects on a trunky basis. It is also in the business of engineering, procurement, and construction (EPC) projects. It owns over 28 manufacturing facilities, located across the states of Gujarat, Maharashtra, Uttarakhand, and the union territory of Daman. Its products include Flexible Wires, Building Wires LV and MV Power Cables, and others.</v>
    <v>5258</v>
    <v>National Stock Exchange of India</v>
    <v>XNSE</v>
    <v>XNSE</v>
    <v>#29, The Ruby, 21st Floor,, Senapati Bapat Marg, Tulsi Pipe Road,, Dadar (West),, MUMBAI, MAHARASHTRA, 400028 IN</v>
    <v>9640</v>
    <v>Machinery, Equipment &amp; Components</v>
    <v>Stock</v>
    <v>46176.466851851852</v>
    <v>57</v>
    <v>9479.5</v>
    <v>1137384000000</v>
    <v>POLYCAB INDIA LIMITED</v>
    <v>POLYCAB INDIA LIMITED</v>
    <v>9525</v>
    <v>53.66</v>
    <v>9531.5</v>
    <v>9571.5</v>
    <v>150557100</v>
    <v>POLYCAB</v>
    <v>POLYCAB INDIA LIMITED (XNSE:POLYCAB)</v>
    <v>162922</v>
    <v>293110</v>
    <v>1996</v>
  </rv>
  <rv s="2">
    <v>58</v>
  </rv>
  <rv s="0">
    <v>https://www.bing.com/financeapi/forcetrigger?t=ahjjk2&amp;q=XNSE%3aPSPPROJECT&amp;form=skydnc</v>
    <v>Learn more on Bing</v>
  </rv>
  <rv s="1">
    <v>en-IN</v>
    <v>ahjjk2</v>
    <v>268435456</v>
    <v>1</v>
    <v>Powered by Refinitiv</v>
    <v>0</v>
    <v>PSP PROJECTS LIMITED (XNSE:PSPPROJECT)</v>
    <v>2</v>
    <v>3</v>
    <v>Finance</v>
    <v>4</v>
    <v>1029.9000000000001</v>
    <v>569.20000000000005</v>
    <v>1.0238</v>
    <v>-22.6</v>
    <v>-2.682E-2</v>
    <v>INR</v>
    <v>PSP Projects Limited is an India-based multidisciplinary construction company offering a range of construction and allied services across industrial, institutional, government, government residential and residential projects in India. It provides its services across the construction value chain, ranging from planning and design to construction and post-construction activities, including mechanical, electrical, and plumbing (MEP) work and other interior fit-outs for private and public sector enterprises. Its projects include Industrial, Institutional, Government, Government Residential, and Residential. Its Industrial projects primarily involve the construction of industrial buildings for pharmaceutical plants, food processing units, engineering units and manufacturing and processing facilities. Its Institutional projects involve the construction of buildings for hospitals and healthcare services, educational institutes, malls, hospitality services, and corporate offices.</v>
    <v>2383</v>
    <v>National Stock Exchange of India</v>
    <v>XNSE</v>
    <v>XNSE</v>
    <v>PSP HOUSE OPP. CELESTA COURTYARD OPP. LANE OF VIKRAM NAGAR COLONY ISCON-AMBLI ROAD AHMEDABAD, GUJARAT, 380054 IN</v>
    <v>852.4</v>
    <v>Construction &amp; Engineering</v>
    <v>Stock</v>
    <v>46176.466886574075</v>
    <v>60</v>
    <v>808.05</v>
    <v>32807550000</v>
    <v>PSP PROJECTS LIMITED</v>
    <v>PSP PROJECTS LIMITED</v>
    <v>849.7</v>
    <v>58.74</v>
    <v>842.65</v>
    <v>820.05</v>
    <v>39641790</v>
    <v>PSPPROJECT</v>
    <v>PSP PROJECTS LIMITED (XNSE:PSPPROJECT)</v>
    <v>189429</v>
    <v>118060</v>
    <v>2008</v>
  </rv>
  <rv s="2">
    <v>61</v>
  </rv>
  <rv s="0">
    <v>https://www.bing.com/financeapi/forcetrigger?t=c667ec&amp;q=XNSE%3aRAINBOW&amp;form=skydnc</v>
    <v>Learn more on Bing</v>
  </rv>
  <rv s="1">
    <v>en-IN</v>
    <v>c667ec</v>
    <v>268435456</v>
    <v>1</v>
    <v>Powered by Refinitiv</v>
    <v>0</v>
    <v>RAINBOW CHILDREN'S MEDICARE LIMITED (XNSE:RAINBOW)</v>
    <v>2</v>
    <v>3</v>
    <v>Finance</v>
    <v>4</v>
    <v>1645.7</v>
    <v>1084</v>
    <v>0.75929999999999997</v>
    <v>12.8</v>
    <v>9.5420000000000001E-3</v>
    <v>INR</v>
    <v>Rainbow Children's Medicare Limited is an India-based company, which is engaged in the business of rendering medical and healthcare services. The Company is a multi-specialty pediatric and obstetrics and gynecology hospital operating across approximately 20 hospitals and five outpatient clinics, spread across seven Indian cities, with a capacity of 2,035 beds. It offers pediatric services under Rainbow Children’s Hospital, which include newborn and pediatric intensive care, pediatric multi-specialty services and pediatric quaternary care (including multi-organ transplants). Its women care services under Birthright by Rainbow that offers perinatal care services, which include normal and complex obstetric care, multi-disciplinary fetal care, perinatal genetic and fertility care, along with gynecology services. It also operates pediatric Diplomate of National Board (DNB) training programs in private healthcare, offering post-graduate residential DNB and fellowship programs.</v>
    <v>3972</v>
    <v>National Stock Exchange of India</v>
    <v>XNSE</v>
    <v>XNSE</v>
    <v>8-2-120/103/1, SURVEY NO. 403, ROAD NO. 2, BANJARA HILLS, 500034 IN</v>
    <v>1364.9</v>
    <v>Healthcare Providers &amp; Services</v>
    <v>Stock</v>
    <v>46176.466851851852</v>
    <v>63</v>
    <v>1311</v>
    <v>127629400000</v>
    <v>RAINBOW CHILDREN'S MEDICARE LIMITED</v>
    <v>RAINBOW CHILDREN'S MEDICARE LIMITED</v>
    <v>1340</v>
    <v>49.41</v>
    <v>1341.4</v>
    <v>1354.2</v>
    <v>101440100</v>
    <v>RAINBOW</v>
    <v>RAINBOW CHILDREN'S MEDICARE LIMITED (XNSE:RAINBOW)</v>
    <v>68546</v>
    <v>110170</v>
    <v>1998</v>
  </rv>
  <rv s="2">
    <v>64</v>
  </rv>
  <rv s="0">
    <v>https://www.bing.com/financeapi/forcetrigger?t=c2jsmw&amp;q=XNSE%3aSBCL&amp;form=skydnc</v>
    <v>Learn more on Bing</v>
  </rv>
  <rv s="1">
    <v>en-IN</v>
    <v>c2jsmw</v>
    <v>268435456</v>
    <v>1</v>
    <v>Powered by Refinitiv</v>
    <v>0</v>
    <v>SHIVALIK BIMETAL CONTROLS LTD (XNSE:SBCL)</v>
    <v>2</v>
    <v>3</v>
    <v>Finance</v>
    <v>4</v>
    <v>789</v>
    <v>368.6</v>
    <v>1.6737</v>
    <v>-10.65</v>
    <v>-1.4499E-2</v>
    <v>INR</v>
    <v>Shivalik Bimetal Controls Limited is an India-based company. The Company is specialized in joining materials through various methods, such as diffusion bonding/cladding, electron beam welding, continuous brazing, and resistance welding, among others. The Company operates through the Process and Product Engineering segment. It is engaged in the business of manufacturing and sales of thermostatic bimetal / tri metal strips, components, spring rolled stainless steels, electron beam welded shunt materials (strip &amp; finished components), cold bonded bimetal strips and parts, snap action discs, CNC formed coils of bimetals / tri metals, electrical contacts, tools and dies, and others. The Company’s products are used in manufacturing of switchgears, circuit breakers, automotive’s, energy meters and various other electrical, and electronic devices. The Company's subsidiaries include Shivalik Engineered Products Private Limited, and Shivalik Bimetal Engineers Private Limited.</v>
    <v>598</v>
    <v>National Stock Exchange of India</v>
    <v>XNSE</v>
    <v>XNSE</v>
    <v>16 18 NEW ELECTRONICS COMPLEX, CHAMBAGHAT DISTT SOLAN, HIMACHAL PRADESH, 173213 IN</v>
    <v>761.35</v>
    <v>Machinery, Equipment &amp; Components</v>
    <v>Stock</v>
    <v>46176.466840277775</v>
    <v>66</v>
    <v>714.6</v>
    <v>24971420000</v>
    <v>SHIVALIK BIMETAL CONTROLS LTD</v>
    <v>SHIVALIK BIMETAL CONTROLS LTD</v>
    <v>740.55</v>
    <v>43.48</v>
    <v>734.55</v>
    <v>723.9</v>
    <v>57604200</v>
    <v>SBCL</v>
    <v>SHIVALIK BIMETAL CONTROLS LTD (XNSE:SBCL)</v>
    <v>231427</v>
    <v>776660</v>
    <v>1984</v>
  </rv>
  <rv s="2">
    <v>67</v>
  </rv>
  <rv s="0">
    <v>https://www.bing.com/financeapi/forcetrigger?t=ahkdjc&amp;q=XNSE%3aTIMKEN&amp;form=skydnc</v>
    <v>Learn more on Bing</v>
  </rv>
  <rv s="1">
    <v>en-IN</v>
    <v>ahkdjc</v>
    <v>268435456</v>
    <v>1</v>
    <v>Powered by Refinitiv</v>
    <v>0</v>
    <v>TIMKEN INDIA LIMITED (XNSE:TIMKEN)</v>
    <v>2</v>
    <v>3</v>
    <v>Finance</v>
    <v>4</v>
    <v>3775</v>
    <v>2800.5</v>
    <v>0.91749999999999998</v>
    <v>-37.299999999999997</v>
    <v>-1.0569E-2</v>
    <v>INR</v>
    <v>Timken India Limited is an India-based company, which is engaged in engineered bearings and industrial motion products. The Company is in the manufacture, distribution and sale of anti-friction bearings, primarily tapered roller bearings, other roller bearings, components, accessories, and mechanical power transmission products for a diverse customer base. It also provides maintenance contract and refurbishment services. The Company's manufacturing plants are located at Jamshedpur in Jharkhand &amp; Bharuch in Gujarat and distribution centers are located in various parts of the country. Industrial motion products include augers, automatic lubrication systems, belts, brakes and clutches, chain, couplings &amp; universal joints, gear drives / transmissions, linear motion, lubrication and lubrication systems, Timken maintenance tools, gearboxes overhaul, motor repair services, and up tower wind services. It offers various brands, such as Timken, Beka, Cone Drive, Diamond Drives and others.</v>
    <v>1282</v>
    <v>National Stock Exchange of India</v>
    <v>XNSE</v>
    <v>XNSE</v>
    <v>39-42 ELECTRONIC CITY, PHSE II, HOSUR ROAD,, KARNATAKA, 560100 IN</v>
    <v>3577.9</v>
    <v>Machinery, Equipment &amp; Components</v>
    <v>Stock</v>
    <v>46176.466863425929</v>
    <v>69</v>
    <v>3478.6</v>
    <v>228665000000</v>
    <v>TIMKEN INDIA LIMITED</v>
    <v>TIMKEN INDIA LIMITED</v>
    <v>3527.9</v>
    <v>64.599999999999994</v>
    <v>3529.2</v>
    <v>3491.9</v>
    <v>75218730</v>
    <v>TIMKEN</v>
    <v>TIMKEN INDIA LIMITED (XNSE:TIMKEN)</v>
    <v>25850</v>
    <v>122470</v>
    <v>1996</v>
  </rv>
  <rv s="2">
    <v>70</v>
  </rv>
  <rv s="0">
    <v>https://www.bing.com/financeapi/forcetrigger?t=ahk1p2&amp;q=XNSE%3aSOLARINDS&amp;form=skydnc</v>
    <v>Learn more on Bing</v>
  </rv>
  <rv s="1">
    <v>en-IN</v>
    <v>ahk1p2</v>
    <v>268435456</v>
    <v>1</v>
    <v>Powered by Refinitiv</v>
    <v>0</v>
    <v>SOLAR INDUSTRIES INDIA LIMITED (XNSE:SOLARINDS)</v>
    <v>2</v>
    <v>3</v>
    <v>Finance</v>
    <v>4</v>
    <v>18874</v>
    <v>11646</v>
    <v>0.90500000000000003</v>
    <v>191</v>
    <v>1.0388E-2</v>
    <v>INR</v>
    <v>Solar Industries India Limited is an India-based integrated global explosives company. The Company is primarily involved in the manufacturing of complete range of industrial explosives and explosive initiating devices. Its segment is Explosives and its accessories. The Company's products include industrial explosives and defense. Its industrial explosives products include packaged emulsion explosives, bulk explosives and explosive initiating systems. Its industrial explosives include superpower 90, solargel, solar prime, solar prime gold, Eco Power, and others. The Company's defense products include high energy materials, such as HMX, RDX, TNT and their compounds; composite propellants for Pinaka, Akash, Brahmos, PSOMXL and Skyroot, among others; 30 mm ammunition, multi-mode hand grenade, mines, warheads, bund blasting device; artillery fuses, ASW fuses, Pyros and igniters; chaff payloads; loitering munition; rocket integration, and explosives filling of ammunition.</v>
    <v>2403</v>
    <v>National Stock Exchange of India</v>
    <v>XNSE</v>
    <v>XNSE</v>
    <v>SOLAR HOUSE 14 KACHIMET, AMRAVATI ROAD, MAHARASHTRA, 440023 IN</v>
    <v>18737</v>
    <v>Chemicals</v>
    <v>Stock</v>
    <v>46176.466863425929</v>
    <v>72</v>
    <v>18285</v>
    <v>1148862000000</v>
    <v>SOLAR INDUSTRIES INDIA LIMITED</v>
    <v>SOLAR INDUSTRIES INDIA LIMITED</v>
    <v>18396</v>
    <v>100.21</v>
    <v>18386</v>
    <v>18577</v>
    <v>90490050</v>
    <v>SOLARINDS</v>
    <v>SOLAR INDUSTRIES INDIA LIMITED (XNSE:SOLARINDS)</v>
    <v>266212</v>
    <v>197000</v>
    <v>1995</v>
  </rv>
  <rv s="2">
    <v>73</v>
  </rv>
  <rv s="0">
    <v>https://www.bing.com/financeapi/forcetrigger?t=bprmww&amp;q=XNSE%3aMETROPOLIS&amp;form=skydnc</v>
    <v>Learn more on Bing</v>
  </rv>
  <rv s="1">
    <v>en-IN</v>
    <v>bprmww</v>
    <v>268435456</v>
    <v>1</v>
    <v>Powered by Refinitiv</v>
    <v>0</v>
    <v>METROPOLIS HEALTHCARE LIMITED (XNSE:METROPOLIS)</v>
    <v>2</v>
    <v>3</v>
    <v>Finance</v>
    <v>4</v>
    <v>600</v>
    <v>411.25</v>
    <v>0.69110000000000005</v>
    <v>-5.35</v>
    <v>-9.8799999999999999E-3</v>
    <v>INR</v>
    <v>Metropolis Healthcare Limited is engaged in providing diagnostic services to patients, healthcare providers, and corporates across India and Africa. It has a single operating segment, namely Pathology services. It is engaged in the business of running laboratories for carrying out pathological investigations of various branches of biochemistry, hematology, histopathology, microbiology, electrophoresis, immuno-chemistry, immunology, virology, cytology, other pathological and radiological investigations. Its services include Pathology Testing Services, Corporate Wellness, Lab In Hospitals and Clinical Research Services. It serves a diverse customer base, including B2C (Business to Consumer), B2B (Business to Business), and institutional clients. It offers more than 4,000 tests and profiles, including advanced tests for diagnosing cancer, neurological disorders, infectious diseases, and various genetic abnormalities. Its footprint spans 28 states, seven Union Territories.</v>
    <v>4823</v>
    <v>National Stock Exchange of India</v>
    <v>XNSE</v>
    <v>XNSE</v>
    <v>4th Floor, East Wing, Nirlon House,, Dr. Annie Besant Road, Worli,, MUMBAI, MAHARASHTRA, 400030 IN</v>
    <v>541.70000000000005</v>
    <v>Healthcare Providers &amp; Services</v>
    <v>Stock</v>
    <v>46176.466851851852</v>
    <v>75</v>
    <v>527.04999999999995</v>
    <v>98814160000</v>
    <v>METROPOLIS HEALTHCARE LIMITED</v>
    <v>METROPOLIS HEALTHCARE LIMITED</v>
    <v>538</v>
    <v>58.44</v>
    <v>541.5</v>
    <v>536.15</v>
    <v>207332000</v>
    <v>METROPOLIS</v>
    <v>METROPOLIS HEALTHCARE LIMITED (XNSE:METROPOLIS)</v>
    <v>72278</v>
    <v>258940</v>
    <v>2000</v>
  </rv>
  <rv s="2">
    <v>76</v>
  </rv>
  <rv s="0">
    <v>https://www.bing.com/financeapi/forcetrigger?t=ahj4rw&amp;q=XNSE%3aNAVINFLUOR&amp;form=skydnc</v>
    <v>Learn more on Bing</v>
  </rv>
  <rv s="1">
    <v>en-IN</v>
    <v>ahj4rw</v>
    <v>268435456</v>
    <v>1</v>
    <v>Powered by Refinitiv</v>
    <v>0</v>
    <v>NAVIN FLUORINE INTERNATIONAL LIMITED (XNSE:NAVINFLUOR)</v>
    <v>2</v>
    <v>3</v>
    <v>Finance</v>
    <v>4</v>
    <v>7525</v>
    <v>4225</v>
    <v>0.85040000000000004</v>
    <v>-16.5</v>
    <v>-2.3400000000000001E-3</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offers contract research and manufacturing services. It also manufactures anhydrous hydrofluoric and diluted hydrofluoric acid serving diverse sectors, including pharma, solar, electronic, steel, glass and oil and gas industries. The Company's refrigerants are sold under the Mafron brand. Its contract development and manufacturing organisation business vertical offers contract development, scale up and manufacturing services for complex chemical syntheses of fluorinated and non-fluorinated compounds. Its manufacturing facilities are located at Surat in Gujarat and Dewas in Madhya Pradesh.</v>
    <v>1498</v>
    <v>National Stock Exchange of India</v>
    <v>XNSE</v>
    <v>XNSE</v>
    <v>OFFICE NO. 602, NATRAJ BY RUSTOMJEE NEAR WESTERN EXPRESS HIGHWAY, ANDHERI (EAST),, SIR MATHURADAS VASANJI ROAD, MAHARASHTRA, 400069 IN</v>
    <v>7179.5</v>
    <v>Chemicals</v>
    <v>Stock</v>
    <v>46176.466863425929</v>
    <v>78</v>
    <v>7000</v>
    <v>306836900000</v>
    <v>NAVIN FLUORINE INTERNATIONAL LIMITED</v>
    <v>NAVIN FLUORINE INTERNATIONAL LIMITED</v>
    <v>7050.5</v>
    <v>53.97</v>
    <v>7052</v>
    <v>7035.5</v>
    <v>51291160</v>
    <v>NAVINFLUOR</v>
    <v>NAVIN FLUORINE INTERNATIONAL LIMITED (XNSE:NAVINFLUOR)</v>
    <v>82526</v>
    <v>191330</v>
    <v>1998</v>
  </rv>
  <rv s="2">
    <v>79</v>
  </rv>
  <rv s="0">
    <v>https://www.bing.com/financeapi/forcetrigger?t=c6qgur&amp;q=XNSE%3aNGLFINE&amp;form=skydnc</v>
    <v>Learn more on Bing</v>
  </rv>
  <rv s="1">
    <v>en-IN</v>
    <v>c6qgur</v>
    <v>268435456</v>
    <v>1</v>
    <v>Powered by Refinitiv</v>
    <v>0</v>
    <v>NGL FINE-CHEM LIMITED (XNSE:NGLFINE)</v>
    <v>2</v>
    <v>3</v>
    <v>Finance</v>
    <v>4</v>
    <v>3005</v>
    <v>980</v>
    <v>1.0495000000000001</v>
    <v>-9.4</v>
    <v>-3.5410000000000003E-3</v>
    <v>INR</v>
    <v>NGL Fine-Chem Limited is an India-based company, which is a manufacturer of pharmaceuticals and intermediates for use in veterinary and human health. The Company caters to various global companies to custom manufacture pharmaceuticals. Its products include APIs Animal Health, APIs Human Health, Intermediates and Specialty Chemicals and Finished Dosage Form. The APIs Animal Health products include Homidium Chloride, Nitroxynil, Clorsulon, Parvaquone, Buparvaquone, Isometamidium Chloride Hydrochloride, Toldimfos Sodium, Butaphosphan, Imidocarb Dipropionate, Triclabendazole, Rafoxanide, Diminazene Aceturate, S-Methoprene, Carprofen and others. The APIs Human Health products include Nitazoxanide and Atovaquone. The Intermediates and Specialty Chemicals product includes 1,4,7-Trimethyl-1,4,7-Triazacylononane and N-Ethyl Glucamine. The Finished Dosage Form products include Diminazene Aceturate Granules and Homidium Chloride Tablets. It has manufacturing plants located around Mumbai.</v>
    <v>456</v>
    <v>National Stock Exchange of India</v>
    <v>XNSE</v>
    <v>XNSE</v>
    <v>301, E SQUARE, SUBHASH ROAD VILE PARLE ( EAST), MAHARASHTRA, 400057 IN</v>
    <v>2717</v>
    <v>Pharmaceuticals</v>
    <v>Stock</v>
    <v>46176.466851851852</v>
    <v>81</v>
    <v>2551.6</v>
    <v>8873496000</v>
    <v>NGL FINE-CHEM LIMITED</v>
    <v>NGL FINE-CHEM LIMITED</v>
    <v>2654.5</v>
    <v>34.01</v>
    <v>2654.5</v>
    <v>2645.1</v>
    <v>6178020</v>
    <v>NGLFINE</v>
    <v>NGL FINE-CHEM LIMITED (XNSE:NGLFINE)</v>
    <v>17530</v>
    <v>32610</v>
    <v>1981</v>
  </rv>
  <rv s="2">
    <v>82</v>
  </rv>
  <rv s="0">
    <v>https://www.bing.com/financeapi/forcetrigger?t=ahhboc&amp;q=XNSE%3aCAPLIPOINT&amp;form=skydnc</v>
    <v>Learn more on Bing</v>
  </rv>
  <rv s="1">
    <v>en-IN</v>
    <v>ahhboc</v>
    <v>268435456</v>
    <v>1</v>
    <v>Powered by Refinitiv</v>
    <v>0</v>
    <v>CAPLIN POINT LABORATORIES LIMITED (XNSE:CAPLIPOINT)</v>
    <v>2</v>
    <v>3</v>
    <v>Finance</v>
    <v>4</v>
    <v>2395</v>
    <v>1500.3</v>
    <v>0.79069999999999996</v>
    <v>-15.2</v>
    <v>-7.6449999999999999E-3</v>
    <v>INR</v>
    <v>Caplin Point Laboratories Limited is an India-based pharmaceutical company with a business model catering predominantly to emerging markets of Latin America and Africa. The Company has also entered regulated markets such as the United States through its Subsidiary, Caplin Steriles Limited. The Company's operations include research &amp; development and manufacturing of finished formulations, active pharmaceutical ingredients (APIs), clinical research, front-end generic presence in Latin America, brand marketing in Francophone Africa and a USFDA/EU-GMP approved injectable facility. In the Regulated Markets, its products include liquid &amp; lyophilized vials, pre-filled syringes, three-pc ophthalmic droppers and pre-mix bags. In the Emerging Markets, its products include tablets, dry syrups - bottles, soft gels, capsules, suppositories, liquid syrups - bottles, liquid injectables in ampoules &amp; vials, lyophilized vials, prefilled syringes (PFS), and emulsion injection in ampoules &amp; vials.</v>
    <v>990</v>
    <v>National Stock Exchange of India</v>
    <v>XNSE</v>
    <v>XNSE</v>
    <v>ASHVICH TOWERS, 3RD FLOOR, NO.3, DEVELOPED PLOTS, INDUSTRIAL ESTATES,PERUNGUDI, TAMIL NADU, 600096 IN</v>
    <v>1993.9</v>
    <v>Pharmaceuticals</v>
    <v>Stock</v>
    <v>46176.466840277775</v>
    <v>84</v>
    <v>1952.4</v>
    <v>137740800000</v>
    <v>CAPLIN POINT LABORATORIES LIMITED</v>
    <v>CAPLIN POINT LABORATORIES LIMITED</v>
    <v>1988.1</v>
    <v>23.39</v>
    <v>1988.1</v>
    <v>1972.9</v>
    <v>76011700</v>
    <v>CAPLIPOINT</v>
    <v>CAPLIN POINT LABORATORIES LIMITED (XNSE:CAPLIPOINT)</v>
    <v>45721</v>
    <v>125830</v>
    <v>1990</v>
  </rv>
  <rv s="2">
    <v>85</v>
  </rv>
  <rv s="0">
    <v>https://www.bing.com/financeapi/forcetrigger?t=ahkf9c&amp;q=XNSE%3aTRITURBINE&amp;form=skydnc</v>
    <v>Learn more on Bing</v>
  </rv>
  <rv s="1">
    <v>en-IN</v>
    <v>ahkf9c</v>
    <v>268435456</v>
    <v>1</v>
    <v>Powered by Refinitiv</v>
    <v>0</v>
    <v>TRIVENI TURBINE LIMITED (XNSE:TRITURBINE)</v>
    <v>2</v>
    <v>3</v>
    <v>Finance</v>
    <v>4</v>
    <v>787.6</v>
    <v>428.35</v>
    <v>1.4353</v>
    <v>-20.399999999999999</v>
    <v>-2.9597000000000002E-2</v>
    <v>INR</v>
    <v>Triveni Turbine Limited is an India-based industrial steam turbine manufacturer. The Company is primarily engaged in the business of manufacturing and supplying power-generating equipment and solutions. It designs, develops, and delivers advanced technological steam turbine generators (STGs) of up to 100 megawatts electric (Mwe) range for power generation and combined heat and power generation applications across a broad spectrum of industries. It operates through two business segments: Product business and Aftermarket. Its products include API Turbines for Drives and Power Generation, Transcritical CO2 Heat Pump &amp; Chiller, and SMART Turbines for Pressure Reducer DeSuperheater (PRDS). It caters to various industries, including geothermal power plants, independent power plants, industrial captive power plants, oil &amp; gas plants, and utility power plants. Its REFURB (Multi-brand services) includes efficiency enhancements by the complex re-engineering of rotating equipment.</v>
    <v>828</v>
    <v>National Stock Exchange of India</v>
    <v>XNSE</v>
    <v>XNSE</v>
    <v>A-44, HOSIERY COMPLEX PHASE-II EXTENSION, UTTAR PRADESH, 201305 IN</v>
    <v>699.9</v>
    <v>Machinery, Equipment &amp; Components</v>
    <v>Stock</v>
    <v>46176.466898148145</v>
    <v>87</v>
    <v>664.45</v>
    <v>163173200000</v>
    <v>TRIVENI TURBINE LIMITED</v>
    <v>TRIVENI TURBINE LIMITED</v>
    <v>690</v>
    <v>60.8</v>
    <v>689.25</v>
    <v>668.85</v>
    <v>317895000</v>
    <v>TRITURBINE</v>
    <v>TRIVENI TURBINE LIMITED (XNSE:TRITURBINE)</v>
    <v>831599</v>
    <v>7678060</v>
    <v>1995</v>
  </rv>
  <rv s="2">
    <v>88</v>
  </rv>
  <rv s="0">
    <v>https://www.bing.com/financeapi/forcetrigger?t=ahkaww&amp;q=XNSE%3aTDPOWERSYS&amp;form=skydnc</v>
    <v>Learn more on Bing</v>
  </rv>
  <rv s="1">
    <v>en-IN</v>
    <v>ahkaww</v>
    <v>268435456</v>
    <v>1</v>
    <v>Powered by Refinitiv</v>
    <v>0</v>
    <v>TD POWER SYSTEMS LIMITED (XNSE:TDPOWERSYS)</v>
    <v>2</v>
    <v>3</v>
    <v>Finance</v>
    <v>4</v>
    <v>1379.6</v>
    <v>453.1</v>
    <v>1.3266</v>
    <v>51.3</v>
    <v>4.1538000000000005E-2</v>
    <v>INR</v>
    <v>TD Power Systems Limited is an India-based company, which is engaged in manufacturing AC Generators and Electric Motors for various applications. The Company’s segments include Manufacturing, EPC, and Common. It offers various types of generators, including Steam Turbine Generators, Gas Turbine Generators, Hydro Turbine Generators, Wind Turbine Generators, Gas Engine Generators, Diesel Engine Generators, and Generators for Marine Engines Testing. The Company offers a range of motors for industrial and irrigation applications, which include Induction Motor, Traction Motor and Synchronous Motor. It caters to the Renewable Energy, Sugar &amp; Ethanol , Oil &amp;Gas, Railway, Marine, Paper, Pulp &amp;Textile, Steel, and Irrigation industries. Its subsidiaries include DF Power Systems Private Limited, TD Power Systems (USA) Inc., TD Power Systems Europe GmbH, and TD Power Systems Jenerator Sanayi AS.</v>
    <v>814</v>
    <v>National Stock Exchange of India</v>
    <v>XNSE</v>
    <v>XNSE</v>
    <v>27, 28 &amp; 29, KIADB INDUSTRIAL AREA, DABASPET, NELAMANGALA TALUK, BANGALORE, KARNATAKA, 562111 IN</v>
    <v>1309.5</v>
    <v>Machinery, Equipment &amp; Components</v>
    <v>Stock</v>
    <v>46176.466886574075</v>
    <v>90</v>
    <v>1241.4000000000001</v>
    <v>107366500000</v>
    <v>TD POWER SYSTEMS LIMITED</v>
    <v>TD POWER SYSTEMS LIMITED</v>
    <v>1244</v>
    <v>84.13</v>
    <v>1235</v>
    <v>1286.3</v>
    <v>156228400</v>
    <v>TDPOWERSYS</v>
    <v>TD POWER SYSTEMS LIMITED (XNSE:TDPOWERSYS)</v>
    <v>1309216</v>
    <v>1616890</v>
    <v>1999</v>
  </rv>
  <rv s="2">
    <v>91</v>
  </rv>
  <rv s="0">
    <v>https://www.bing.com/financeapi/forcetrigger?t=ahhuur&amp;q=XNSE%3aGET%26D&amp;form=skydnc</v>
    <v>Learn more on Bing</v>
  </rv>
  <rv s="1">
    <v>en-IN</v>
    <v>ahhuur</v>
    <v>268435456</v>
    <v>1</v>
    <v>Powered by Refinitiv</v>
    <v>0</v>
    <v>GE VERNOVA T&amp;D INDIA LIMITED (XNSE:GVT&amp;D)</v>
    <v>2</v>
    <v>3</v>
    <v>Finance</v>
    <v>4</v>
    <v>5222.1000000000004</v>
    <v>2204</v>
    <v>1.2150000000000001</v>
    <v>183.5</v>
    <v>3.8380999999999998E-2</v>
    <v>INR</v>
    <v>GE Vernova T&amp;D India Limited, formerly GE T&amp;D India Limited, is an India-based company, which is engaged in the power transmission and distribution business. The Company provides a versatile and robust range of solutions for connecting and evacuating power from generations sources onto the grid, providing utilities with the tools needed to support the increase in demand swiftly. It offers products ranging from medium voltage to ultra-high voltage (1200 kV) for power generation, transmission and distribution industry. It has a predominant presence in all stages of the power supply chain and offers a wide range of Made in India products and related services that include power transformers, circuit breakers, gas insulated switchgears, instrument transformers, substation automation equipment, digital software solutions, turnkey solutions for substation engineering and construction, Flexible AC Transmission Systems (FACTS), High Voltage DC (HVDC) and maintenance support.</v>
    <v>1697</v>
    <v>National Stock Exchange of India</v>
    <v>XNSE</v>
    <v>XNSE</v>
    <v>A-18, First Floor, Okhla Industrial Area, Phase II, NEW DELHI, DELHI, 110020 IN</v>
    <v>5070</v>
    <v>Machinery, Equipment &amp; Components</v>
    <v>Stock</v>
    <v>46176.466874999998</v>
    <v>93</v>
    <v>4783.5</v>
    <v>699391100000</v>
    <v>GE VERNOVA T&amp;D INDIA LIMITED</v>
    <v>GE VERNOVA T&amp;D INDIA LIMITED</v>
    <v>4799.5</v>
    <v>103.06</v>
    <v>4781</v>
    <v>4964.5</v>
    <v>256046500</v>
    <v>GVT&amp;D</v>
    <v>GE VERNOVA T&amp;D INDIA LIMITED (XNSE:GVT&amp;D)</v>
    <v>1305674</v>
    <v>1298500</v>
    <v>1957</v>
  </rv>
  <rv s="2">
    <v>94</v>
  </rv>
  <rv s="0">
    <v>https://www.bing.com/financeapi/forcetrigger?t=ahjha2&amp;q=XNSE%3aPOWERGRID&amp;form=skydnc</v>
    <v>Learn more on Bing</v>
  </rv>
  <rv s="1">
    <v>en-IN</v>
    <v>ahjha2</v>
    <v>268435456</v>
    <v>1</v>
    <v>Powered by Refinitiv</v>
    <v>0</v>
    <v>POWER GRID CORPORATION OF INDIA LIMITED (XNSE:POWERGRID)</v>
    <v>2</v>
    <v>3</v>
    <v>Finance</v>
    <v>4</v>
    <v>324.95</v>
    <v>250</v>
    <v>0.85040000000000004</v>
    <v>2.9</v>
    <v>1.0278000000000001E-2</v>
    <v>INR</v>
    <v>Power Grid Corporation of India Limited is an electric power transmission utility company. The Company is primarily engaged in the implementation, operation and maintenance of Inter-State Transmission System (ISTS), telecom and consultancy services as its business segments. The transmission business involves operating and maintaining its transmission assets to power supply for customers. It operates the telecom business through its wholly owned subsidiary, namely, POWERGRID Teleservices Limited under the brand name PowerTel. It provides consultancy solutions in the transmission, distribution and telecom sectors, including system studies, design, engineering, load dispatch, optical ground wire (OPGW) on intra-state transmission network, procurement management, operational &amp; maintenance and project management. Alongside, it provides consultancy for implementation of intra-state transmission network and smart grid projects, energy efficiency &amp; energy audit, capacity building assignments.</v>
    <v>9048</v>
    <v>National Stock Exchange of India</v>
    <v>XNSE</v>
    <v>XNSE</v>
    <v>B 9 QUTAB INSTITUTIONAL AREA KATWARIA SARAI, DELHI, 110016 IN</v>
    <v>286</v>
    <v>Electrical Utilities &amp; IPPs</v>
    <v>Stock</v>
    <v>46176.466863425929</v>
    <v>96</v>
    <v>280.35000000000002</v>
    <v>2406996000000</v>
    <v>POWER GRID CORPORATION OF INDIA LIMITED</v>
    <v>POWER GRID CORPORATION OF INDIA LIMITED</v>
    <v>282</v>
    <v>13.46</v>
    <v>282.14999999999998</v>
    <v>285.05</v>
    <v>9300604000</v>
    <v>POWERGRID</v>
    <v>POWER GRID CORPORATION OF INDIA LIMITED (XNSE:POWERGRID)</v>
    <v>13002063</v>
    <v>17535100</v>
    <v>1989</v>
  </rv>
  <rv s="2">
    <v>97</v>
  </rv>
  <rv s="0">
    <v>https://www.bing.com/financeapi/forcetrigger?t=ahka4c&amp;q=XNSE%3aTATAPOWER&amp;form=skydnc</v>
    <v>Learn more on Bing</v>
  </rv>
  <rv s="1">
    <v>en-IN</v>
    <v>ahka4c</v>
    <v>268435456</v>
    <v>1</v>
    <v>Powered by Refinitiv</v>
    <v>0</v>
    <v>THE TATA POWER COMPANY LIMITED (XNSE:TATAPOWER)</v>
    <v>2</v>
    <v>3</v>
    <v>Finance</v>
    <v>4</v>
    <v>464.9</v>
    <v>342.5</v>
    <v>1.1944999999999999</v>
    <v>-3.15</v>
    <v>-7.5919999999999998E-3</v>
    <v>INR</v>
    <v>The Tata Power Company Limited is an India-based integrated power company. The principal business of the Company is generation, transmission and distribution of electricity. Its segments include Thermal &amp; Hydro, Renewables, Transmission and Distribution, and Others. Its Thermal &amp; Hydro segment comprises of generation of power from hydroelectric sources and thermal sources (coal, gas and oil) from plants owned and operated under lease arrangement and related ancillary services. Its Renewables segment comprises of generation of power from renewable energy sources, such as wind and solar. Its Transmission and Distribution comprises of transmission and distribution network, sale of power to retail customers through distribution network and related ancillary services. Its Others segment comprises of project management contracts/infrastructure management services, property under development and satellite communication.</v>
    <v>22572</v>
    <v>National Stock Exchange of India</v>
    <v>XNSE</v>
    <v>XNSE</v>
    <v>Bombay House, 24,, Homi Mody Street, MUMBAI, MAHARASHTRA, 400001 IN</v>
    <v>414.95</v>
    <v>Electrical Utilities &amp; IPPs</v>
    <v>Stock</v>
    <v>46176.466840277775</v>
    <v>99</v>
    <v>407.25</v>
    <v>1177323000000</v>
    <v>THE TATA POWER COMPANY LIMITED</v>
    <v>THE TATA POWER COMPANY LIMITED</v>
    <v>414.45</v>
    <v>35.130000000000003</v>
    <v>414.9</v>
    <v>411.75</v>
    <v>3195340000</v>
    <v>TATAPOWER</v>
    <v>THE TATA POWER COMPANY LIMITED (XNSE:TATAPOWER)</v>
    <v>3650477</v>
    <v>6071440</v>
    <v>1919</v>
  </rv>
  <rv s="2">
    <v>100</v>
  </rv>
  <rv s="0">
    <v>https://www.bing.com/financeapi/forcetrigger?t=ahjuc7&amp;q=XNSE%3aSCHAEFFLER&amp;form=skydnc</v>
    <v>Learn more on Bing</v>
  </rv>
  <rv s="1">
    <v>en-IN</v>
    <v>ahjuc7</v>
    <v>268435456</v>
    <v>1</v>
    <v>Powered by Refinitiv</v>
    <v>0</v>
    <v>SCHAEFFLER INDIA LIMITED (XNSE:SCHAEFFLER)</v>
    <v>2</v>
    <v>3</v>
    <v>Finance</v>
    <v>4</v>
    <v>4467.7</v>
    <v>3518.4</v>
    <v>0.76270000000000004</v>
    <v>-21.7</v>
    <v>-5.3300000000000005E-3</v>
    <v>INR</v>
    <v>Schaeffler India Limited is an India-based automotive and industrial component supplier. The Company is engaged in the development, manufacturing and distribution of roller and ball bearings, engine systems and transmission components, chassis applications, clutch systems and related machine building manufacturing activities. Its segments include mobility components and related solutions and Others. Its Mobility components and related solutions include automotive technologies, vehicle lifetime solutions, bearings &amp; industrial solutions and intercompany exports &amp; others. Its Automotive Technologies offer solutions for cars and commercial vehicles, offering hybrid, fully electric, and fuel cell technologies that combat climate change and meet stringent emissions standards. The Company's manufacturing units are located in the State of Gujarat at Vadodara and Savli, in the State of Maharashtra at Talegaon (Pune) and in the State of Tamil Nadu at Hosur.</v>
    <v>3826</v>
    <v>National Stock Exchange of India</v>
    <v>XNSE</v>
    <v>XNSE</v>
    <v>Maneja Vadodara, GUJARAT, 390013 IN</v>
    <v>4118.3</v>
    <v>Machinery, Equipment &amp; Components</v>
    <v>Stock</v>
    <v>46176.466840277775</v>
    <v>102</v>
    <v>4002</v>
    <v>592312800000</v>
    <v>SCHAEFFLER INDIA LIMITED</v>
    <v>SCHAEFFLER INDIA LIMITED</v>
    <v>4072</v>
    <v>52.13</v>
    <v>4071.6</v>
    <v>4049.9</v>
    <v>156303700</v>
    <v>SCHAEFFLER</v>
    <v>SCHAEFFLER INDIA LIMITED (XNSE:SCHAEFFLER)</v>
    <v>310410</v>
    <v>63140</v>
    <v>1962</v>
  </rv>
  <rv s="2">
    <v>103</v>
  </rv>
  <rv s="0">
    <v>https://www.bing.com/financeapi/forcetrigger?t=ahk6a2&amp;q=XNSE%3aSUNPHARMA&amp;form=skydnc</v>
    <v>Learn more on Bing</v>
  </rv>
  <rv s="1">
    <v>en-IN</v>
    <v>ahk6a2</v>
    <v>268435456</v>
    <v>1</v>
    <v>Powered by Refinitiv</v>
    <v>0</v>
    <v>SUN PHARMACEUTICAL INDUSTRIES LIMITED (XNSE:SUNPHARMA)</v>
    <v>2</v>
    <v>3</v>
    <v>Finance</v>
    <v>4</v>
    <v>1916.6</v>
    <v>1548</v>
    <v>0.75319999999999998</v>
    <v>-1.4</v>
    <v>-7.8219999999999993E-4</v>
    <v>INR</v>
    <v>Sun Pharmaceutical Industries Limited is an India-based specialty generic pharmaceutical company with a presence in specialty therapies,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and others. Its portfolio also includes UNLOXCYTTM, an anti-PD-L1 treatment for advanced cutaneous squamous cell carcinoma.</v>
    <v>43000</v>
    <v>National Stock Exchange of India</v>
    <v>XNSE</v>
    <v>XNSE</v>
    <v>Sun House,, CTS No. 201 B/1,, Western Express Highway,Goregaon (E),, MUMBAI, MAHARASHTRA, 400063 IN</v>
    <v>1796.3</v>
    <v>Pharmaceuticals</v>
    <v>Stock</v>
    <v>46176.466840277775</v>
    <v>105</v>
    <v>1756.8</v>
    <v>4147730000000</v>
    <v>SUN PHARMACEUTICAL INDUSTRIES LIMITED</v>
    <v>SUN PHARMACEUTICAL INDUSTRIES LIMITED</v>
    <v>1781</v>
    <v>38.71</v>
    <v>1789.9</v>
    <v>1788.5</v>
    <v>2399335000</v>
    <v>SUNPHARMA</v>
    <v>SUN PHARMACEUTICAL INDUSTRIES LIMITED (XNSE:SUNPHARMA)</v>
    <v>4209769</v>
    <v>3056240</v>
    <v>1993</v>
  </rv>
  <rv s="2">
    <v>106</v>
  </rv>
  <rv s="0">
    <v>https://www.bing.com/financeapi/forcetrigger?t=ahgwmw&amp;q=XNSE%3aAPLAPOLLO&amp;form=skydnc</v>
    <v>Learn more on Bing</v>
  </rv>
  <rv s="1">
    <v>en-IN</v>
    <v>ahgwmw</v>
    <v>268435456</v>
    <v>1</v>
    <v>Powered by Refinitiv</v>
    <v>0</v>
    <v>APL APOLLO TUBES LIMITED (XNSE:APLAPOLLO)</v>
    <v>2</v>
    <v>3</v>
    <v>Finance</v>
    <v>4</v>
    <v>2301.4</v>
    <v>1492</v>
    <v>0.43330000000000002</v>
    <v>36.200000000000003</v>
    <v>2.0461E-2</v>
    <v>INR</v>
    <v>APL Apollo Tubes Limited is a producer of structural steel tubes in India. It is engaged in the business of producing electric resistance welded (ERW) steel tubes. Its multi-product offerings include over 3000 varieties of pre-galvanized tubes, structural steel tubes, galvanized tubes, MS black pipes, and hollow sections. Its product category includes Apollo Structural, Apollo Z, and Apollo Galv. Its products include Fencing Tube, Window Frame Tube (L), Handrill, Apollo Signature, and Double Door Frame. It offers products under various brands, which include Apollo Fabritech, Apollo Build, Apollo DFT, Apollo Column, Apollo Bheem, Apollo Green, Apollo Standard, Apollo Agri, Apollo D Section, Apollo Narrow, and Apollo Ready Chaukhat, among others. Its products are used in various applications, which include agricultural and plumbing, firefighting, staircase steps, warehousing factory sheds, balcony grills, sheds, greenhouse structures, plumbing and lighting poles, among others.</v>
    <v>3382</v>
    <v>National Stock Exchange of India</v>
    <v>XNSE</v>
    <v>XNSE</v>
    <v>SG Centre, 37C, Block A, Sector 132, NOIDA, UTTAR PRADESH, 201304 IN</v>
    <v>1815</v>
    <v>Metals &amp; Mining</v>
    <v>Stock</v>
    <v>46176.466898148145</v>
    <v>108</v>
    <v>1750.2</v>
    <v>528952200000</v>
    <v>APL APOLLO TUBES LIMITED</v>
    <v>APL APOLLO TUBES LIMITED</v>
    <v>1769.2</v>
    <v>41.66</v>
    <v>1769.2</v>
    <v>1805.4</v>
    <v>277658400</v>
    <v>APLAPOLLO</v>
    <v>APL APOLLO TUBES LIMITED (XNSE:APLAPOLLO)</v>
    <v>504434</v>
    <v>882760</v>
    <v>1986</v>
  </rv>
  <rv s="2">
    <v>109</v>
  </rv>
  <rv s="0">
    <v>https://www.bing.com/financeapi/forcetrigger?t=ahhpbh&amp;q=XNSE%3aESABINDIA&amp;form=skydnc</v>
    <v>Learn more on Bing</v>
  </rv>
  <rv s="1">
    <v>en-IN</v>
    <v>ahhpbh</v>
    <v>268435456</v>
    <v>1</v>
    <v>Powered by Refinitiv</v>
    <v>0</v>
    <v>ESAB INDIA LIMITED (XNSE:ESABINDIA)</v>
    <v>2</v>
    <v>3</v>
    <v>Finance</v>
    <v>4</v>
    <v>7319.5</v>
    <v>4710</v>
    <v>0.67149999999999999</v>
    <v>-175.5</v>
    <v>-2.8694999999999998E-2</v>
    <v>INR</v>
    <v>ESAB India Limited is an India-based company, which is engaged in the business of fabrication technology. Its product line includes accessories and consumables, cutting automation, filler metals, gas equipment, manual plasma cutting, PPE / safety, robotics, torches, welding automation, and welding equipment. Its Robotics products include cobot equipment, robotic feeders, robotic power sources, robotic torch cleaning stations, robotic torches, software, and weld data monitoring. Its Cutting Automation products include controls, cutting machines, gas cutting torches, plasma systems, beveling, drilling, and software. Its Gas Equipment products include Cutting Machines, H/VAC and Plumbing, Outfits, Regulators, Safety Accessories, Straight Torches, and Wear Parts. Its Filler Metals products include MIG Wires / TIG Rods, Self-Shielded Flux-Cored Wires, and others. Its brands include Alcotec, AMI, Arcair, Cigweld, Conarco, Condor, Exaton, Ewac, Firepower, Gasarc, GCE, InduSuite, and others.</v>
    <v>630</v>
    <v>National Stock Exchange of India</v>
    <v>XNSE</v>
    <v>XNSE</v>
    <v>PLOT NO.13, 3RD MAIN ROAD INDUSTRIAL ESTATE, AMBATTUR, TAMIL NADU, 600058 IN</v>
    <v>6200</v>
    <v>Machinery, Equipment &amp; Components</v>
    <v>Stock</v>
    <v>46176.466840277775</v>
    <v>111</v>
    <v>5910</v>
    <v>86631910000</v>
    <v>ESAB INDIA LIMITED</v>
    <v>ESAB INDIA LIMITED</v>
    <v>6200</v>
    <v>44.23</v>
    <v>6116</v>
    <v>5940.5</v>
    <v>15393020</v>
    <v>ESABINDIA</v>
    <v>ESAB INDIA LIMITED (XNSE:ESABINDIA)</v>
    <v>7404</v>
    <v>7450</v>
    <v>1987</v>
  </rv>
  <rv s="2">
    <v>112</v>
  </rv>
  <rv s="0">
    <v>https://www.bing.com/financeapi/forcetrigger?t=ahhrfr&amp;q=XNSE%3aFIEMIND&amp;form=skydnc</v>
    <v>Learn more on Bing</v>
  </rv>
  <rv s="1">
    <v>en-IN</v>
    <v>ahhrfr</v>
    <v>268435456</v>
    <v>1</v>
    <v>Powered by Refinitiv</v>
    <v>0</v>
    <v>FIEM INDUSTRIES LIMITED (XNSE:FIEMIND)</v>
    <v>2</v>
    <v>3</v>
    <v>Finance</v>
    <v>4</v>
    <v>2555.3000000000002</v>
    <v>1641.9</v>
    <v>1.2971999999999999</v>
    <v>73.599999999999994</v>
    <v>3.2374E-2</v>
    <v>INR</v>
    <v>Fiem Industries Limited is an India-based company. The Company manufactures automotive lighting and signaling equipment, rear-view mirror, prismatic mirror, plastic molded parts, bank angle sensor, canister and sheet metal components for motorized vehicles, and light-emitting diode (LED) luminaires comprising of indoor and outdoor lighting, display panels, and integrated passenger information system. Its segments include Automotive and Others segment. The Automotive segment includes rear view mirror, prismatic mirror, plastic molded parts, among others. The Others segment comprises of led luminaries, display panels, among others. It has a diversified product portfolio ranging from headlamp, tail lamp, signaling lamps, fog lamps, roof lamps, automotive interior lighting, and others. The Company operates approximately nine manufacturing facilities. Its subsidiaries include Fiem Industries Japan Co., Ltd. and Fiem Research &amp; Technology S.R.L.</v>
    <v>2583</v>
    <v>National Stock Exchange of India</v>
    <v>XNSE</v>
    <v>XNSE</v>
    <v>Unit No. 1A&amp;1C, 1st Floor, Aria Commercial Towers, JW Marriott Hotel, Aerocity, NEW DELHI, DELHI, 110037 IN</v>
    <v>2379</v>
    <v>Automobiles &amp; Auto Parts</v>
    <v>Stock</v>
    <v>46176.466863425929</v>
    <v>114</v>
    <v>2257.6999999999998</v>
    <v>59369260000</v>
    <v>FIEM INDUSTRIES LIMITED</v>
    <v>FIEM INDUSTRIES LIMITED</v>
    <v>2277.9</v>
    <v>25.38</v>
    <v>2273.4</v>
    <v>2347</v>
    <v>26319660</v>
    <v>FIEMIND</v>
    <v>FIEM INDUSTRIES LIMITED (XNSE:FIEMIND)</v>
    <v>187989</v>
    <v>50010</v>
    <v>1989</v>
  </rv>
  <rv s="2">
    <v>115</v>
  </rv>
  <rv s="0">
    <v>https://www.bing.com/financeapi/forcetrigger?t=ahjyhw&amp;q=XNSE%3aSIEMENS&amp;form=skydnc</v>
    <v>Learn more on Bing</v>
  </rv>
  <rv s="1">
    <v>en-IN</v>
    <v>ahjyhw</v>
    <v>268435456</v>
    <v>1</v>
    <v>Powered by Refinitiv</v>
    <v>0</v>
    <v>SIEMENS LIMITED (XNSE:SIEMENS)</v>
    <v>2</v>
    <v>3</v>
    <v>Finance</v>
    <v>4</v>
    <v>3937.3</v>
    <v>2826</v>
    <v>1.3275999999999999</v>
    <v>-20.100000000000001</v>
    <v>-5.3890000000000006E-3</v>
    <v>INR</v>
    <v>Siemens Limited is a technology company focused on industry, infrastructure and mobility. Its segments include Digital Industries, Smart Infrastructure, Mobility and Others. Digital Industries offers a product portfolio as well as system solutions for automation used in discrete and process industries; these offerings include automation systems and software for factories, numerical control systems, servo motors, drives and inverters as well as integrated automation systems for machine tools and production machines. Smart Infrastructure offers products, systems, solutions, services, and software to support the global transition from fossils to renewable energy sources. Mobility offerings encompass vehicles and selected components for urban and regional transport, such as metro systems, trams and light rail, commuter trains, as well as trains and passenger coaches for intercity and long-distance services, such as high-speed rail.</v>
    <v>9848</v>
    <v>National Stock Exchange of India</v>
    <v>XNSE</v>
    <v>XNSE</v>
    <v>Birla Aurora, Level 21, Plot No. 1080, Dr. Annie Besant Road, Worli, Kharghar Node, MUMBAI, MAHARASHTRA, 400030 IN</v>
    <v>3755</v>
    <v>Machinery, Equipment &amp; Components</v>
    <v>Stock</v>
    <v>46176.466840277775</v>
    <v>117</v>
    <v>3665</v>
    <v>1049736000000</v>
    <v>SIEMENS LIMITED</v>
    <v>SIEMENS LIMITED</v>
    <v>3728.1</v>
    <v>86.79</v>
    <v>3729.7</v>
    <v>3709.6</v>
    <v>356120500</v>
    <v>SIEMENS</v>
    <v>SIEMENS LIMITED (XNSE:SIEMENS)</v>
    <v>464320</v>
    <v>770480</v>
    <v>1957</v>
  </rv>
  <rv s="2">
    <v>118</v>
  </rv>
  <rv s="0">
    <v>https://www.bing.com/financeapi/forcetrigger?t=b14qjc&amp;q=XNSE%3aSIRCA&amp;form=skydnc</v>
    <v>Learn more on Bing</v>
  </rv>
  <rv s="1">
    <v>en-IN</v>
    <v>b14qjc</v>
    <v>268435456</v>
    <v>1</v>
    <v>Powered by Refinitiv</v>
    <v>0</v>
    <v>SIRCA PAINTS INDIA LIMITED (XNSE:SIRCA)</v>
    <v>2</v>
    <v>3</v>
    <v>Finance</v>
    <v>4</v>
    <v>539</v>
    <v>346.9</v>
    <v>0.71330000000000005</v>
    <v>-0.7</v>
    <v>-1.665E-3</v>
    <v>INR</v>
    <v>Sirca Paints India Limited provides wood coating products. The Company is engaged in the manufacturing and sales of wood coatings and other decorative paints, under its owned licensed brands, such as Sirca, Unico, San Marco and Durante Vivan. The Company operates through the manufacturing of wood wall paints &amp; related products segment. Its product range includes all polyurethane polish (PU) products, stains, special effects, acrylic PU, polyster, wall paints, U.V. products and others. It offers Amore Gloss Luxury Emulsion; Double Face Emulsion; Fresco Matt Luxury Emulsion; Fresco Plus Silk Emulsion; Rovere Economy Emulsion Interior; Serene Premium Emulsion Interior; Double Face Emulsion; Rossa Weatherproof Emulsion Exterior, and others. Its Wall Primer includes Luna Wall Primer Exterior; Cosmo Wall Primer Interior / Exterior; Finesse Wall Primer Interior, and Primo Oil Primer. Its Wall Putty is an all-paints compatible putty suitable for both exterior and interior surfaces.</v>
    <v>659</v>
    <v>National Stock Exchange of India</v>
    <v>XNSE</v>
    <v>XNSE</v>
    <v>G-82 KIRTI NAGAR, WEST DELHI, DELHI, 110015 IN</v>
    <v>426.8</v>
    <v>Chemicals</v>
    <v>Stock</v>
    <v>46176.466851851852</v>
    <v>120</v>
    <v>415.6</v>
    <v>27203750000</v>
    <v>SIRCA PAINTS INDIA LIMITED</v>
    <v>SIRCA PAINTS INDIA LIMITED</v>
    <v>420.35</v>
    <v>35.93</v>
    <v>420.35</v>
    <v>419.65</v>
    <v>56792800</v>
    <v>SIRCA</v>
    <v>SIRCA PAINTS INDIA LIMITED (XNSE:SIRCA)</v>
    <v>221155</v>
    <v>403870</v>
    <v>2006</v>
  </rv>
  <rv s="2">
    <v>121</v>
  </rv>
  <rv s="0">
    <v>https://www.bing.com/financeapi/forcetrigger?t=ahkdxm&amp;q=XNSE%3aTITAN&amp;form=skydnc</v>
    <v>Learn more on Bing</v>
  </rv>
  <rv s="1">
    <v>en-IN</v>
    <v>ahkdxm</v>
    <v>268435456</v>
    <v>1</v>
    <v>Powered by Refinitiv</v>
    <v>0</v>
    <v>TITAN COMPANY LIMITED (XNSE:TITAN)</v>
    <v>2</v>
    <v>3</v>
    <v>Finance</v>
    <v>4</v>
    <v>4605</v>
    <v>3303.1</v>
    <v>1.2166999999999999</v>
    <v>10.7</v>
    <v>2.624E-3</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9191</v>
    <v>National Stock Exchange of India</v>
    <v>XNSE</v>
    <v>XNSE</v>
    <v>Integrity, #193, Veerasandra, Electronic City P.O.,, Off Hosur Main Road, BANGALORE, KARNATAKA, 560100 IN</v>
    <v>4103.8</v>
    <v>Textiles &amp; Apparel</v>
    <v>Stock</v>
    <v>46176.466840277775</v>
    <v>123</v>
    <v>4002</v>
    <v>3760362000000</v>
    <v>TITAN COMPANY LIMITED</v>
    <v>TITAN COMPANY LIMITED</v>
    <v>4057</v>
    <v>71.5</v>
    <v>4078.1</v>
    <v>4088.8</v>
    <v>887045300</v>
    <v>TITAN</v>
    <v>TITAN COMPANY LIMITED (XNSE:TITAN)</v>
    <v>959352</v>
    <v>807660</v>
    <v>1984</v>
  </rv>
  <rv s="2">
    <v>124</v>
  </rv>
  <rv s="0">
    <v>https://www.bing.com/financeapi/forcetrigger?t=c4o2nm&amp;q=XNSE%3aDATAPATTNS&amp;form=skydnc</v>
    <v>Learn more on Bing</v>
  </rv>
  <rv s="1">
    <v>en-IN</v>
    <v>c4o2nm</v>
    <v>268435456</v>
    <v>1</v>
    <v>Powered by Refinitiv</v>
    <v>0</v>
    <v>DATA PATTERNS (INDIA) LIMITED (XNSE:DATAPATTNS)</v>
    <v>2</v>
    <v>3</v>
    <v>Finance</v>
    <v>4</v>
    <v>4303</v>
    <v>2131</v>
    <v>1.8208</v>
    <v>-34.799999999999997</v>
    <v>-8.6460000000000009E-3</v>
    <v>INR</v>
    <v>Data Patterns (India) Limited is an India-based company. It is a vertically integrated defense and aerospace electronics solutions provider catering to the indigenously developed defense products industry. The Company operates in a single business segment, namely manufacture, sale and service of defense electronics. It offers Commercial Off-The-Shelf (COTS) boards, ATE and test systems, RF and microwave products, electronic warfare products, rugged displays, radar and radar subsystems, identify friend and Foe products, avionic systems, laser and electro optic systems, space systems, power supply products, naval systems, communication products, and fire control systems, high-speed processors, consoles, and navigation systems, and others. It designs COTS module products that are used in rugged applications and automatic test equipment platforms. It also provides hardware design, product development, FPGA, software, microwave, mechanical product design, manufacturing and other services.</v>
    <v>1545</v>
    <v>National Stock Exchange of India</v>
    <v>XNSE</v>
    <v>XNSE</v>
    <v>Plot.No H9, 4th Main Road, SIPCOT IT Park Off Rajiv Gandhi Salai (OMR), Siruseri, CHENNAI, TAMIL NADU, 603103 IN</v>
    <v>4077.8</v>
    <v>Aerospace &amp; Defense</v>
    <v>Stock</v>
    <v>46176.466851851852</v>
    <v>126</v>
    <v>3953.6</v>
    <v>145082500000</v>
    <v>DATA PATTERNS (INDIA) LIMITED</v>
    <v>DATA PATTERNS (INDIA) LIMITED</v>
    <v>4034</v>
    <v>82.33</v>
    <v>4025.2</v>
    <v>3990.4</v>
    <v>55983970</v>
    <v>DATAPATTNS</v>
    <v>DATA PATTERNS (INDIA) LIMITED (XNSE:DATAPATTNS)</v>
    <v>478696</v>
    <v>908710</v>
    <v>1998</v>
  </rv>
  <rv s="2">
    <v>127</v>
  </rv>
  <rv s="0">
    <v>https://www.bing.com/financeapi/forcetrigger?t=ahhgtc&amp;q=XNSE%3aCUB&amp;form=skydnc</v>
    <v>Learn more on Bing</v>
  </rv>
  <rv s="1">
    <v>en-IN</v>
    <v>ahhgtc</v>
    <v>268435456</v>
    <v>1</v>
    <v>Powered by Refinitiv</v>
    <v>0</v>
    <v>CITY UNION BANK LIMITED (XNSE:CUB)</v>
    <v>2</v>
    <v>3</v>
    <v>Finance</v>
    <v>4</v>
    <v>324.10000000000002</v>
    <v>187.05</v>
    <v>1.2959000000000001</v>
    <v>-0.35</v>
    <v>-1.4019999999999998E-3</v>
    <v>INR</v>
    <v>City Union Bank Limited (the Bank) is an India-based banking company. The Bank provides a range of banking and financial services, including commercial banking and treasury operations. The Bank's segments include Treasury, Corporate/wholesale banking, Retail banking and other banking operations. Its Retail banking segment includes digital banking and other retail banking. Its products and services include personal; gold loans; micro, small and medium enterprises, corporate, Agri &amp; rural, NRI and tech banking. It offers various bank accounts, including CUB general savings account, CUB salary savings account for individuals and CUB savings bank account for students - young India. The Bank offers various loans, including CUB gold-based overdraft, CUB working capital loans and CUB cash credit for working capital. Its deposits and investments include CUB fixed deposit and CUB flexifix deposit. It offers insurance products to its customers. The Bank has approximately 875 branches.</v>
    <v>8894</v>
    <v>National Stock Exchange of India</v>
    <v>XNSE</v>
    <v>XNSE</v>
    <v>ADMINISTRATIVE OFFICE, "NARAYANA" NO.24 B, GANDHI NAGAR, TAMIL NADU, 612001 IN</v>
    <v>251.5</v>
    <v>Banking Services</v>
    <v>Stock</v>
    <v>46176.466851851852</v>
    <v>129</v>
    <v>244.05</v>
    <v>205709700000</v>
    <v>CITY UNION BANK LIMITED</v>
    <v>CITY UNION BANK LIMITED</v>
    <v>250.35</v>
    <v>13.94</v>
    <v>249.6</v>
    <v>249.25</v>
    <v>743090500</v>
    <v>CUB</v>
    <v>CITY UNION BANK LIMITED (XNSE:CUB)</v>
    <v>1479958</v>
    <v>1332200</v>
    <v>1904</v>
  </rv>
  <rv s="2">
    <v>130</v>
  </rv>
  <rv s="0">
    <v>https://www.bing.com/financeapi/forcetrigger?t=ahhkhw&amp;q=XNSE%3aDIVISLAB&amp;form=skydnc</v>
    <v>Learn more on Bing</v>
  </rv>
  <rv s="1">
    <v>en-IN</v>
    <v>ahhkhw</v>
    <v>268435456</v>
    <v>1</v>
    <v>Powered by Refinitiv</v>
    <v>0</v>
    <v>DIVI'S LABORATORIES LIMITED (XNSE:DIVISLAB)</v>
    <v>2</v>
    <v>3</v>
    <v>Finance</v>
    <v>4</v>
    <v>7071.5</v>
    <v>5636.5</v>
    <v>0.74770000000000003</v>
    <v>43.5</v>
    <v>6.6590000000000009E-3</v>
    <v>INR</v>
    <v>Divi's Laboratories Limited is an India-based company, which is engaged in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Vigabatrin, and others. The Company is also engaged in custom synthesis (contract manufacturing services) of APIs and Intermediates for global innovator companies with a portfolio of products across diverse therapeutic areas. The Company’s subsidiaries include Divis Laboratories (USA) Inc. and Divi's Laboratories Europe AG.</v>
    <v>18300</v>
    <v>National Stock Exchange of India</v>
    <v>XNSE</v>
    <v>XNSE</v>
    <v>1-72/23(P)/Divis/303,, Divi Towers, Cyber Hills, Gachibowli,, HYDERABAD, TELANGANA, 500032 IN</v>
    <v>6604.5</v>
    <v>Pharmaceuticals</v>
    <v>Stock</v>
    <v>46176.466851851852</v>
    <v>132</v>
    <v>6460</v>
    <v>1708689000000</v>
    <v>DIVI'S LABORATORIES LIMITED</v>
    <v>DIVI'S LABORATORIES LIMITED</v>
    <v>6520</v>
    <v>67.92</v>
    <v>6533</v>
    <v>6576.5</v>
    <v>265468600</v>
    <v>DIVISLAB</v>
    <v>DIVI'S LABORATORIES LIMITED (XNSE:DIVISLAB)</v>
    <v>563313</v>
    <v>422430</v>
    <v>1990</v>
  </rv>
  <rv s="2">
    <v>133</v>
  </rv>
  <rv s="0">
    <v>https://www.bing.com/financeapi/forcetrigger?t=ahhktc&amp;q=XNSE%3aDMART&amp;form=skydnc</v>
    <v>Learn more on Bing</v>
  </rv>
  <rv s="1">
    <v>en-IN</v>
    <v>ahhktc</v>
    <v>268435456</v>
    <v>1</v>
    <v>Powered by Refinitiv</v>
    <v>0</v>
    <v>AVENUE SUPERMARTS LIMITED (XNSE:DMART)</v>
    <v>2</v>
    <v>3</v>
    <v>Finance</v>
    <v>4</v>
    <v>4949.5</v>
    <v>3529</v>
    <v>1.1142000000000001</v>
    <v>111.4</v>
    <v>2.7458999999999997E-2</v>
    <v>INR</v>
    <v>Avenue Supermarts Ltd is an India-based company, which is engaged in the business of organized retail and operating supermarkets under the DMart brand name. DMart is a supermarket chain that offers customers a range of products with a focus on the foods, non-foods fast-moving consumer goods (FMCG) and general merchandise and apparel product categories. Its stores stock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groceries, and staples. DMart operates approximately 439 locations and has a presence across Maharashtra, Gujarat, Andhra Pradesh, Madhya Pradesh, Karnataka, Telangana, and Chhattisgarh, NCR, Tamil Nadu, Punjab and Rajasthan.</v>
    <v>16959</v>
    <v>National Stock Exchange of India</v>
    <v>XNSE</v>
    <v>XNSE</v>
    <v>B-72/72A, Wagle Industrial Estate, Road No. 33, Kamgar Hospital Road, THANE, MAHARASHTRA, 400604 IN</v>
    <v>4193.8999999999996</v>
    <v>Food &amp; Drug Retailing</v>
    <v>Stock</v>
    <v>46176.466874999998</v>
    <v>135</v>
    <v>4017.1</v>
    <v>2490291000000</v>
    <v>AVENUE SUPERMARTS LIMITED</v>
    <v>AVENUE SUPERMARTS LIMITED</v>
    <v>4064.9</v>
    <v>91.31</v>
    <v>4057</v>
    <v>4168.3999999999996</v>
    <v>652163800</v>
    <v>DMART</v>
    <v>AVENUE SUPERMARTS LIMITED (XNSE:DMART)</v>
    <v>857620</v>
    <v>536570</v>
    <v>2000</v>
  </rv>
  <rv s="2">
    <v>136</v>
  </rv>
  <rv s="0">
    <v>https://www.bing.com/financeapi/forcetrigger?t=ahhn1h&amp;q=XNSE%3aEICHERMOT&amp;form=skydnc</v>
    <v>Learn more on Bing</v>
  </rv>
  <rv s="1">
    <v>en-IN</v>
    <v>ahhn1h</v>
    <v>268435456</v>
    <v>1</v>
    <v>Powered by Refinitiv</v>
    <v>0</v>
    <v>EICHER MOTORS LIMITED (XNSE:EICHERMOT)</v>
    <v>2</v>
    <v>3</v>
    <v>Finance</v>
    <v>4</v>
    <v>8230</v>
    <v>5219.5</v>
    <v>0.81399999999999995</v>
    <v>-11.5</v>
    <v>-1.6100000000000001E-3</v>
    <v>INR</v>
    <v>Eicher Motors Limited is an India-based multinational automobile company. The Company is engaged in the manufacturing and selling of motorcycles, spare parts and related services. The Company primarily operates in the automotive segment. The automotive segment includes all activities related to development, design, manufacture, assembly and sale of two-wheelers as well as sale of related parts and accessories. Its flagship brand Royal Enfield, which is engaged in motorcycle business. Royal Enfield's motorcycle products include Interceptor 650, Continental GT 650, Classic, Bullet and Himalayan. Royal Enfield's portfolio also includes apparels and motorcycle accessories, including protective riding apparel, riding accessories, protective seats, bodywork, controls, wheels, luggage and engine. Its commercial vehicle business is led by VE Commercial Vehicles. Its joint venture with AB Volvo, VE Commercial Vehicles Limited (VECV), includes a range of Eicher branded trucks and buses.</v>
    <v>3390</v>
    <v>National Stock Exchange of India</v>
    <v>XNSE</v>
    <v>XNSE</v>
    <v>Royal Enfield Global Headquarters, #296, Rajiv Gandhi Salai,, Sholinganallur, CHENNAI, TAMIL NADU, 600119 IN</v>
    <v>7178</v>
    <v>Automobiles &amp; Auto Parts</v>
    <v>Stock</v>
    <v>46176.466840277775</v>
    <v>138</v>
    <v>7045</v>
    <v>2030912000000</v>
    <v>EICHER MOTORS LIMITED</v>
    <v>EICHER MOTORS LIMITED</v>
    <v>7139.5</v>
    <v>35.46</v>
    <v>7141.5</v>
    <v>7130</v>
    <v>274497500</v>
    <v>EICHERMOT</v>
    <v>EICHER MOTORS LIMITED (XNSE:EICHERMOT)</v>
    <v>413545</v>
    <v>640970</v>
    <v>1982</v>
  </rv>
  <rv s="2">
    <v>139</v>
  </rv>
  <rv s="0">
    <v>https://www.bing.com/financeapi/forcetrigger?t=ahiyvh&amp;q=XNSE%3aMINDAIND&amp;form=skydnc</v>
    <v>Learn more on Bing</v>
  </rv>
  <rv s="1">
    <v>en-IN</v>
    <v>ahiyvh</v>
    <v>268435456</v>
    <v>1</v>
    <v>Powered by Refinitiv</v>
    <v>0</v>
    <v>UNO MINDA LIMITED (XNSE:UNOMINDA)</v>
    <v>2</v>
    <v>3</v>
    <v>Finance</v>
    <v>4</v>
    <v>1382</v>
    <v>994</v>
    <v>0.99709999999999999</v>
    <v>-7.1</v>
    <v>-6.515E-3</v>
    <v>INR</v>
    <v>Uno Minda Limited specializes in automotive components and systems. It designs and produces over 28 categories of components for vehicles across all segments, including passenger cars, commercial vehicles, and two- and three-wheelers serving both internal combustion engine (ICE) and electric/hybrid vehicles. Its diversified product portfolio spans Lighting and Alternate fuel Systems, Electronic and Control Systems, Safety and Comfort Systems, ADAS, Controller, Light Metal, and Powertrain. It offers a range of solutions, including horns, lamps, infotainment systems, sensors, controllers, switches, seatbelts, alloy wheels, airbags, blow molding, alternate fuel systems, sunroof, speakers, castings and various electronic vehicle-specific components. It operates through two key business channels, including Original Equipment Manufacturers (OEM) and the Aftermarket. Its electric vehicle portfolio includes chargers, DC-DC converters, battery management systems, and electric drive units.</v>
    <v>13445</v>
    <v>National Stock Exchange of India</v>
    <v>XNSE</v>
    <v>XNSE</v>
    <v>Nawada, Fatehpur,, SikanderPur Badda IMT Manesar, GURGAON, HARYANA, 122004 IN</v>
    <v>1093.5999999999999</v>
    <v>Automobiles &amp; Auto Parts</v>
    <v>Stock</v>
    <v>46176.466863425929</v>
    <v>141</v>
    <v>1068.4000000000001</v>
    <v>692923600000</v>
    <v>UNO MINDA LIMITED</v>
    <v>UNO MINDA LIMITED</v>
    <v>1088.3</v>
    <v>52.08</v>
    <v>1089.8</v>
    <v>1082.7</v>
    <v>577467200</v>
    <v>UNOMINDA</v>
    <v>UNO MINDA LIMITED (XNSE:UNOMINDA)</v>
    <v>988559</v>
    <v>1067830</v>
    <v>1992</v>
  </rv>
  <rv s="2">
    <v>142</v>
  </rv>
  <rv s="0">
    <v>https://www.bing.com/financeapi/forcetrigger?t=ahj5zr&amp;q=XNSE%3aNESCO&amp;form=skydnc</v>
    <v>Learn more on Bing</v>
  </rv>
  <rv s="1">
    <v>en-IN</v>
    <v>ahj5zr</v>
    <v>268435456</v>
    <v>1</v>
    <v>Powered by Refinitiv</v>
    <v>0</v>
    <v>NESCO LIMITED (XNSE:NESCO)</v>
    <v>2</v>
    <v>3</v>
    <v>Finance</v>
    <v>4</v>
    <v>1638.9</v>
    <v>911.65</v>
    <v>0.90600000000000003</v>
    <v>-19.600000000000001</v>
    <v>-1.6664000000000002E-2</v>
    <v>INR</v>
    <v>Nesco Limited is engaged in licensing premises in information technology (IT) park buildings and providing related services, licensing premises for exhibitions and providing services to the organizers, manufacturing of machines and capital equipment, and hospitality and catering services. Its segments include Realty - IT Park, Exhibition and Events- Bombay Exhibition Center (BEC), Engineering goods and services-Indabrator, and Hospitality and meetings, incentives, conferences, and exhibitions (MICE) - Nesco Foods. Realty - IT Park segment builds a private IT park and provides space on a license basis. Exhibition and Events- BEC provides space for trade fairs, events, exhibitions, conventions, and conferences. Engineering goods and services-Indabrator segment manufacture of machinery, equipment, and capital goods in the surface preparation and allied segments. The Hospitality and MICE - Nesco Foods segment carry on the business of Kitchens, Food Courts, Food Kiosks, and Mass Catering.</v>
    <v>255</v>
    <v>National Stock Exchange of India</v>
    <v>XNSE</v>
    <v>XNSE</v>
    <v>NSE ESTATE HIGHWAY GOREGAON (EAST), MAHARASHTRA, 400063 IN</v>
    <v>1178.0999999999999</v>
    <v>Real Estate Operations</v>
    <v>Stock</v>
    <v>46176.466863425929</v>
    <v>144</v>
    <v>1131.7</v>
    <v>81951980000</v>
    <v>NESCO LIMITED</v>
    <v>NESCO LIMITED</v>
    <v>1178</v>
    <v>19.739999999999998</v>
    <v>1176.2</v>
    <v>1156.5999999999999</v>
    <v>70459960</v>
    <v>NESCO</v>
    <v>NESCO LIMITED (XNSE:NESCO)</v>
    <v>35880</v>
    <v>41280</v>
    <v>1946</v>
  </rv>
  <rv s="2">
    <v>145</v>
  </rv>
  <rv s="0">
    <v>https://www.bing.com/financeapi/forcetrigger?t=ahj63m&amp;q=XNSE%3aNESTLEIND&amp;form=skydnc</v>
    <v>Learn more on Bing</v>
  </rv>
  <rv s="1">
    <v>en-IN</v>
    <v>ahj63m</v>
    <v>268435456</v>
    <v>1</v>
    <v>Powered by Refinitiv</v>
    <v>0</v>
    <v>NESTLE INDIA LIMITED (XNSE:NESTLEIND)</v>
    <v>2</v>
    <v>3</v>
    <v>Finance</v>
    <v>4</v>
    <v>1498.1</v>
    <v>1084.7</v>
    <v>1.0430999999999999</v>
    <v>-7.2</v>
    <v>-5.1480000000000007E-3</v>
    <v>INR</v>
    <v>Nestle India Limited is an India-based company that is engaged in the food business. The Company's product categories include milk products and nutrition, prepared dishes and cooking aids, powdered and liquid beverages, and confectionery. Its milk and nutrition products include dairy whitener, condensed milk, ultra heat treatment milk, yoghurt, maternal and infant formula, baby foods, and health care nutrition. Its dishes and cooking aid products include noodles, sauces, seasonings, pasta, cereals and pet food. Its powdered and liquid beverages include instant coffee, instant tea and ready to drink beverages. The Company's confectionery products include bar count lines, tablets and sugar confectionery. The Company's brands include NESCAFE, MAGGI, MILKYBAR, KIT KAT, MUNCH, MILKMAID, GERBER and LACTOGROW. Its coffee products include NESCAFE Classic, NESCAFE Sunrise and NESCAFE GOLD. Its pet food portfolio includes PURINA Friskies and PURINA Fancy Feast in the dry and wet cat food range.</v>
    <v>8419</v>
    <v>National Stock Exchange of India</v>
    <v>XNSE</v>
    <v>XNSE</v>
    <v>NESTLE HOUSE JACARANDA MARG, 'M' BLOCK, DLF CITY, PHASE II, NATIONAL HIGHWAY 8, HARYANA, 122002 IN</v>
    <v>1417.2</v>
    <v>Food &amp; Tobacco</v>
    <v>Stock</v>
    <v>46176.466874999998</v>
    <v>147</v>
    <v>1385.3</v>
    <v>2542868000000</v>
    <v>NESTLE INDIA LIMITED</v>
    <v>NESTLE INDIA LIMITED</v>
    <v>1405</v>
    <v>76.650000000000006</v>
    <v>1398.7</v>
    <v>1391.5</v>
    <v>1928314000</v>
    <v>NESTLEIND</v>
    <v>NESTLE INDIA LIMITED (XNSE:NESTLEIND)</v>
    <v>1725869</v>
    <v>2575100</v>
    <v>1959</v>
  </rv>
  <rv s="2">
    <v>148</v>
  </rv>
  <rv s="0">
    <v>https://www.bing.com/financeapi/forcetrigger?t=ahhqp2&amp;q=XNSE%3aPRIVISCL&amp;form=skydnc</v>
    <v>Learn more on Bing</v>
  </rv>
  <rv s="1">
    <v>en-IN</v>
    <v>ahhqp2</v>
    <v>268435456</v>
    <v>1</v>
    <v>Powered by Refinitiv</v>
    <v>0</v>
    <v>PRIVI SPECIALITY CHEMICALS LIMITED (XNSE:PRIVISCL)</v>
    <v>2</v>
    <v>3</v>
    <v>Finance</v>
    <v>4</v>
    <v>3590.9</v>
    <v>2050</v>
    <v>1.0143</v>
    <v>-28</v>
    <v>-8.5249999999999996E-3</v>
    <v>INR</v>
    <v>Privi Speciality Chemicals Limited is an India-based manufacturer, supplier and exporter of aroma and fragrance chemicals. The Company's flagship products include Dihydromyrcenol, Amber Fleur, Pine oil and Terpineol, Camphor, Speciality, Citral, Prionyl, Ionone products, OTBCHA, PTBCHA, Galaxmusk, Indomerane, and Floravone. It also develops and produces custom-made aroma chemicals as per the specific requirements of the customers. Its products are used in personal care items, household cleaners, and fine fragrances. The Company's manufacturing units are located at Mahad, Maharashtra and Jhagadia, Gujarat. The Company has a total production capacity of over 48,000 million tons per annum (MTPA) and Crude Sulphate Turpentine (CST) over 36,000 TPA. The Company’s subsidiaries include Privi Biotechnologies Private Limited, Privi Speciality Chemicals USA Corporation and Prigiv Specialties Private Limited.</v>
    <v>695</v>
    <v>National Stock Exchange of India</v>
    <v>XNSE</v>
    <v>XNSE</v>
    <v>1St Floor, 2 Sigma Corporates, Behind Hof Living, Sindhu Bhavan Road, Off. S. G. Road, AHMEDABAD, GUJARAT, 380059 IN</v>
    <v>3347</v>
    <v>Chemicals</v>
    <v>Stock</v>
    <v>46176.466851851852</v>
    <v>150</v>
    <v>3239</v>
    <v>105609900000</v>
    <v>PRIVI SPECIALITY CHEMICALS LIMITED</v>
    <v>PRIVI SPECIALITY CHEMICALS LIMITED</v>
    <v>3298</v>
    <v>38.840000000000003</v>
    <v>3284.4</v>
    <v>3256.4</v>
    <v>39062710</v>
    <v>PRIVISCL</v>
    <v>PRIVI SPECIALITY CHEMICALS LIMITED (XNSE:PRIVISCL)</v>
    <v>59866</v>
    <v>73760</v>
    <v>1985</v>
  </rv>
  <rv s="2">
    <v>151</v>
  </rv>
  <rv s="0">
    <v>https://www.bing.com/financeapi/forcetrigger?t=ahk9p2&amp;q=XNSE%3aTATACONSUM&amp;form=skydnc</v>
    <v>Learn more on Bing</v>
  </rv>
  <rv s="1">
    <v>en-IN</v>
    <v>ahk9p2</v>
    <v>268435456</v>
    <v>1</v>
    <v>Powered by Refinitiv</v>
    <v>0</v>
    <v>TATA CONSUMER PRODUCTS LIMITED (XNSE:TATACONSUM)</v>
    <v>2</v>
    <v>3</v>
    <v>Finance</v>
    <v>4</v>
    <v>1282.7</v>
    <v>1007.2</v>
    <v>1.1740999999999999</v>
    <v>-10.7</v>
    <v>-9.2659999999999999E-3</v>
    <v>INR</v>
    <v>Tata Consumer Products Limited is an India-based company engaged in trading, production and distribution of consumer products. The Company operates through two segments: Branded and Non-Branded. Branded segment is sub-categorized as India Business and International Business. Its India Business is engaged in the sale of branded tea, coffee and water, and sale of food products in various value-added forms. Its International Business is engaged in the sale of branded tea, coffee and water, and the sale of food products in various value-added forms. Its portfolio spans tea, coffee, water, ready-to-drink, salt, pulses, spices, ready-to-cook and ready-to-eat offerings, breakfast cereals, snacks and mini-meals. Its key beverage brands include Tata Tea, Tetley, Organic India, Eight O'Clock Coffee, Tata Coffee Grand, Himalayan Natural Mineral Water, Tata Copper+ and Tata Gluco+. Its food portfolio includes brands, such as Tata Salt, Tata Sampann, Tata Soulfull, Ching’s Secret and Smith &amp; Jones.</v>
    <v>11233</v>
    <v>National Stock Exchange of India</v>
    <v>XNSE</v>
    <v>XNSE</v>
    <v>11/13, Botawala Building, 1st floor, Office #2-6 Horniman Circle Fort, MUMBAI, MAHARASHTRA, 400001 IN</v>
    <v>1163.9000000000001</v>
    <v>Food &amp; Tobacco</v>
    <v>Stock</v>
    <v>46176.466840277775</v>
    <v>153</v>
    <v>1140.5</v>
    <v>1176972000000</v>
    <v>TATA CONSUMER PRODUCTS LIMITED</v>
    <v>TATA CONSUMER PRODUCTS LIMITED</v>
    <v>1160</v>
    <v>73.44</v>
    <v>1154.7</v>
    <v>1144</v>
    <v>989638800</v>
    <v>TATACONSUM</v>
    <v>TATA CONSUMER PRODUCTS LIMITED (XNSE:TATACONSUM)</v>
    <v>1872463</v>
    <v>2710570</v>
    <v>1962</v>
  </rv>
  <rv s="2">
    <v>154</v>
  </rv>
  <rv s="0">
    <v>https://www.bing.com/financeapi/forcetrigger?t=ahjq6h&amp;q=XNSE%3aRPGLIFE&amp;form=skydnc</v>
    <v>Learn more on Bing</v>
  </rv>
  <rv s="1">
    <v>en-IN</v>
    <v>ahjq6h</v>
    <v>268435456</v>
    <v>1</v>
    <v>Powered by Refinitiv</v>
    <v>0</v>
    <v>RPG LIFE SCIENCES LIMITED (XNSE:RPGLIFE)</v>
    <v>2</v>
    <v>3</v>
    <v>Finance</v>
    <v>4</v>
    <v>2725</v>
    <v>1733</v>
    <v>0.94779999999999998</v>
    <v>5.5</v>
    <v>2.5080000000000002E-3</v>
    <v>INR</v>
    <v>RPG Life Sciences Limited is an India-based research-based pharmaceutical company. The Company operates in the domestic and international markets in the formulations, generics, and synthetic active pharmaceutical ingredients (APIs) space. Its business portfolio includes domestic formulations, international formulations, and APIs. Its domestic formulation business manufactures and markets branded finished dosage formulations in India. The domestic formulations business has a presence in nephrology, oncology, rheumatology, cardiology, respiratory, pain management, vitamins &amp; minerals, gastroenterology, and gynecology &amp; pediatrics. The International Formulations business operates in the generics and branded generics space across Canada, Europe, Australia, New Zealand, and South America. Its products include Azoran, Mofetyl, Arpimune ME, Azathioprine, Quinfamide, Nicorandil, Haloperidol, Risperidone, Tolvaptan, Spironolactone, Sertraline, Naprosyn, Teristrong, and others.</v>
    <v>1331</v>
    <v>National Stock Exchange of India</v>
    <v>XNSE</v>
    <v>XNSE</v>
    <v>RPG HOUSE, 463, DR. ANNIE BESANT ROAD, WORLI, MUMBAI, MAHARASHTRA, 400030 IN</v>
    <v>2257.5</v>
    <v>Pharmaceuticals</v>
    <v>Stock</v>
    <v>46176.466874999998</v>
    <v>156</v>
    <v>2185</v>
    <v>38297740000</v>
    <v>RPG LIFE SCIENCES LIMITED</v>
    <v>RPG LIFE SCIENCES LIMITED</v>
    <v>2190</v>
    <v>31.57</v>
    <v>2192.6999999999998</v>
    <v>2198.1999999999998</v>
    <v>16539010</v>
    <v>RPGLIFE</v>
    <v>RPG LIFE SCIENCES LIMITED (XNSE:RPGLIFE)</v>
    <v>5434</v>
    <v>7110</v>
    <v>2007</v>
  </rv>
  <rv s="2">
    <v>157</v>
  </rv>
  <rv s="0">
    <v>https://www.bing.com/financeapi/forcetrigger?t=ahkeim&amp;q=XNSE%3aTORNTPHARM&amp;form=skydnc</v>
    <v>Learn more on Bing</v>
  </rv>
  <rv s="1">
    <v>en-IN</v>
    <v>ahkeim</v>
    <v>268435456</v>
    <v>1</v>
    <v>Powered by Refinitiv</v>
    <v>0</v>
    <v>TORRENT PHARMACEUTICALS LTD (XNSE:TORNTPHARM)</v>
    <v>2</v>
    <v>3</v>
    <v>Finance</v>
    <v>4</v>
    <v>4712.8999999999996</v>
    <v>3102</v>
    <v>0.53810000000000002</v>
    <v>50.6</v>
    <v>1.1719E-2</v>
    <v>INR</v>
    <v>Torrent Pharmaceuticals Limited is an India-based pharmaceutical company. The Company is engaged in research, development, manufacturing, marketing and distribution of branded and generic pharmaceutical formulations in India and internationally. The Company is focused on various therapeutic segments, such as cardiovascular (CV), central nervous system (CNS), gastrointestinal (GI), vitamins minerals nutrients (VMN), anti-diabetes (AD), pain management, gynecology, and dermatology. Its pediatric product brands include Tedibar, Atogla, Spoo and B4 Nappi. Its Anti-diabetic products include Gliclazide 80 mg, Tablets, Gliclazide 30 mg, Tablets, Glimepiride 1, 2, 3, 4 mg, Tablets, and others. Its dermatologic therapy products include Macrotor, Ahaglow S Facewash, Fungicide Lotion, Hairjoy 2%, New Dewsoft Cream, Lookbrite 20GMS, Cortaz NC, Dermanex, and others. Its manufacturing facilities are located in the states of Gujarat, Himachal Pradesh, Madhya Pradesh, Andhra Pradesh and Sikkim.</v>
    <v>17729</v>
    <v>National Stock Exchange of India</v>
    <v>XNSE</v>
    <v>XNSE</v>
    <v>Avirat, Thaltej Shilaj Road, AHMEDABAD, GUJARAT, 380059 IN</v>
    <v>4389.8999999999996</v>
    <v>Pharmaceuticals</v>
    <v>Stock</v>
    <v>46176.466840277775</v>
    <v>159</v>
    <v>4284.1000000000004</v>
    <v>1333577000000</v>
    <v>TORRENT PHARMACEUTICALS LTD</v>
    <v>TORRENT PHARMACEUTICALS LTD</v>
    <v>4317.8999999999996</v>
    <v>68.34</v>
    <v>4317.8999999999996</v>
    <v>4368.5</v>
    <v>338445400</v>
    <v>TORNTPHARM</v>
    <v>TORRENT PHARMACEUTICALS LTD (XNSE:TORNTPHARM)</v>
    <v>405210</v>
    <v>716960</v>
    <v>1972</v>
  </rv>
  <rv s="2">
    <v>160</v>
  </rv>
  <rv s="0">
    <v>https://www.bing.com/financeapi/forcetrigger?t=ahhcc7&amp;q=XNSE%3aCCL&amp;form=skydnc</v>
    <v>Learn more on Bing</v>
  </rv>
  <rv s="1">
    <v>en-IN</v>
    <v>ahhcc7</v>
    <v>268435456</v>
    <v>1</v>
    <v>Powered by Refinitiv</v>
    <v>0</v>
    <v>CCL PRODUCTS (INDIA) LIMITED (XNSE:CCL)</v>
    <v>2</v>
    <v>3</v>
    <v>Finance</v>
    <v>4</v>
    <v>1217.5</v>
    <v>779.5</v>
    <v>0.39860000000000001</v>
    <v>7.7</v>
    <v>7.1930000000000006E-3</v>
    <v>INR</v>
    <v>CCL Products (India) Limited is an India-based company, which is engaged in the production, trading and distribution of coffee. The Company operates in single business segment namely Coffee and Coffee-related products. The Company offers its coffee in various forms, including roasted, blended, and processed. Its Arabica and Robusta green coffee are hand-picked from different parts of the world. Its range of offerings includes instant coffee, roast and ground coffee, premix coffee and flavored Coffee. Its products include Spray Dried Coffee Powder, Spray-Dried Agglomerated Coffee, Freeze Dried Coffee, Freeze Concentrated Liquid Coffee, Roast &amp; Ground Coffee, Roasted Coffee Beans and Premix Coffee. The Company has business operations mainly in India, Vietnam and Switzerland. Its subsidiaries include Continental Coffee Private Limited, Jayanti Pte. Limited (Singapore), Continental Coffee SA (Switzerland) and Ngon Coffee Company Limited (Vietnam).</v>
    <v>1358</v>
    <v>National Stock Exchange of India</v>
    <v>XNSE</v>
    <v>XNSE</v>
    <v>DUGGIRALA GUNTUR, ANDHRA PRADESH, 522330 IN</v>
    <v>1088.9000000000001</v>
    <v>Food &amp; Tobacco</v>
    <v>Stock</v>
    <v>46176.466863425929</v>
    <v>162</v>
    <v>1062.2</v>
    <v>128820100000</v>
    <v>CCL PRODUCTS (INDIA) LIMITED</v>
    <v>CCL PRODUCTS (INDIA) LIMITED</v>
    <v>1072</v>
    <v>36.99</v>
    <v>1070.5</v>
    <v>1078.2</v>
    <v>133198400</v>
    <v>CCL</v>
    <v>CCL PRODUCTS (INDIA) LIMITED (XNSE:CCL)</v>
    <v>148436</v>
    <v>192680</v>
    <v>1961</v>
  </rv>
  <rv s="2">
    <v>163</v>
  </rv>
  <rv s="0">
    <v>https://www.bing.com/financeapi/forcetrigger?t=c6nldm&amp;q=XNSE%3aMANORAMA&amp;form=skydnc</v>
    <v>Learn more on Bing</v>
  </rv>
  <rv s="1">
    <v>en-IN</v>
    <v>c6nldm</v>
    <v>268435456</v>
    <v>1</v>
    <v>Powered by Refinitiv</v>
    <v>0</v>
    <v>MANORAMA INDUSTRIES LIMITED (XNSE:MANORAMA)</v>
    <v>2</v>
    <v>3</v>
    <v>Finance</v>
    <v>4</v>
    <v>1760</v>
    <v>1060.5999999999999</v>
    <v>1.0524</v>
    <v>-11.8</v>
    <v>-7.9649999999999999E-3</v>
    <v>INR</v>
    <v>Manorama Industries Limited is an India-based company, which is engaged in manufacturing specialty fats and butters and exotic products. The Company is engaged in manufacturing, processing and exporting specialty fats, such as shea butter, sal butter, shea fat, sal fat, shea oil, sal oil, shea stearin, sal stearin, mango butter, mango fat, mango oil, mango stearin, kokum butter, kokum oil, de-oiled cakes, mowrah fat and several value-added tailors made products that form the ingredients of cocoa butter equivalents. It manufactures, processes and exports exotic butter extracted from shea seeds, sal seeds, mango kernels, mowrah seeds, kokum seeds, and chiuri seeds for usage in cosmetics as specialty fats, chocolate and confectionary industries. Its products have applications in various food industries, such as biscuits, food processing and retail, plant-based food, technical products, and animal nutrition. Its products also have applications in the various personal care industries.</v>
    <v>498</v>
    <v>National Stock Exchange of India</v>
    <v>XNSE</v>
    <v>XNSE</v>
    <v>OFFICE NO. 701, 7TH FLOOR, BONANZA BUILDING, SAHAR PLAZA COMPLEX ANDHERI KURLA ROAD, ANDHERI EAST, MAHARASHTRA, 400059 IN</v>
    <v>1493.5</v>
    <v>Food &amp; Tobacco</v>
    <v>Stock</v>
    <v>46176.466851851852</v>
    <v>165</v>
    <v>1440</v>
    <v>78982450000</v>
    <v>MANORAMA INDUSTRIES LIMITED</v>
    <v>MANORAMA INDUSTRIES LIMITED</v>
    <v>1493.5</v>
    <v>40.82</v>
    <v>1481.4</v>
    <v>1469.6</v>
    <v>59708530</v>
    <v>MANORAMA</v>
    <v>MANORAMA INDUSTRIES LIMITED (XNSE:MANORAMA)</v>
    <v>82160</v>
    <v>158070</v>
    <v>2005</v>
  </rv>
  <rv s="2">
    <v>166</v>
  </rv>
  <rv s="0">
    <v>https://www.bing.com/financeapi/forcetrigger?t=ahh5pr&amp;q=XNSE%3aBEL&amp;form=skydnc</v>
    <v>Learn more on Bing</v>
  </rv>
  <rv s="1">
    <v>en-IN</v>
    <v>ahh5pr</v>
    <v>268435456</v>
    <v>1</v>
    <v>Powered by Refinitiv</v>
    <v>0</v>
    <v>BHARAT ELECTRONICS LIMITED (XNSE:BEL)</v>
    <v>2</v>
    <v>3</v>
    <v>Finance</v>
    <v>4</v>
    <v>473.45</v>
    <v>361.2</v>
    <v>1.1373</v>
    <v>-1.25</v>
    <v>-3.065E-3</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8844</v>
    <v>National Stock Exchange of India</v>
    <v>XNSE</v>
    <v>XNSE</v>
    <v>Outer Ring Road, Nagavara, BANGALORE, KARNATAKA, 560045 IN</v>
    <v>408.95</v>
    <v>Aerospace &amp; Defense</v>
    <v>Stock</v>
    <v>46176.466840277775</v>
    <v>168</v>
    <v>403.1</v>
    <v>3024056000000</v>
    <v>BHARAT ELECTRONICS LIMITED</v>
    <v>BHARAT ELECTRONICS LIMITED</v>
    <v>408</v>
    <v>49.05</v>
    <v>407.85</v>
    <v>406.6</v>
    <v>7309779000</v>
    <v>BEL</v>
    <v>BHARAT ELECTRONICS LIMITED (XNSE:BEL)</v>
    <v>6626958</v>
    <v>16039530</v>
    <v>1954</v>
  </rv>
  <rv s="2">
    <v>169</v>
  </rv>
  <rv s="0">
    <v>https://www.bing.com/financeapi/forcetrigger?t=ahizgh&amp;q=XNSE%3aM%26M&amp;form=skydnc</v>
    <v>Learn more on Bing</v>
  </rv>
  <rv s="1">
    <v>en-IN</v>
    <v>ahizgh</v>
    <v>268435456</v>
    <v>1</v>
    <v>Powered by Refinitiv</v>
    <v>0</v>
    <v>MAHINDRA AND MAHINDRA LIMITED (XNSE:M&amp;M)</v>
    <v>2</v>
    <v>3</v>
    <v>Finance</v>
    <v>4</v>
    <v>3839.9</v>
    <v>2896</v>
    <v>0.96419999999999995</v>
    <v>12.8</v>
    <v>4.2690000000000002E-3</v>
    <v>INR</v>
    <v>Mahindra and Mahindra Ltd is an India-based automotive and farm equipment company. The Company provides mobility products and farm solutions. Its segments include Automotive, Farm Equipment, Auto Investments, Farm Investments, Financial Services, and Industrial Businesses and Consumer Services. The Automotive segment comprises the sale of automobiles, two-wheelers, spares, construction equipment and related services. The Farm Equipment segment consists of the sale of tractors, implements, spares, powerol, and related services. Industrial Businesses and Consumer Services segment comprises all other segments like IT services, real estate, hospitality, logistics, steel trading and processing, renewables, after-market, defense, and agri. Financial Services segment comprises offering financial products ranging from retail and other loans, small and medium-sized enterprise finance, housing finance, mutual funds, and life and non-life insurance broking services.</v>
    <v>25222</v>
    <v>National Stock Exchange of India</v>
    <v>XNSE</v>
    <v>XNSE</v>
    <v>Gateway Building, Apollo Bunder, MUMBAI, MAHARASHTRA, 400001 IN</v>
    <v>3029.5</v>
    <v>Automobiles &amp; Auto Parts</v>
    <v>Stock</v>
    <v>46176.466840277775</v>
    <v>171</v>
    <v>2965</v>
    <v>4393970000000</v>
    <v>MAHINDRA AND MAHINDRA LIMITED</v>
    <v>MAHINDRA AND MAHINDRA LIMITED</v>
    <v>2996</v>
    <v>19.670000000000002</v>
    <v>2998.3</v>
    <v>3011.1</v>
    <v>1200762000</v>
    <v>M&amp;M</v>
    <v>MAHINDRA AND MAHINDRA LIMITED (XNSE:M&amp;M)</v>
    <v>3110137</v>
    <v>3660260</v>
    <v>1945</v>
  </rv>
  <rv s="2">
    <v>172</v>
  </rv>
  <rv s="0">
    <v>https://www.bing.com/financeapi/forcetrigger?t=ahhr77&amp;q=XNSE%3aFEDERALBNK&amp;form=skydnc</v>
    <v>Learn more on Bing</v>
  </rv>
  <rv s="1">
    <v>en-IN</v>
    <v>ahhr77</v>
    <v>268435456</v>
    <v>1</v>
    <v>Powered by Refinitiv</v>
    <v>0</v>
    <v>THE FEDERAL BANK LTD (XNSE:FEDERALBNK)</v>
    <v>2</v>
    <v>3</v>
    <v>Finance</v>
    <v>4</v>
    <v>302.85000000000002</v>
    <v>185.11</v>
    <v>0.89219999999999999</v>
    <v>8</v>
    <v>2.7299000000000004E-2</v>
    <v>INR</v>
    <v>The Federal Bank Limited (the Bank) is a banking company. The Bank is engaged in providing banking and financial services, including commercial banking, retail and corporate banking, project and corporate finance, working capital finance, insurance and treasury products and services. Its segment includes Treasury, Corporate/Wholesale Banking, Retail Banking, and other banking operations.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v>
    <v>16111</v>
    <v>National Stock Exchange of India</v>
    <v>XNSE</v>
    <v>XNSE</v>
    <v>Federal Towers, P. B. No. 103,, Alwaye, ERNAKULAM, KERALA, 683101 IN</v>
    <v>302.85000000000002</v>
    <v>Banking Services</v>
    <v>Stock</v>
    <v>46176.466840277775</v>
    <v>174</v>
    <v>290.3</v>
    <v>613857500000</v>
    <v>THE FEDERAL BANK LTD</v>
    <v>THE FEDERAL BANK LTD</v>
    <v>293.95</v>
    <v>17.04</v>
    <v>293.05</v>
    <v>301.05</v>
    <v>2465764000</v>
    <v>FEDERALBNK</v>
    <v>THE FEDERAL BANK LTD (XNSE:FEDERALBNK)</v>
    <v>15946881</v>
    <v>30341530</v>
    <v>1931</v>
  </rv>
  <rv s="2">
    <v>175</v>
  </rv>
  <rv s="0">
    <v>https://www.bing.com/financeapi/forcetrigger?t=ahkfz2&amp;q=XNSE%3aTVSMOTOR&amp;form=skydnc</v>
    <v>Learn more on Bing</v>
  </rv>
  <rv s="1">
    <v>en-IN</v>
    <v>ahkfz2</v>
    <v>268435456</v>
    <v>1</v>
    <v>Powered by Refinitiv</v>
    <v>0</v>
    <v>TVS MOTOR COMPANY LIMITED (XNSE:TVSMOTOR)</v>
    <v>2</v>
    <v>3</v>
    <v>Finance</v>
    <v>4</v>
    <v>3970</v>
    <v>2655.1</v>
    <v>0.54700000000000004</v>
    <v>-50</v>
    <v>-1.485E-2</v>
    <v>INR</v>
    <v>TVS Motor Company Limited is an India-based two and three-wheeler manufacturer globally, supporting progress through sustainable mobility with four manufacturing facilities located in India and Indonesia. The Company's segments include Automotive Vehicles &amp; Parts and Financial services. The Company manufactures a range of two-wheelers, starting from mopeds, to scooters, commuter motorcycles, and racing bikes like the TVS Apache series and the TVS Apache RR310. The Company's product categories include motorcycles, scooters, electric scooters, three wheelers and mopeds. Its motorcycle products include TVS Apache, Ronin, Raider, Radeon, Sport and Star City+. Its electric scooter products include TVS iQube and TVS X. The Company's scooter products include TVS Jupiter, TVS Jupiter 125, TVS Ntorq, TVS Zest 110 and others. Its services include book a service, annual maintenance contract, roadside assistance, TVS genuine parts and Tru4 Oil, and proactive inspection.</v>
    <v>6522</v>
    <v>National Stock Exchange of India</v>
    <v>XNSE</v>
    <v>XNSE</v>
    <v>"Chaitanya", No.12, Khader Nawaz Khan Road, Nungambakkam, KRISHNAGIRI, TAMIL NADU, 600006 IN</v>
    <v>3366.8</v>
    <v>Automobiles &amp; Auto Parts</v>
    <v>Stock</v>
    <v>46176.466851851852</v>
    <v>177</v>
    <v>3301.4</v>
    <v>1783511000000</v>
    <v>TVS MOTOR COMPANY LIMITED</v>
    <v>TVS MOTOR COMPANY LIMITED</v>
    <v>3360</v>
    <v>52.21</v>
    <v>3366.9</v>
    <v>3316.9</v>
    <v>2375309000</v>
    <v>TVSMOTOR</v>
    <v>TVS MOTOR COMPANY LIMITED (XNSE:TVSMOTOR)</v>
    <v>846948</v>
    <v>1385090</v>
    <v>1992</v>
  </rv>
  <rv s="2">
    <v>178</v>
  </rv>
  <rv s="0">
    <v>https://www.bing.com/financeapi/forcetrigger?t=ahjiw7&amp;q=XNSE%3aPRICOLLTD&amp;form=skydnc</v>
    <v>Learn more on Bing</v>
  </rv>
  <rv s="1">
    <v>en-IN</v>
    <v>ahjiw7</v>
    <v>268435456</v>
    <v>1</v>
    <v>Powered by Refinitiv</v>
    <v>0</v>
    <v>PRICOL LIMITED (XNSE:PRICOLLTD)</v>
    <v>2</v>
    <v>3</v>
    <v>Finance</v>
    <v>4</v>
    <v>694.2</v>
    <v>415.1</v>
    <v>0.79069999999999996</v>
    <v>5.3</v>
    <v>9.3659999999999993E-3</v>
    <v>INR</v>
    <v>Pricol Limited is an India-based automotive technology and precision engineered products and solutions company. The Company primarily operates in the automotive segment, which is engaged in manufacturing and trading of automotive components. The Company's operations are classified into three verticals: Driver Information and Connected Vehicle Solution (DICVS); Actuation Control and Fluid Management System (ACFMS), and Precision Products. It offers over 5200 product variants, which are supplied to automotive original equipment manufacturers (OEMs) in two /three-wheelers, passenger vehicles, commercial vehicles and off-highway vehicles across India and in international markets. Its products include Airduct, TFR Type Fuel Level Sensor, Coolant Pump, Oil Pumps, Cabin Tilting System, Disc Brake System, Piece Radiator, Electronic Purge Valve, and E-Cockpit. The Company’s subsidiaries include PT Pricol Surya, Pricol Asia Pte Limited, and Pricol Asia Exim DMCC.</v>
    <v>1825</v>
    <v>National Stock Exchange of India</v>
    <v>XNSE</v>
    <v>XNSE</v>
    <v>109 Race Course, COIMBATORE, TAMIL NADU, 641018 IN</v>
    <v>572.79999999999995</v>
    <v>Automobiles &amp; Auto Parts</v>
    <v>Stock</v>
    <v>46176.466874999998</v>
    <v>180</v>
    <v>559.5</v>
    <v>76206410000</v>
    <v>PRICOL LIMITED</v>
    <v>PRICOL LIMITED</v>
    <v>565.65</v>
    <v>27.78</v>
    <v>565.85</v>
    <v>571.15</v>
    <v>121881500</v>
    <v>PRICOLLTD</v>
    <v>PRICOL LIMITED (XNSE:PRICOLLTD)</v>
    <v>203071</v>
    <v>576580</v>
    <v>2011</v>
  </rv>
  <rv s="2">
    <v>181</v>
  </rv>
  <rv s="0">
    <v>https://www.bing.com/financeapi/forcetrigger?t=ahisfr&amp;q=XNSE%3aLUPIN&amp;form=skydnc</v>
    <v>Learn more on Bing</v>
  </rv>
  <rv s="1">
    <v>en-IN</v>
    <v>ahisfr</v>
    <v>268435456</v>
    <v>1</v>
    <v>Powered by Refinitiv</v>
    <v>0</v>
    <v>LUPIN LIMITED (XNSE:LUPIN)</v>
    <v>2</v>
    <v>3</v>
    <v>Finance</v>
    <v>4</v>
    <v>2494</v>
    <v>1836.8</v>
    <v>0.51800000000000002</v>
    <v>11.4</v>
    <v>5.0670000000000003E-3</v>
    <v>INR</v>
    <v>Lupin Limited is a pharmaceutical company, with products distributed in over 100 markets. It specializes in pharmaceutical products, including branded and generic formulations, complex generics, biotechnology products, and active pharmaceutical ingredients. It operates in India and the United States across multiple therapy areas, including respiratory, cardiovascular, anti-diabetic, anti-infective, gastrointestinal, central nervous system, and women's health. It has presence in the Cardiovascular, Diabetology, Asthama, Pediatrics, Central Nervous System, GastroIntestinal, Anti-Infectives and Nonsteroidal Anti-Inflammatory Drug therapy segments and operates in the Anti-TB and Cephalosporins segments. Its ophthalmology portfolio includes over 60 branded products spanning dry eye, glaucoma, eyelid hygiene, blepharitis, retinal health, and specialty nutraceuticals across European markets. Its diabetes brands include GIBTULIO, AJADUO, GIBTULIO MET, ONDERO, ONDERO MET, and Huminsulin.</v>
    <v>19979</v>
    <v>National Stock Exchange of India</v>
    <v>XNSE</v>
    <v>XNSE</v>
    <v>3rd Floor, Kalpataru Inspire,, Off. Western Expressway Highway,, Santacruz (East),, MUMBAI, MAHARASHTRA, 400055 IN</v>
    <v>2265</v>
    <v>Pharmaceuticals</v>
    <v>Stock</v>
    <v>46176.466851851852</v>
    <v>183</v>
    <v>2235</v>
    <v>995364600000</v>
    <v>LUPIN LIMITED</v>
    <v>LUPIN LIMITED</v>
    <v>2248.6</v>
    <v>18.239999999999998</v>
    <v>2249.8000000000002</v>
    <v>2261.1999999999998</v>
    <v>457215900</v>
    <v>LUPIN</v>
    <v>LUPIN LIMITED (XNSE:LUPIN)</v>
    <v>570270</v>
    <v>1235630</v>
    <v>1983</v>
  </rv>
  <rv s="2">
    <v>184</v>
  </rv>
  <rv s="0">
    <v>https://www.bing.com/financeapi/forcetrigger?t=ahhffr&amp;q=XNSE%3aCONTROLPR&amp;form=skydnc</v>
    <v>Learn more on Bing</v>
  </rv>
  <rv s="1">
    <v>en-IN</v>
    <v>ahhffr</v>
    <v>268435456</v>
    <v>1</v>
    <v>Powered by Refinitiv</v>
    <v>0</v>
    <v>CONTROL PRINT LIMITED (XNSE:CONTROLPR)</v>
    <v>2</v>
    <v>3</v>
    <v>Finance</v>
    <v>4</v>
    <v>917.5</v>
    <v>517</v>
    <v>0.72629999999999995</v>
    <v>9.6</v>
    <v>1.5724999999999999E-2</v>
    <v>INR</v>
    <v>Control Print Limited is an India-based company. The Company is engaged in manufacturing and supplying of coding and marking machines, its related consumables, and surgical/N95 Masks. It has a single reportable segment, namely Coding &amp; Marking Machines and Consumables. Its products include Continuous InkJet Printer, High Resolution Printer, Thermal Inkjet Printer, Thermal Transfer Overprinter, and Consumables. It serves industries such as agrochemical and seeds, beverages, food, healthcare, cable and wire, rubber and tires, automotive, cement, electronics, textiles, among other. It also produces coding and marking related consumables such as fluid ink, ink ribbons, and other essential supplies. Its subsidiaries include Liberty Chemicals Private Limited, Innovative Codes (I) Private Limited, Control Print BV, Mark Print BV, Control Print Packaging Private Limited, Codeology Group Limited, and CP Italy SRL.</v>
    <v>796</v>
    <v>National Stock Exchange of India</v>
    <v>XNSE</v>
    <v>XNSE</v>
    <v>C-106, HIND SAURASHTRA INDUSTRIAL ESTATE ANDHERI-KURLA ROAD,, MAROL NAKA ,ANDHERI (EAST), MAHARASHTRA, 400059 IN</v>
    <v>622.9</v>
    <v>Machinery, Equipment &amp; Components</v>
    <v>Stock</v>
    <v>46176.466874999998</v>
    <v>186</v>
    <v>606.6</v>
    <v>10676140000</v>
    <v>CONTROL PRINT LIMITED</v>
    <v>CONTROL PRINT LIMITED</v>
    <v>607</v>
    <v>22.75</v>
    <v>610.5</v>
    <v>620.1</v>
    <v>15994210</v>
    <v>CONTROLPR</v>
    <v>CONTROL PRINT LIMITED (XNSE:CONTROLPR)</v>
    <v>14939</v>
    <v>30610</v>
    <v>1991</v>
  </rv>
  <rv s="2">
    <v>187</v>
  </rv>
  <rv s="0">
    <v>https://www.bing.com/financeapi/forcetrigger?t=ays3k2&amp;q=XNSE%3aNEWGEN&amp;form=skydnc</v>
    <v>Learn more on Bing</v>
  </rv>
  <rv s="1">
    <v>en-IN</v>
    <v>ays3k2</v>
    <v>268435456</v>
    <v>1</v>
    <v>Powered by Refinitiv</v>
    <v>0</v>
    <v>NEWGEN SOFTWARE TECHNOLOGIES LIMITED (XNSE:NEWGEN)</v>
    <v>2</v>
    <v>3</v>
    <v>Finance</v>
    <v>4</v>
    <v>1336</v>
    <v>401.05</v>
    <v>1.3787</v>
    <v>0.1</v>
    <v>1.93E-4</v>
    <v>INR</v>
    <v>Newgen Software Technologies Limited is an India-based provider of a unified digital transformation platform with native process automation, content services, communication management, and artificial intelligence/machine learning (AI/ML) capabilities. Its NewgenONE platform offers a comprehensive suite of automation technologies that cover everything from task automation to content-rich, mission-critical applications, and complex workflow orchestration. Its NewgenONE capabilities include intelligent process automation, contextual content services, omnichannel customer engagement, low-code application development, data science, generative AI, integration ecosystem, and Agentic AI and Artificial Intelligence and Data Science. Its low code application development solution includes application studio and data model designer. It offers a range of Agentic AI, which include Marvin, Real-time, and LumYn. The Company's geographical segments include India, EMEA, APAC, and USA.</v>
    <v>4040</v>
    <v>National Stock Exchange of India</v>
    <v>XNSE</v>
    <v>XNSE</v>
    <v>A-6, Satsang Vihar Marg,, Qutab Institutional Area., NEW DELHI, DELHI, 110067 IN</v>
    <v>538</v>
    <v>Software &amp; IT Services</v>
    <v>Stock</v>
    <v>46176.466840277775</v>
    <v>189</v>
    <v>504.1</v>
    <v>110114900000</v>
    <v>NEWGEN SOFTWARE TECHNOLOGIES LIMITED</v>
    <v>NEWGEN SOFTWARE TECHNOLOGIES LIMITED</v>
    <v>528</v>
    <v>24.23</v>
    <v>518.1</v>
    <v>518.20000000000005</v>
    <v>141351700</v>
    <v>NEWGEN</v>
    <v>NEWGEN SOFTWARE TECHNOLOGIES LIMITED (XNSE:NEWGEN)</v>
    <v>16036497</v>
    <v>4094870</v>
    <v>1992</v>
  </rv>
  <rv s="2">
    <v>190</v>
  </rv>
  <rv s="0">
    <v>https://www.bing.com/financeapi/forcetrigger?t=ahkeu2&amp;q=XNSE%3aTRENT&amp;form=skydnc</v>
    <v>Learn more on Bing</v>
  </rv>
  <rv s="1">
    <v>en-IN</v>
    <v>ahkeu2</v>
    <v>268435456</v>
    <v>1</v>
    <v>Powered by Refinitiv</v>
    <v>0</v>
    <v>TRENT LIMITED (XNSE:TRENT)</v>
    <v>2</v>
    <v>3</v>
    <v>Finance</v>
    <v>4</v>
    <v>6261</v>
    <v>3275.5</v>
    <v>1.5972</v>
    <v>47.2</v>
    <v>1.1209999999999999E-2</v>
    <v>INR</v>
    <v>Trent Limited is part of the Tata Group and operates a portfolio of retail concepts. Its brands are divided into two groups, namely Fashion and Lifestyle and Food and Grocery. The Company’s primary customer propositions include Westside, which operates a chain of fashion retail stores that offers a broad range of products ranging from apparel, footwear, accessories to cosmetics and perfumes to home accessories and gift offers, among others; Zudio, which offers several product categories, including apparel for men, women and kids, footwear and others; and Trent Hypermarket, which operates in the food, grocery and daily needs segment under the Star banner. It operates cash and carry stores under the Booker Wholesale banner that focuses on categories and assortments relevant to small businesses, which include products in categories including staples, processed foods, confectionery, personal care, home care, among others. Its other brands include Utsa and SAMOH.</v>
    <v>31226</v>
    <v>National Stock Exchange of India</v>
    <v>XNSE</v>
    <v>XNSE</v>
    <v>Trent House, G-Block, Plot No C-60, Besides Citi Bank,, Bandra Kurla Complex, Bandra (East), MUMBAI, MAHARASHTRA, 400051 IN</v>
    <v>4284.8</v>
    <v>Diversified Retail</v>
    <v>Stock</v>
    <v>46176.485590277778</v>
    <v>192</v>
    <v>4165</v>
    <v>1394186000000</v>
    <v>TRENT LIMITED</v>
    <v>TRENT LIMITED</v>
    <v>4220</v>
    <v>88.01</v>
    <v>4210.3999999999996</v>
    <v>4257.6000000000004</v>
    <v>355488200</v>
    <v>TRENT</v>
    <v>TRENT LIMITED (XNSE:TRENT)</v>
    <v>544842</v>
    <v>702280</v>
    <v>1952</v>
  </rv>
  <rv s="2">
    <v>193</v>
  </rv>
  <rv s="0">
    <v>https://www.bing.com/financeapi/forcetrigger?t=ahgqzr&amp;q=XNSE%3aACE&amp;form=skydnc</v>
    <v>Learn more on Bing</v>
  </rv>
  <rv s="1">
    <v>en-IN</v>
    <v>ahgqzr</v>
    <v>268435456</v>
    <v>1</v>
    <v>Powered by Refinitiv</v>
    <v>0</v>
    <v>ACTION CONSTRUCTION EQUIPMENT LIMITED (XNSE:ACE)</v>
    <v>2</v>
    <v>3</v>
    <v>Finance</v>
    <v>4</v>
    <v>1277</v>
    <v>745.1</v>
    <v>0.9829</v>
    <v>-9.6999999999999993</v>
    <v>-1.1063E-2</v>
    <v>INR</v>
    <v>Action Construction Equipment Limited is an India-based material handling and construction equipment manufacturing company offering technology products with a market share in mobile cranes and tower cranes segment. Its segments include Cranes, Construction Equipment, Material Handling and Agriculture Equipment. Its equipment includes mobile cranes, truck mounted cranes, crawler cranes, rough terrain hydraulic mobile cranes, forklift trucks, mobile tower cranes, tower cranes, concrete placing boom, piling rigs, backhoe loaders, road equipment, vibratory rollers, loaders, warehousing equipment, tractors and agri equipment. Its mobile cranes include pick and carry cranes, and NextGen pick and carry cranes. Its truck mounted cranes include TM series and lorry loader cranes. Its agri equipment includes harvester combine, rotavator and baler. Its rough terrain hydraulic mobile cranes include 20XW-RT, 40XW and 75XW. Its forklift trucks include diesel forklifts and electric forklifts.</v>
    <v>1492</v>
    <v>National Stock Exchange of India</v>
    <v>XNSE</v>
    <v>XNSE</v>
    <v>Dudhola Link Road, Dudhola, District-Palwal, HARYANA, 121102 IN</v>
    <v>876.8</v>
    <v>Machinery, Equipment &amp; Components</v>
    <v>Stock</v>
    <v>46176.466863425929</v>
    <v>195</v>
    <v>850.5</v>
    <v>105501000000</v>
    <v>ACTION CONSTRUCTION EQUIPMENT LIMITED</v>
    <v>ACTION CONSTRUCTION EQUIPMENT LIMITED</v>
    <v>871</v>
    <v>24.86</v>
    <v>876.8</v>
    <v>867.1</v>
    <v>119020100</v>
    <v>ACE</v>
    <v>ACTION CONSTRUCTION EQUIPMENT LIMITED (XNSE:ACE)</v>
    <v>157000</v>
    <v>270330</v>
    <v>1995</v>
  </rv>
  <rv s="2">
    <v>196</v>
  </rv>
  <rv s="0">
    <v>https://www.bing.com/financeapi/forcetrigger?t=ahjh1h&amp;q=XNSE%3aPOLYMED&amp;form=skydnc</v>
    <v>Learn more on Bing</v>
  </rv>
  <rv s="1">
    <v>en-IN</v>
    <v>ahjh1h</v>
    <v>268435456</v>
    <v>1</v>
    <v>Powered by Refinitiv</v>
    <v>0</v>
    <v>POLY MEDICURE LIMITED (XNSE:POLYMED)</v>
    <v>2</v>
    <v>3</v>
    <v>Finance</v>
    <v>4</v>
    <v>2316.6</v>
    <v>1182</v>
    <v>0.76719999999999999</v>
    <v>17.8</v>
    <v>1.3471E-2</v>
    <v>INR</v>
    <v>Poly Medicure Limited is an India-based medical device manufacturer and exporter, with its products sold in over 125 countries. The Company is primarily in the business of manufacturing and selling medical devices. With a portfolio of over 200 medical devices and more than 330 patents, the Company offers a comprehensive range of medical devices across 12 medical therapies, including infusion therapy, vascular access, dialysis and renal care, critical care, cardiology, oncology, transfusion, diagnostics, gastroenterology, anesthesia and respiratory care, urology, and surgery and wound management. Its products consist of an I.V. cannula, arterial cannula, prefilled syringe, nasogastric feeding tube, gastro-duodenal feeding tube, umbilical catheter, irrigation sets, urine drainage catheters and others.</v>
    <v>3082</v>
    <v>National Stock Exchange of India</v>
    <v>XNSE</v>
    <v>XNSE</v>
    <v>PROPERTY NO. - 232B, THIRD FLOOR, OKHLA INDUSTRIAL ESTATE, PHASE-III, NEW DELHI, SOUTH DELHI, DELHI, 110020 IN</v>
    <v>1358.9</v>
    <v>Healthcare Equipment &amp; Supplies</v>
    <v>Stock</v>
    <v>46176.466898148145</v>
    <v>198</v>
    <v>1311</v>
    <v>173679500000</v>
    <v>POLY MEDICURE LIMITED</v>
    <v>POLY MEDICURE LIMITED</v>
    <v>1321.4</v>
    <v>42.13</v>
    <v>1321.4</v>
    <v>1339.2</v>
    <v>101359500</v>
    <v>POLYMED</v>
    <v>POLY MEDICURE LIMITED (XNSE:POLYMED)</v>
    <v>152398</v>
    <v>248160</v>
    <v>1995</v>
  </rv>
  <rv s="2">
    <v>199</v>
  </rv>
  <rv s="0">
    <v>https://www.bing.com/financeapi/forcetrigger?t=ahifar&amp;q=XNSE%3aJASH&amp;form=skydnc</v>
    <v>Learn more on Bing</v>
  </rv>
  <rv s="1">
    <v>en-IN</v>
    <v>ahifar</v>
    <v>268435456</v>
    <v>1</v>
    <v>Powered by Refinitiv</v>
    <v>0</v>
    <v>JASH ENGINEERING LTD (XNSE:JASH)</v>
    <v>2</v>
    <v>3</v>
    <v>Finance</v>
    <v>4</v>
    <v>622.9</v>
    <v>327.10000000000002</v>
    <v>0.50060000000000004</v>
    <v>-11.65</v>
    <v>-2.7311999999999999E-2</v>
    <v>INR</v>
    <v>Jash Engineering Limited is an India-based company that is involved in the business of designing and manufacturing a wide range of equipment for water intake systems, water and wastewater pumping stations and treatment plants, storm water pumping stations, water transmission lines, power, steel, cement, paper and pulp, petrochemicals, chemical, fertilizers and other process plants. Its equipment includes Water control gates, Mechanized screening systems, Screening conveying and washing systems, Knife gate valves, Water hammer control valves, Energy dissipating valves, Archimedes screw pumps, micro hydro turbines, clarifiers, Clari-flocculators, flash mixers, degriters, aerators, thickeners, gravity decanters, trickling filters, digester mixers, DAF units, bulk solid handling valves, disc filters, and air vessels. The Company's wholly owned subsidiaries include Shivpad Engineers Pvt. Ltd., Jash USA Inc., Mahr Maschinenbau Ges. mbH, and Engineering and Manufacturing Jash Limited.</v>
    <v>602</v>
    <v>National Stock Exchange of India</v>
    <v>XNSE</v>
    <v>XNSE</v>
    <v>31,SECTOR-C, SANWER ROAD, INDUSTRIEL AREA NA INDORE MP IN, MADHYA PRADESH, 452001 IN</v>
    <v>430</v>
    <v>Machinery, Equipment &amp; Components</v>
    <v>Stock</v>
    <v>46176.466863425929</v>
    <v>201</v>
    <v>413.9</v>
    <v>25291000000</v>
    <v>JASH ENGINEERING LTD</v>
    <v>JASH ENGINEERING LTD</v>
    <v>426.55</v>
    <v>34.58</v>
    <v>426.55</v>
    <v>414.9</v>
    <v>62905120</v>
    <v>JASH</v>
    <v>JASH ENGINEERING LTD (XNSE:JASH)</v>
    <v>76877</v>
    <v>207290</v>
    <v>1973</v>
  </rv>
  <rv s="2">
    <v>202</v>
  </rv>
  <rv s="0">
    <v>https://www.bing.com/financeapi/forcetrigger?t=ahhf1h&amp;q=XNSE%3aCOLPAL&amp;form=skydnc</v>
    <v>Learn more on Bing</v>
  </rv>
  <rv s="1">
    <v>en-IN</v>
    <v>ahhf1h</v>
    <v>268435456</v>
    <v>1</v>
    <v>Powered by Refinitiv</v>
    <v>0</v>
    <v>COLGATE-PALMOLIVE (INDIA) LIMITED (XNSE:COLPAL)</v>
    <v>2</v>
    <v>3</v>
    <v>Finance</v>
    <v>4</v>
    <v>2504</v>
    <v>1782</v>
    <v>1.2298</v>
    <v>19.8</v>
    <v>9.9059999999999999E-3</v>
    <v>INR</v>
    <v>Colgate-Palmolive (India) Limited is primarily focused on oral care and personal care in the Indian market. The Company manufactures and markets a range of oral care essentials under the Colgate brand, including toothpastes, toothpowder, toothbrushes, mouthwashes and rinses, and specialty products such as professional grade oral care products. Additionally, its Palmolive brand offers a specialized range of personal care products. Its products include Colgate Strong Teeth toothpaste with Arginine, Colgate MaxFresh toothpaste with Ultrafreeze technology, Colgate Active Salt toothpaste with superior efficacy, Colgate Zig Zag toothbrush with superior aesthetics &amp; packaging, Colgate Super Junior Toothbrush, and Palmolive's three variants include (Forever Happy, Sweet Delight, Alluring Love). It collaborates through its distributor's network or otherwise with a network of diverse wholesalers, modern trade stores, e-commerce and other retailers to make their products available to customers.</v>
    <v>2198</v>
    <v>National Stock Exchange of India</v>
    <v>XNSE</v>
    <v>XNSE</v>
    <v>Colgate Research Centre, Main Street, Hiranandani Gardens, Powai, MUMBAI, MAHARASHTRA, 400076 IN</v>
    <v>2022.8</v>
    <v>Personal &amp; Household Products &amp; Services</v>
    <v>Stock</v>
    <v>46176.466863425929</v>
    <v>204</v>
    <v>1984.6</v>
    <v>572992100000</v>
    <v>COLGATE-PALMOLIVE (INDIA) LIMITED</v>
    <v>COLGATE-PALMOLIVE (INDIA) LIMITED</v>
    <v>1997</v>
    <v>41.42</v>
    <v>1998.8</v>
    <v>2018.6</v>
    <v>271985600</v>
    <v>COLPAL</v>
    <v>COLGATE-PALMOLIVE (INDIA) LIMITED (XNSE:COLPAL)</v>
    <v>308158</v>
    <v>582330</v>
    <v>1937</v>
  </rv>
  <rv s="2">
    <v>205</v>
  </rv>
  <rv s="0">
    <v>https://www.bing.com/financeapi/forcetrigger?t=b1saar&amp;q=XNSE%3aFINEORG&amp;form=skydnc</v>
    <v>Learn more on Bing</v>
  </rv>
  <rv s="1">
    <v>en-IN</v>
    <v>b1saar</v>
    <v>268435456</v>
    <v>1</v>
    <v>Powered by Refinitiv</v>
    <v>0</v>
    <v>FINE ORGANIC INDUSTRIES LIMITED (XNSE:FINEORG)</v>
    <v>2</v>
    <v>3</v>
    <v>Finance</v>
    <v>4</v>
    <v>5494</v>
    <v>3856</v>
    <v>0.82499999999999996</v>
    <v>47.3</v>
    <v>1.0313000000000001E-2</v>
    <v>INR</v>
    <v>Fine Organic Industries Limited is an India-based company engaged in manufacturing, processing, supplying, distributing, dealing, importing, and exporting a range of oleochemical-based additives used in foods, plastics, cosmetics, coatings and other specialty applications in various industries. It has expanded its additive range to antifungal agents, bread improvers, beverage clouding agents, and other additives/blends. It develops a range of additives for various types of polymers, rubbers, elastomers and others. Its Specialty Additives for Cosmetics are used in products made for skin care and hair care and also help in the manufacturing of products with diverse compositions, such as creams, gels, pastes, lotions, ointments and others. Its Feed Nutrition Additives help in improving antibiotic properties, reducing mortality rates, enhancing fat digestibility and energy efficiency in poultry and cattle. Its subsidiaries include Fine Organics (USA), Inc. and Fine Organics Europe BV.</v>
    <v>869</v>
    <v>National Stock Exchange of India</v>
    <v>XNSE</v>
    <v>XNSE</v>
    <v>FINE HOUSE M.G. ROAD, GHATKOPAR (E), MAHARASHTRA, 400077 IN</v>
    <v>4638.8999999999996</v>
    <v>Chemicals</v>
    <v>Stock</v>
    <v>46176.466840277775</v>
    <v>207</v>
    <v>4488</v>
    <v>129072400000</v>
    <v>FINE ORGANIC INDUSTRIES LIMITED</v>
    <v>FINE ORGANIC INDUSTRIES LIMITED</v>
    <v>4595.8</v>
    <v>34.07</v>
    <v>4586.5</v>
    <v>4633.8</v>
    <v>30659980</v>
    <v>FINEORG</v>
    <v>FINE ORGANIC INDUSTRIES LIMITED (XNSE:FINEORG)</v>
    <v>6706</v>
    <v>13620</v>
    <v>2002</v>
  </rv>
  <rv s="2">
    <v>208</v>
  </rv>
  <rv s="0">
    <v>https://www.bing.com/financeapi/forcetrigger?t=ahgqfr&amp;q=XNSE%3aABBOTINDIA&amp;form=skydnc</v>
    <v>Learn more on Bing</v>
  </rv>
  <rv s="1">
    <v>en-IN</v>
    <v>ahgqfr</v>
    <v>268435456</v>
    <v>1</v>
    <v>Powered by Refinitiv</v>
    <v>0</v>
    <v>ABBOTT INDIA LIMITED (XNSE:ABBOTINDIA)</v>
    <v>2</v>
    <v>3</v>
    <v>Finance</v>
    <v>4</v>
    <v>37000</v>
    <v>25150</v>
    <v>0.123</v>
    <v>-5</v>
    <v>-1.9019999999999999E-4</v>
    <v>INR</v>
    <v>Abbott India Limited is an India-based pharmaceutical company. The Company is involved in product development, manufacturing, sales, and customer service. It distributes products and solutions in multiple therapeutic categories, such as women's health, gastroenterology, cardiology, metabolic disorders and primary care. It operates in a single reportable business segment, which is Pharmaceuticals. The Company’s products include Arachitol Nano, Digeraft, Influvac, Colospa, Duphalac, Librax, Creon, Duphaston, Prothiaden, Cremaffin, Duvadilan, Thyronorm, Cremaffin Plus, Ganaton, Udiliv, Digene, Heptral, Vertin, Zolfresh, Citrosoda UTI, Digene Insta On The Go, Digeraft tablet, Duphaston OD, Pneumoshield 14, Prothiaden Neu, Vonefi, Levesam, and LOBATE M Skin Cream, among others. The Company sells its products through independent distributors primarily within India.</v>
    <v>3659</v>
    <v>National Stock Exchange of India</v>
    <v>XNSE</v>
    <v>XNSE</v>
    <v>15-16 floors, Godrej BKC,Plot C-68 G Block, Bandra-Kurla Complex, Near MCA Club, MAHARASHTRA, 400051 IN</v>
    <v>26420</v>
    <v>Pharmaceuticals</v>
    <v>Stock</v>
    <v>46176.466874999998</v>
    <v>210</v>
    <v>26005</v>
    <v>596892900000</v>
    <v>ABBOTT INDIA LIMITED</v>
    <v>ABBOTT INDIA LIMITED</v>
    <v>26335</v>
    <v>36</v>
    <v>26295</v>
    <v>26290</v>
    <v>21249300</v>
    <v>ABBOTINDIA</v>
    <v>ABBOTT INDIA LIMITED (XNSE:ABBOTINDIA)</v>
    <v>4849</v>
    <v>8150</v>
    <v>1944</v>
  </rv>
  <rv s="2">
    <v>211</v>
  </rv>
  <rv s="0">
    <v>https://www.bing.com/financeapi/forcetrigger?t=ahk24c&amp;q=XNSE%3aSONATSOFTW&amp;form=skydnc</v>
    <v>Learn more on Bing</v>
  </rv>
  <rv s="1">
    <v>en-IN</v>
    <v>ahk24c</v>
    <v>268435456</v>
    <v>1</v>
    <v>Powered by Refinitiv</v>
    <v>0</v>
    <v>SONATA SOFTWARE LIMITED (XNSE:SONATSOFTW)</v>
    <v>2</v>
    <v>3</v>
    <v>Finance</v>
    <v>4</v>
    <v>452.8</v>
    <v>207.15</v>
    <v>1.4769000000000001</v>
    <v>-11</v>
    <v>-3.9518999999999999E-2</v>
    <v>INR</v>
    <v>Sonata Software Limited is a modernization engineering company. The Company is engaged in the business of providing Information Technology Services and Solutions to its customers in the United States of America, Europe, Middle East, Asia, Australia and India. Its cloud modernization services include cloud strategy and consulting, cloud migration, cloud-native development, and cloud optimization. It provides modernization services using its proprietary Platformation approach. Its enterprise data modernization offers data strategy and planning, data migration, and data management and analytics services. It offers application and infrastructure re-platforming and re-architecting services. It offers solutions with models that combine artificial intelligence (AI), machine learning and NLP techniques to recommend actions for business outcomes. Its Lightning platform enables customers to explore generative AI for their organization through industry-specific proof-of-concept projects.</v>
    <v>6414</v>
    <v>National Stock Exchange of India</v>
    <v>XNSE</v>
    <v>XNSE</v>
    <v>Tower-A, Sonata Towers, Global Village (Sattva Global City), RVCE Post, Kengeri Hobli, Mysore Road, BANGALORE, KARNATAKA, 560059 IN</v>
    <v>277.95</v>
    <v>Software &amp; IT Services</v>
    <v>Stock</v>
    <v>46176.466851851852</v>
    <v>213</v>
    <v>261.8</v>
    <v>97506620000</v>
    <v>SONATA SOFTWARE LIMITED</v>
    <v>SONATA SOFTWARE LIMITED</v>
    <v>277.95</v>
    <v>15.97</v>
    <v>278.35000000000002</v>
    <v>267.35000000000002</v>
    <v>276794500</v>
    <v>SONATSOFTW</v>
    <v>SONATA SOFTWARE LIMITED (XNSE:SONATSOFTW)</v>
    <v>1607373</v>
    <v>2080620</v>
    <v>1994</v>
  </rv>
  <rv s="2">
    <v>214</v>
  </rv>
  <rv s="0">
    <v>https://www.bing.com/financeapi/forcetrigger?t=bplj52&amp;q=XNSE%3aMSTCLTD&amp;form=skydnc</v>
    <v>Learn more on Bing</v>
  </rv>
  <rv s="1">
    <v>en-IN</v>
    <v>bplj52</v>
    <v>268435456</v>
    <v>1</v>
    <v>Powered by Refinitiv</v>
    <v>0</v>
    <v>MSTC LIMITED (XNSE:MSTCLTD)</v>
    <v>2</v>
    <v>3</v>
    <v>Finance</v>
    <v>4</v>
    <v>574.95000000000005</v>
    <v>362.15</v>
    <v>1.9186000000000001</v>
    <v>-4.8499999999999996</v>
    <v>-1.0747E-2</v>
    <v>INR</v>
    <v>MSTC Limited is an India-based e-commerce company. The Company is engaged in providing e-commerce related services across diversified industry segment offering e-auction/e-sale, e-procurement services, and development of customized software/solutions. The Company operates through two segments: e-Commerce, and Trading. Its e-Commerce segment provides services for e-auction/s-sale, e-procurement, and development of customized software/solutions. The Company offers e-auction platform to government departments and government-controlled entities. It offers a complete package of services from preparation of the auction catalogue to the issuance of delivery orders and advertisements of the same on a case-to-case basis with e payment and e-wallet facilities. It has conducted e-auction for sale of scraps, minerals, agricultural produce, land parcels, tea, gorgon nut, tendu leaves, timbers, and other forest produce. It also offers end-to-end platform solutions for e-procurement.</v>
    <v>299</v>
    <v>National Stock Exchange of India</v>
    <v>XNSE</v>
    <v>XNSE</v>
    <v>Plot No. CF-18/2, Street No. 175, Action Area 1 C, Newtown North Parganas, WEST BENGAL, 700156 IN</v>
    <v>454.15</v>
    <v>Software &amp; IT Services</v>
    <v>Stock</v>
    <v>46176.466851851852</v>
    <v>216</v>
    <v>442</v>
    <v>33482240000</v>
    <v>MSTC LIMITED</v>
    <v>MSTC LIMITED</v>
    <v>451.55</v>
    <v>14.5</v>
    <v>451.3</v>
    <v>446.45</v>
    <v>70400000</v>
    <v>MSTCLTD</v>
    <v>MSTC LIMITED (XNSE:MSTCLTD)</v>
    <v>164283</v>
    <v>181020</v>
    <v>1964</v>
  </rv>
  <rv s="2">
    <v>217</v>
  </rv>
  <rv s="0">
    <v>https://www.bing.com/financeapi/forcetrigger?t=ahh3oc&amp;q=XNSE%3aBALAMINES&amp;form=skydnc</v>
    <v>Learn more on Bing</v>
  </rv>
  <rv s="1">
    <v>en-IN</v>
    <v>ahh3oc</v>
    <v>268435456</v>
    <v>1</v>
    <v>Powered by Refinitiv</v>
    <v>0</v>
    <v>BALAJI AMINES LIMITED (XNSE:BALAMINES)</v>
    <v>2</v>
    <v>3</v>
    <v>Finance</v>
    <v>4</v>
    <v>2185</v>
    <v>968.1</v>
    <v>1.7735000000000001</v>
    <v>106.1</v>
    <v>5.2625999999999999E-2</v>
    <v>INR</v>
    <v>Balaji Amines Limited is an India-based company, which is engaged in the business of manufacturing of specialty chemicals, aliphatic amines and derivatives. The Company’s segments include Amines &amp; Specialty Chemicals and Hotel Division. It also owns a five-star Hotel in Solapur, Maharashtra. Its products include amines, derivatives, specialty chemicals and pharma excipients. Its amine products include MONOMETHYLAMINE (MMA), DIMETHYLAMINE (DMA), TRIMETHYLAMINE and others. Its specialty chemical products include N-Methyl Pyrrolidone (NMP), Morpholine, 2-PYRROLIDONE (2-P), N-ETHYL-2-PYRROLIDONE, GAMMA-BUTYROLACTONE, ACETONITRILE (ACN) and others. Its derivative products include Di-Methyl Acetamide (DMAC); Di-Methyl Amine Hydrochloride (DMA HCL); Tri-Methyl Amine Hydrochloride (TMA HCL); Di-Ethyl Amine Hydrochloride (DEA HCL), and others. Its pharma excipients products include POLY VINYL PYRROLIDONE(PVP-30) IP/BP/JP GRADE and POLY VINYL PYRROLIDONE(PVP-30)-TECHNICAL GRADE.</v>
    <v>1167</v>
    <v>National Stock Exchange of India</v>
    <v>XNSE</v>
    <v>XNSE</v>
    <v>Plot No. 47, Balaji Bhawan, Kavuri Hills, Madhapur, HYDERABAD, TELANGANA, 500033 IN</v>
    <v>2185</v>
    <v>Chemicals</v>
    <v>Stock</v>
    <v>46176.466863425929</v>
    <v>219</v>
    <v>1942.8</v>
    <v>39717140000</v>
    <v>BALAJI AMINES LIMITED</v>
    <v>BALAJI AMINES LIMITED</v>
    <v>2020</v>
    <v>40.909999999999997</v>
    <v>2016.1</v>
    <v>2122.1999999999998</v>
    <v>32401000</v>
    <v>BALAMINES</v>
    <v>BALAJI AMINES LIMITED (XNSE:BALAMINES)</v>
    <v>3178753</v>
    <v>626840</v>
    <v>1988</v>
  </rv>
  <rv s="2">
    <v>220</v>
  </rv>
  <rv s="0">
    <v>https://www.bing.com/financeapi/forcetrigger?t=ahjwdm&amp;q=XNSE%3aSHANTIGEAR&amp;form=skydnc</v>
    <v>Learn more on Bing</v>
  </rv>
  <rv s="1">
    <v>en-IN</v>
    <v>ahjwdm</v>
    <v>268435456</v>
    <v>1</v>
    <v>Powered by Refinitiv</v>
    <v>0</v>
    <v>SHANTHI GEARS LIMITED (XNSE:SHANTIGEAR)</v>
    <v>2</v>
    <v>3</v>
    <v>Finance</v>
    <v>4</v>
    <v>619.79999999999995</v>
    <v>395</v>
    <v>0.75690000000000002</v>
    <v>2.25</v>
    <v>5.1110000000000001E-3</v>
    <v>INR</v>
    <v>Shanthi Gears Limited is an industrial gearing solutions company. It is engaged in designing and manufacturing gears, gearboxes, geared motors, and gear assemblies, using its integrated manufacturing facilities. It offers a range of products and services, such as gear solutions for a range of applications and specialized gear reconditioning services. Its products include helical gearboxes, bevel helical gearboxes, worm gearboxes, geared motors, extruder gearboxes, cooling tower gearboxes, gears &amp; pinions and special gearboxes sector. Its applications include steel, cement, sugar, crane &amp; material handling, power, paper, rubber and plastics, off-highway and mining, compressors, railways, textile and aerospace. It provides facilities, such as engineering and research and development, foundry, forging and fabrication, heat treatment, CNC turning/machining, hobbing, gear profile grinding and testing toolroom for clutter manufacturing, metrology and calibration, and assurance.</v>
    <v>503</v>
    <v>National Stock Exchange of India</v>
    <v>XNSE</v>
    <v>XNSE</v>
    <v>304A, TRICHY ROAD, SINGANALLUR, TAMIL NADU, 641005 IN</v>
    <v>444.05</v>
    <v>Machinery, Equipment &amp; Components</v>
    <v>Stock</v>
    <v>46176.466840277775</v>
    <v>222</v>
    <v>440.05</v>
    <v>32174630000</v>
    <v>SHANTHI GEARS LIMITED</v>
    <v>SHANTHI GEARS LIMITED</v>
    <v>440.25</v>
    <v>44.29</v>
    <v>440.25</v>
    <v>442.5</v>
    <v>76715850</v>
    <v>SHANTIGEAR</v>
    <v>SHANTHI GEARS LIMITED (XNSE:SHANTIGEAR)</v>
    <v>7990</v>
    <v>11430</v>
    <v>1972</v>
  </rv>
  <rv s="2">
    <v>223</v>
  </rv>
  <rv s="0">
    <v>https://www.bing.com/financeapi/forcetrigger?t=ahj75r&amp;q=XNSE%3aCOFORGE&amp;form=skydnc</v>
    <v>Learn more on Bing</v>
  </rv>
  <rv s="1">
    <v>en-IN</v>
    <v>ahj75r</v>
    <v>268435456</v>
    <v>1</v>
    <v>Powered by Refinitiv</v>
    <v>0</v>
    <v>COFORGE LIMITED (XNSE:COFORGE)</v>
    <v>2</v>
    <v>3</v>
    <v>Finance</v>
    <v>4</v>
    <v>1994</v>
    <v>1008.1</v>
    <v>0.877</v>
    <v>-98.6</v>
    <v>-6.4890000000000003E-2</v>
    <v>INR</v>
    <v>Coforge Limited is an India-based artificial intelligence (AI)-native engineering services company. The Company is a digital services and solutions provider that leverages emerging technologies and domain expertise to deliver real-world business impact for its clients. The Company uses AI and hyperspecializes industry expertise to engineer autonomous enterprises. Its business process solutions is a disruptive AI-led business operations provider. Its AI-driven platforms include Quasar AI, Coforge Forge-X, EvolveOps.AI, and AIVA. It serves various industries, including banking &amp; financial services; travel, transportation and hospitality; insurance; healthcare and life sciences, and public sector. Its geographical segments include Americas, Europe, Middle East, and Africa, Asia Pacific, and India. Its salesforce ecosystem includes Salesforce, and Mulesoft. Its digital process automation includes Appian, Pega, Mendix, and OutSystems. EvolveOps.AI, its autonomous IT operations platform.</v>
    <v>17334</v>
    <v>National Stock Exchange of India</v>
    <v>XNSE</v>
    <v>XNSE</v>
    <v>SEZ Developer Unit, Plot No TZ 2 &amp; 2A, Sector Tech Zone, Greater Noida, Gautam Buddha Nagar, UTTAR PRADESH, 201308 IN</v>
    <v>1490</v>
    <v>Software &amp; IT Services</v>
    <v>Stock</v>
    <v>46176.466863425929</v>
    <v>225</v>
    <v>1417</v>
    <v>572418900000</v>
    <v>COFORGE LIMITED</v>
    <v>COFORGE LIMITED</v>
    <v>1490</v>
    <v>33.549999999999997</v>
    <v>1519.5</v>
    <v>1420.9</v>
    <v>429999900</v>
    <v>COFORGE</v>
    <v>COFORGE LIMITED (XNSE:COFORGE)</v>
    <v>4844251</v>
    <v>4269440</v>
    <v>1992</v>
  </rv>
  <rv s="2">
    <v>226</v>
  </rv>
  <rv s="0">
    <v>https://www.bing.com/financeapi/forcetrigger?t=ahior7&amp;q=XNSE%3aKSB&amp;form=skydnc</v>
    <v>Learn more on Bing</v>
  </rv>
  <rv s="1">
    <v>en-IN</v>
    <v>ahior7</v>
    <v>268435456</v>
    <v>1</v>
    <v>Powered by Refinitiv</v>
    <v>0</v>
    <v>KSB LIMITED (XNSE:KSB)</v>
    <v>2</v>
    <v>3</v>
    <v>Finance</v>
    <v>4</v>
    <v>1028.3</v>
    <v>666.65</v>
    <v>0.70189999999999997</v>
    <v>-2.1</v>
    <v>-2.7229999999999997E-3</v>
    <v>INR</v>
    <v>KSB Limited is an India-based company engaged in the manufacturing of different types of power-driven pumps and industrial valves. It operates in two segments: Pumps and Valves. The Pumps segment includes the manufacturing and trading of all types of pumps, such as industrial pumps, submersible pumps, effluent treatment pumps, and related spares and services. The Valves segment encompasses the manufacturing and trading of industrial valves, along with spares and services related to them. The Company offers products across multiple categories, including pumps, valves, systems, valve actuators, valve automation, and pump automation. It serves a range of industries, such as chemical production, building services, energy technology, mining, dredging, oil and gas technology, wastewater technology, and others. It has an investment in its subsidiary, Pofran Sales and Agency Limited. The Company operates six manufacturing plants, five of which are located in Maharashtra, and one in Tamil Nadu.</v>
    <v>2228</v>
    <v>National Stock Exchange of India</v>
    <v>XNSE</v>
    <v>XNSE</v>
    <v>MUMBAI-PUNE ROAD PIMPRI, MAHARASHTRA, 411018 IN</v>
    <v>773.05</v>
    <v>Machinery, Equipment &amp; Components</v>
    <v>Stock</v>
    <v>46176.466840277775</v>
    <v>228</v>
    <v>756</v>
    <v>127727400000</v>
    <v>KSB LIMITED</v>
    <v>KSB LIMITED</v>
    <v>771.1</v>
    <v>51.78</v>
    <v>771.1</v>
    <v>769</v>
    <v>174039200</v>
    <v>KSB</v>
    <v>KSB LIMITED (XNSE:KSB)</v>
    <v>132441</v>
    <v>140310</v>
    <v>1960</v>
  </rv>
  <rv s="2">
    <v>229</v>
  </rv>
  <rv s="0">
    <v>https://www.bing.com/financeapi/forcetrigger?t=bx7mzr&amp;q=XNSE%3aBECTORFOOD&amp;form=skydnc</v>
    <v>Learn more on Bing</v>
  </rv>
  <rv s="1">
    <v>en-IN</v>
    <v>bx7mzr</v>
    <v>268435456</v>
    <v>1</v>
    <v>Powered by Refinitiv</v>
    <v>0</v>
    <v>MRS.BECTORS FOOD SPECIALITIES LIMITED (XNSE:BECTORFOOD)</v>
    <v>2</v>
    <v>3</v>
    <v>Finance</v>
    <v>4</v>
    <v>313.82</v>
    <v>169.21</v>
    <v>0.88060000000000005</v>
    <v>-1.1399999999999999</v>
    <v>-6.6239999999999997E-3</v>
    <v>INR</v>
    <v>Mrs. Bectors Food Specialities Limited is an India-based company engaged in the business of manufacturing and distribution of food products. The Company caters to both domestic and export markets. It manufactures and markets a range of biscuits, such as cookies, creams, crackers, and digestives under the brand Mrs. Bector's Cremica. It offers bakery products in savory and sweet categories that include breads, buns, kulchas, rusk, pizza bases and cakes under our brand English Oven. Its products include Milkyz, Cremelo, Zero Maida Bread, Atta Kulcha, Millet Cookie, Preservative-free vanilla cake, Multigrain bread, Sourdough and focaccia breads. The Company manufactures and sells biscuit and bakery products in approximately 24 states and six union territories in India and exports to over 75 countries. The Company's subsidiaries include Bakebest Foods Private Limited, Mrs. Bectors Food International FZE and Mrs. Bectors English Oven Limited.</v>
    <v>2611</v>
    <v>National Stock Exchange of India</v>
    <v>XNSE</v>
    <v>XNSE</v>
    <v>1st Floor, Emaar Digital Green, Tower-A, Golf Course Extension road, Sector 61, GURGAON, HARYANA, 122102 IN</v>
    <v>174.08</v>
    <v>Food &amp; Tobacco</v>
    <v>Stock</v>
    <v>46176.466840277775</v>
    <v>231</v>
    <v>170.05</v>
    <v>70988510000</v>
    <v>MRS.BECTORS FOOD SPECIALITIES LIMITED</v>
    <v>MRS.BECTORS FOOD SPECIALITIES LIMITED</v>
    <v>173.39</v>
    <v>37.28</v>
    <v>172.09</v>
    <v>170.95</v>
    <v>306990600</v>
    <v>BECTORFOOD</v>
    <v>MRS.BECTORS FOOD SPECIALITIES LIMITED (XNSE:BECTORFOOD)</v>
    <v>410361</v>
    <v>883120</v>
    <v>1995</v>
  </rv>
  <rv s="2">
    <v>232</v>
  </rv>
  <rv s="0">
    <v>https://www.bing.com/financeapi/forcetrigger?t=ahhedm&amp;q=XNSE%3aCIPLA&amp;form=skydnc</v>
    <v>Learn more on Bing</v>
  </rv>
  <rv s="1">
    <v>en-IN</v>
    <v>ahhedm</v>
    <v>268435456</v>
    <v>1</v>
    <v>Powered by Refinitiv</v>
    <v>0</v>
    <v>CIPLA LIMITED (XNSE:CIPLA)</v>
    <v>2</v>
    <v>3</v>
    <v>Finance</v>
    <v>4</v>
    <v>1673</v>
    <v>1165.7</v>
    <v>0.62229999999999996</v>
    <v>-4.0999999999999996</v>
    <v>-2.9729999999999999E-3</v>
    <v>INR</v>
    <v>Cipla Limited is an India-based global pharmaceutical company. The Company is engaged in manufacturing, developing and marketing a wide range of branded and generic formulations and Active Pharmaceutical Ingredients (APIs). The Company operates through two segments: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Its geographical segments include India, the United States, South Africa, and the Rest of the World. It has its network of manufacturing, trading and other incidental operations in India and International markets.</v>
    <v>31369</v>
    <v>National Stock Exchange of India</v>
    <v>XNSE</v>
    <v>XNSE</v>
    <v>CIPLA HOUSE PENINSULA BUSINESS PARK, GANPATRAO KADAM MARG, LOWER PAREL, MAHARASHTRA, 400013 IN</v>
    <v>1384.9</v>
    <v>Pharmaceuticals</v>
    <v>Stock</v>
    <v>46176.466840277775</v>
    <v>234</v>
    <v>1365.3</v>
    <v>1169896000000</v>
    <v>CIPLA LIMITED</v>
    <v>CIPLA LIMITED</v>
    <v>1375</v>
    <v>28.63</v>
    <v>1379.3</v>
    <v>1375.2</v>
    <v>807800500</v>
    <v>CIPLA</v>
    <v>CIPLA LIMITED (XNSE:CIPLA)</v>
    <v>1520395</v>
    <v>2004410</v>
    <v>1935</v>
  </rv>
  <rv s="2">
    <v>235</v>
  </rv>
  <rv s="0">
    <v>https://www.bing.com/financeapi/forcetrigger?t=ahh9sm&amp;q=XNSE%3aBRITANNIA&amp;form=skydnc</v>
    <v>Learn more on Bing</v>
  </rv>
  <rv s="1">
    <v>en-IN</v>
    <v>ahh9sm</v>
    <v>268435456</v>
    <v>1</v>
    <v>Powered by Refinitiv</v>
    <v>0</v>
    <v>BRITANNIA INDUSTRIES LTD (XNSE:BRITANNIA)</v>
    <v>2</v>
    <v>3</v>
    <v>Finance</v>
    <v>4</v>
    <v>6336</v>
    <v>5050</v>
    <v>0.98799999999999999</v>
    <v>-53</v>
    <v>-1.0358000000000001E-2</v>
    <v>INR</v>
    <v>Britannia Industries Limited is an India-based food products company. The Company is primarily involved in manufacturing and selling various food products. The Company's product categories include biscuits, dairy, snacking, cakes, rusk, breads and nutritious bars. The Company's dairy products include cheese, Winkin' Cow, Come Alive Paneer, Come Alive Dahi, ghee and Dairy Whitener. The Company's dairy products include cheese, Winkin' Cow, Come Alive Paneer, Come Alive Dahi, Ghee and Dairy Whitener. Its bread products include gourmet breads, white bread and wheat flour breads. Its gourmet breads include Fruit Bun, Fruit Bread, Choco bread and Choco Bun. Its white breads include Vitarich Bread, Sweet Bread, Vitarich Bread, Milk Bread and Sandwich Bread. Its cake products include Gobbles, Muffils, Nuts and Raisin Romance Cake, Roll Yo!, and Tiffin Fun. Its snacking products include Treat Croissant, Treat Creme Wafers and Time Pass Salted Snacks.</v>
    <v>5792</v>
    <v>National Stock Exchange of India</v>
    <v>XNSE</v>
    <v>XNSE</v>
    <v>Floor No 16 and 17, Tower C,, Prestige Shantiniketan, The Business Precinct,, Whitefield Main Road, Mahadevapura Post, BANGALORE, KARNATAKA, 660048 IN</v>
    <v>5142.5</v>
    <v>Food &amp; Tobacco</v>
    <v>Stock</v>
    <v>46176.466840277775</v>
    <v>237</v>
    <v>5050</v>
    <v>1425459000000</v>
    <v>BRITANNIA INDUSTRIES LTD</v>
    <v>BRITANNIA INDUSTRIES LTD</v>
    <v>5130</v>
    <v>48.15</v>
    <v>5117</v>
    <v>5064</v>
    <v>240868300</v>
    <v>BRITANNIA</v>
    <v>BRITANNIA INDUSTRIES LTD (XNSE:BRITANNIA)</v>
    <v>334445</v>
    <v>489040</v>
    <v>1918</v>
  </rv>
  <rv s="2">
    <v>238</v>
  </rv>
  <rv s="0">
    <v>https://www.bing.com/financeapi/forcetrigger?t=ahhvcw&amp;q=XNSE%3aGILLETTE&amp;form=skydnc</v>
    <v>Learn more on Bing</v>
  </rv>
  <rv s="1">
    <v>en-IN</v>
    <v>ahhvcw</v>
    <v>268435456</v>
    <v>1</v>
    <v>Powered by Refinitiv</v>
    <v>0</v>
    <v>GILLETTE INDIA LIMITED (XNSE:GILLETTE)</v>
    <v>2</v>
    <v>3</v>
    <v>Finance</v>
    <v>4</v>
    <v>11422.04</v>
    <v>7206</v>
    <v>0.45319999999999999</v>
    <v>-26</v>
    <v>-3.3570000000000002E-3</v>
    <v>INR</v>
    <v>Gillette India Limited is an India-based company, which is engaged in manufacturing and selling of branded packaged fast moving consumer goods in the grooming and oral care businesses. The Company’s segment includes grooming segment, which produces and sells shaving system and cartridges, blades, toiletries, and components; and oral care segment, which produces and sells toothbrushes and oral care products. Its product portfolio includes razors, blades, styler and shaving gel, shaving cream, and aftershave. Its razors include GilletteLabs Razor with FlexDisc Technology, Gillette Body Razor, Gillette Vector Razor, Gillette Presto Disposable Razor, and others. Its Gillette Razor Blades include GilletteLabs Razor Blades, 7 O'Clock Super Platinum Blades, Wilkinson Razor Blades, Gillette MACH3 Sensitive Razor Blades, 365 Stainless Double Edge Blades, and others. Its brands include GilletteLabs, SkinGuard Sensitive, Fusion5, MACH3, Disposable Razor, Guard3, and Styler.</v>
    <v>513</v>
    <v>National Stock Exchange of India</v>
    <v>XNSE</v>
    <v>XNSE</v>
    <v>P&amp;G PLAZA, CARDINAL GRACIAS RD, CHAKALA, ANDHERI (E), MAHARASHTRA, 400099 IN</v>
    <v>7799</v>
    <v>Personal &amp; Household Products &amp; Services</v>
    <v>Stock</v>
    <v>46176.466840277775</v>
    <v>240</v>
    <v>7655</v>
    <v>263744800000</v>
    <v>GILLETTE INDIA LIMITED</v>
    <v>GILLETTE INDIA LIMITED</v>
    <v>7799</v>
    <v>38.44</v>
    <v>7745</v>
    <v>7719</v>
    <v>32585220</v>
    <v>GILLETTE</v>
    <v>GILLETTE INDIA LIMITED (XNSE:GILLETTE)</v>
    <v>12415</v>
    <v>43780</v>
    <v>1984</v>
  </rv>
  <rv s="2">
    <v>241</v>
  </rv>
  <rv s="0">
    <v>https://www.bing.com/financeapi/forcetrigger?t=br7hhw&amp;q=XNSE%3aAFFLE&amp;form=skydnc</v>
    <v>Learn more on Bing</v>
  </rv>
  <rv s="1">
    <v>en-IN</v>
    <v>br7hhw</v>
    <v>268435456</v>
    <v>1</v>
    <v>Powered by Refinitiv</v>
    <v>0</v>
    <v>Affle 3i Limited (XNSE:AFFLE)</v>
    <v>2</v>
    <v>3</v>
    <v>Finance</v>
    <v>4</v>
    <v>2185.9</v>
    <v>1251.3</v>
    <v>0.87150000000000005</v>
    <v>-29.3</v>
    <v>-1.9547999999999999E-2</v>
    <v>INR</v>
    <v>Affle 3i Limited is an India-based global technology company with a proprietary consumer intelligence platform that transforms ads into recommendations helping marketers to identify, engage, acquire and drive transactions with potential and existing users. It enables advertisers to optimize targeting, personalize user engagement and maximize return on investment (ROI) by combining proprietary data, deep audience insights and advanced generative artificial intelligence (AI) capabilities. Its consumer intelligence platforms deliver personalized solutions helping marketers connect with audiences. The Company's OpticksAI platform is an AI-powered, consumer-centric digital advertising platform, which transforms traditional ads into hyper-personalized, interactive experiences. Its solutions include CTV-First Brand Solutions, ASO, Apple Search and App Store, App Discovery and Growth, User Acquisition, and Retention and Retargeting.</v>
    <v>618</v>
    <v>National Stock Exchange of India</v>
    <v>XNSE</v>
    <v>XNSE</v>
    <v>8th floor, Unitech Commercial Tower - 2, Sector - 45, GURGAON, HARYANA, 122003 IN</v>
    <v>1501</v>
    <v>Media &amp; Publishing</v>
    <v>Stock</v>
    <v>46176.466863425929</v>
    <v>243</v>
    <v>1452.1</v>
    <v>243763300000</v>
    <v>Affle 3i Limited</v>
    <v>Affle 3i Limited</v>
    <v>1499</v>
    <v>45.34</v>
    <v>1498.9</v>
    <v>1469.6</v>
    <v>140645400</v>
    <v>AFFLE</v>
    <v>Affle 3i Limited (XNSE:AFFLE)</v>
    <v>105471</v>
    <v>210040</v>
    <v>1994</v>
  </rv>
  <rv s="2">
    <v>244</v>
  </rv>
  <rv s="0">
    <v>https://www.bing.com/financeapi/forcetrigger?t=ahgz6h&amp;q=XNSE%3aASIANPAINT&amp;form=skydnc</v>
    <v>Learn more on Bing</v>
  </rv>
  <rv s="1">
    <v>en-IN</v>
    <v>ahgz6h</v>
    <v>268435456</v>
    <v>1</v>
    <v>Powered by Refinitiv</v>
    <v>0</v>
    <v>ASIAN PAINTS LIMITED (XNSE:ASIANPAINT)</v>
    <v>2</v>
    <v>3</v>
    <v>Finance</v>
    <v>4</v>
    <v>2985.7</v>
    <v>2115</v>
    <v>1.0920000000000001</v>
    <v>1.7</v>
    <v>6.3889999999999997E-4</v>
    <v>INR</v>
    <v>Asian Paints Limited is an India-based company which is engaged in the business of manufacturing, selling and distribution of paints, coatings, products related to home decor, bath fittings and providing related services. It operates through the Paints and Home Decor segment Nilaya Play and Nilaya Once Wall W.R.A.P. (Wear Resistant Advanced Polymer) product is a patented paint-film that is anti-bacterial, antifungal and water-resistant. Its services include Painting Services, Interior Solutions, Waterproofing Services, Sleek Kitchen, Bathroom Design &amp; Execution and Wood Solutions. Its segments include Decorative business, Home Decor business, International business and Industrial business. Its Interior Wall Products include Interior Paints, Interior Textures and Wallpapers. Its Exterior Wall Products include Exterior Paints and Exterior Textures. Its Waterproofing Products include Bathroom Waterproofing, Tiling and others. Its Other Surface product include Wood Finishes and others.</v>
    <v>11111</v>
    <v>National Stock Exchange of India</v>
    <v>XNSE</v>
    <v>XNSE</v>
    <v>6A &amp; 6B, Shantinagar, Santacruz (East), MUMBAI, MAHARASHTRA, 400055 IN</v>
    <v>2676</v>
    <v>Chemicals</v>
    <v>Stock</v>
    <v>46176.466840277775</v>
    <v>246</v>
    <v>2624.7</v>
    <v>2766744000000</v>
    <v>ASIAN PAINTS LIMITED</v>
    <v>ASIAN PAINTS LIMITED</v>
    <v>2652.1</v>
    <v>58.99</v>
    <v>2660.7</v>
    <v>2662.4</v>
    <v>958644300</v>
    <v>ASIANPAINT</v>
    <v>ASIAN PAINTS LIMITED (XNSE:ASIANPAINT)</v>
    <v>958774</v>
    <v>1433640</v>
    <v>1945</v>
  </rv>
  <rv s="2">
    <v>247</v>
  </rv>
  <rv s="0">
    <v>https://www.bing.com/financeapi/forcetrigger?t=ahgzkr&amp;q=XNSE%3aASTEC&amp;form=skydnc</v>
    <v>Learn more on Bing</v>
  </rv>
  <rv s="1">
    <v>en-IN</v>
    <v>ahgzkr</v>
    <v>268435456</v>
    <v>1</v>
    <v>Powered by Refinitiv</v>
    <v>0</v>
    <v>ASTEC LIFESCIENCES LIMITED (XNSE:ASTEC)</v>
    <v>2</v>
    <v>3</v>
    <v>Finance</v>
    <v>4</v>
    <v>990.82</v>
    <v>513.4</v>
    <v>0.99929999999999997</v>
    <v>-5.05</v>
    <v>-6.4090000000000006E-3</v>
    <v>INR</v>
    <v>Astec LifeSciences Limited is an India-based company, which is engaged in the manufacturing of agrochemical active ingredients (technical), bulk, formulations and intermediate products. The Company undertakes contract development and manufacturing services for a diverse range of agrochemicals. The Company operates through a single segment, namely Agrochemicals. Its product categories include Fungicide, Growth Regulator, Intermediates, Insecticide, and Herbicide. Its products include Azimsulfuron, Halosulfuron, Flutriafol, Rimsulfuron, Transfluthrin, Prothiaconazole, Metalaxyl, Cyproconazole, and Tribenuron methyl. It has a sales mix of both exports and domestic sales. It exports to approximately 17 countries, including the United States and countries across Europe, West Asia, South-East Asia, Latin America and Africa. The Company has approximately nine manufacturing plants, which are located in Maharashtra.</v>
    <v>555</v>
    <v>National Stock Exchange of India</v>
    <v>XNSE</v>
    <v>XNSE</v>
    <v>3RD FLOOR, GODREJ ONE, PIROJSHANAGAR, EASTERN EXPRESS HIGHWAY, VIKHROLI (EAST), MAHARASHTRA, 400079 IN</v>
    <v>848.85</v>
    <v>Chemicals</v>
    <v>Stock</v>
    <v>46176.466874999998</v>
    <v>249</v>
    <v>772.1</v>
    <v>15983100000</v>
    <v>ASTEC LIFESCIENCES LIMITED</v>
    <v>ASTEC LIFESCIENCES LIMITED</v>
    <v>778.3</v>
    <v>0</v>
    <v>787.9</v>
    <v>782.85</v>
    <v>22282820</v>
    <v>ASTEC</v>
    <v>ASTEC LIFESCIENCES LIMITED (XNSE:ASTEC)</v>
    <v>386835</v>
    <v>161720</v>
    <v>1994</v>
  </rv>
  <rv s="2">
    <v>250</v>
  </rv>
  <rv s="0">
    <v>https://www.bing.com/financeapi/forcetrigger?t=ahgznm&amp;q=XNSE%3aASTRAL&amp;form=skydnc</v>
    <v>Learn more on Bing</v>
  </rv>
  <rv s="1">
    <v>en-IN</v>
    <v>ahgznm</v>
    <v>268435456</v>
    <v>1</v>
    <v>Powered by Refinitiv</v>
    <v>0</v>
    <v>ASTRAL LIMITED (XNSE:ASTRAL)</v>
    <v>2</v>
    <v>3</v>
    <v>Finance</v>
    <v>4</v>
    <v>1768.7</v>
    <v>1263.7</v>
    <v>0.58830000000000005</v>
    <v>10.199999999999999</v>
    <v>6.6810000000000003E-3</v>
    <v>INR</v>
    <v>Astral Limited is an India-based company engaged in the manufacturing of chlorinated polyvinyl chloride (CPVC) pipes and fittings. The Company operates in two segments: Plumbing and Paints and Adhesives. Its products and offerings include pipes and fittings, bathware, water tanks, paints, adhesives and sealants, specialized valves, construction chemicals, and infrastructure products. The pipes and fittings category includes plumbing pipes and fittings, sewerage and drainage pipes and fittings, agriculture pipes and fittings, cable protection systems, column pipes, conduit pipes, and others. Its paints range consists of interior emulsions, exterior emulsions, distempers, enamels, and undercoats. The adhesives and sealants segment includes epoxy adhesives and putty, rubber adhesives, anaerobic adhesives, tapes, instant adhesives, industrial adhesives, and other products. The Company’s subsidiaries include Astral Foundation, Seal It Services Limited, and Astral Coatings Private Limited.</v>
    <v>4652</v>
    <v>National Stock Exchange of India</v>
    <v>XNSE</v>
    <v>XNSE</v>
    <v>"ASTRAL HOUSE" 207/1, B/H RAJPATH CLUB, OFF S.G.HIGHWAY, AHMEDABAD, GUJARAT, 380059 IN</v>
    <v>1548.7</v>
    <v>Homebuilding &amp; Construction Supplies</v>
    <v>Stock</v>
    <v>46176.466863425929</v>
    <v>252</v>
    <v>1517.2</v>
    <v>386453300000</v>
    <v>ASTRAL LIMITED</v>
    <v>ASTRAL LIMITED</v>
    <v>1534.3</v>
    <v>76.92</v>
    <v>1526.7</v>
    <v>1536.9</v>
    <v>268634700</v>
    <v>ASTRAL</v>
    <v>ASTRAL LIMITED (XNSE:ASTRAL)</v>
    <v>727937</v>
    <v>1112090</v>
    <v>1996</v>
  </rv>
  <rv s="2">
    <v>253</v>
  </rv>
  <rv s="0">
    <v>https://www.bing.com/financeapi/forcetrigger?t=ahh3ww&amp;q=XNSE%3aBALKRISIND&amp;form=skydnc</v>
    <v>Learn more on Bing</v>
  </rv>
  <rv s="1">
    <v>en-IN</v>
    <v>ahh3ww</v>
    <v>268435456</v>
    <v>1</v>
    <v>Powered by Refinitiv</v>
    <v>0</v>
    <v>BALKRISHNA INDUSTRIES LIMITED (XNSE:BALKRISIND)</v>
    <v>2</v>
    <v>3</v>
    <v>Finance</v>
    <v>4</v>
    <v>2801.3</v>
    <v>2015.4</v>
    <v>0.73319999999999996</v>
    <v>50.1</v>
    <v>2.3299E-2</v>
    <v>INR</v>
    <v>Balkrishna Industries Limited is an India-based company that is engaged in the business of manufacturing and selling of off-highway tires (OHT) in the specialist segments, such as agricultural, industrial and construction, earthmovers and port, mining, forestry, lawn and garden and all-terrain vehicles (ATV) and Turf care applications in both cross ply and radial construction. The Company’s agricultural applications include tractor, harvester, implements, telehandler, agro truck, go-kart, golf kart, mower, fertilizer truck, compact loader, backhoe loader, mobile home, universal vehicle, and others. Its industrial applications include compactors, container handler, reach stacker, excavator, forklift, skid steer, grader, straddle carrier, RTG crane, mobile crane, terminal tractor, tow tractor, light truck, and others. Its off-the-road applications include articulated dump truck, rigid dump truck, load haul dump, low profile dump truck, underground mining vehicle, scraper, and others.</v>
    <v>3758</v>
    <v>National Stock Exchange of India</v>
    <v>XNSE</v>
    <v>XNSE</v>
    <v>BKT HOUSE, C/15, Trade World,, Kamala Mills Compound, Senapati Bapat Marg, Lower Parel, MUMBAI, MAHARASHTRA, 400013 IN</v>
    <v>2216</v>
    <v>Automobiles &amp; Auto Parts</v>
    <v>Stock</v>
    <v>46176.466840277775</v>
    <v>255</v>
    <v>2145</v>
    <v>463168700000</v>
    <v>BALKRISHNA INDUSTRIES LIMITED</v>
    <v>BALKRISHNA INDUSTRIES LIMITED</v>
    <v>2145</v>
    <v>34.22</v>
    <v>2150.3000000000002</v>
    <v>2200.4</v>
    <v>193317200</v>
    <v>BALKRISIND</v>
    <v>BALKRISHNA INDUSTRIES LIMITED (XNSE:BALKRISIND)</v>
    <v>111771</v>
    <v>273760</v>
    <v>1961</v>
  </rv>
  <rv s="2">
    <v>256</v>
  </rv>
  <rv s="0">
    <v>https://www.bing.com/financeapi/forcetrigger?t=ahhdvh&amp;q=XNSE%3aCHOLAFIN&amp;form=skydnc</v>
    <v>Learn more on Bing</v>
  </rv>
  <rv s="1">
    <v>en-IN</v>
    <v>ahhdvh</v>
    <v>268435456</v>
    <v>1</v>
    <v>Powered by Refinitiv</v>
    <v>0</v>
    <v>CHOLAMANDALAM INVESTMENT AND FINANCE COMPANY LIMITED (XNSE:CHOLAFIN)</v>
    <v>2</v>
    <v>3</v>
    <v>Finance</v>
    <v>4</v>
    <v>1831.5</v>
    <v>1299.4000000000001</v>
    <v>1.4114</v>
    <v>-12.2</v>
    <v>-8.2279999999999992E-3</v>
    <v>INR</v>
    <v>Cholamandalam Investment and Finance Company Limited is an India-based non-banking financial company (investment and credit company). It is engaged in the business of financing. Its segments include Vehicle Finance, Loan against property, Home Loans and Others Loans. The Vehicle Finance Loans segment provides loans to customers against purchase of new/used vehicles, tractors, construction equipment and loans to automobile dealers. Loan against property segment provides loans to customers against immovable property. The Home Loans segment includes loans given for acquisition/construction of residential property and loan against residential property. Other Loans segment consists of consumer and small enterprise loans, secured business and personal loans and SME loans. It offers gold loan, commercial vehicle loan, car loan, used car loan, construction equipment loan, two wheeler loan, new car loan, tractor loan three-wheeler loan, secured business loan, instant personal loan and others.</v>
    <v>46678</v>
    <v>National Stock Exchange of India</v>
    <v>XNSE</v>
    <v>XNSE</v>
    <v>CHOLA CREST C54 &amp; 55, SUPER B-4, THIRU VI KA INDUSTRIAL ESTATE, GUINDY, TAMIL NADU, 600032 IN</v>
    <v>1494</v>
    <v>Banking Services</v>
    <v>Stock</v>
    <v>46176.466840277775</v>
    <v>258</v>
    <v>1444.6</v>
    <v>1435758000000</v>
    <v>CHOLAMANDALAM INVESTMENT AND FINANCE COMPANY LIMITED</v>
    <v>CHOLAMANDALAM INVESTMENT AND FINANCE COMPANY LIMITED</v>
    <v>1494</v>
    <v>23.75</v>
    <v>1482.8</v>
    <v>1470.6</v>
    <v>852441100</v>
    <v>CHOLAFIN</v>
    <v>CHOLAMANDALAM INVESTMENT AND FINANCE COMPANY LIMITED (XNSE:CHOLAFIN)</v>
    <v>1078181</v>
    <v>1364330</v>
    <v>1978</v>
  </rv>
  <rv s="2">
    <v>259</v>
  </rv>
  <rv s="0">
    <v>https://www.bing.com/financeapi/forcetrigger?t=ahhiur&amp;q=XNSE%3aDEEPAKNTR&amp;form=skydnc</v>
    <v>Learn more on Bing</v>
  </rv>
  <rv s="1">
    <v>en-IN</v>
    <v>ahhiur</v>
    <v>268435456</v>
    <v>1</v>
    <v>Powered by Refinitiv</v>
    <v>0</v>
    <v>DEEPAK NITRITE LIMITED (XNSE:DEEPAKNTR)</v>
    <v>2</v>
    <v>3</v>
    <v>Finance</v>
    <v>4</v>
    <v>2036.2</v>
    <v>1280</v>
    <v>1.7723</v>
    <v>12.4</v>
    <v>7.3529999999999993E-3</v>
    <v>INR</v>
    <v>Deepak Nitrite Limited is an India-based company, which is engaged in manufacturing and trading of chemicals. The Company operates through two segments: Advanced Intermediates and Phenolics. Its Advanced Intermediates segment offers Nitrites, Nitro Toluidines, Fuel Additives, Xylidines, Oximes, Cumidines, Speciality Agrochemicals, Optical Brightening Agent (OBA), diamino stilbene disulfonic acid (DASDA), and Benzotrifluoride. Its Phenolics segment offers cumene, phenol, acetone, isopropyl alcohol, and ammonium sulfate (AMS). The Company's products cater to several industries, such as paints, pharma, health care, colorants, rubber chemicals, explosives, dyes, pigments, food colors, pharmaceuticals, refineries, agrochemicals, glass, personal care, paper, detergents, and textiles. Its manufacturing facilities are located at Nandesari and Dahej (Gujarat); Roha and Taloja (Maharashtra); and Hyderabad (Telangana).</v>
    <v>1757</v>
    <v>National Stock Exchange of India</v>
    <v>XNSE</v>
    <v>XNSE</v>
    <v>2nd Floor, Fermenter House,, Atembic City, Atembic Avenue Road,, VADODARA, GUJARAT, 390003 IN</v>
    <v>1718.8</v>
    <v>Chemicals</v>
    <v>Stock</v>
    <v>46176.466874999998</v>
    <v>261</v>
    <v>1673.7</v>
    <v>214300800000</v>
    <v>DEEPAK NITRITE LIMITED</v>
    <v>DEEPAK NITRITE LIMITED</v>
    <v>1686.6</v>
    <v>42.09</v>
    <v>1686.5</v>
    <v>1698.9</v>
    <v>136393000</v>
    <v>DEEPAKNTR</v>
    <v>DEEPAK NITRITE LIMITED (XNSE:DEEPAKNTR)</v>
    <v>87044</v>
    <v>176010</v>
    <v>1970</v>
  </rv>
  <rv s="2">
    <v>262</v>
  </rv>
  <rv s="0">
    <v>https://www.bing.com/financeapi/forcetrigger?t=az8ysm&amp;q=XNSE%3aGMMPFAUDLR&amp;form=skydnc</v>
    <v>Learn more on Bing</v>
  </rv>
  <rv s="1">
    <v>en-IN</v>
    <v>az8ysm</v>
    <v>268435456</v>
    <v>1</v>
    <v>Powered by Refinitiv</v>
    <v>0</v>
    <v>GMM PFAUDLER LIMITED (XNSE:GMMPFAUDLR)</v>
    <v>2</v>
    <v>3</v>
    <v>Finance</v>
    <v>4</v>
    <v>1418</v>
    <v>755.25</v>
    <v>0.80330000000000001</v>
    <v>-9.35</v>
    <v>-1.2035000000000001E-2</v>
    <v>INR</v>
    <v>GMM Pfaudler Limited is an India-based company. The Company is the technologies, systems and services provider for the chemical and pharmaceutical industries, as well as many others. The Company designs, manufactures, installs and services corrosion-resistant equipment and complete chemical process systems, customized as per the requirements of the customers. The Company's segments include India and Overseas. It provides solutions for a myriad of applications, such as reaction, evaporation, acid recovery, distillation, filtration and drying. Its systems &amp; processes include engineering &amp; design, reaction systems, evaporation and distillation systems, acid recovery, filtration and drying systems, absorption systems, and membrane separation systems. Its Technologies include Glass-Lined Technology, Lab &amp; Process Glass, Filtration &amp; Drying, Mixing Technology, Alloy Process Equipment, Sealing Technology, Fluoropolymers, and Machined PTFE &amp; Engineered Plastics.</v>
    <v>744</v>
    <v>National Stock Exchange of India</v>
    <v>XNSE</v>
    <v>XNSE</v>
    <v>Vithal Udyog Nagar, KARAMSAD, GUJARAT, 388325 IN</v>
    <v>778.95</v>
    <v>Machinery, Equipment &amp; Components</v>
    <v>Stock</v>
    <v>46176.466840277775</v>
    <v>264</v>
    <v>755.25</v>
    <v>46067670000</v>
    <v>GMM PFAUDLER LIMITED</v>
    <v>GMM PFAUDLER LIMITED</v>
    <v>777</v>
    <v>55.86</v>
    <v>776.9</v>
    <v>767.55</v>
    <v>44957220</v>
    <v>GMMPFAUDLR</v>
    <v>GMM PFAUDLER LIMITED (XNSE:GMMPFAUDLR)</v>
    <v>233888</v>
    <v>318000</v>
    <v>1962</v>
  </rv>
  <rv s="2">
    <v>265</v>
  </rv>
  <rv s="0">
    <v>https://www.bing.com/financeapi/forcetrigger?t=ahi1hw&amp;q=XNSE%3aGUFICBIO&amp;form=skydnc</v>
    <v>Learn more on Bing</v>
  </rv>
  <rv s="1">
    <v>en-IN</v>
    <v>ahi1hw</v>
    <v>268435456</v>
    <v>1</v>
    <v>Powered by Refinitiv</v>
    <v>0</v>
    <v>GUFIC BIOSCIENCES LIMITED (XNSE:GUFICBIO)</v>
    <v>2</v>
    <v>3</v>
    <v>Finance</v>
    <v>4</v>
    <v>407.85</v>
    <v>268</v>
    <v>0.52480000000000004</v>
    <v>12.8</v>
    <v>3.6659999999999998E-2</v>
    <v>INR</v>
    <v>Gufic Biosciences Limited is an India-based company, which is engaged in the manufacturing and marketing of active pharmaceutical ingredients, generic pharmaceuticals and related services. The Company operates in the pharmaceutical segment. It has pharmaceutical products under categories, such as Criti Care, including Doxific, Micafung, Rabol and Tigefic-Plus; Criticare Life, including Ticofic-200 and Gufivan-500; Ferticare, including Puregraf 75IU 3D, Cetrocare 0.25mg 3D and Follicare 150IU 3D; Spark, including Aznee Duo, Eclin, Flabone, Vipro M and Zad G; Herbal, including Bocomo-Forte, Sallaki-Liniment, Zulcer Cap and Smashit tablet, and Aesthaderm, including Prosil, Moiseta Face Wash and Revanox Serum. Its personal care products include StretchNil, Shapers-Natural Feel, Shaper-DryFeel and RollOn. Its products under active pharmaceutical ingredient (API)/bulk drugs include Micafungin, Anidulafungin, Sulconazole and Everolimus. Its Gufic Stridden includes Irvical and Eve.</v>
    <v>1988</v>
    <v>National Stock Exchange of India</v>
    <v>XNSE</v>
    <v>XNSE</v>
    <v>1ST TO 4TH FLOOR, SM HOUSE 11, SHAKAR ROAD,, VILE PARLE (EAST), MAHARASHTRA, 400057 IN</v>
    <v>373.9</v>
    <v>Pharmaceuticals</v>
    <v>Stock</v>
    <v>46176.466863425929</v>
    <v>267</v>
    <v>343</v>
    <v>32080370000</v>
    <v>GUFIC BIOSCIENCES LIMITED</v>
    <v>GUFIC BIOSCIENCES LIMITED</v>
    <v>350.2</v>
    <v>72.56</v>
    <v>349.15</v>
    <v>361.95</v>
    <v>100282500</v>
    <v>GUFICBIO</v>
    <v>GUFIC BIOSCIENCES LIMITED (XNSE:GUFICBIO)</v>
    <v>260028</v>
    <v>189550</v>
    <v>1984</v>
  </rv>
  <rv s="2">
    <v>268</v>
  </rv>
  <rv s="0">
    <v>https://www.bing.com/financeapi/forcetrigger?t=azjfim&amp;q=XNSE%3aHAL&amp;form=skydnc</v>
    <v>Learn more on Bing</v>
  </rv>
  <rv s="1">
    <v>en-IN</v>
    <v>azjfim</v>
    <v>268435456</v>
    <v>1</v>
    <v>Powered by Refinitiv</v>
    <v>0</v>
    <v>HINDUSTAN AERONAUTICS LIMITED (XNSE:HAL)</v>
    <v>2</v>
    <v>3</v>
    <v>Finance</v>
    <v>4</v>
    <v>5147</v>
    <v>3479.1</v>
    <v>1.6609</v>
    <v>-14.4</v>
    <v>-3.3660000000000001E-3</v>
    <v>INR</v>
    <v>Hindustan Aeronautics Limited is an India-based company. The Company is engaged in design, development, manufacture, repair, overhaul, upgrade, and service. Its range of products include aircraft, helicopters, aero-engines, avionics, accessories, and aerospace structures. The Company's aircraft products include Light Combat Aircraft (LCA) Tejas, Hindustan Turbo Trainer (HTT)-40, Dornier, Intermediate Jet Trainer (IJT), SU-30 MKI, and The Hawk. Its helicopter products include Dhruv, Cheetah, Chetak, Lancer, Cheetal, Rudra, Light Combat Helicopter (LCH), and Light Utility Helicopter (LUH). Its civil aviation products include Do-228 Aircraft (Civil) and DHRUV (ALH) - NG. Its space products include Structures, Propellant Tank, and Cryogenic Engines. Its system products include Flight Data Recorder, Panel Instruments, Ground Radars, Forgings, Castings, and Others. Its maintenance, repair, and operations (MRO) products include Aircraft MRO, Helicopter MRO, Power Plant Services, and others.</v>
    <v>23999</v>
    <v>National Stock Exchange of India</v>
    <v>XNSE</v>
    <v>XNSE</v>
    <v>15/1, Cubbon Road, BANGALORE, KARNATAKA, 560001 IN</v>
    <v>4296.8</v>
    <v>Aerospace &amp; Defense</v>
    <v>Stock</v>
    <v>46176.466840277775</v>
    <v>270</v>
    <v>4209.6000000000004</v>
    <v>2977654000000</v>
    <v>HINDUSTAN AERONAUTICS LIMITED</v>
    <v>HINDUSTAN AERONAUTICS LIMITED</v>
    <v>4295.5</v>
    <v>31.28</v>
    <v>4278.5</v>
    <v>4264.1000000000004</v>
    <v>668775000</v>
    <v>HAL</v>
    <v>HINDUSTAN AERONAUTICS LIMITED (XNSE:HAL)</v>
    <v>1122282</v>
    <v>1375820</v>
    <v>1963</v>
  </rv>
  <rv s="2">
    <v>271</v>
  </rv>
  <rv s="0">
    <v>https://www.bing.com/financeapi/forcetrigger?t=bra83m&amp;q=XNSE%3aHNDFDS&amp;form=skydnc</v>
    <v>Learn more on Bing</v>
  </rv>
  <rv s="1">
    <v>en-IN</v>
    <v>bra83m</v>
    <v>268435456</v>
    <v>1</v>
    <v>Powered by Refinitiv</v>
    <v>0</v>
    <v>HINDUSTAN FOODS LIMITED (XNSE:HNDFDS)</v>
    <v>2</v>
    <v>3</v>
    <v>Finance</v>
    <v>4</v>
    <v>584.9</v>
    <v>442</v>
    <v>0.80330000000000001</v>
    <v>-3.55</v>
    <v>-6.5710000000000005E-3</v>
    <v>INR</v>
    <v>Hindustan Foods Limited is an India-based company. The Company provides contract manufacturing solutions. Its product categories include food &amp; beverages, personal care, beauty &amp; makeup, leather, sports footwear &amp; accessories, home care, health &amp; wellness, household insecticides, and pet care. Its food &amp; beverage products include breakfast cereals, instant porridge, rice crispies, instant mixes, soups &amp; soup powder, sauces, dips, and pastes. Its personal care products include shampoo, hair oil &amp; hair foods, hair gel &amp; hair cream, talc, shaving cream, hand wash liquid, hand wash powder, and after shave lotion. Its beauty &amp; make-up products include lipstick, lip color, lip crayon, lip paint, chapstick, and eye make-up. Its home care products include liquid detergent, powder detergent, fabric conditioner, surface cleaner, glass cleaner, and toilet cleaner. Its Healthcare &amp; Wellness products include vitamins, minerals &amp; nutraceuticals, medicated lozenges, and digestive remedies.</v>
    <v>1458</v>
    <v>National Stock Exchange of India</v>
    <v>XNSE</v>
    <v>XNSE</v>
    <v>OFFICE NO. 03, LEVEL 2, CENTRIUM, PHOENIX MARKET CITY,15,LAL BAHADUR SHASTRIRD,, KURLA, MAHARASHTRA, 400070 IN</v>
    <v>545</v>
    <v>Food &amp; Tobacco</v>
    <v>Stock</v>
    <v>46176.466863425929</v>
    <v>273</v>
    <v>531</v>
    <v>59902180000</v>
    <v>HINDUSTAN FOODS LIMITED</v>
    <v>HINDUSTAN FOODS LIMITED</v>
    <v>540.25</v>
    <v>44.39</v>
    <v>540.25</v>
    <v>536.70000000000005</v>
    <v>121162700</v>
    <v>HNDFDS</v>
    <v>HINDUSTAN FOODS LIMITED (XNSE:HNDFDS)</v>
    <v>76735</v>
    <v>61950</v>
    <v>1984</v>
  </rv>
  <rv s="2">
    <v>274</v>
  </rv>
  <rv s="0">
    <v>https://www.bing.com/financeapi/forcetrigger?t=c58d3m&amp;q=XNSE%3aIONEXCHANG&amp;form=skydnc</v>
    <v>Learn more on Bing</v>
  </rv>
  <rv s="1">
    <v>en-IN</v>
    <v>c58d3m</v>
    <v>268435456</v>
    <v>1</v>
    <v>Powered by Refinitiv</v>
    <v>0</v>
    <v>ION EXCHANGE (INDIA) LIMITED (XNSE:IONEXCHANG)</v>
    <v>2</v>
    <v>3</v>
    <v>Finance</v>
    <v>4</v>
    <v>580.75</v>
    <v>312.7</v>
    <v>0.86880000000000002</v>
    <v>-6.45</v>
    <v>-1.7906999999999999E-2</v>
    <v>INR</v>
    <v>Ion Exchange (India) Limited is an India-based company, which is engaged in water and environment management with a global presence. The Company's segments include Engineering, Chemicals, Consumer Products and Others. The Engineering segment comprises of water treatment plants, spares and services in connection with the plants. The Chemicals segment comprises of resins, water treatment chemicals and specialty chemicals. The Consumer Products segment comprises of water purification equipments for homes, institutions and communities. Its products and solutions include engineering, resins, membranes, specialty chemicals, and instruments and automation. Its engineering solutions include water treatment, wastewater treatment, solid waste, process separation &amp; purification, and three-dimensional (3D) modelling. The Company's services include operations &amp; maintenance, rehabilitation &amp; modification, consumables &amp; spares, audits &amp; consultancy, project financing, and remote monitoring system.</v>
    <v>2521</v>
    <v>National Stock Exchange of India</v>
    <v>XNSE</v>
    <v>XNSE</v>
    <v>Ion House, Dr. E. Moses Road, Mahalaxmi, MUMBAI, MAHARASHTRA, 400011 IN</v>
    <v>363.25</v>
    <v>Professional &amp; Commercial Services</v>
    <v>Stock</v>
    <v>46176.466840277775</v>
    <v>276</v>
    <v>351.65</v>
    <v>43007220000</v>
    <v>ION EXCHANGE (INDIA) LIMITED</v>
    <v>ION EXCHANGE (INDIA) LIMITED</v>
    <v>361.5</v>
    <v>29.4</v>
    <v>360.2</v>
    <v>353.75</v>
    <v>142287900</v>
    <v>IONEXCHANG</v>
    <v>ION EXCHANGE (INDIA) LIMITED (XNSE:IONEXCHANG)</v>
    <v>230813</v>
    <v>292620</v>
    <v>1964</v>
  </rv>
  <rv s="2">
    <v>277</v>
  </rv>
  <rv s="0">
    <v>https://www.bing.com/financeapi/forcetrigger?t=bpucm7&amp;q=XNSE%3aKPITTECH&amp;form=skydnc</v>
    <v>Learn more on Bing</v>
  </rv>
  <rv s="1">
    <v>en-IN</v>
    <v>bpucm7</v>
    <v>268435456</v>
    <v>1</v>
    <v>Powered by Refinitiv</v>
    <v>0</v>
    <v>KPIT TECHNOLOGIES LIMITED (XNSE:KPITTECH)</v>
    <v>2</v>
    <v>3</v>
    <v>Finance</v>
    <v>4</v>
    <v>1434.5</v>
    <v>624.9</v>
    <v>0.99109999999999998</v>
    <v>-35</v>
    <v>-4.3250000000000004E-2</v>
    <v>INR</v>
    <v>KPIT Technologies Limited is an India-based independent software development and integration company. The Company provides embedded software for the automobile and mobility industry. Its solutions and services include Autonomous Driving and Advanced Driver Assistance System (ADAS); Conventional and Electric Powertrain; Cockpit; Body Electronics; Chassis; Common Middleware for new-age E/E Architectures; Cloud and Connectivity; Edge Analytics and Data Management; Virtual Engineering; Vehicle Engineering and Design; Integrated Diagnostics &amp; Aftersales Transformation (iDART), and Vehicle Diagnostics and Aftersales Transformation. The Company provides comprehensive solutions for vehicle body and gateway from concept development to maintenance for current and next generation programs. Its iDART platform facilitates the development and validation of diagnostic functions and offers transformative and scalable solutions for after-sales service, maintenance and repair.</v>
    <v>9149</v>
    <v>National Stock Exchange of India</v>
    <v>XNSE</v>
    <v>XNSE</v>
    <v>Plot Number-17, Rajiv Gandhi Infotech Park, MIDC-SEZ, Phase-III, Hinjawadi, PUNE, MAHARASHTRA, 411057 IN</v>
    <v>800.8</v>
    <v>Software &amp; IT Services</v>
    <v>Stock</v>
    <v>46176.466851851852</v>
    <v>279</v>
    <v>770.6</v>
    <v>319290400000</v>
    <v>KPIT TECHNOLOGIES LIMITED</v>
    <v>KPIT TECHNOLOGIES LIMITED</v>
    <v>800.8</v>
    <v>33.049999999999997</v>
    <v>809.25</v>
    <v>774.25</v>
    <v>272227200</v>
    <v>KPITTECH</v>
    <v>KPIT TECHNOLOGIES LIMITED (XNSE:KPITTECH)</v>
    <v>2235273</v>
    <v>2275700</v>
    <v>2018</v>
  </rv>
  <rv s="2">
    <v>280</v>
  </rv>
  <rv s="0">
    <v>https://www.bing.com/financeapi/forcetrigger?t=ahis4c&amp;q=XNSE%3aLTI&amp;form=skydnc</v>
    <v>Learn more on Bing</v>
  </rv>
  <rv s="1">
    <v>en-IN</v>
    <v>ahis4c</v>
    <v>268435456</v>
    <v>1</v>
    <v>Powered by Refinitiv</v>
    <v>0</v>
    <v>LTM Limited (XNSE:LTM)</v>
    <v>2</v>
    <v>3</v>
    <v>Finance</v>
    <v>4</v>
    <v>6429.5</v>
    <v>3901</v>
    <v>1.4541999999999999</v>
    <v>-289</v>
    <v>-6.6563999999999998E-2</v>
    <v>INR</v>
    <v>LTM Limited, formerly LTIMindtree Limited, is an India-based global technology consulting and digital solutions company. It offers a range of information technology (IT) services, such as agile, analytics and information management, application development, maintenance and outsourcing, enterprise solutions, infrastructure management services, testing, digital solutions, and platform-based solutions. It operates in five segments: Banking, Financial Services &amp; Insurance; Technology, Media &amp; Communication; Manufacturing &amp; Resources; Consumer Business; and Healthcare, Life sciences &amp; Public Services. It offers services in cloud and infrastructure training, consulting, cybersecurity, data and insights, digital engineering, disruptive software-as-a-service (D-SaaS), platform operations, and quality engineering. Its products and platforms include Fosfor, LTIMindtree Canvas, iNXT, Canvas.ai, Voicing.AI, CloudXperienz, Unitrax, REDaxis, Advanced Smart City Operating Platform, and MELD.</v>
    <v>87950</v>
    <v>National Stock Exchange of India</v>
    <v>XNSE</v>
    <v>XNSE</v>
    <v>L&amp;T Technology Center, Gate No.5, Saki Vihar Road,, Powai, MUMBAI, MAHARASHTRA, 400072 IN</v>
    <v>4293.1000000000004</v>
    <v>Software &amp; IT Services</v>
    <v>Stock</v>
    <v>46176.466874999998</v>
    <v>282</v>
    <v>3993</v>
    <v>1808606000000</v>
    <v>LTM Limited</v>
    <v>LTM Limited</v>
    <v>4292.7</v>
    <v>23.93</v>
    <v>4341.7</v>
    <v>4052.7</v>
    <v>296589200</v>
    <v>LTM</v>
    <v>LTM Limited (XNSE:LTM)</v>
    <v>1066491</v>
    <v>558990</v>
    <v>1996</v>
  </rv>
  <rv s="2">
    <v>283</v>
  </rv>
  <rv s="0">
    <v>https://www.bing.com/financeapi/forcetrigger?t=ahj177&amp;q=XNSE%3aMOLDTKPAC&amp;form=skydnc</v>
    <v>Learn more on Bing</v>
  </rv>
  <rv s="1">
    <v>en-IN</v>
    <v>ahj177</v>
    <v>268435456</v>
    <v>1</v>
    <v>Powered by Refinitiv</v>
    <v>0</v>
    <v>MOLD-TEK PACKAGING LIMITED (XNSE:MOLDTKPAC)</v>
    <v>2</v>
    <v>3</v>
    <v>Finance</v>
    <v>4</v>
    <v>892.9</v>
    <v>464.9</v>
    <v>0.86199999999999999</v>
    <v>-0.6</v>
    <v>-8.4860000000000003E-4</v>
    <v>INR</v>
    <v>Mold-Tek Packaging Limited is an India-based company which is engaged in rigid plastic packaging. The Company manufactures injection-molded containers for lubes, paints, food, and other products. It operates in the packaging containers segment. Its products include Paint Packaging, Lubricant Packs, Food Containers, Pharma Portfolio, Tablet Containers, Bulk Packaging, and Dispenser pumps &amp; Sanitizer Containers. It offers packaging products In-Mould Labeling (IML), Dry Offset Printing (DOP), Screen Printing (SP) and Heat Transfer Labelling (HTL). The Company also offers shrink sleeves and screen printing. The Company caters to a range of industries, such as paint packaging, lubricants packaging, food packaging, restaurants, and Fast-Moving Consumer Goods (FMCG)-packaging industries. It also offers a range of pharmaceutical packaging products, which include desiccant canisters, tablet containers with child-resistant (CR) and continuous thread (CT) closures, and effervescent tubes.</v>
    <v>834</v>
    <v>National Stock Exchange of India</v>
    <v>XNSE</v>
    <v>XNSE</v>
    <v>8-2-293/82/A/700, GROUND FLOOR, ROAD NO 36, JUBLIEE HILLS, TELANGANA, 500033 IN</v>
    <v>724.4</v>
    <v>Containers &amp; Packaging</v>
    <v>Stock</v>
    <v>46176.466851851852</v>
    <v>285</v>
    <v>700.9</v>
    <v>19241200000</v>
    <v>MOLD-TEK PACKAGING LIMITED</v>
    <v>MOLD-TEK PACKAGING LIMITED</v>
    <v>708.1</v>
    <v>32.21</v>
    <v>707.05</v>
    <v>706.45</v>
    <v>33228910</v>
    <v>MOLDTKPAC</v>
    <v>MOLD-TEK PACKAGING LIMITED (XNSE:MOLDTKPAC)</v>
    <v>111584</v>
    <v>149990</v>
    <v>1997</v>
  </rv>
  <rv s="2">
    <v>286</v>
  </rv>
  <rv s="0">
    <v>https://www.bing.com/financeapi/forcetrigger?t=ahjbvh&amp;q=XNSE%3aPAGEIND&amp;form=skydnc</v>
    <v>Learn more on Bing</v>
  </rv>
  <rv s="1">
    <v>en-IN</v>
    <v>ahjbvh</v>
    <v>268435456</v>
    <v>1</v>
    <v>Powered by Refinitiv</v>
    <v>0</v>
    <v>PAGE INDUSTRIES LIMITED (XNSE:PAGEIND)</v>
    <v>2</v>
    <v>3</v>
    <v>Finance</v>
    <v>4</v>
    <v>50590</v>
    <v>29805</v>
    <v>0.70950000000000002</v>
    <v>200</v>
    <v>5.3530000000000001E-3</v>
    <v>INR</v>
    <v>Page Industries Limited is an India-based company, which is engaged in the business of manufacturing, distribution and marketing of garments. The Company is engaged in manufacturing textile garments and clothing accessories. The Company has a license of JOCKEY International Inc. (USA) for the manufacture, distribution and marketing of the JOCKEY brand in India, Sri Lanka, Bangladesh, Nepal, Oman, Qatar, Maldives, Bhutan, and the United Arab Emirates. It is also the licensee of Speedo International Ltd. for the manufacture, marketing and distribution of the Speedo brand in India. The Company’s manufacturing operations spread over 16 manufacturing complexes in Bangalore, Hassan, Mysore, Gowribidanur, Tiptur and Tirupur. The Company distributes pan India, including approximately 120,000 plus retail outlets in 2,800 cities and towns. The Company through its authorized franchisees has approximately 1,500 Exclusive Brand Outlet’s (EBO’s).</v>
    <v>20658</v>
    <v>National Stock Exchange of India</v>
    <v>XNSE</v>
    <v>XNSE</v>
    <v>CESSNA BUSINESS PARK, UMIYA BUSINESS BAY-TOWER-1, 7TH FLOOR BANGALORE, KADUBEESANAHALLI, VARTHUR HOBLI, KARNATAKA, 560103 IN</v>
    <v>37820</v>
    <v>Textiles &amp; Apparel</v>
    <v>Stock</v>
    <v>46176.466863425929</v>
    <v>288</v>
    <v>37140</v>
    <v>386426000000</v>
    <v>PAGE INDUSTRIES LIMITED</v>
    <v>PAGE INDUSTRIES LIMITED</v>
    <v>37220</v>
    <v>54.85</v>
    <v>37365</v>
    <v>37565</v>
    <v>11153870</v>
    <v>PAGEIND</v>
    <v>PAGE INDUSTRIES LIMITED (XNSE:PAGEIND)</v>
    <v>10391</v>
    <v>50030</v>
    <v>1994</v>
  </rv>
  <rv s="2">
    <v>289</v>
  </rv>
  <rv s="0">
    <v>https://www.bing.com/financeapi/forcetrigger?t=ahje9c&amp;q=XNSE%3aPERSISTENT&amp;form=skydnc</v>
    <v>Learn more on Bing</v>
  </rv>
  <rv s="1">
    <v>en-IN</v>
    <v>ahje9c</v>
    <v>268435456</v>
    <v>1</v>
    <v>Powered by Refinitiv</v>
    <v>0</v>
    <v>PERSISTENT SYSTEMS LIMITED (XNSE:PERSISTENT)</v>
    <v>2</v>
    <v>3</v>
    <v>Finance</v>
    <v>4</v>
    <v>6599</v>
    <v>4449.1000000000004</v>
    <v>1.0489999999999999</v>
    <v>-373</v>
    <v>-6.8183999999999995E-2</v>
    <v>INR</v>
    <v>Persistent Systems Limited is a holding company, which is engaged in the business of providing software products, services and technology innovation. Its segments include Banking, Financial Services, and Insurance (BFSI), Healthcare &amp; Life Sciences, and Software, Hi-Tech, and Emerging Industries. It provides services, including Application Development &amp; Management, Cloud &amp; Infrastructure, Consulting, Client Experience (CX) Transformation, CX Contact Center Intelligence, Data &amp; Analytics, Enterprise Integration, Enterprise Information Technology (IT) Security, Experience Transformation, Global Capability Centers, Intelligent Automation, Persistent Artificial Intelligence (AI), Open Source Hub, and Software Product Engineering. Its subsidiaries include Persistent Systems Inc., Persistent Systems Pte. Ltd., Persistent Systems France S.A.S., Persistent Systems Malaysia Sdn. Bhd., Persistent Systems Germany GmbH, Capiot Software Private Limited, and MediaAgility India Private Limited.</v>
    <v>21133</v>
    <v>National Stock Exchange of India</v>
    <v>XNSE</v>
    <v>XNSE</v>
    <v>Bhageerath,, 402 Senapati Bapat Road, PUNE, MAHARASHTRA, 411016 IN</v>
    <v>5380</v>
    <v>Software &amp; IT Services</v>
    <v>Stock</v>
    <v>46176.466874999998</v>
    <v>291</v>
    <v>5076</v>
    <v>989862700000</v>
    <v>PERSISTENT SYSTEMS LIMITED</v>
    <v>PERSISTENT SYSTEMS LIMITED</v>
    <v>5380</v>
    <v>42.57</v>
    <v>5470.5</v>
    <v>5097.5</v>
    <v>156231000</v>
    <v>PERSISTENT</v>
    <v>PERSISTENT SYSTEMS LIMITED (XNSE:PERSISTENT)</v>
    <v>768497</v>
    <v>697710</v>
    <v>1990</v>
  </rv>
  <rv s="2">
    <v>292</v>
  </rv>
  <rv s="0">
    <v>https://www.bing.com/financeapi/forcetrigger?t=ahjfec&amp;q=XNSE%3aPIIND&amp;form=skydnc</v>
    <v>Learn more on Bing</v>
  </rv>
  <rv s="1">
    <v>en-IN</v>
    <v>ahjfec</v>
    <v>268435456</v>
    <v>1</v>
    <v>Powered by Refinitiv</v>
    <v>0</v>
    <v>PI INDUSTRIES LIMITED (XNSE:PIIND)</v>
    <v>2</v>
    <v>3</v>
    <v>Finance</v>
    <v>4</v>
    <v>4330</v>
    <v>2657.2</v>
    <v>1.486</v>
    <v>-1.5</v>
    <v>-5.4750000000000003E-4</v>
    <v>INR</v>
    <v>PI Industries Limited is a holding company, which is engaged in the manufacturing and distribution of agrochemicals. It operates through two segments: Agrochemicals and Pharma. The Company's agrochemical product portfolio includes insecticides, such as KEEFUN, COLT, OSHEEN, COLFOS, FOSMITE, FLUTON, JUMBO, and SNAILKILL, among others; fungicides, including KITAZIN, SANIPEB, CLUTCH, HEADER, VISMA, SHIELD, and WAGON; herbicide lineup products like SOLARO, WICKET, NOMINEE GOLD, PIMIX, LEGACEE, MELSA, and ELITE. Furthermore, the Company's specialty products include BIOVITA GRANULES, BIOVITA LIQUID, SUPER SPREADER, and HUMESOL. It provides services such as Research and Development (R&amp;D), Custom Synthesis and Manufacturing Solutions (CSM), and Distribution Services. Its subsidiaries are Jivagro Limited, PI Health Sciences Limited, PI Life Science Research Limited, PI Japan Co. Limited, PILL Finance and Investments Limited, PI Bioferma Private Limited, and PI Fermachem Private Limited.</v>
    <v>3587</v>
    <v>National Stock Exchange of India</v>
    <v>XNSE</v>
    <v>XNSE</v>
    <v>UDAISAGAR ROAD, RAJASTHAN, 313001 IN</v>
    <v>2755.2</v>
    <v>Chemicals</v>
    <v>Stock</v>
    <v>46176.466886574075</v>
    <v>294</v>
    <v>2690.1</v>
    <v>495614400000</v>
    <v>PI INDUSTRIES LIMITED</v>
    <v>PI INDUSTRIES LIMITED</v>
    <v>2731</v>
    <v>31.45</v>
    <v>2739.8</v>
    <v>2738.3</v>
    <v>151703200</v>
    <v>PIIND</v>
    <v>PI INDUSTRIES LIMITED (XNSE:PIIND)</v>
    <v>305817</v>
    <v>753260</v>
    <v>1946</v>
  </rv>
  <rv s="2">
    <v>295</v>
  </rv>
  <rv s="0">
    <v>https://www.bing.com/financeapi/forcetrigger?t=ahjfbh&amp;q=XNSE%3aPIDILITIND&amp;form=skydnc</v>
    <v>Learn more on Bing</v>
  </rv>
  <rv s="1">
    <v>en-IN</v>
    <v>ahjfbh</v>
    <v>268435456</v>
    <v>1</v>
    <v>Powered by Refinitiv</v>
    <v>0</v>
    <v>PIDILITE INDUSTRIES LIMITED (XNSE:PIDILITIND)</v>
    <v>2</v>
    <v>3</v>
    <v>Finance</v>
    <v>4</v>
    <v>1574.95</v>
    <v>1259</v>
    <v>0.99419999999999997</v>
    <v>14.6</v>
    <v>1.0037000000000001E-2</v>
    <v>INR</v>
    <v>Pidilite Industries Limited is an India-based manufacturer of consumer and industrial specialty chemicals. The Company's segments include Consumer and Bazaar (C&amp;B), Business to Business (B2B), and Others. The C&amp;B segment covers the sale of products mainly to end consumers, which are retail users such as carpenters, painters, plumbers, mechanics, households, students and offices, among others. The Company's products include adhesives, sealants, art &amp; craft materials and others, construction, and paint chemicals. The B2B segment includes industrial products such as adhesives, synthetic resins, organic pigments, pigment preparations, construction chemicals (projects) and surfactants, among others. It caters to various industries, such as packaging, textiles, joineries, printing inks, paper and leather, among others.</v>
    <v>8153</v>
    <v>National Stock Exchange of India</v>
    <v>XNSE</v>
    <v>XNSE</v>
    <v>RAMKRISHNA MANDIR ROAD ANDHERI EAST, OFF MATHURADAS VASANJI ROAD, MAHARASHTRA, 400059 IN</v>
    <v>1473.2</v>
    <v>Chemicals</v>
    <v>Stock</v>
    <v>46176.466840277775</v>
    <v>297</v>
    <v>1444.5</v>
    <v>1525452000000</v>
    <v>PIDILITE INDUSTRIES LIMITED</v>
    <v>PIDILITE INDUSTRIES LIMITED</v>
    <v>1450</v>
    <v>61.09</v>
    <v>1454.6</v>
    <v>1469.2</v>
    <v>1017775000</v>
    <v>PIDILITIND</v>
    <v>PIDILITE INDUSTRIES LIMITED (XNSE:PIDILITIND)</v>
    <v>836338</v>
    <v>942180</v>
    <v>1969</v>
  </rv>
  <rv s="2">
    <v>298</v>
  </rv>
  <rv s="0">
    <v>https://www.bing.com/financeapi/forcetrigger?t=bumipr&amp;q=XNSE%3aRAJRATAN&amp;form=skydnc</v>
    <v>Learn more on Bing</v>
  </rv>
  <rv s="1">
    <v>en-IN</v>
    <v>bumipr</v>
    <v>268435456</v>
    <v>1</v>
    <v>Powered by Refinitiv</v>
    <v>0</v>
    <v>RAJRATAN GLOBAL WIRE LIMITED (XNSE:RAJRATAN)</v>
    <v>2</v>
    <v>3</v>
    <v>Finance</v>
    <v>4</v>
    <v>540</v>
    <v>305.55</v>
    <v>1.3904000000000001</v>
    <v>-2.65</v>
    <v>-6.3810000000000004E-3</v>
    <v>INR</v>
    <v>Rajratan Global Wire Limited is an India-based company, which is engaged in the manufacturing and sale of tyre bead wire which produces drawn steel wire, commonly referred to as black wire and various industries such as automobile, construction, and engineering. The Company's Tyre Bead Wire product contributes to tyre structure and function safe and seamless driving experience. Crafted from high-carbon steel, the tyre bead wire is processed through drawing and bronze coating to enable adhesion with rubber compounds used in tyre manufacturing. The High Carbon Steel Wire product used in the construction, engineering and automotive industries. its products include different ranges such as Spring - IS 4454, Wire Rope - IS 1835, Wire Rope, Conveyor Belt - BS EN 10264-2; Mechanical and Physical Properties are Wire Diameter, Casting, Residual Torsion, Bend, Torsion, Tensile Strength, Breaking Load. The Company's subsidiary is Rajratan Thai Wire Company Limited, Rajratan Wire USA Inc.</v>
    <v>455</v>
    <v>National Stock Exchange of India</v>
    <v>XNSE</v>
    <v>XNSE</v>
    <v>RAJRATAN HOUSE 11/2 MEERA PATH DHENU MARKET, MADHYA PRADESH, 452003 IN</v>
    <v>419.3</v>
    <v>Metals &amp; Mining</v>
    <v>Stock</v>
    <v>46176.466874999998</v>
    <v>300</v>
    <v>406.2</v>
    <v>26710620000</v>
    <v>RAJRATAN GLOBAL WIRE LIMITED</v>
    <v>RAJRATAN GLOBAL WIRE LIMITED</v>
    <v>411.15</v>
    <v>29.84</v>
    <v>415.3</v>
    <v>412.65</v>
    <v>50771000</v>
    <v>RAJRATAN</v>
    <v>RAJRATAN GLOBAL WIRE LIMITED (XNSE:RAJRATAN)</v>
    <v>24070</v>
    <v>46200</v>
    <v>1988</v>
  </rv>
  <rv s="2">
    <v>301</v>
  </rv>
  <rv s="0">
    <v>https://www.bing.com/financeapi/forcetrigger?t=ahjbec&amp;q=XNSE%3aRHIM&amp;form=skydnc</v>
    <v>Learn more on Bing</v>
  </rv>
  <rv s="1">
    <v>en-IN</v>
    <v>ahjbec</v>
    <v>268435456</v>
    <v>1</v>
    <v>Powered by Refinitiv</v>
    <v>0</v>
    <v>RHI MAGNESITA INDIA LIMITED (XNSE:RHIM)</v>
    <v>2</v>
    <v>3</v>
    <v>Finance</v>
    <v>4</v>
    <v>537.70000000000005</v>
    <v>323.05</v>
    <v>0.96079999999999999</v>
    <v>32.799999999999997</v>
    <v>9.5169000000000004E-2</v>
    <v>INR</v>
    <v>RHI Magnesita India Ltd is an India-based company. The Company is engaged in the business of manufacturing and trading refractories, monolithic, bricks, and ceramic paper, as well as rendering management services. Its geographical segments are within India and outside India. The Company offers a range of refractory products and mixes to its customers in steel, cement, lime, non-ferrous metals, glass, and other industries. The Company offers solutions such as total refractory management/full line service, tailor-made products and services, complete project management from drawing and engineering, supply, installation, and commissioning, and engineering solutions. The Company has manufacturing facilities in Bhiwadi (Rajasthan), Visakhapatnam (Andhra Pradesh), and Cuttack (Orrisa). The Company operates through its subsidiary, Intermetal Engineers (India) Private Limited, which is primarily engaged in the business of manufacturing and selling slide gate mechanics and related components.</v>
    <v>1624</v>
    <v>National Stock Exchange of India</v>
    <v>XNSE</v>
    <v>XNSE</v>
    <v>UNIT NO. 705, 7TH FLOOR, LODHA SUPREMUS, KANJURMARG (EAST), KANJURMARG VILLAGE ROAD,, VIDHYAVIHAR (WEST),, MAHARASHTRA, 400042 IN</v>
    <v>380</v>
    <v>Construction Materials</v>
    <v>Stock</v>
    <v>46176.466909722221</v>
    <v>303</v>
    <v>342.05</v>
    <v>92430040000</v>
    <v>RHI MAGNESITA INDIA LIMITED</v>
    <v>RHI MAGNESITA INDIA LIMITED</v>
    <v>342.05</v>
    <v>0</v>
    <v>344.65</v>
    <v>377.45</v>
    <v>206501400</v>
    <v>RHIM</v>
    <v>RHI MAGNESITA INDIA LIMITED (XNSE:RHIM)</v>
    <v>7688522</v>
    <v>963080</v>
    <v>2010</v>
  </rv>
  <rv s="2">
    <v>304</v>
  </rv>
  <rv s="0">
    <v>https://www.bing.com/financeapi/forcetrigger?t=ahjs52&amp;q=XNSE%3aSAKSOFT&amp;form=skydnc</v>
    <v>Learn more on Bing</v>
  </rv>
  <rv s="1">
    <v>en-IN</v>
    <v>ahjs52</v>
    <v>268435456</v>
    <v>1</v>
    <v>Powered by Refinitiv</v>
    <v>0</v>
    <v>SAKSOFT LIMITED (XNSE:SAKSOFT)</v>
    <v>2</v>
    <v>3</v>
    <v>Finance</v>
    <v>4</v>
    <v>253.99</v>
    <v>107.59</v>
    <v>1.6778</v>
    <v>-2.2599999999999998</v>
    <v>-1.5309E-2</v>
    <v>INR</v>
    <v>Saksoft Limited is a digital transformation solution company, which provides technological services to companies in the industry verticals of fintech, logistics &amp; transportation, healthtech and utilities. It provides a niche technology specialist that provides a comprehensive suite of business transformation, information management, application development and testing services. Its segment includes BFS, Logistics, Emerging vertical, and Commerce. In addition to domain-specific technology solutions and consultation services, the Company provides analytics, strategic consulting, IoT and mobility solutions, technology training, application development, robotic process automation, digital commerce and digital testing. It helps its clients with application engineering, quality assurance and testing, data analytics, cloud, infrastructure and cybersecurity services. Its proprietary AI-enabled intelligent platform, SakCelerate.ai, delivers next-gen Cloud, infrastructure, and security services.</v>
    <v>2093</v>
    <v>National Stock Exchange of India</v>
    <v>XNSE</v>
    <v>XNSE</v>
    <v>Global Infocity Park, Block A, 2nd, Floor, #40, Dr. MGR Salai,, Kandanchavadi, Perungudi, CHENNAI, TAMIL NADU, 600096 IN</v>
    <v>148.80000000000001</v>
    <v>Software &amp; IT Services</v>
    <v>Stock</v>
    <v>46176.466863425929</v>
    <v>306</v>
    <v>143.5</v>
    <v>23879740000</v>
    <v>SAKSOFT LIMITED</v>
    <v>SAKSOFT LIMITED</v>
    <v>148</v>
    <v>15.1</v>
    <v>147.63</v>
    <v>145.37</v>
    <v>127822200</v>
    <v>SAKSOFT</v>
    <v>SAKSOFT LIMITED (XNSE:SAKSOFT)</v>
    <v>253906</v>
    <v>1192180</v>
    <v>1999</v>
  </rv>
  <rv s="2">
    <v>307</v>
  </rv>
  <rv s="0">
    <v>https://www.bing.com/financeapi/forcetrigger?t=ahk3nm&amp;q=XNSE%3aSRF&amp;form=skydnc</v>
    <v>Learn more on Bing</v>
  </rv>
  <rv s="1">
    <v>en-IN</v>
    <v>ahk3nm</v>
    <v>268435456</v>
    <v>1</v>
    <v>Powered by Refinitiv</v>
    <v>0</v>
    <v>SRF LIMITED (XNSE:SRF)</v>
    <v>2</v>
    <v>3</v>
    <v>Finance</v>
    <v>4</v>
    <v>3325</v>
    <v>2355</v>
    <v>0.90959999999999996</v>
    <v>-26.9</v>
    <v>-9.7990000000000004E-3</v>
    <v>INR</v>
    <v>SRF Limited is a chemical-based multi-business company engaged in the manufacturing of industrial and specialty intermediates. Its segments include Technical Textiles Business (TTB), Chemicals Business (CB), Performance Films and Foil Business (PFB) and Others. The TTB segment's business includes nylon tire cord fabric, belting fabric, polyester tire cord fabric and industrial yarns and its research and development. The CB segment's business includes refrigerant gases, industrial chemicals, specialty chemicals, fluorochemicals and allied products and its research and development. The PFB segment's business includes polyester films and polypropylene films. The others segment includes coated fabric, laminated fabric and other ancillary activities. The Company has eleven manufacturing plants in India and one each in Thailand, South Africa and Hungary. The Company exports to over 90 countries. It serves various industries, such as automotive, pharmaceuticals, manufacturing and chemicals.</v>
    <v>8425</v>
    <v>National Stock Exchange of India</v>
    <v>XNSE</v>
    <v>XNSE</v>
    <v>THE GALLERIA, DLF MAYUR VIHAR, UNIT NO. 236 &amp; 237 2ND FLOOR, MAYUR PLACE, MAYUR VIHAR PHASE I EXTN. NEW DELHI EAST DELHI DL, DELHI, 110091 IN</v>
    <v>2758</v>
    <v>Chemicals</v>
    <v>Stock</v>
    <v>46176.466840277775</v>
    <v>309</v>
    <v>2711.6</v>
    <v>901012900000</v>
    <v>SRF LIMITED</v>
    <v>SRF LIMITED</v>
    <v>2740.1</v>
    <v>43.91</v>
    <v>2745.3</v>
    <v>2718.4</v>
    <v>296406000</v>
    <v>SRF</v>
    <v>SRF LIMITED (XNSE:SRF)</v>
    <v>530894</v>
    <v>560060</v>
    <v>1970</v>
  </rv>
  <rv s="2">
    <v>310</v>
  </rv>
  <rv s="0">
    <v>https://www.bing.com/financeapi/forcetrigger?t=btjua2&amp;q=XNSE%3aSUMICHEM&amp;form=skydnc</v>
    <v>Learn more on Bing</v>
  </rv>
  <rv s="1">
    <v>en-IN</v>
    <v>btjua2</v>
    <v>268435456</v>
    <v>1</v>
    <v>Powered by Refinitiv</v>
    <v>0</v>
    <v>SUMITOMO CHEMICAL INDIA LIMITED (XNSE:SUMICHEM)</v>
    <v>2</v>
    <v>3</v>
    <v>Finance</v>
    <v>4</v>
    <v>665</v>
    <v>362.6</v>
    <v>0.56610000000000005</v>
    <v>-4.95</v>
    <v>-1.0148999999999998E-2</v>
    <v>INR</v>
    <v>Sumitomo Chemical India Limited is an India-based company. The Company manufactures, imports, and markets products for crop protection, grain fumigation, rodent control, biopesticide, plant nutrition &amp; plant growth regulators, professional pest control, public health insecticides, household pesticides, and feed additives. The plant nutrition &amp; plant growth regulators product category offers Chitto, ika, Danza Power, Hoshi, and Tabol. The household pesticides product category offers VectoBac 12 AS, Sumilarv 0.5 G, and Kemtrek 20 EC. The biological product category offers EXCEL MADHYAM, SUDOCEL, and TRICHO HR. The Company manufactures and supplies Methionine, which is used as a feed additive. It also produces various technical grade pesticides in its manufacturing units with indigenous research and development (R&amp;D) facilities. Its subsidiary, Valent Biosciences LLC, is engaged in producing a range of naturally occurring pesticides and plant growth regulators.</v>
    <v>1646</v>
    <v>National Stock Exchange of India</v>
    <v>XNSE</v>
    <v>XNSE</v>
    <v>13/14 Aradhana Industrial Development Corporation, Near Virwani Industrial Estate, Goregaon East, MUMBAI, MAHARASHTRA, 400063 IN</v>
    <v>488</v>
    <v>Chemicals</v>
    <v>Stock</v>
    <v>46176.466874999998</v>
    <v>312</v>
    <v>472.5</v>
    <v>220572500000</v>
    <v>SUMITOMO CHEMICAL INDIA LIMITED</v>
    <v>SUMITOMO CHEMICAL INDIA LIMITED</v>
    <v>487.7</v>
    <v>44.38</v>
    <v>487.75</v>
    <v>482.8</v>
    <v>499145800</v>
    <v>SUMICHEM</v>
    <v>SUMITOMO CHEMICAL INDIA LIMITED (XNSE:SUMICHEM)</v>
    <v>79375</v>
    <v>427770</v>
    <v>2000</v>
  </rv>
  <rv s="2">
    <v>313</v>
  </rv>
  <rv s="0">
    <v>https://www.bing.com/financeapi/forcetrigger?t=ahk6ww&amp;q=XNSE%3aSUPREMEIND&amp;form=skydnc</v>
    <v>Learn more on Bing</v>
  </rv>
  <rv s="1">
    <v>en-IN</v>
    <v>ahk6ww</v>
    <v>268435456</v>
    <v>1</v>
    <v>Powered by Refinitiv</v>
    <v>0</v>
    <v>THE SUPREME INDUSTRIES LIMITED (XNSE:SUPREMEIND)</v>
    <v>2</v>
    <v>3</v>
    <v>Finance</v>
    <v>4</v>
    <v>4739</v>
    <v>3182</v>
    <v>0.623</v>
    <v>19.8</v>
    <v>5.5729999999999998E-3</v>
    <v>INR</v>
    <v>The Supreme Industries Ltd. is an India-based plastic products manufacturer, specializing in pipes, fittings and water storage solutions. The Company's segments include Plastics Piping Products, Industrial Products, Packaging products, Consumer Products, Others. The Company operates in various product categories, including plastic piping systems, cross-laminated films and products, protective packaging products, industrial molded components, molded furniture, storage and material handling products, performance packaging films and composite liquefied petroleum gas cylinders. Its products include Safegard Plastic Septic Tanks, Aquatic Premium Bath Fittings, Safegard Packaged Sewage Treatment Plants, WeatherShield Premium Overhead Water Storage Tanks, Casing Pipes, and Ecosil Overhead Water Tanks. Its applications include plumbing, fire protection, drainage, borewells, agriculture, cable protection, and waste treatment and sanitation.</v>
    <v>6560</v>
    <v>National Stock Exchange of India</v>
    <v>XNSE</v>
    <v>XNSE</v>
    <v>1161, Solitaire Corporate Park, Andheri- Ghatkopar Link Road, Chakala, Andheri (East), MUMBAI, MAHARASHTRA, 400093 IN</v>
    <v>3585</v>
    <v>Chemicals</v>
    <v>Stock</v>
    <v>46176.466840277775</v>
    <v>315</v>
    <v>3514</v>
    <v>440122700000</v>
    <v>THE SUPREME INDUSTRIES LIMITED</v>
    <v>THE SUPREME INDUSTRIES LIMITED</v>
    <v>3560</v>
    <v>47.58</v>
    <v>3553.1</v>
    <v>3572.9</v>
    <v>127026900</v>
    <v>SUPREMEIND</v>
    <v>THE SUPREME INDUSTRIES LIMITED (XNSE:SUPREMEIND)</v>
    <v>67033</v>
    <v>167340</v>
    <v>1942</v>
  </rv>
  <rv s="2">
    <v>316</v>
  </rv>
  <rv s="0">
    <v>https://www.bing.com/financeapi/forcetrigger?t=ahk9m7&amp;q=XNSE%3aTATAELXSI&amp;form=skydnc</v>
    <v>Learn more on Bing</v>
  </rv>
  <rv s="1">
    <v>en-IN</v>
    <v>ahk9m7</v>
    <v>268435456</v>
    <v>1</v>
    <v>Powered by Refinitiv</v>
    <v>0</v>
    <v>TATA ELXSI LIMITED (XNSE:TATAELXSI)</v>
    <v>2</v>
    <v>3</v>
    <v>Finance</v>
    <v>4</v>
    <v>6735</v>
    <v>3945</v>
    <v>0.99480000000000002</v>
    <v>-183.3</v>
    <v>-4.0460999999999997E-2</v>
    <v>INR</v>
    <v>Tata Elxsi Limited is an India-based company, which is engaged in providing design and technology services across industries including automotive, broadcast, communications, healthcare, media and transportation. Its segments include Software Development &amp; Services (SDS) and System Integration and Support (SIS). SDS offers comprehensive services from concept to market launch across transportation, healthcare and life sciences, and media and communications. It specializes in engineering solutions spanning the automotive, aerospace, off-highway, and rail sectors, with specialization in software-defined platforms and electrification. SIS segments integrate complete systems for specialized applications. This includes experience centres, training and safety modules, and design visualization. Its services also encompass DevOps security and cloud management. Its products and platforms include QoEtient, AIVA, iCX, uLike, TEPlay, NEURON and DevStudio.Ai.</v>
    <v>11046</v>
    <v>National Stock Exchange of India</v>
    <v>XNSE</v>
    <v>XNSE</v>
    <v>ITPL ROAD WHITEFIELD ROAD, KARNATAKA, 560048 IN</v>
    <v>4497.8999999999996</v>
    <v>Software &amp; IT Services</v>
    <v>Stock</v>
    <v>46176.466840277775</v>
    <v>318</v>
    <v>4287</v>
    <v>360876300000</v>
    <v>TATA ELXSI LIMITED</v>
    <v>TATA ELXSI LIMITED</v>
    <v>4496.1000000000004</v>
    <v>43.09</v>
    <v>4530.3</v>
    <v>4347</v>
    <v>62297060</v>
    <v>TATAELXSI</v>
    <v>TATA ELXSI LIMITED (XNSE:TATAELXSI)</v>
    <v>498745</v>
    <v>299520</v>
    <v>1989</v>
  </rv>
  <rv s="2">
    <v>319</v>
  </rv>
  <rv s="0">
    <v>https://www.bing.com/financeapi/forcetrigger?t=ahkalh&amp;q=XNSE%3aTCIEXP&amp;form=skydnc</v>
    <v>Learn more on Bing</v>
  </rv>
  <rv s="1">
    <v>en-IN</v>
    <v>ahkalh</v>
    <v>268435456</v>
    <v>1</v>
    <v>Powered by Refinitiv</v>
    <v>0</v>
    <v>TCI EXPRESS LIMITED (XNSE:TCIEXP)</v>
    <v>2</v>
    <v>3</v>
    <v>Finance</v>
    <v>4</v>
    <v>848</v>
    <v>447.55</v>
    <v>0.77070000000000005</v>
    <v>21.35</v>
    <v>4.3101E-2</v>
    <v>INR</v>
    <v>TCI Express Limited is an India-based company, which is engaged in carrying express cargo distribution through road, rail, air, and water modes. The Company specializes in offering time definite solutions. Its services include surface express, domestic air express, international air express, e-commerce express, consumer to consumer (C2C) express, rail express, and cold chain express. Its value-added services include safety and security of vehicles through tamper-proof locking systems, holiday and late pickup services, key account management, and others. It provides end-to-end logistics to the pharmaceuticals industry, automobile industry, and order management services to customers. Its e-commerce express provides business-to-business (B2B) multi model distribution for optimum on-time delivery with value-added features of cash on delivery. It offers express solutions with over 60000 locations with a fully containerized fleet of vehicles. The Company's subsidiary is TCI Express Pte. Ltd.</v>
    <v>2541</v>
    <v>National Stock Exchange of India</v>
    <v>XNSE</v>
    <v>XNSE</v>
    <v>TCI House 69,, Institutional Area, Sector-32, GURGAON, HARYANA, 122001 IN</v>
    <v>518.79999999999995</v>
    <v>Freight &amp; Logistics Services</v>
    <v>Stock</v>
    <v>46176.466874999998</v>
    <v>321</v>
    <v>494</v>
    <v>20433140000</v>
    <v>TCI EXPRESS LIMITED</v>
    <v>TCI EXPRESS LIMITED</v>
    <v>495</v>
    <v>23.63</v>
    <v>495.35</v>
    <v>516.70000000000005</v>
    <v>38418990</v>
    <v>TCIEXP</v>
    <v>TCI EXPRESS LIMITED (XNSE:TCIEXP)</v>
    <v>16021</v>
    <v>47930</v>
    <v>2008</v>
  </rv>
  <rv s="2">
    <v>322</v>
  </rv>
  <rv s="0">
    <v>https://www.bing.com/financeapi/forcetrigger?t=ahkd52&amp;q=XNSE%3aTIINDIA&amp;form=skydnc</v>
    <v>Learn more on Bing</v>
  </rv>
  <rv s="1">
    <v>en-IN</v>
    <v>ahkd52</v>
    <v>268435456</v>
    <v>1</v>
    <v>Powered by Refinitiv</v>
    <v>0</v>
    <v>TUBE INVESTMENTS OF INDIA LIMITED (XNSE:TIINDIA)</v>
    <v>2</v>
    <v>3</v>
    <v>Finance</v>
    <v>4</v>
    <v>3419.9</v>
    <v>2164.9</v>
    <v>0.95699999999999996</v>
    <v>-40.5</v>
    <v>-1.302E-2</v>
    <v>INR</v>
    <v>Tube Investments of India Limited is an India-based engineering company. Its divisions include Mobility, Engineering, Metal-Formed Products, and Others. The Mobility division comprises standard bi-cycles, special bi-cycles, such as alloy bikes and specialty performance bikes, fitness equipment and three-wheeler electric vehicles. The Engineering division comprises cold rolled steel strips and precision steel tubes, such as cold drawn welded tubes and electric resistant welded (ERW) tubes. The Metal Formed Products division comprises automotive chains, fine blanked products, stamped products, roll-formed car door frames and cold rolled formed sections for railway wagons and passenger coaches. The other product division includes TIDC industrial chains, TI Macho TMT Bars, and TI Optoelectronic Solutions. Its products include Engineering Class Chains, cowl cross beam, cam chain, and others. Its subsidiaries are Shanthi Gears Ltd and CG Power and Industrial Solutions Ltd.</v>
    <v>3219</v>
    <v>National Stock Exchange of India</v>
    <v>XNSE</v>
    <v>XNSE</v>
    <v>Chola Crest 4th Floor, No.C54-55 &amp; Super B-4, Thiru Vi Ka Industrial Estate, Guindy, CHENNAI, TAMIL NADU, 600032 IN</v>
    <v>3131</v>
    <v>Automobiles &amp; Auto Parts</v>
    <v>Stock</v>
    <v>46176.466840277775</v>
    <v>324</v>
    <v>3030.5</v>
    <v>461965600000</v>
    <v>TUBE INVESTMENTS OF INDIA LIMITED</v>
    <v>TUBE INVESTMENTS OF INDIA LIMITED</v>
    <v>3131</v>
    <v>93.53</v>
    <v>3110.7</v>
    <v>3070.2</v>
    <v>193562300</v>
    <v>TIINDIA</v>
    <v>TUBE INVESTMENTS OF INDIA LIMITED (XNSE:TIINDIA)</v>
    <v>194889</v>
    <v>357590</v>
    <v>2008</v>
  </rv>
  <rv s="2">
    <v>325</v>
  </rv>
  <rv s="0">
    <v>https://www.bing.com/financeapi/forcetrigger?t=ahkk5r&amp;q=XNSE%3aVGUARD&amp;form=skydnc</v>
    <v>Learn more on Bing</v>
  </rv>
  <rv s="1">
    <v>en-IN</v>
    <v>ahkk5r</v>
    <v>268435456</v>
    <v>1</v>
    <v>Powered by Refinitiv</v>
    <v>0</v>
    <v>V GUARD INDUSTRIES LIMITED (XNSE:VGUARD)</v>
    <v>2</v>
    <v>3</v>
    <v>Finance</v>
    <v>4</v>
    <v>409.75</v>
    <v>290</v>
    <v>0.48380000000000001</v>
    <v>-3.05</v>
    <v>-1.0041E-2</v>
    <v>INR</v>
    <v>V-Guard Industries Limited is an India-based company which is engaged in the manufacturing, trading, and selling of electronic products. The Company operates through four segments: Electronics, Electricals, Consumer Durables, and Sunflame. Electronics include stabilizers, digital uninterruptible power supply (UPS) and solar inverters. Electricals include Polyvinyl Chloride (PVC) insulated cables, switch gears, pumps, and modular switches. Consumer Durables include fans, water heaters, kitchen appliances and air coolers. Sunflame includes products sold under the trademarks Sunflame and Superflame. The Company operates a well-diversified water heaters category, offering electric, solar, and heat pump models designed to serve both residential and institutional needs. Its products include voltage stabilizers, inverter batteries and solar power systems, wires and cables, domestic switch gears and others. Its stabilizer products include EV 4150, VSN 4170 and VSN 4170.</v>
    <v>3133</v>
    <v>National Stock Exchange of India</v>
    <v>XNSE</v>
    <v>XNSE</v>
    <v>42/962, Vennala High School Road, Vennala, KOCHI, KERALA, 682028 IN</v>
    <v>304.3</v>
    <v>Machinery, Equipment &amp; Components</v>
    <v>Stock</v>
    <v>46176.466863425929</v>
    <v>327</v>
    <v>297.05</v>
    <v>136597700000</v>
    <v>V GUARD INDUSTRIES LIMITED</v>
    <v>V GUARD INDUSTRIES LIMITED</v>
    <v>304.3</v>
    <v>42.71</v>
    <v>303.75</v>
    <v>300.7</v>
    <v>436891100</v>
    <v>VGUARD</v>
    <v>V GUARD INDUSTRIES LIMITED (XNSE:VGUARD)</v>
    <v>167620</v>
    <v>457880</v>
    <v>1996</v>
  </rv>
  <rv s="2">
    <v>328</v>
  </rv>
  <rv s="0">
    <v>https://www.bing.com/financeapi/forcetrigger?t=ahkl27&amp;q=XNSE%3aVINATIORGA&amp;form=skydnc</v>
    <v>Learn more on Bing</v>
  </rv>
  <rv s="1">
    <v>en-IN</v>
    <v>ahkl27</v>
    <v>268435456</v>
    <v>1</v>
    <v>Powered by Refinitiv</v>
    <v>0</v>
    <v>VINATI ORGANICS LIMITED (XNSE:VINATIORGA)</v>
    <v>2</v>
    <v>3</v>
    <v>Finance</v>
    <v>4</v>
    <v>2040</v>
    <v>1203</v>
    <v>0.68200000000000005</v>
    <v>-9.8000000000000007</v>
    <v>-7.4560000000000008E-3</v>
    <v>INR</v>
    <v>Vinati Organics Limited is an India-based company, which is primarily engaged in the business of manufacturing of specialty chemical and organic intermediaries. Its products include Specialty Aromatics, Specialty Monomers, Butyl Phenols, Antioxidants, Other Specialty Products, Miscellaneous Polymer, Inorganic Chemicals. Its Specialty Aromatics include Iso Butyl Benzene (IBB); N-Butyl Benzene or NBB; Secondary Butyl Benzene (SBB); Tertiary Amyl Benzene; 3-Phenylpentane; the C10 Aromatic solvent and 4-Butylaniline. Its specialty monomers include 2-Acrylamido 2-Methyl Propane Sulphonic Acid (ATBS); Sodium Salt Of 2-Acrylamido-2-Methylpropane Sulphonic Acid (NAATBS); N-Tertiary Butyl Acrylamide (TBA) and N-Tertiary Octyl Acrylamide (TOA). Butyl Phenols available at Vinati Organics are a class of different compounds that are manufactured by the reaction of phenols with isobutylene. Its diverse range of antioxidants under the trade name of VEENOX.</v>
    <v>1283</v>
    <v>National Stock Exchange of India</v>
    <v>XNSE</v>
    <v>XNSE</v>
    <v>Parinee Crescenzo A Wing 11th floor, 1102 G, Block, Behind MCA Bandra Kurla Complex, Bandra (east), MUMBAI, MAHARASHTRA, 400051 IN</v>
    <v>1317.7</v>
    <v>Chemicals</v>
    <v>Stock</v>
    <v>46176.466874999998</v>
    <v>330</v>
    <v>1295.7</v>
    <v>163698400000</v>
    <v>VINATI ORGANICS LIMITED</v>
    <v>VINATI ORGANICS LIMITED</v>
    <v>1316.6</v>
    <v>30.47</v>
    <v>1314.3</v>
    <v>1304.5</v>
    <v>103665600</v>
    <v>VINATIORGA</v>
    <v>VINATI ORGANICS LIMITED (XNSE:VINATIORGA)</v>
    <v>71113</v>
    <v>64230</v>
    <v>1989</v>
  </rv>
  <rv s="2">
    <v>331</v>
  </rv>
  <rv s="0">
    <v>https://www.bing.com/financeapi/forcetrigger?t=ahjtlh&amp;q=XNSE%3aSAREGAMA&amp;form=skydnc</v>
    <v>Learn more on Bing</v>
  </rv>
  <rv s="1">
    <v>en-IN</v>
    <v>ahjtlh</v>
    <v>268435456</v>
    <v>1</v>
    <v>Powered by Refinitiv</v>
    <v>0</v>
    <v>SAREGAMA INDIA LIMITED (XNSE:SAREGAMA)</v>
    <v>2</v>
    <v>3</v>
    <v>Finance</v>
    <v>4</v>
    <v>603</v>
    <v>307.05</v>
    <v>1.0936999999999999</v>
    <v>4.7</v>
    <v>1.0270999999999999E-2</v>
    <v>INR</v>
    <v>Saregama India Limited is an India-based company, which is engaged in the business of manufacturing and sale of music storage devices, such as Carvaan, music cards, vinyl records and dealing with related music rights. It is also engaged in the production and sale/telecast/broadcast of films/ television (TV) serials, pre-recorded programs and dealing in film rights and organizing events. Its segments include Music, Artist Management, Video (Film, TV Serials and Digital Content) and Events. Artist Management segment manages influencers/artiste on an exclusive or non-exclusive basis, make them popular through new IP releases and then monetize them through booking them for live events, concerts or opportunity in digital series. The Video (Film, TV Serials and Digital Content) segment is engaged in production and sale/telecast/broadcast of long form and short form video content and dealing in related rights. The Events segment is involved in the business of organizing live musical events.</v>
    <v>277</v>
    <v>National Stock Exchange of India</v>
    <v>XNSE</v>
    <v>XNSE</v>
    <v>33 JESSORE ROAD DUM DUM, WEST BENGAL, 700028 IN</v>
    <v>469.9</v>
    <v>Media &amp; Publishing</v>
    <v>Stock</v>
    <v>46176.466840277775</v>
    <v>333</v>
    <v>443.1</v>
    <v>67631700000</v>
    <v>SAREGAMA INDIA LIMITED</v>
    <v>SAREGAMA INDIA LIMITED</v>
    <v>457.6</v>
    <v>43.17</v>
    <v>457.6</v>
    <v>462.3</v>
    <v>191959500</v>
    <v>SAREGAMA</v>
    <v>SAREGAMA INDIA LIMITED (XNSE:SAREGAMA)</v>
    <v>1874240</v>
    <v>4646890</v>
    <v>1946</v>
  </rv>
  <rv s="2">
    <v>334</v>
  </rv>
  <rv s="0">
    <v>https://www.bing.com/financeapi/forcetrigger?t=bwhp1h&amp;q=XNSE%3aLIKHITHA&amp;form=skydnc</v>
    <v>Learn more on Bing</v>
  </rv>
  <rv s="1">
    <v>en-IN</v>
    <v>bwhp1h</v>
    <v>268435456</v>
    <v>1</v>
    <v>Powered by Refinitiv</v>
    <v>0</v>
    <v>Likhitha Infrastructure Ltd (XNSE:LIKHITHA)</v>
    <v>2</v>
    <v>3</v>
    <v>Finance</v>
    <v>4</v>
    <v>324</v>
    <v>131.44999999999999</v>
    <v>1.1385000000000001</v>
    <v>7.75</v>
    <v>4.0320000000000002E-2</v>
    <v>INR</v>
    <v>Likhitha Infrastructure Limited is an India-based company, which is engaged in the business of laying gas supply pipelines, irrigation canals, building bridges over the canals and related maintenance works. Its core business is focused on laying pipeline networks, city gas distribution projects, tankage, associated facilities and providing operational and maintenance services. Its projects include the installation of both steel and medium-density polyethylene (MDPE) networks. Its operations include three principal business lines: cross-country pipelines and associated facilities; city gas distribution including CNG Stations, and operation and maintenance of compressed natural gas (CNG)/ Piped Natural Gas (PNG) services. Its cross-country pipelines and associated facilities include fabrication, erection, installation, testing and commissioning of the underground pipelines including associated mechanical, civil, structural, electrical, instrumentation and telecom works.</v>
    <v>481</v>
    <v>National Stock Exchange of India</v>
    <v>XNSE</v>
    <v>XNSE</v>
    <v>8-3-323, 9TH FLOOR, VASAVI'S MPM GRAND, AMEERPET 'X' ROADS, YELLAREDDY GUDA, HYDERABAD, TELANGANA, 500073 IN</v>
    <v>201.82</v>
    <v>Construction &amp; Engineering</v>
    <v>Stock</v>
    <v>46176.466840277775</v>
    <v>336</v>
    <v>192.05</v>
    <v>6743978000</v>
    <v>Likhitha Infrastructure Ltd</v>
    <v>Likhitha Infrastructure Ltd</v>
    <v>192.05</v>
    <v>20.12</v>
    <v>192.21</v>
    <v>199.96</v>
    <v>39450000</v>
    <v>LIKHITHA</v>
    <v>Likhitha Infrastructure Ltd (XNSE:LIKHITHA)</v>
    <v>49944</v>
    <v>31280</v>
    <v>1998</v>
  </rv>
  <rv s="2">
    <v>337</v>
  </rv>
  <rv s="0">
    <v>http://en.wikipedia.org/wiki/Public_domain</v>
    <v>Public domain</v>
  </rv>
  <rv s="0">
    <v>http://zh.wikipedia.org/wiki/ICICI银行</v>
    <v>Wikipedia</v>
  </rv>
  <rv s="4">
    <v>339</v>
    <v>340</v>
  </rv>
  <rv s="5">
    <v>11</v>
    <v>https://www.bing.com/th?id=AMMS_7a55564cbcf9b185c2bd50f7f3a85b23&amp;qlt=95</v>
    <v>341</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1500</v>
    <v>1187.5999999999999</v>
    <v>0.92779999999999996</v>
    <v>15.4</v>
    <v>1.2555E-2</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129177</v>
    <v>National Stock Exchange of India</v>
    <v>XNSE</v>
    <v>XNSE</v>
    <v>ICICI Bank Towers, Bandra-Kurla Complex, MUMBAI, MAHARASHTRA, 400051 IN</v>
    <v>1248.3</v>
    <v>342</v>
    <v>Banking Services</v>
    <v>Stock</v>
    <v>46176.466840277775</v>
    <v>343</v>
    <v>1213.7</v>
    <v>10272960000000</v>
    <v>ICICI BANK LIMITED</v>
    <v>ICICI BANK LIMITED</v>
    <v>1219.9000000000001</v>
    <v>16.37</v>
    <v>1226.5999999999999</v>
    <v>1242</v>
    <v>7170613000</v>
    <v>ICICIBANK</v>
    <v>ICICI BANK LIMITED (XNSE:ICICIBANK)</v>
    <v>13934754</v>
    <v>18933900</v>
    <v>1994</v>
  </rv>
  <rv s="2">
    <v>344</v>
  </rv>
  <rv s="0">
    <v>https://www.bing.com/financeapi/forcetrigger?t=ahgpjc&amp;q=XNSE%3a3MINDIA&amp;form=skydnc</v>
    <v>Learn more on Bing</v>
  </rv>
  <rv s="1">
    <v>en-IN</v>
    <v>ahgpjc</v>
    <v>268435456</v>
    <v>1</v>
    <v>Powered by Refinitiv</v>
    <v>0</v>
    <v>3M INDIA LIMITED (XNSE:3MINDIA)</v>
    <v>2</v>
    <v>3</v>
    <v>Finance</v>
    <v>4</v>
    <v>38030</v>
    <v>27940.31</v>
    <v>0.76370000000000005</v>
    <v>-165</v>
    <v>-5.0600000000000003E-3</v>
    <v>INR</v>
    <v>3M India Limited is an India-based company, which manages its operations through four segments: Safety &amp; Industrial; Transportation &amp; Electronics; Consumer and Health Care. The Safety &amp; Industrial segment's products include vinyl, polyester, foil and specialty industrial tapes and adhesives, scotch filament tape and decorative graphics, and others. Health care segment's products include medical and surgical supplies, medical devices, and skin and wound care. The Transportation &amp; Electronics segment's products include personal protection products, brand and asset protection solutions and border control products. This segment also includes the graphics business. The Consumer segment includes products, such as Scotch brand, addressing the home and office tapes, adhesives, and packaging protection platforms, among others. Its brands include Command, Littmann, Nexcare, Post-it, Scotch-Brite and Scotch. The Company has manufacturing facilities in India at Ahmedabad, Bengaluru and Pune.</v>
    <v>1213</v>
    <v>National Stock Exchange of India</v>
    <v>XNSE</v>
    <v>XNSE</v>
    <v>5th Floor Marksquare 61 St Marks Road, Mahatma Gandhi Road, Bangalore North, KARNATAKA, 560001 IN</v>
    <v>32700</v>
    <v>Consumer Goods Conglomerates</v>
    <v>Stock</v>
    <v>46176.466840277775</v>
    <v>346</v>
    <v>32210</v>
    <v>394221100000</v>
    <v>3M INDIA LIMITED</v>
    <v>3M INDIA LIMITED</v>
    <v>32520</v>
    <v>69.98</v>
    <v>32610</v>
    <v>32445</v>
    <v>11265070</v>
    <v>3MINDIA</v>
    <v>3M INDIA LIMITED (XNSE:3MINDIA)</v>
    <v>1512</v>
    <v>9690</v>
    <v>1987</v>
  </rv>
  <rv s="2">
    <v>347</v>
  </rv>
  <rv s="0">
    <v>https://www.bing.com/financeapi/forcetrigger?t=ahgq1h&amp;q=XNSE%3aAARTIIND&amp;form=skydnc</v>
    <v>Learn more on Bing</v>
  </rv>
  <rv s="1">
    <v>en-IN</v>
    <v>ahgq1h</v>
    <v>268435456</v>
    <v>1</v>
    <v>Powered by Refinitiv</v>
    <v>0</v>
    <v>AARTI INDUSTRIES LTD (XNSE:AARTIIND)</v>
    <v>2</v>
    <v>3</v>
    <v>Finance</v>
    <v>4</v>
    <v>523.1</v>
    <v>338.05</v>
    <v>1.5367999999999999</v>
    <v>-5.95</v>
    <v>-1.2666E-2</v>
    <v>INR</v>
    <v>Aarti Industries Limited is an India-based company, which is engaged in manufacturing and dealing in specialty chemicals and intermediates. The Company manufactures Benzene and Toluene-based downstream derivatives and Sulfuric acid products. It specializes in a range of chemical processes, which include Ammonolysis, Chlorination, Diazotization, Halex (Fluorination), Hydrogenation, and Nitration. The Company operates through the Specialty Chemicals segment. Its products category includes basic chemicals, agrochemicals, specialty chemicals, and intermediates. Its specialty chemical intermediates are used in manufacturing agri-products, polymers, additives, dyes and pigments, pharmaceuticals, energy applications, rubber chemicals, and home and personal care (FMCG) chemicals. The Company caters to both domestic and global markets, including the United States of America (USA), Europe, Asia, and others. It operates approximately 16 manufacturing facilities.</v>
    <v>5868</v>
    <v>National Stock Exchange of India</v>
    <v>XNSE</v>
    <v>XNSE</v>
    <v>4th Floor, Tower C, Embassy 247 Park, Gandhi Nagar, Vikhroli West, MUMBAI, MAHARASHTRA, 400083 IN</v>
    <v>471.45</v>
    <v>Chemicals</v>
    <v>Stock</v>
    <v>46176.466840277775</v>
    <v>349</v>
    <v>454.45</v>
    <v>131621600000</v>
    <v>AARTI INDUSTRIES LTD</v>
    <v>AARTI INDUSTRIES LTD</v>
    <v>470</v>
    <v>40.119999999999997</v>
    <v>469.75</v>
    <v>463.8</v>
    <v>362594500</v>
    <v>AARTIIND</v>
    <v>AARTI INDUSTRIES LTD (XNSE:AARTIIND)</v>
    <v>638355</v>
    <v>647870</v>
    <v>1984</v>
  </rv>
  <rv s="2">
    <v>350</v>
  </rv>
  <rv s="0">
    <v>https://www.bing.com/financeapi/forcetrigger?t=ahgucw&amp;q=XNSE%3aALKYLAMINE&amp;form=skydnc</v>
    <v>Learn more on Bing</v>
  </rv>
  <rv s="1">
    <v>en-IN</v>
    <v>ahgucw</v>
    <v>268435456</v>
    <v>1</v>
    <v>Powered by Refinitiv</v>
    <v>0</v>
    <v>ALKYL AMINES CHEMICALS LIMITED (XNSE:ALKYLAMINE)</v>
    <v>2</v>
    <v>3</v>
    <v>Finance</v>
    <v>4</v>
    <v>2438.8000000000002</v>
    <v>1212</v>
    <v>1.26</v>
    <v>58.1</v>
    <v>3.2663999999999999E-2</v>
    <v>INR</v>
    <v>Alkyl Amines Chemicals Limited is an India-based company, which is engaged in the business of manufacturing and supply of aliphatic amines, amine derivatives and other specialty chemicals. The Company manufactures aliphatic amines, specialty amines and amine derivatives and supply to pharmaceutical, agrochemical, water treatment, rubber chemical to a variety of industries. Its aliphatic amines products include Methylamine, Ethylamine, Isopropylamine, Propylamines, Cyclohexylamines, Butylamines, Ethylhexylamines and Furfurylamine. Its amine derivatives products include Dimethylamine hydrochloride, Triethylamine hydrochloride, Diisopropylethylamine, and Diethyl toluamide. Its specialty chemical products include acetonitrile, 1,8-Diazabicyclo [5.4.0] undec-7-ene (DBU), Diethyleketone or 3-Pentanone, ALCHAN 100, ALCHAN 300, 2-aminoethoxy ethano (DGA), 2-ethoxy ethylamine (EOEA), tempo, free radical, Monomethylamine 30% in MeOH, Tetramethyl ethylenediamine, and Monomethylamine 25% in MeOH.</v>
    <v>643</v>
    <v>National Stock Exchange of India</v>
    <v>XNSE</v>
    <v>XNSE</v>
    <v>NIRMAN VYAPAR KENDRA 401-407PLOT NO 10 SECTOR-17DBC, VASHI NEW MUMBAI, MAHARASHTRA, 400703 IN</v>
    <v>1860.8</v>
    <v>Chemicals</v>
    <v>Stock</v>
    <v>46176.466840277775</v>
    <v>352</v>
    <v>1736.6</v>
    <v>82387950000</v>
    <v>ALKYL AMINES CHEMICALS LIMITED</v>
    <v>ALKYL AMINES CHEMICALS LIMITED</v>
    <v>1777.9</v>
    <v>52.18</v>
    <v>1778.7</v>
    <v>1836.8</v>
    <v>51144050</v>
    <v>ALKYLAMINE</v>
    <v>ALKYL AMINES CHEMICALS LIMITED (XNSE:ALKYLAMINE)</v>
    <v>956062</v>
    <v>273630</v>
    <v>1979</v>
  </rv>
  <rv s="2">
    <v>353</v>
  </rv>
  <rv s="0">
    <v>https://www.bing.com/financeapi/forcetrigger?t=ahh3im&amp;q=XNSE%3aBAJFINANCE&amp;form=skydnc</v>
    <v>Learn more on Bing</v>
  </rv>
  <rv s="1">
    <v>en-IN</v>
    <v>ahh3im</v>
    <v>268435456</v>
    <v>1</v>
    <v>Powered by Refinitiv</v>
    <v>0</v>
    <v>BAJAJ FINANCE LIMITED (XNSE:BAJFINANCE)</v>
    <v>2</v>
    <v>3</v>
    <v>Finance</v>
    <v>4</v>
    <v>1102.5</v>
    <v>787.9</v>
    <v>1.3254999999999999</v>
    <v>-5.2</v>
    <v>-5.8960000000000002E-3</v>
    <v>INR</v>
    <v>Bajaj Finance Ltd. is an India-based non-banking financial company (NBFC). The Company is mainly engaged in the business of lending and accepting deposits. It has a diversified lending portfolio across retail, small and medium-sized enterprises (SMEs) and commercial customers with a presence in both urban and rural India. It also accepts public and corporate deposits and offers a variety of financial service products to its customers. Its products include Consumer Finance, Commercial Lending, SME Finance, Investment, Corporate Finance, and Financial Institutions Lending. Its Consumer Finance includes Digital Product Finance, Lifestyle Finance, Durable Finance, Personal Loan, Home Loan, Retailer Finance, and others. Its commercial lending includes Vendor Financing, Large Value Lease Rental Discounting, Loans against Securities, and others. Its investments include fixed deposit and mutual funds. Its subsidiaries include Bajaj Housing Finance Ltd. and Bajaj Financial Securities Ltd.</v>
    <v>71613</v>
    <v>National Stock Exchange of India</v>
    <v>XNSE</v>
    <v>XNSE</v>
    <v>6th Floor Bajaj Finserv Corporate Office, Off Pune-Ahmednagar Road, Viman Nagar, PUNE, MAHARASHTRA, 411014 IN</v>
    <v>882</v>
    <v>Banking Services</v>
    <v>Stock</v>
    <v>46176.466840277775</v>
    <v>355</v>
    <v>863.5</v>
    <v>5898163000000</v>
    <v>BAJAJ FINANCE LIMITED</v>
    <v>BAJAJ FINANCE LIMITED</v>
    <v>882</v>
    <v>28.64</v>
    <v>882</v>
    <v>876.8</v>
    <v>6221349000</v>
    <v>BAJFINANCE</v>
    <v>BAJAJ FINANCE LIMITED (XNSE:BAJFINANCE)</v>
    <v>14747769</v>
    <v>11894660</v>
    <v>1987</v>
  </rv>
  <rv s="2">
    <v>356</v>
  </rv>
  <rv s="0">
    <v>https://www.bing.com/financeapi/forcetrigger?t=ahh74c&amp;q=XNSE%3aBHARATRAS&amp;form=skydnc</v>
    <v>Learn more on Bing</v>
  </rv>
  <rv s="1">
    <v>en-IN</v>
    <v>ahh74c</v>
    <v>268435456</v>
    <v>1</v>
    <v>Powered by Refinitiv</v>
    <v>0</v>
    <v>BHARAT RASAYAN LIMITED (XNSE:BHARATRAS)</v>
    <v>2</v>
    <v>3</v>
    <v>Finance</v>
    <v>4</v>
    <v>3000</v>
    <v>1203</v>
    <v>0.87139999999999995</v>
    <v>-17.8</v>
    <v>-1.2191E-2</v>
    <v>INR</v>
    <v>Bharat Rasayan Limited is an India-based company engaged in the business of manufacturing pesticides. The Company is engaged in the manufacturing and sale of technical grade pesticides and chemical intermediates. The Company’s products include Insecticides, which consist of Alphacypermethrin; Bifenthrin; Cypermethrin; Acetamiprid; Diafenthiuron; Fenvalerate; Permethrin; Thiamethoxam and others; Herbicides, which include Chlorimuron Ethyl, Diuron, Metsulfuron Methyl, Metribuzin, Pendimethalin, Sulfosulfuron and others; Fungicides, which include Myclobutanil, Tebuconazole and Difenoconazole, and Intermediates, which include Meta Phenoxy Benzaldehyde, Meta Phenoxy Benzyl Alcohol, Para Chloro Benzyl Cyanide, Cypermethrin Acid Chloride and others. The Company's plants are located at Rohtak, Haryana and Bharuch, Gujarat. Its plant at Haryana has a capacity of 4,260 metric tons (MT) per annum and has facilities for bulk packaging of formulations.</v>
    <v>651</v>
    <v>National Stock Exchange of India</v>
    <v>XNSE</v>
    <v>XNSE</v>
    <v>1501 VIKRAM TOWER RAJENDRA PLACE, DELHI, 110008 IN</v>
    <v>1460.2</v>
    <v>Chemicals</v>
    <v>Stock</v>
    <v>46176.466840277775</v>
    <v>358</v>
    <v>1422</v>
    <v>36408460000</v>
    <v>BHARAT RASAYAN LIMITED</v>
    <v>BHARAT RASAYAN LIMITED</v>
    <v>1460.1</v>
    <v>18.059999999999999</v>
    <v>1460.1</v>
    <v>1442.3</v>
    <v>16621070</v>
    <v>BHARATRAS</v>
    <v>BHARAT RASAYAN LIMITED (XNSE:BHARATRAS)</v>
    <v>8466</v>
    <v>22820</v>
    <v>1989</v>
  </rv>
  <rv s="2">
    <v>359</v>
  </rv>
  <rv s="0">
    <v>https://www.bing.com/financeapi/forcetrigger?t=ahhdbh&amp;q=XNSE%3aCERA&amp;form=skydnc</v>
    <v>Learn more on Bing</v>
  </rv>
  <rv s="1">
    <v>en-IN</v>
    <v>ahhdbh</v>
    <v>268435456</v>
    <v>1</v>
    <v>Powered by Refinitiv</v>
    <v>0</v>
    <v>CERA SANITARYWARE LIMITED (XNSE:CERA)</v>
    <v>2</v>
    <v>3</v>
    <v>Finance</v>
    <v>4</v>
    <v>7275</v>
    <v>4461.1000000000004</v>
    <v>0.81620000000000004</v>
    <v>-28</v>
    <v>-4.9959999999999996E-3</v>
    <v>INR</v>
    <v>Cera Sanitaryware Limited is engaged in the business of manufacturing, selling, and trading of building products and is having nonconventional wind &amp; solar power for captive use in the State of Gujarat. Its products and services include sanitaryware, faucets and showers, tiles, and wellness. Its Sanitaryware products include EWCs, wash basins, cisterns, seat covers, urinals, electronic flushing systems, special needs range, and bath accessories. Its Faucets &amp; Showers products include foot operated faucets, single lever faucets, quarter turn faucets, half turn faucets, sensor and touch faucets, special-needed products, other allied products, health faucets, bathroom accessories and Cera auxiliaries. Its tile products include wall and floor tiles. Its Wellness products include a freestanding bathtub, a drop-in bathtub, air and water massage bathtub, shower panels, and others. Its kitchen sink products include handmade sinks, 304 grade SS sinks, and 202 grade SS sinks.</v>
    <v>2474</v>
    <v>National Stock Exchange of India</v>
    <v>XNSE</v>
    <v>XNSE</v>
    <v>9 GIDC INDUSTRIAL ESTATE KADI, GUJARAT, 382715 IN</v>
    <v>5630</v>
    <v>Homebuilding &amp; Construction Supplies</v>
    <v>Stock</v>
    <v>46176.466863425929</v>
    <v>361</v>
    <v>5525.5</v>
    <v>65435870000</v>
    <v>CERA SANITARYWARE LIMITED</v>
    <v>CERA SANITARYWARE LIMITED</v>
    <v>5605</v>
    <v>35.22</v>
    <v>5605</v>
    <v>5577</v>
    <v>12892970</v>
    <v>CERA</v>
    <v>CERA SANITARYWARE LIMITED (XNSE:CERA)</v>
    <v>4396</v>
    <v>8870</v>
    <v>1998</v>
  </rv>
  <rv s="2">
    <v>362</v>
  </rv>
  <rv s="0">
    <v>https://www.bing.com/financeapi/forcetrigger?t=ahhgf2&amp;q=XNSE%3aCRISIL&amp;form=skydnc</v>
    <v>Learn more on Bing</v>
  </rv>
  <rv s="1">
    <v>en-IN</v>
    <v>ahhgf2</v>
    <v>268435456</v>
    <v>1</v>
    <v>Powered by Refinitiv</v>
    <v>0</v>
    <v>CRISIL LIMITED (XNSE:CRISIL)</v>
    <v>2</v>
    <v>3</v>
    <v>Finance</v>
    <v>4</v>
    <v>6139</v>
    <v>3686</v>
    <v>0.37959999999999999</v>
    <v>38.6</v>
    <v>1.0026999999999999E-2</v>
    <v>INR</v>
    <v>CRISIL Limited is a global analytics company. It is engaged in providing ratings, research, and risk and policy advisory services. Its segments include Ratings services and Research, Analytics &amp; Solutions. The Ratings services segment includes credit ratings for corporates, banks, bank loans, credit analysis services, grading services and global analytical services. The Research, Analytics and solutions segment includes global research and risk solutions, industry reports, customized research assignments, subscription to data services, independent equity research (IER), initial public offerings (IPO) gradings, training, credit ratings for small and medium enterprises, advisory services and a comprehensive range of risk management tools, analytics and solutions to financial institutions, banks and corporates in India. It also offers insights, consulting, technology-driven risk solutions and advanced data analytics, serving clients across the government, private and public enterprises.</v>
    <v>5081</v>
    <v>National Stock Exchange of India</v>
    <v>XNSE</v>
    <v>XNSE</v>
    <v>CRISIL House, Central Avenue, Hiranandani Business Park, Powai, MUMBAI, MAHARASHTRA, 400076 IN</v>
    <v>3920.8</v>
    <v>Professional &amp; Commercial Services</v>
    <v>Stock</v>
    <v>46176.466840277775</v>
    <v>364</v>
    <v>3808.7</v>
    <v>352164900000</v>
    <v>CRISIL LIMITED</v>
    <v>CRISIL LIMITED</v>
    <v>3850</v>
    <v>33.869999999999997</v>
    <v>3849.7</v>
    <v>3888.3</v>
    <v>73130020</v>
    <v>CRISIL</v>
    <v>CRISIL LIMITED (XNSE:CRISIL)</v>
    <v>33277</v>
    <v>41170</v>
    <v>1987</v>
  </rv>
  <rv s="2">
    <v>365</v>
  </rv>
  <rv s="0">
    <v>https://www.bing.com/financeapi/forcetrigger?t=ahhkkr&amp;q=XNSE%3aDIXON&amp;form=skydnc</v>
    <v>Learn more on Bing</v>
  </rv>
  <rv s="1">
    <v>en-IN</v>
    <v>ahhkkr</v>
    <v>268435456</v>
    <v>1</v>
    <v>Powered by Refinitiv</v>
    <v>0</v>
    <v>DIXON TECHNOLOGIES (INDIA) LIMITED (XNSE:DIXON)</v>
    <v>2</v>
    <v>3</v>
    <v>Finance</v>
    <v>4</v>
    <v>18471</v>
    <v>9600</v>
    <v>0.99350000000000005</v>
    <v>-377</v>
    <v>-3.2488999999999997E-2</v>
    <v>INR</v>
    <v>Dixon Technologies (India) Limited is an India-based electronics manufacturing services (EMS) provider. The Company is engaged in manufacturing various verticals, including consumer durables, lighting solutions, home appliances, and mobile phones. It operates through a single segment, which is Electronics Goods. Its product portfolio can be categorized into consumer electronics, home appliances, lighting products, mobile phones and EMS. Its consumer electronics include light-emitting diode (LED) televisions (TVs) and refrigerators. Its home appliances include washing machines. Its lighting products include LED bulbs, outdoor lighting, smart lights, battens, and downlighters. Its mobile phones and EMS include smartphones, information technology (IT) hardware, telecommunications, hearables, and wearables. It offers reverse logistics services such as repair and refurbishment of LED TV panels.</v>
    <v>4447</v>
    <v>National Stock Exchange of India</v>
    <v>XNSE</v>
    <v>XNSE</v>
    <v>B 14 &amp; 15, Noida Phase II, NOIDA, UTTAR PRADESH, 201305 IN</v>
    <v>11640</v>
    <v>Computers, Phones &amp; Household Electronics</v>
    <v>Stock</v>
    <v>46176.466886574075</v>
    <v>367</v>
    <v>11153</v>
    <v>681986400000</v>
    <v>DIXON TECHNOLOGIES (INDIA) LIMITED</v>
    <v>DIXON TECHNOLOGIES (INDIA) LIMITED</v>
    <v>11620</v>
    <v>41.34</v>
    <v>11604</v>
    <v>11227</v>
    <v>61085920</v>
    <v>DIXON</v>
    <v>DIXON TECHNOLOGIES (INDIA) LIMITED (XNSE:DIXON)</v>
    <v>524162</v>
    <v>541600</v>
    <v>1993</v>
  </rv>
  <rv s="2">
    <v>368</v>
  </rv>
  <rv s="0">
    <v>https://www.bing.com/financeapi/forcetrigger?t=bx7fqh&amp;q=XNSE%3aFAIRCHEMOR&amp;form=skydnc</v>
    <v>Learn more on Bing</v>
  </rv>
  <rv s="1">
    <v>en-IN</v>
    <v>bx7fqh</v>
    <v>268435456</v>
    <v>1</v>
    <v>Powered by Refinitiv</v>
    <v>0</v>
    <v>FAIRCHEM ORGANICS LIMITED (XNSE:FAIRCHEMOR)</v>
    <v>2</v>
    <v>3</v>
    <v>Finance</v>
    <v>4</v>
    <v>1102.7</v>
    <v>428.05</v>
    <v>1.4476</v>
    <v>0.7</v>
    <v>1.1659999999999999E-3</v>
    <v>INR</v>
    <v>Fairchem Organics Limited is an India-based company, which is engaged in manufacturing of specialty chemicals, such as oleo chemicals and intermediate nutraceuticals. The Company’s products include dimer acid, linoleic acid / soya fatty acid, mixed tocopherol concentrate stream, isosteric acid, and fatty acids. Its fatty acids include palmitic acid, stearic acid, monobasic acid, and distilled fatty acids. Oleo Chemicals products include Dimer Acid (HIPOL 100), Distilled Fatty Acid, Dimer Acid (HIPOL 800), Monobasic Acid (HIFAC 101), Distilled Fatty Acid (Soya Fatty Acid), Palmitic Acid, Linoleic Acid and Residue. Nutraceuticals products include natural concentrated tocopherols and natural concentrated sterols. Its Dimer acid is used in various consumer products, including paints, printing inks, epoxy hardeners, drilling chemicals and molds. It also processes tocopherol, which is used in formulating Natural Vitamin E. The Company’s manufacturing facility is set up in Gujarat, India.</v>
    <v>227</v>
    <v>National Stock Exchange of India</v>
    <v>XNSE</v>
    <v>XNSE</v>
    <v>253/P &amp; 312, Chekhala, Sanand-Kadi Highway, Taluka : Sanand, AHMEDABAD, GUJARAT, 382 115 IN</v>
    <v>610</v>
    <v>Chemicals</v>
    <v>Stock</v>
    <v>46176.466840277775</v>
    <v>370</v>
    <v>595.1</v>
    <v>9240283000</v>
    <v>FAIRCHEM ORGANICS LIMITED</v>
    <v>FAIRCHEM ORGANICS LIMITED</v>
    <v>601</v>
    <v>140.82</v>
    <v>600.6</v>
    <v>601.29999999999995</v>
    <v>12595900</v>
    <v>FAIRCHEMOR</v>
    <v>FAIRCHEM ORGANICS LIMITED (XNSE:FAIRCHEMOR)</v>
    <v>6146</v>
    <v>16360</v>
    <v>2019</v>
  </rv>
  <rv s="2">
    <v>371</v>
  </rv>
  <rv s="0">
    <v>https://www.bing.com/financeapi/forcetrigger?t=aywihw&amp;q=XNSE%3aGALAXYSURF&amp;form=skydnc</v>
    <v>Learn more on Bing</v>
  </rv>
  <rv s="1">
    <v>en-IN</v>
    <v>aywihw</v>
    <v>268435456</v>
    <v>1</v>
    <v>Powered by Refinitiv</v>
    <v>0</v>
    <v>GALAXY SURFACTANTS LTD (XNSE:GALAXYSURF)</v>
    <v>2</v>
    <v>3</v>
    <v>Finance</v>
    <v>4</v>
    <v>2750.1</v>
    <v>1510</v>
    <v>1.0887</v>
    <v>-11.9</v>
    <v>-6.7710000000000001E-3</v>
    <v>INR</v>
    <v>Galaxy Surfactants Limited is an India-based company. The Company provides surfactants and specialty services for the personal, home care, beauty and wellness industries. It offers emollients, fatty alcohol ethoxylates, fatty alcohol sulfates and ether sulfates; foam and viscosity boosters; functional actives, linear alkyl benzene sulfonic acid (LABSA), mild surfactant, pearlizers, preservatives and blends; sun protection, surfactant blends, syndet and transparent bathing bars. It offers GalMOL MOD, which is an emollient derived from renewable sources such as myristic acid and octyldodecanol. Its fatty alcohol ethoxylates include Galaxy MW 259, Galaxy MW 287, Galaxy MW 257, and Galaxy MW 253. Its fatty alcohol sulfates and ether sulfates include Galaxy 689, Galaxy 789 SP, Galaxy 796 G, Galaxy 799, and Galaxy ALS. The Company's foam and viscosity boosters include Galaxy CAPB DC, Galaxy CAPB Plus, Galaxy CB, Galaxy LAPB and Galaxy CAPB VB.</v>
    <v>1785</v>
    <v>National Stock Exchange of India</v>
    <v>XNSE</v>
    <v>XNSE</v>
    <v>C-49/2, TTC Industrial Area, Pawne, NAVI MUMBAI, MAHARASHTRA, 400703 IN</v>
    <v>1757.5</v>
    <v>Chemicals</v>
    <v>Stock</v>
    <v>46176.466840277775</v>
    <v>373</v>
    <v>1731.1</v>
    <v>66459930000</v>
    <v>GALAXY SURFACTANTS LTD</v>
    <v>GALAXY SURFACTANTS LTD</v>
    <v>1757.5</v>
    <v>23.15</v>
    <v>1757.5</v>
    <v>1745.6</v>
    <v>35454750</v>
    <v>GALAXYSURF</v>
    <v>GALAXY SURFACTANTS LTD (XNSE:GALAXYSURF)</v>
    <v>3759</v>
    <v>6710</v>
    <v>1986</v>
  </rv>
  <rv s="2">
    <v>374</v>
  </rv>
  <rv s="0">
    <v>https://www.bing.com/financeapi/forcetrigger?t=ahi1w7&amp;q=XNSE%3aGUJGASLTD&amp;form=skydnc</v>
    <v>Learn more on Bing</v>
  </rv>
  <rv s="1">
    <v>en-IN</v>
    <v>ahi1w7</v>
    <v>268435456</v>
    <v>1</v>
    <v>Powered by Refinitiv</v>
    <v>0</v>
    <v>GUJARAT ENERGY LIMITED (XNSE:GUJGASLTD)</v>
    <v>2</v>
    <v>3</v>
    <v>Finance</v>
    <v>4</v>
    <v>508.7</v>
    <v>301.5</v>
    <v>1.1620999999999999</v>
    <v>0.8</v>
    <v>2.0150000000000003E-3</v>
    <v>INR</v>
    <v>Gujarat Energy Limited, formerly Gujarat Gas Limited, is a city gas distribution company. It is engaged in natural gas, involving distribution of gas from sources of supply to centers of demand and to the end customers through its city gas distribution network. It is developing city gas distribution (CGD) networks to supply piped natural gas to industrial, commercial and domestic customers and compress natural gas to automobiles (CNG run vehicles). It has investments in diversified businesses, including gas-based power generation (GSEG and GPPC), LNG Terminal (GSPC LNG Limited), city gas distribution (Sabarmati Gas Limited) and information technology enabled services (Guj Info Petro Limited). It operates in 44 districts in six states of Gujarat, Maharashtra, Rajasthan, Haryana, Punjab &amp; Madhya Pradesh and one Union territory of Dadra &amp; Nagar Haveli. It operates over 834 CNG stations and has connected more than 23.83 lakh households and over 15,900 commercial customers.</v>
    <v>895</v>
    <v>National Stock Exchange of India</v>
    <v>XNSE</v>
    <v>XNSE</v>
    <v>Office No. 4 &amp; 5, Ground Floor, IT Tower -2, Infocity, GANDHINAGAR, GUJARAT, 382009 IN</v>
    <v>403.8</v>
    <v>Natural Gas Utilities</v>
    <v>Stock</v>
    <v>46176.466851851852</v>
    <v>376</v>
    <v>391.7</v>
    <v>281310600000</v>
    <v>GUJARAT ENERGY LIMITED</v>
    <v>GUJARAT ENERGY LIMITED</v>
    <v>399.9</v>
    <v>24.18</v>
    <v>396.95</v>
    <v>397.75</v>
    <v>938230800</v>
    <v>GUJGASLTD</v>
    <v>GUJARAT ENERGY LIMITED (XNSE:GUJGASLTD)</v>
    <v>716318</v>
    <v>851190</v>
    <v>2012</v>
  </rv>
  <rv s="2">
    <v>377</v>
  </rv>
  <rv s="0">
    <v>https://www.bing.com/financeapi/forcetrigger?t=ahi2vh&amp;q=XNSE%3aHAVELLS&amp;form=skydnc</v>
    <v>Learn more on Bing</v>
  </rv>
  <rv s="1">
    <v>en-IN</v>
    <v>ahi2vh</v>
    <v>268435456</v>
    <v>1</v>
    <v>Powered by Refinitiv</v>
    <v>0</v>
    <v>HAVELLS INDIA LIMITED (XNSE:HAVELLS)</v>
    <v>2</v>
    <v>3</v>
    <v>Finance</v>
    <v>4</v>
    <v>1621.1</v>
    <v>1123.5999999999999</v>
    <v>0.91379999999999995</v>
    <v>-18.2</v>
    <v>-1.5495000000000002E-2</v>
    <v>INR</v>
    <v>Havells India Limited is an India-based fast moving electrical goods (FMEG) company. The Company is consumer electrical/electronic and power distribution equipment manufacturer with products ranging from industrial and domestic circuit protection switchgears, cables, motors, pumps, solar products, solar modules, fans, power capacitors, LED lamps and luminaries for domestic, commercial and industrial applications, modular switches, water heaters, coolers and domestic appliances, personal grooming, air purifier, water purifier, air conditioner, television, washing machine and refrigerator covering the entire range of household, commercial and industrial electrical needs. The Company has brand showroom in the electrical industry, namely Havells Exclusive Brand Stores. It owns various brands, Havells Studio, Lloyd, Havells Crabtree, Standard Electricals and REO. Its solar products include solar on grid solutions, solar off grid solutions, and solar on grid inverter solutions.</v>
    <v>8181</v>
    <v>National Stock Exchange of India</v>
    <v>XNSE</v>
    <v>XNSE</v>
    <v>QRG Towers 2D Sector 126 Expressway, UTTAR PRADESH, 201304 IN</v>
    <v>1184.2</v>
    <v>Machinery, Equipment &amp; Components</v>
    <v>Stock</v>
    <v>46176.466851851852</v>
    <v>379</v>
    <v>1153.3</v>
    <v>898043600000</v>
    <v>HAVELLS INDIA LIMITED</v>
    <v>HAVELLS INDIA LIMITED</v>
    <v>1184.2</v>
    <v>42.89</v>
    <v>1174.5999999999999</v>
    <v>1156.4000000000001</v>
    <v>627561600</v>
    <v>HAVELLS</v>
    <v>HAVELLS INDIA LIMITED (XNSE:HAVELLS)</v>
    <v>873609</v>
    <v>1123640</v>
    <v>1983</v>
  </rv>
  <rv s="2">
    <v>380</v>
  </rv>
  <rv s="0">
    <v>https://www.bing.com/financeapi/forcetrigger?t=ahi3jc&amp;q=XNSE%3aHDFCBANK&amp;form=skydnc</v>
    <v>Learn more on Bing</v>
  </rv>
  <rv s="1">
    <v>en-IN</v>
    <v>ahi3jc</v>
    <v>268435456</v>
    <v>1</v>
    <v>Powered by Refinitiv</v>
    <v>0</v>
    <v>HDFC BANK LIMITED (XNSE:HDFCBANK)</v>
    <v>2</v>
    <v>3</v>
    <v>Finance</v>
    <v>4</v>
    <v>1020.5</v>
    <v>726.65</v>
    <v>1.0041</v>
    <v>5.4</v>
    <v>7.2170000000000003E-3</v>
    <v>INR</v>
    <v>HDFC Bank Limited (the Bank) is an India-based banking company. The Bank, along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215739</v>
    <v>National Stock Exchange of India</v>
    <v>XNSE</v>
    <v>XNSE</v>
    <v>'Hdfc Bank House', Senapati Bapat Road, Lower Parel (West), Mumbai India, MUMBAI, MAHARASHTRA, 400013 IN</v>
    <v>756.9</v>
    <v>Banking Services</v>
    <v>Stock</v>
    <v>46176.466840277775</v>
    <v>382</v>
    <v>742.6</v>
    <v>14420670000000</v>
    <v>HDFC BANK LIMITED</v>
    <v>HDFC BANK LIMITED</v>
    <v>744.45</v>
    <v>15.23</v>
    <v>748.25</v>
    <v>753.65</v>
    <v>15397540000</v>
    <v>HDFCBANK</v>
    <v>HDFC BANK LIMITED (XNSE:HDFCBANK)</v>
    <v>36109480</v>
    <v>44245260</v>
    <v>1994</v>
  </rv>
  <rv s="2">
    <v>383</v>
  </rv>
  <rv s="0">
    <v>https://www.bing.com/financeapi/forcetrigger?t=axd4c7&amp;q=XNSE%3aHDFCLIFE&amp;form=skydnc</v>
    <v>Learn more on Bing</v>
  </rv>
  <rv s="1">
    <v>en-IN</v>
    <v>axd4c7</v>
    <v>268435456</v>
    <v>1</v>
    <v>Powered by Refinitiv</v>
    <v>0</v>
    <v>HDFC LIFE INSURANCE COMPANY LIMITED (XNSE:HDFCLIFE)</v>
    <v>2</v>
    <v>3</v>
    <v>Finance</v>
    <v>4</v>
    <v>820.75</v>
    <v>555.1</v>
    <v>0.97050000000000003</v>
    <v>-5.5</v>
    <v>-9.4839999999999994E-3</v>
    <v>INR</v>
    <v>HDFC Life Insurance Company Ltd is an India-based life insurance company. The Company provides a range of individual and group insurance solutions across India. The portfolio consists of various insurance and investment products such as protection, pension, savings, investment, annuity, and health. The Company offers long-term savings, protection and retirement or pension products. The Company operates in three segments: participating (Par), Non-Participating (Non-Par) and Unit-Linked (ULIP). The non-linked segment is split into par and non-par segments. The Non-Linked Participating segment covers insurance contracts that participate in the surplus generated from the segment. The Non-Linked Non-Participating segment covers insurance contracts which do not participate in the surplus generated from the segment. The Unit Linked segment covers insurance contracts, which are investment cum protection plans that provide returns linked to the market performance of the underlying fund.</v>
    <v>37526</v>
    <v>National Stock Exchange of India</v>
    <v>XNSE</v>
    <v>XNSE</v>
    <v>13TH FLOOR, LODHA EXCELUS, APOLLO MILLS COMPOUND, N.M. JOSHI MARG,, MAHALAXMI, MAHARASHTRA, 400011 IN</v>
    <v>581.4</v>
    <v>Insurance</v>
    <v>Stock</v>
    <v>46176.466840277775</v>
    <v>385</v>
    <v>570.25</v>
    <v>1614571000000</v>
    <v>HDFC LIFE INSURANCE COMPANY LIMITED</v>
    <v>HDFC LIFE INSURANCE COMPANY LIMITED</v>
    <v>581.4</v>
    <v>64.680000000000007</v>
    <v>579.9</v>
    <v>574.4</v>
    <v>2157411000</v>
    <v>HDFCLIFE</v>
    <v>HDFC LIFE INSURANCE COMPANY LIMITED (XNSE:HDFCLIFE)</v>
    <v>2055060</v>
    <v>3748000</v>
    <v>2000</v>
  </rv>
  <rv s="2">
    <v>386</v>
  </rv>
  <rv s="0">
    <v>https://www.bing.com/financeapi/forcetrigger?t=ahi8a2&amp;q=XNSE%3aICICIGI&amp;form=skydnc</v>
    <v>Learn more on Bing</v>
  </rv>
  <rv s="1">
    <v>en-IN</v>
    <v>ahi8a2</v>
    <v>268435456</v>
    <v>1</v>
    <v>Powered by Refinitiv</v>
    <v>0</v>
    <v>ICICI LOMBARD GENERAL INSURANCE COMPANY LIMITED (XNSE:ICICIGI)</v>
    <v>2</v>
    <v>3</v>
    <v>Finance</v>
    <v>4</v>
    <v>2068.6999999999998</v>
    <v>1629.5</v>
    <v>1.1037999999999999</v>
    <v>-5.7</v>
    <v>-3.2640000000000004E-3</v>
    <v>INR</v>
    <v>ICICI Lombard General Insurance Company Limited is an India-based general insurance company. The Company offers a comprehensive and diversified range of products through multiple distribution channels, including motor, health, crop, fire, personal accident, marine, engineering, and liability insurance. Its segments include Fire, Marine, Health including Personal Accident, Miscellaneous, Crop Insurance and Motor. Its Health including Personal Accident segment includes health retail, health group corporate and health government business. Its Miscellaneous segment includes miscellaneous retail and miscellaneous group corporate business. Its motor insurance includes car insurance, bike insurance and motor floater. Its health insurance includes Health AdvantEdge, MaxProtect, health booster, personal protect, Arogya Sanjeevani Policy, Saral Suraksha Bima and others. Its other insurances include crop insurance, NRI insurance, cyber insurance, ICICI Bharat Griha Raksha Policy and others.</v>
    <v>15008</v>
    <v>National Stock Exchange of India</v>
    <v>XNSE</v>
    <v>XNSE</v>
    <v>ICICI Lombard House, 414, Veer Savarkar Marg, Near Siddhi Vinayak Temple, Prabhadevi, MUMBAI, MAHARASHTRA, 400025 IN</v>
    <v>1745</v>
    <v>Insurance</v>
    <v>Stock</v>
    <v>46176.466886574075</v>
    <v>388</v>
    <v>1720</v>
    <v>939092900000</v>
    <v>ICICI LOMBARD GENERAL INSURANCE COMPANY LIMITED</v>
    <v>ICICI LOMBARD GENERAL INSURANCE COMPANY LIMITED</v>
    <v>1730.2</v>
    <v>31.22</v>
    <v>1746.5</v>
    <v>1740.8</v>
    <v>499025000</v>
    <v>ICICIGI</v>
    <v>ICICI LOMBARD GENERAL INSURANCE COMPANY LIMITED (XNSE:ICICIGI)</v>
    <v>711061</v>
    <v>706700</v>
    <v>2000</v>
  </rv>
  <rv s="2">
    <v>389</v>
  </rv>
  <rv s="0">
    <v>https://www.bing.com/financeapi/forcetrigger?t=ahi96h&amp;q=XNSE%3aIEX&amp;form=skydnc</v>
    <v>Learn more on Bing</v>
  </rv>
  <rv s="1">
    <v>en-IN</v>
    <v>ahi96h</v>
    <v>268435456</v>
    <v>1</v>
    <v>Powered by Refinitiv</v>
    <v>0</v>
    <v>INDIAN ENERGY EXCHANGE LIMITED (XNSE:IEX)</v>
    <v>2</v>
    <v>3</v>
    <v>Finance</v>
    <v>4</v>
    <v>215.4</v>
    <v>114.6</v>
    <v>1.5348999999999999</v>
    <v>-1.97</v>
    <v>-1.5729E-2</v>
    <v>INR</v>
    <v>Indian Energy Exchange Limited is a Power Exchange. The main activity of the Company is to provide an automated platform and infrastructure for carrying out trading in electricity units for physical delivery of electricity. It offers various trade markets, such as the electricity market, green market, and certificates. The electricity market includes day-ahead market (DAM), term ahead market, real-time market, and cross border electricity trade. The green market includes the green term ahead market, green intra day market, and green day-ahead market. The certificate market includes renewable energy certificates and energy-saving certificates. Its market data includes day-ahead market, green day-ahead market (G-Dam), real-time market, Renewable Energy Certificate (REC) Market, Energy Saving Certificates (ESCerTs) market, trading calendar, and clearing holidays. DAM is a physical electricity trading market, which allows market participants to buy and sell electricity for the next day.</v>
    <v>179</v>
    <v>National Stock Exchange of India</v>
    <v>XNSE</v>
    <v>XNSE</v>
    <v>1ST FLOOR, UNIT NO.1.14(A), AVANTA BUSINESS CENTRE SOUTHERN PARK D-2, DISTRICT CENTRE, SAKET NEW DELHI SOUTH DELHI, DELHI, 110017 IN</v>
    <v>125.96</v>
    <v>Investment Banking &amp; Investment Services</v>
    <v>Stock</v>
    <v>46176.466840277775</v>
    <v>391</v>
    <v>122.5</v>
    <v>125667000000</v>
    <v>INDIAN ENERGY EXCHANGE LIMITED</v>
    <v>INDIAN ENERGY EXCHANGE LIMITED</v>
    <v>125.5</v>
    <v>22.25</v>
    <v>125.25</v>
    <v>123.28</v>
    <v>891692700</v>
    <v>IEX</v>
    <v>INDIAN ENERGY EXCHANGE LIMITED (XNSE:IEX)</v>
    <v>4330386</v>
    <v>3755870</v>
    <v>2007</v>
  </rv>
  <rv s="2">
    <v>392</v>
  </rv>
  <rv s="0">
    <v>https://www.bing.com/financeapi/forcetrigger?t=ahi9kr&amp;q=XNSE%3aIGL&amp;form=skydnc</v>
    <v>Learn more on Bing</v>
  </rv>
  <rv s="1">
    <v>en-IN</v>
    <v>ahi9kr</v>
    <v>268435456</v>
    <v>1</v>
    <v>Powered by Refinitiv</v>
    <v>0</v>
    <v>INDRAPRASTHA GAS LIMITED (XNSE:IGL)</v>
    <v>2</v>
    <v>3</v>
    <v>Finance</v>
    <v>4</v>
    <v>229</v>
    <v>141.74</v>
    <v>1.1017999999999999</v>
    <v>0.63</v>
    <v>3.9170000000000003E-3</v>
    <v>INR</v>
    <v>Indraprastha Gas Limited is an India-based gas distribution company. The Company is engaged in the sale of natural gas. It is focused on industrial and commercial business. It provides safe and uninterrupted gas supply to transport, domestic, commercial and industrial consumers through its distribution network. It offers piped natural gas (PNG), which includes methane-CH4, with a small percentage of other hydrocarbons. It also offers compressed natural gas (CNG), which is a gaseous fuel and is a mixture of hydrocarbons, mainly methane. Its operations cover various regions, including the NCT of Delhi, Noida, Greater Noida, Ghaziabad and Hapur, Gurugram, Meerut, Shamli, Muzaffarnagar, Karnal, Rewari, Kanpur, Hamirpur and Fatehpur districts, Kaithal, Ajmer, Pali, Rajsamand, Banda and others. It supplies PNG in all hotels, restaurants, malls, commercial complexes, educational/religious institutions and hospitals in various districts in and around Delhi-NCR under the commercial sector.</v>
    <v>720</v>
    <v>National Stock Exchange of India</v>
    <v>XNSE</v>
    <v>XNSE</v>
    <v>IGL BHAWAN COMMUNITY CENTRE, PLOT NO.4, SECTOR-9, R.K. PURAM, DELHI, 110022 IN</v>
    <v>162.62</v>
    <v>Natural Gas Utilities</v>
    <v>Stock</v>
    <v>46176.466863425929</v>
    <v>394</v>
    <v>159.34</v>
    <v>253596300000</v>
    <v>INDRAPRASTHA GAS LIMITED</v>
    <v>INDRAPRASTHA GAS LIMITED</v>
    <v>161.25</v>
    <v>14.6</v>
    <v>160.85</v>
    <v>161.47999999999999</v>
    <v>1400002000</v>
    <v>IGL</v>
    <v>INDRAPRASTHA GAS LIMITED (XNSE:IGL)</v>
    <v>2599029</v>
    <v>6908430</v>
    <v>1998</v>
  </rv>
  <rv s="2">
    <v>395</v>
  </rv>
  <rv s="0">
    <v>https://www.bing.com/financeapi/forcetrigger?t=ahj4p2&amp;q=XNSE%3aNAUKRI&amp;form=skydnc</v>
    <v>Learn more on Bing</v>
  </rv>
  <rv s="1">
    <v>en-IN</v>
    <v>ahj4p2</v>
    <v>268435456</v>
    <v>1</v>
    <v>Powered by Refinitiv</v>
    <v>0</v>
    <v>INFO EDGE (INDIA) LIMITED (XNSE:NAUKRI)</v>
    <v>2</v>
    <v>3</v>
    <v>Finance</v>
    <v>4</v>
    <v>1550</v>
    <v>908.3</v>
    <v>1.3371999999999999</v>
    <v>-9.65</v>
    <v>-9.500999999999999E-3</v>
    <v>INR</v>
    <v>Info Edge (India) Limited is an India-based company that is engaged in operating multiple Internet-based services through its various Web portals and mobile applications. Its segments include Recruitment Solutions, Real State- 99 acres, and Others. The Recruitment Solutions segment consists of Naukri and all other allied businesses, which provides hiring solutions for both business-to-business (B2B), and business-to-customers (B2C). The real State- 99 acres segment is focused on property listings, builders and brokers branding and visibility through micro-sites, home page links, and banners servicing real estate developers, builders and brokers. Other segment comprises Jeevansathi and Shiksha services. The Company is primarily engaged in providing online &amp; offline services primarily through its online portal Naukri.com, Jeevansathi.com, 99 acres.com, shiksha.com, iimjobs.com &amp; offline portal Quadrangle.com.</v>
    <v>5984</v>
    <v>National Stock Exchange of India</v>
    <v>XNSE</v>
    <v>XNSE</v>
    <v>GROUND FLOOR, GF-12A 94 MEGHDOOT, NEHRU PLACE,, DELHI, 110020 IN</v>
    <v>1020</v>
    <v>Software &amp; IT Services</v>
    <v>Stock</v>
    <v>46176.466863425929</v>
    <v>397</v>
    <v>989.4</v>
    <v>862635900000</v>
    <v>INFO EDGE (INDIA) LIMITED</v>
    <v>INFO EDGE (INDIA) LIMITED</v>
    <v>1010.1</v>
    <v>44.93</v>
    <v>1015.7</v>
    <v>1006.05</v>
    <v>647737400</v>
    <v>NAUKRI</v>
    <v>INFO EDGE (INDIA) LIMITED (XNSE:NAUKRI)</v>
    <v>2369632</v>
    <v>4398320</v>
    <v>1995</v>
  </rv>
  <rv s="2">
    <v>398</v>
  </rv>
  <rv s="0">
    <v>https://www.bing.com/financeapi/forcetrigger?t=bsg5qh&amp;q=XNSE%3aIRCTC&amp;form=skydnc</v>
    <v>Learn more on Bing</v>
  </rv>
  <rv s="1">
    <v>en-IN</v>
    <v>bsg5qh</v>
    <v>268435456</v>
    <v>1</v>
    <v>Powered by Refinitiv</v>
    <v>0</v>
    <v>INDIAN RAILWAY CATERING AND TOURISM CORPORATION LIMITED (XNSE:IRCTC)</v>
    <v>2</v>
    <v>3</v>
    <v>Finance</v>
    <v>4</v>
    <v>798.6</v>
    <v>492.65</v>
    <v>1.5516000000000001</v>
    <v>-6.1</v>
    <v>-1.1800999999999999E-2</v>
    <v>INR</v>
    <v>Indian Railway Catering and Tourism Corporation Limited is engaged in providing online railway tickets, catering services to railways and packaged drinking water at railway stations and trains in India. The Company's segments include Catering, Rail Neer, Internet Ticketing, and Tourism. Its catering services include mobile catering services, e-catering services, and static catering services. It offers static catering through food plaza, fast food units, refreshment rooms, base kitchens, and other facilities on station premises, retiring rooms, and dormitories. Rail Neer is the Company's branded bottled drinking water. The Company operates approximately 19 Rail Neer plants. It provides customers with multi-modal transport ticket booking facilities, covering railway, roadways and air travel. Its comprehensive range of tourism and hospitality offerings includes luxury train tours, hotel bookings, domestic air packages, rail tour packages, outbound tour packages, and holiday packages.</v>
    <v>1338</v>
    <v>National Stock Exchange of India</v>
    <v>XNSE</v>
    <v>XNSE</v>
    <v>4TH FLOOR, TOWER - D WORLD TRADE CENTRE, NAUROJI NAGAR, NEW DELHI, NEW DELHI, DELHI, INDIA,, DELHI, 110029 IN</v>
    <v>519.54999999999995</v>
    <v>Passenger Transportation Services</v>
    <v>Stock</v>
    <v>46176.466863425929</v>
    <v>400</v>
    <v>510</v>
    <v>504160000000</v>
    <v>INDIAN RAILWAY CATERING AND TOURISM CORPORATION LIMITED</v>
    <v>INDIAN RAILWAY CATERING AND TOURISM CORPORATION LIMITED</v>
    <v>516</v>
    <v>29.32</v>
    <v>516.9</v>
    <v>510.8</v>
    <v>800000000</v>
    <v>IRCTC</v>
    <v>INDIAN RAILWAY CATERING AND TOURISM CORPORATION LIMITED (XNSE:IRCTC)</v>
    <v>802284</v>
    <v>1059340</v>
    <v>1999</v>
  </rv>
  <rv s="2">
    <v>401</v>
  </rv>
  <rv s="0">
    <v>https://www.bing.com/financeapi/forcetrigger?t=ahijm7&amp;q=XNSE%3aKAJARIACER&amp;form=skydnc</v>
    <v>Learn more on Bing</v>
  </rv>
  <rv s="1">
    <v>en-IN</v>
    <v>ahijm7</v>
    <v>268435456</v>
    <v>1</v>
    <v>Powered by Refinitiv</v>
    <v>0</v>
    <v>KAJARIA CERAMICS LIMITED (XNSE:KAJARIACER)</v>
    <v>2</v>
    <v>3</v>
    <v>Finance</v>
    <v>4</v>
    <v>1321.9</v>
    <v>869.6</v>
    <v>1.2882</v>
    <v>-6.2</v>
    <v>-5.5539999999999999E-3</v>
    <v>INR</v>
    <v>Kajaria Ceramics Limited is an India-based manufacturer of ceramic/vitrified tiles. The Company's segments include Tiles and Others. The Tiles segment is engaged in the manufacturing and trading of ceramic and vitrified wall and floor tiles. The Others segment is engaged in the manufacturing of sanitaryware and faucet and trading of plywood and laminates. Its product categories include glazed vitrified tiles - Eternity, ceramic wall and floor tiles, polished vitrified tiles and tile adhesives. The Company's wall tiles product categories include bathroom, kitchen, outdoor, living room, bedroom and wall tiles for commercial spaces. Its floor tiles product categories include living room, outdoor, bedroom, kitchen, bathroom and floor tiles for commercial spaces. The Company's Eternity glazed vitrified tiles include admiral brown, bolvia grey, ambrosia, ambrosia decor, apollo grey, astonia bronze, astonia nero and blossom beige decor.</v>
    <v>2590</v>
    <v>National Stock Exchange of India</v>
    <v>XNSE</v>
    <v>XNSE</v>
    <v>J1/B1 (EXTN), MOHAN CO-OP INDL ESTATE MATHURA ROAD, NEW DELHI, DELHI, 110044 IN</v>
    <v>1125</v>
    <v>Homebuilding &amp; Construction Supplies</v>
    <v>Stock</v>
    <v>46176.466840277775</v>
    <v>403</v>
    <v>1094.2</v>
    <v>158404300000</v>
    <v>KAJARIA CERAMICS LIMITED</v>
    <v>KAJARIA CERAMICS LIMITED</v>
    <v>1125</v>
    <v>36.200000000000003</v>
    <v>1116.4000000000001</v>
    <v>1110.2</v>
    <v>159272300</v>
    <v>KAJARIACER</v>
    <v>KAJARIA CERAMICS LIMITED (XNSE:KAJARIACER)</v>
    <v>253504</v>
    <v>230130</v>
    <v>1985</v>
  </rv>
  <rv s="2">
    <v>404</v>
  </rv>
  <rv s="0">
    <v>https://www.bing.com/financeapi/forcetrigger?t=ahinjc&amp;q=XNSE%3aKOTAKBANK&amp;form=skydnc</v>
    <v>Learn more on Bing</v>
  </rv>
  <rv s="1">
    <v>en-IN</v>
    <v>ahinjc</v>
    <v>268435456</v>
    <v>1</v>
    <v>Powered by Refinitiv</v>
    <v>0</v>
    <v>KOTAK MAHINDRA BANK LIMITED (XNSE:KOTAKBANK)</v>
    <v>2</v>
    <v>3</v>
    <v>Finance</v>
    <v>4</v>
    <v>453.2</v>
    <v>345.5</v>
    <v>0.96579999999999999</v>
    <v>1.95</v>
    <v>5.1439999999999993E-3</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383.45</v>
    <v>Banking Services</v>
    <v>Stock</v>
    <v>46176.466840277775</v>
    <v>406</v>
    <v>375.1</v>
    <v>4241952000000</v>
    <v>KOTAK MAHINDRA BANK LIMITED</v>
    <v>KOTAK MAHINDRA BANK LIMITED</v>
    <v>377.6</v>
    <v>19.649999999999999</v>
    <v>379.05</v>
    <v>381</v>
    <v>10946510000</v>
    <v>KOTAKBANK</v>
    <v>KOTAK MAHINDRA BANK LIMITED (XNSE:KOTAKBANK)</v>
    <v>14844206</v>
    <v>16263010</v>
    <v>1985</v>
  </rv>
  <rv s="2">
    <v>407</v>
  </rv>
  <rv s="0">
    <v>https://www.bing.com/financeapi/forcetrigger?t=ahiwfr&amp;q=XNSE%3aMASTEK&amp;form=skydnc</v>
    <v>Learn more on Bing</v>
  </rv>
  <rv s="1">
    <v>en-IN</v>
    <v>ahiwfr</v>
    <v>268435456</v>
    <v>1</v>
    <v>Powered by Refinitiv</v>
    <v>0</v>
    <v>MASTEK LIMITED (XNSE:MASTEK)</v>
    <v>2</v>
    <v>3</v>
    <v>Finance</v>
    <v>4</v>
    <v>2818</v>
    <v>1334.2</v>
    <v>1.1498999999999999</v>
    <v>-45.6</v>
    <v>-2.6389999999999997E-2</v>
    <v>INR</v>
    <v>Mastek Limited provides enterprise digital and cloud transformation solutions. Its segments include the United Kingdom, North America, and AMEA. The portfolio of the Company’s offering includes business and technology services comprising application development, application maintenance, business intelligence and data warehousing, testing and assurance and legacy modernization. Its services include digital and application engineering, Oracle cloud and enterprise apps, digital experience &amp; engineering, cloud implementations, data, automation and artificial intelligence (AI). Its GenAI-enabled portfolio, iConniX, offers over 120 AI assets, four AI platforms, and solution blueprints tailored to meet industry-specific business use cases. It caters to various industries, including the public sector and government; healthcare and life sciences; retail and consumer; manufacturing and technology; financial services, and construction and engineering.</v>
    <v>5058</v>
    <v>National Stock Exchange of India</v>
    <v>XNSE</v>
    <v>XNSE</v>
    <v>804/805 PRESIDENT HOUSE OPP C N VIDYALAYA, NEAR AMBAWADI CIRCLE, AMBAWADI, GUJARAT, 380006 IN</v>
    <v>1731</v>
    <v>Software &amp; IT Services</v>
    <v>Stock</v>
    <v>46176.466840277775</v>
    <v>409</v>
    <v>1660.7</v>
    <v>63057740000</v>
    <v>MASTEK LIMITED</v>
    <v>MASTEK LIMITED</v>
    <v>1731</v>
    <v>12.9</v>
    <v>1727.9</v>
    <v>1682.3</v>
    <v>31000780</v>
    <v>MASTEK</v>
    <v>MASTEK LIMITED (XNSE:MASTEK)</v>
    <v>87926</v>
    <v>96020</v>
    <v>1982</v>
  </rv>
  <rv s="2">
    <v>410</v>
  </rv>
  <rv s="0">
    <v>https://www.bing.com/financeapi/forcetrigger?t=ahiyh7&amp;q=XNSE%3aMGL&amp;form=skydnc</v>
    <v>Learn more on Bing</v>
  </rv>
  <rv s="1">
    <v>en-IN</v>
    <v>ahiyh7</v>
    <v>268435456</v>
    <v>1</v>
    <v>Powered by Refinitiv</v>
    <v>0</v>
    <v>MAHANAGAR GAS LIMITED (XNSE:MGL)</v>
    <v>2</v>
    <v>3</v>
    <v>Finance</v>
    <v>4</v>
    <v>1586.9</v>
    <v>900</v>
    <v>1.4416</v>
    <v>-11.4</v>
    <v>-1.0438000000000001E-2</v>
    <v>INR</v>
    <v>Mahanagar Gas Limited is an India-based natural gas distribution company. The Company is engaged in the distribution of compressed natural gas (CNG) and piped natural gas (PNG) in Mumbai, Thane and Raigad districts of Maharashtra. It operates through the selling of the natural gas segment. It offers PNG for domestic, commercial and industrial purposes.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579</v>
    <v>National Stock Exchange of India</v>
    <v>XNSE</v>
    <v>XNSE</v>
    <v>MGL HOUSE BLOCK NO.G-33, BANDRA-KURLA COMPLEX, BANDRA (E), MAHARASHTRA, 400051 IN</v>
    <v>1094.4000000000001</v>
    <v>Natural Gas Utilities</v>
    <v>Stock</v>
    <v>46176.466874999998</v>
    <v>412</v>
    <v>1070</v>
    <v>105099600000</v>
    <v>MAHANAGAR GAS LIMITED</v>
    <v>MAHANAGAR GAS LIMITED</v>
    <v>1092.2</v>
    <v>12.71</v>
    <v>1092.2</v>
    <v>1080.8</v>
    <v>98777780</v>
    <v>MGL</v>
    <v>MAHANAGAR GAS LIMITED (XNSE:MGL)</v>
    <v>106792</v>
    <v>223920</v>
    <v>1995</v>
  </rv>
  <rv s="2">
    <v>413</v>
  </rv>
  <rv s="0">
    <v>https://www.bing.com/financeapi/forcetrigger?t=ahj29c&amp;q=XNSE%3aMRF&amp;form=skydnc</v>
    <v>Learn more on Bing</v>
  </rv>
  <rv s="1">
    <v>en-IN</v>
    <v>ahj29c</v>
    <v>268435456</v>
    <v>1</v>
    <v>Powered by Refinitiv</v>
    <v>0</v>
    <v>MRF LIMITED (XNSE:MRF)</v>
    <v>2</v>
    <v>3</v>
    <v>Finance</v>
    <v>4</v>
    <v>163600</v>
    <v>122000</v>
    <v>1.0181</v>
    <v>95</v>
    <v>7.6189999999999993E-4</v>
    <v>INR</v>
    <v>MRF Limited is an India-based multinational tire maker. The Company is engaged in the manufacture of rubber products, such as tires, tubes, flaps, tread rubber. The Company's tires products include SHAKTI LIFE PLUS, SHAKTI LIFE, MUSCLEROK, SAND GRIP, STEEL MUSCLE-S3K4, MUSCLE-LIFT, PERFINZA CLX1, and others. The Company provides paints and coats, including Interior Wall Paints, Exterior Wall Paints, Primers, Multi-purpose Coatings, Wood Coating Interior, Wood Coating Exterior, and Special Coating. It offers a wide range of world-class motorsport tires for rally, circuit racing, kart-cross, student formula, go-kart and motocross competitions. The Company's subsidiaries include MRF Corp Ltd, MRF International Ltd, MRF Lanka (P) Ltd., and MRF SG PTE. LTD.</v>
    <v>17850</v>
    <v>National Stock Exchange of India</v>
    <v>XNSE</v>
    <v>XNSE</v>
    <v>NEW NO. 114 (OLD NO. 124), GREAMS ROAD, TAMIL NADU, 600006 IN</v>
    <v>125395</v>
    <v>Automobiles &amp; Auto Parts</v>
    <v>Stock</v>
    <v>46176.466840277775</v>
    <v>415</v>
    <v>124075</v>
    <v>626459300000</v>
    <v>MRF LIMITED</v>
    <v>MRF LIMITED</v>
    <v>124950</v>
    <v>21.87</v>
    <v>124695</v>
    <v>124790</v>
    <v>4241140</v>
    <v>MRF</v>
    <v>MRF LIMITED (XNSE:MRF)</v>
    <v>3216</v>
    <v>6520</v>
    <v>1960</v>
  </rv>
  <rv s="2">
    <v>416</v>
  </rv>
  <rv s="0">
    <v>https://www.bing.com/financeapi/forcetrigger?t=ahjnmw&amp;q=XNSE%3aRELAXO&amp;form=skydnc</v>
    <v>Learn more on Bing</v>
  </rv>
  <rv s="1">
    <v>en-IN</v>
    <v>ahjnmw</v>
    <v>268435456</v>
    <v>1</v>
    <v>Powered by Refinitiv</v>
    <v>0</v>
    <v>RELAXO FOOTWEARS LIMITED (XNSE:RELAXO)</v>
    <v>2</v>
    <v>3</v>
    <v>Finance</v>
    <v>4</v>
    <v>526</v>
    <v>236.5</v>
    <v>0.92620000000000002</v>
    <v>9.35</v>
    <v>2.8483999999999999E-2</v>
    <v>INR</v>
    <v>Relaxo Footwears Limited is an India-based footwear manufacturing company. The Company operates through Relaxo, Sparx, Flite &amp; Bahamas brands. It offers various categories, such as athleisure, casuals, running, sandals &amp; floaters, slides, slippers &amp; flip-flops, sneakers, and walking. The Company also operates 418 Exclusive Brand Outlets (EBOs), with availability on all e-commerce portals as well. It manufactures slippers, sandals, sports and casual shoes at nine manufacturing facilities at Bahadurgarh (Haryana), Bhiwadi (Rajasthan) and Haridwar (Uttarakhand).</v>
    <v>7355</v>
    <v>National Stock Exchange of India</v>
    <v>XNSE</v>
    <v>XNSE</v>
    <v>AGGARWAL CITY SQUARE PLOT NO 10, MANGLAM PLACE, DISTRICT CENTRE, SECTOR-3, ROHINI , DELHI NORTH WEST, DELHI, 110085 IN</v>
    <v>348</v>
    <v>Textiles &amp; Apparel</v>
    <v>Stock</v>
    <v>46176.466886574075</v>
    <v>418</v>
    <v>324.7</v>
    <v>98492550000</v>
    <v>RELAXO FOOTWEARS LIMITED</v>
    <v>RELAXO FOOTWEARS LIMITED</v>
    <v>328.25</v>
    <v>46.89</v>
    <v>328.25</v>
    <v>337.6</v>
    <v>248938600</v>
    <v>RELAXO</v>
    <v>RELAXO FOOTWEARS LIMITED (XNSE:RELAXO)</v>
    <v>1207005</v>
    <v>1853350</v>
    <v>1984</v>
  </rv>
  <rv s="2">
    <v>419</v>
  </rv>
  <rv s="0">
    <v>https://www.bing.com/financeapi/forcetrigger?t=ahkau2&amp;q=XNSE%3aTCS&amp;form=skydnc</v>
    <v>Learn more on Bing</v>
  </rv>
  <rv s="1">
    <v>en-IN</v>
    <v>ahkau2</v>
    <v>268435456</v>
    <v>1</v>
    <v>Powered by Refinitiv</v>
    <v>0</v>
    <v>TATA CONSULTANCY SERVICES LIMITED (XNSE:TCS)</v>
    <v>2</v>
    <v>3</v>
    <v>Finance</v>
    <v>4</v>
    <v>3487.02</v>
    <v>2206.4</v>
    <v>1.0678000000000001</v>
    <v>-205.2</v>
    <v>-8.3861000000000005E-2</v>
    <v>INR</v>
    <v>Tata Consultancy Services Ltd is an India-based company. The Company is engaged in providing information technology (IT) services, consulting, and business solutions. Its business segments include Banking, Financial Services and Insurance; Manufacturing; Consumer Business; Communication, Media and Technology; Life Sciences and Healthcare and Others. The Company's products include TCS ADD, TCS BaNCS, TCS BFSI Platforms, TCS CHROMA, TCS Customer Intelligence &amp; Insights, TCS ERP on Cloud, TCS Intelligent Urban Exchange, Quartz-The Smart Ledgers, Jile, TCS Optumera, TCS TwinX, TCS TAP, TCS OmniStore, and TCS MasterCraft, Jile, TCS DigiBolt, and TCS AI WisdomNext. Its services consist of Artificial Intelligence and Data &amp; Analytics, Cloud, Cognitive Business Operations, Consulting, Cybersecurity, Enterprise Solutions, Industrial Autonomy and Engineering, and Network Solutions and Services, and TCS Interactive.</v>
    <v>584519</v>
    <v>National Stock Exchange of India</v>
    <v>XNSE</v>
    <v>XNSE</v>
    <v>9th Floor Nirmal Building Nariman Point, MUMBAI, MAHARASHTRA, 400021 IN</v>
    <v>2393</v>
    <v>Software &amp; IT Services</v>
    <v>Stock</v>
    <v>46176.466863425929</v>
    <v>421</v>
    <v>2224.8000000000002</v>
    <v>11823910000000</v>
    <v>TATA CONSULTANCY SERVICES LIMITED</v>
    <v>TATA CONSULTANCY SERVICES LIMITED</v>
    <v>2393</v>
    <v>16.48</v>
    <v>2446.9</v>
    <v>2241.6999999999998</v>
    <v>3618087000</v>
    <v>TCS</v>
    <v>TATA CONSULTANCY SERVICES LIMITED (XNSE:TCS)</v>
    <v>15660062</v>
    <v>6353120</v>
    <v>1995</v>
  </rv>
  <rv s="2">
    <v>422</v>
  </rv>
  <rv s="0">
    <v>https://www.bing.com/financeapi/forcetrigger?t=bqsoyc&amp;q=XNSE%3aINDIAMART&amp;form=skydnc</v>
    <v>Learn more on Bing</v>
  </rv>
  <rv s="1">
    <v>en-IN</v>
    <v>bqsoyc</v>
    <v>268435456</v>
    <v>1</v>
    <v>Powered by Refinitiv</v>
    <v>0</v>
    <v>INDIAMART INTERMESH LIMITED (XNSE:INDIAMART)</v>
    <v>2</v>
    <v>3</v>
    <v>Finance</v>
    <v>4</v>
    <v>2799</v>
    <v>1911</v>
    <v>0.94320000000000004</v>
    <v>8.6</v>
    <v>4.3619999999999996E-3</v>
    <v>INR</v>
    <v>IndiaMART InterMESH Limited is an India-based company. The Company is an online business-to-business (B2B) marketplace, which connects buyers with suppliers. Its channel is focused on providing a platform for small and medium enterprises (SMEs), large enterprises, as well as individuals. The Company operates through two segments: Web and related Services and Accounting Software Services. Web and related services segment provide business-to-business e-marketplace services, which acts as an interactive hub for domestic and international buyers and suppliers. The Accounting software services segment provides the business of development, system analysis, designing and marketing of integrated business accounting software to help and manage businesses with increased efficiency. The Company's solutions include IM Leader, IM Star, TrustSEAL, Maximiser, IndiaMART Paid Service (MDC), IndiaMART Verified Exporter, enterprise solutions, and advertising solutions.</v>
    <v>6222</v>
    <v>National Stock Exchange of India</v>
    <v>XNSE</v>
    <v>XNSE</v>
    <v>6th floor, Tower 2, Assotech Business Cresterra, Plot No.22, Sec 135, NOIDA, UTTAR PRADESH, 201305 IN</v>
    <v>1998.9</v>
    <v>Software &amp; IT Services</v>
    <v>Stock</v>
    <v>46176.466851851852</v>
    <v>424</v>
    <v>1965.1</v>
    <v>129551000000</v>
    <v>INDIAMART INTERMESH LIMITED</v>
    <v>INDIAMART INTERMESH LIMITED</v>
    <v>1990</v>
    <v>25.04</v>
    <v>1971.4</v>
    <v>1980</v>
    <v>60138660</v>
    <v>INDIAMART</v>
    <v>INDIAMART INTERMESH LIMITED (XNSE:INDIAMART)</v>
    <v>33078</v>
    <v>61590</v>
    <v>1999</v>
  </rv>
  <rv s="2">
    <v>425</v>
  </rv>
  <rv s="0">
    <v>https://www.bing.com/financeapi/forcetrigger?t=brgdww&amp;q=XNSE%3aSAFARI&amp;form=skydnc</v>
    <v>Learn more on Bing</v>
  </rv>
  <rv s="1">
    <v>en-IN</v>
    <v>brgdww</v>
    <v>268435456</v>
    <v>1</v>
    <v>Powered by Refinitiv</v>
    <v>0</v>
    <v>SAFARI INDUSTRIES (INDIA) LIMITED (XNSE:SAFARI)</v>
    <v>2</v>
    <v>3</v>
    <v>Finance</v>
    <v>4</v>
    <v>2507.1</v>
    <v>1363.1</v>
    <v>0.8337</v>
    <v>-55.2</v>
    <v>-3.3885999999999999E-2</v>
    <v>INR</v>
    <v>Safari Industries (India) Limited is an India-based holding company. The Company is engaged in the manufacturing and marketing of luggage and luggage accessories. There are two broad categories of luggage: hard luggage and soft luggage. Hard luggage is primarily made of Polypropylene (PP) and Polycarbonate (PC). Soft luggage is made from various types of fabric. The Company's business activity falls under an operating segment: luggage business. Its product portfolio includes trolley bags, backpack suitcases, satchel bags with laptop sleeves, laptop backpacks, duffle bags, school backpacks, anti-theft trolley bags, neck pillows, sling bags, travel rucksacks, messenger bags, formal backpacks, passport wallets, and others. The Company's subsidiaries, Safari Manufacturing Limited and Safari Lifestyles Limited, are engaged in the manufacturing and distribution of luggage and luggage accessories. The Company's manufacturing facilities are located in Panchmahal district, Gujarat.</v>
    <v>1059</v>
    <v>National Stock Exchange of India</v>
    <v>XNSE</v>
    <v>XNSE</v>
    <v>302-303, A WING, THE QUBE, CTS NO. 1498, A/2 MV ROAD,, MAROL,, ANDHERI (E), MAHARASHTRA, 400059 IN</v>
    <v>1630</v>
    <v>Textiles &amp; Apparel</v>
    <v>Stock</v>
    <v>46176.466863425929</v>
    <v>427</v>
    <v>1554.7</v>
    <v>104049800000</v>
    <v>SAFARI INDUSTRIES (INDIA) LIMITED</v>
    <v>SAFARI INDUSTRIES (INDIA) LIMITED</v>
    <v>1629</v>
    <v>45.91</v>
    <v>1629</v>
    <v>1573.8</v>
    <v>48993930</v>
    <v>SAFARI</v>
    <v>SAFARI INDUSTRIES (INDIA) LIMITED (XNSE:SAFARI)</v>
    <v>87113</v>
    <v>227800</v>
    <v>1980</v>
  </rv>
  <rv s="2">
    <v>428</v>
  </rv>
  <rv s="0">
    <v>https://www.bing.com/financeapi/forcetrigger?t=ahkldm&amp;q=XNSE%3aVIPIND&amp;form=skydnc</v>
    <v>Learn more on Bing</v>
  </rv>
  <rv s="1">
    <v>en-IN</v>
    <v>ahkldm</v>
    <v>268435456</v>
    <v>1</v>
    <v>Powered by Refinitiv</v>
    <v>0</v>
    <v>V I P INDUSTRIES LIMITED (XNSE:VIPIND)</v>
    <v>2</v>
    <v>3</v>
    <v>Finance</v>
    <v>4</v>
    <v>492.3</v>
    <v>278.25</v>
    <v>0.71509999999999996</v>
    <v>14.3</v>
    <v>4.4947000000000001E-2</v>
    <v>INR</v>
    <v>VIP Industries Limited is an India-based luggage manufacturer and retailer. The Company offers a range of products in the hard luggage and soft luggage segments, including school bags, trolleys, backpacks, suitcases, executive cases, duffels, overnight travel solutions, and handbags. The Company operates through one segment, which is Manufacturing and marketing of luggage and bags. It offers a range of products through a brand portfolio, including names like VIP, Skybags, Carlton, Aristrocrat, Alfa, and Caprese. The Skybags brand offers trolleys, rucksacks, backpacks, duffel bags, laptop bags and daily essentials and components. Its Caprese brand offers a range of handbags and accessories for women. Its distribution network provides access to VIP luggage anywhere in India via approximately 13,000 points of sale across exclusive stores, multi-brand stores, format retail, defense canteens, and e-commerce channels.</v>
    <v>1061</v>
    <v>National Stock Exchange of India</v>
    <v>XNSE</v>
    <v>XNSE</v>
    <v>5TH FLOOR, DGP HOUSE 88 C, OLD PRABHADEVI ROAD, MAHARASHTRA, 400025 IN</v>
    <v>336.95</v>
    <v>Textiles &amp; Apparel</v>
    <v>Stock</v>
    <v>46176.466840277775</v>
    <v>430</v>
    <v>311.35000000000002</v>
    <v>53247980000</v>
    <v>V I P INDUSTRIES LIMITED</v>
    <v>V I P INDUSTRIES LIMITED</v>
    <v>318</v>
    <v>0</v>
    <v>318.14999999999998</v>
    <v>332.45</v>
    <v>142019700</v>
    <v>VIPIND</v>
    <v>V I P INDUSTRIES LIMITED (XNSE:VIPIND)</v>
    <v>1705200</v>
    <v>3753150</v>
    <v>1968</v>
  </rv>
  <rv s="2">
    <v>431</v>
  </rv>
  <rv s="0">
    <v>https://www.bing.com/financeapi/forcetrigger?t=ahhnu2&amp;q=XNSE%3aELGIEQUIP&amp;form=skydnc</v>
    <v>Learn more on Bing</v>
  </rv>
  <rv s="1">
    <v>en-IN</v>
    <v>ahhnu2</v>
    <v>268435456</v>
    <v>1</v>
    <v>Powered by Refinitiv</v>
    <v>0</v>
    <v>ELGI EQUIPMENTS LIMITED (XNSE:ELGIEQUIP)</v>
    <v>2</v>
    <v>3</v>
    <v>Finance</v>
    <v>4</v>
    <v>633.85</v>
    <v>408.25</v>
    <v>0.7127</v>
    <v>11.85</v>
    <v>2.0107E-2</v>
    <v>INR</v>
    <v>Elgi Equipments Limited is an India-based company, which is engaged in manufacture, trading of air compressors and automotive garage equipment and also providing related after sales services. It provides a range of compressors, which includes rotary screw air compressors, oil lubricated air compressors, oil free air compressors, reciprocating air compressors, portable air compressors, and compressed air accessories. Its air compressor accessories include AF Series Compressed Air Filters, Air Alert 24/7 Monitoring, AR Premium Series Cyclic Refrigeration Dryers, Eos Oil Water Separator, EZL Series Zero Loss Drain Valves, and Heat Recovery System (HRS). Its oil free rotary screw air compressors include two-stage air cooled and water-cooled air compressor 45-450kw, and water injected screw compressor 11-110kw.</v>
    <v>2138</v>
    <v>National Stock Exchange of India</v>
    <v>XNSE</v>
    <v>XNSE</v>
    <v>Elgi Industrial Complex,, Trichy Road, Singanallur,, COIMBATORE, TAMIL NADU, 641005 IN</v>
    <v>607</v>
    <v>Machinery, Equipment &amp; Components</v>
    <v>Stock</v>
    <v>46176.466840277775</v>
    <v>433</v>
    <v>580.35</v>
    <v>138971900000</v>
    <v>ELGI EQUIPMENTS LIMITED</v>
    <v>ELGI EQUIPMENTS LIMITED</v>
    <v>591</v>
    <v>44.13</v>
    <v>589.35</v>
    <v>601.20000000000005</v>
    <v>315241500</v>
    <v>ELGIEQUIP</v>
    <v>ELGI EQUIPMENTS LIMITED (XNSE:ELGIEQUIP)</v>
    <v>1223194</v>
    <v>1185900</v>
    <v>1960</v>
  </rv>
  <rv s="2">
    <v>434</v>
  </rv>
  <rv s="0">
    <v>https://www.bing.com/financeapi/forcetrigger?t=ahhbu2&amp;q=XNSE%3aCARBORUNIV&amp;form=skydnc</v>
    <v>Learn more on Bing</v>
  </rv>
  <rv s="1">
    <v>en-IN</v>
    <v>ahhbu2</v>
    <v>268435456</v>
    <v>1</v>
    <v>Powered by Refinitiv</v>
    <v>0</v>
    <v>CARBORUNDUM UNIVERSAL LIMITED (XNSE:CARBORUNIV)</v>
    <v>2</v>
    <v>3</v>
    <v>Finance</v>
    <v>4</v>
    <v>1166.4000000000001</v>
    <v>735.2</v>
    <v>1.1392</v>
    <v>-11.4</v>
    <v>-1.1143E-2</v>
    <v>INR</v>
    <v>Carborundum Universal Limited is an India-based materials sciences engineering solutions provider. The Company's segments include Abrasives, Ceramics, Electro minerals, Power, IT Services and Others. Abrasive segment comprises bonded, coated, processed cloth, polymers, power tools and coolants. Ceramics segment includes technical ceramics and super-refractory solutions to address wear protection, corrosion resistance, electrical resistance, heat protection and ballistic protection. Electro minerals segment includes deals with the materials-fused alumina’s, its variants, and silicon carbide - used in abrasives and refractories globally. The Company also provides information technology (IT) services, including IT infrastructure facility management services, software application development services and others. The Company serves both retail and industrial customers through multiple channels across India.</v>
    <v>6260</v>
    <v>National Stock Exchange of India</v>
    <v>XNSE</v>
    <v>XNSE</v>
    <v>Parry House, 43 Moore Street, CHENNAI, TAMIL NADU, 600001 IN</v>
    <v>1033</v>
    <v>Construction Materials</v>
    <v>Stock</v>
    <v>46176.466840277775</v>
    <v>436</v>
    <v>1005.6</v>
    <v>154339000000</v>
    <v>CARBORUNDUM UNIVERSAL LIMITED</v>
    <v>CARBORUNDUM UNIVERSAL LIMITED</v>
    <v>1029.9000000000001</v>
    <v>98.13</v>
    <v>1023.1</v>
    <v>1011.7</v>
    <v>190493500</v>
    <v>CARBORUNIV</v>
    <v>CARBORUNDUM UNIVERSAL LIMITED (XNSE:CARBORUNIV)</v>
    <v>51106</v>
    <v>227000</v>
    <v>1954</v>
  </rv>
  <rv s="2">
    <v>437</v>
  </rv>
  <rv s="0">
    <v>https://www.bing.com/financeapi/forcetrigger?t=ahh3a2&amp;q=XNSE%3aBAJAJFINSV&amp;form=skydnc</v>
    <v>Learn more on Bing</v>
  </rv>
  <rv s="1">
    <v>en-IN</v>
    <v>ahh3a2</v>
    <v>268435456</v>
    <v>1</v>
    <v>Powered by Refinitiv</v>
    <v>0</v>
    <v>BAJAJ FINSERV LIMITED (XNSE:BAJAJFINSV)</v>
    <v>2</v>
    <v>3</v>
    <v>Finance</v>
    <v>4</v>
    <v>2195</v>
    <v>1597</v>
    <v>1.4622999999999999</v>
    <v>-7</v>
    <v>-4.0200000000000001E-3</v>
    <v>INR</v>
    <v>Bajaj Finserv Limited is a holding company for various financial services businesses. It is engaged in the business of promoting financial services such as finance, insurance, broking, investments, and others, including distribution using digital platforms through its investments in subsidiaries and joint ventures. It is also engaged in the business of generating power through wind turbines, a renewable source of energy. Its segments include Life Insurance, General Insurance, Retail Financing, and Windmill, Platforms &amp; other Investments. It focuses on commercial lending; personal loans; small and medium enterprise lending; rural lending; loan against securities, and partnerships and services.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v>
    <v>126</v>
    <v>National Stock Exchange of India</v>
    <v>XNSE</v>
    <v>XNSE</v>
    <v>6th Floor, Bajaj Finserv Corporate Office, Off Pune-Ahmednagar Road, Viman Nagar, PUNE, MAHARASHTRA, 411014 IN</v>
    <v>1741.9</v>
    <v>Banking Services</v>
    <v>Stock</v>
    <v>46176.466874999998</v>
    <v>439</v>
    <v>1708.1</v>
    <v>3211215000000</v>
    <v>BAJAJ FINSERV LIMITED</v>
    <v>BAJAJ FINSERV LIMITED</v>
    <v>1739</v>
    <v>28.2</v>
    <v>1741.4</v>
    <v>1734.4</v>
    <v>1598508000</v>
    <v>BAJAJFINSV</v>
    <v>BAJAJ FINSERV LIMITED (XNSE:BAJAJFINSV)</v>
    <v>561611</v>
    <v>674910</v>
    <v>2007</v>
  </rv>
  <rv s="2">
    <v>440</v>
  </rv>
  <rv s="0">
    <v>https://www.bing.com/financeapi/forcetrigger?t=ahh8nm&amp;q=XNSE%3aBLS&amp;form=skydnc</v>
    <v>Learn more on Bing</v>
  </rv>
  <rv s="1">
    <v>en-IN</v>
    <v>ahh8nm</v>
    <v>268435456</v>
    <v>1</v>
    <v>Powered by Refinitiv</v>
    <v>0</v>
    <v>BLS INTERNATIONAL SERVICES LIMITED (XNSE:BLS)</v>
    <v>2</v>
    <v>3</v>
    <v>Finance</v>
    <v>4</v>
    <v>418.7</v>
    <v>218.9</v>
    <v>1.3933</v>
    <v>1.25</v>
    <v>4.6439999999999997E-3</v>
    <v>INR</v>
    <v>BLS International Services Limited is an India-based global tech-enabled services partner for governments and citizens. The Company’s services include visa processing services, citizen and front-end services, consular services, e-visas, biometrics and identity management services, verification and attestation services. It operates through two segments: Visa and Consular Services and Digital Services. Its Digital Services segment includes e-Governance, business correspondent and allied services. Its consular services include accepting passport applications, replacement passports and associated travel documents, national identification cards, consular appointments, renunciation of citizenships, and notarial services, including witnessing and authenticating documents. The Company also provides assisted applications, registration, and biometric solutions. It provides services to state and provincial governments, including Embassies and Consulates.</v>
    <v>737</v>
    <v>National Stock Exchange of India</v>
    <v>XNSE</v>
    <v>XNSE</v>
    <v>912, Indra Prakash Building,, 21, Barakhamba Road,, NEW DELHI, DELHI, 110001 IN</v>
    <v>271.45</v>
    <v>Professional &amp; Commercial Services</v>
    <v>Stock</v>
    <v>46176.466874999998</v>
    <v>442</v>
    <v>265.5</v>
    <v>122416300000</v>
    <v>BLS INTERNATIONAL SERVICES LIMITED</v>
    <v>BLS INTERNATIONAL SERVICES LIMITED</v>
    <v>269.95</v>
    <v>16.21</v>
    <v>269.14999999999998</v>
    <v>270.39999999999998</v>
    <v>411522200</v>
    <v>BLS</v>
    <v>BLS INTERNATIONAL SERVICES LIMITED (XNSE:BLS)</v>
    <v>637907</v>
    <v>4547150</v>
    <v>1983</v>
  </rv>
  <rv s="2">
    <v>443</v>
  </rv>
  <rv s="0">
    <v>https://www.bing.com/financeapi/forcetrigger?t=ahh92w&amp;q=XNSE%3aBLUESTARCO&amp;form=skydnc</v>
    <v>Learn more on Bing</v>
  </rv>
  <rv s="1">
    <v>en-IN</v>
    <v>ahh92w</v>
    <v>268435456</v>
    <v>1</v>
    <v>Powered by Refinitiv</v>
    <v>0</v>
    <v>BLUE STAR LIMITED (XNSE:BLUESTARCO)</v>
    <v>2</v>
    <v>3</v>
    <v>Finance</v>
    <v>4</v>
    <v>2040</v>
    <v>1450</v>
    <v>0.5504</v>
    <v>1.2</v>
    <v>7.5969999999999998E-4</v>
    <v>INR</v>
    <v>Blue Star Limited offers a wide range of room air conditioning and commercial refrigeration &amp; air conditioning products, as well as a comprehensive range of air purifiers, air coolers, storage water coolers, water purifiers, cold chain equipment and specialty products. It operates through three segments: Electro-Mechanical Projects and Commercial Air Conditioning Systems, Unitary Products and Professional Electronics and Industrial Systems. Its Electro-Mechanical Projects and Commercial Air-conditioning Systems segment include central air-conditioning projects, electrical contracting business, and packaged air-conditioning businesses, including manufacturing and after-sales service. Its Unitary Products segments include cooling appliances, cold storage products, including manufacturing and after-sales service. Its Professional Electronics and Industrial Systems segments include trading and services for testing machines, analytical, test and measuring, industrial products, and systems.</v>
    <v>3523</v>
    <v>National Stock Exchange of India</v>
    <v>XNSE</v>
    <v>XNSE</v>
    <v>KASTURI BUILDINGJAMSHEDJI TATA ROAD, MAHARASHTRA, 400020 IN</v>
    <v>1586.8</v>
    <v>Machinery, Equipment &amp; Components</v>
    <v>Stock</v>
    <v>46176.466851851852</v>
    <v>445</v>
    <v>1546.3</v>
    <v>368663600000</v>
    <v>BLUE STAR LIMITED</v>
    <v>BLUE STAR LIMITED</v>
    <v>1572.5</v>
    <v>61.63</v>
    <v>1579.6</v>
    <v>1580.8</v>
    <v>205592600</v>
    <v>BLUESTARCO</v>
    <v>BLUE STAR LIMITED (XNSE:BLUESTARCO)</v>
    <v>308002</v>
    <v>369410</v>
    <v>1949</v>
  </rv>
  <rv s="2">
    <v>446</v>
  </rv>
  <rv s="0">
    <v>https://www.bing.com/financeapi/forcetrigger?t=ahax3m&amp;q=XBOM%3a523323&amp;form=skydnc</v>
    <v>Learn more on Bing</v>
  </rv>
  <rv s="1">
    <v>en-IN</v>
    <v>ahax3m</v>
    <v>268435456</v>
    <v>1</v>
    <v>Powered by Refinitiv</v>
    <v>0</v>
    <v>KOVAI MEDICAL CENTER AND HOSPITAL LIMITED (XBOM:523323)</v>
    <v>2</v>
    <v>3</v>
    <v>Finance</v>
    <v>12</v>
    <v>6725</v>
    <v>5010</v>
    <v>0.60599999999999998</v>
    <v>54.1</v>
    <v>1.0136000000000001E-2</v>
    <v>INR</v>
    <v>Kovai Medical Center and Hospital Limited is an India-based company, which operates as a multispecialty hospital in the Southern Indian City of Coimbatore. The Company is engaged in operating hospitals and medical education. The Company operates through two segments: Healthcare Services and Education Services. Healthcare Services segment includes inpatient and outpatient hospital services. These services comprise of physical examination, consultancy, treatments, surgeries, tests, clinical examination, and other fees such as room and accommodation charges, nursing care, dietary, use of medical equipment and supply of pharmaceutical and related products. The Education Services segment provides allied health sciences and diplomate of national board courses. Its departments include comprehensive cancer center, nuclear medicine and positron emission tomography-computed tomography (PET CT), KMCH heart institute, neurosciences, orthopedics and joint replacement and interventional radiology.</v>
    <v>5992</v>
    <v>Bombay Stock Exchange</v>
    <v>XBOM</v>
    <v>XBOM</v>
    <v>NO. 99, AVANASHI ROAD, TAMIL NADU, 641014 IN</v>
    <v>5410.8</v>
    <v>Healthcare Providers &amp; Services</v>
    <v>Stock</v>
    <v>46176.438703703701</v>
    <v>448</v>
    <v>5347.55</v>
    <v>60724080000</v>
    <v>KOVAI MEDICAL CENTER AND HOSPITAL LIMITED</v>
    <v>KOVAI MEDICAL CENTER AND HOSPITAL LIMITED</v>
    <v>5386.45</v>
    <v>23.95</v>
    <v>5337.25</v>
    <v>5391.35</v>
    <v>10942260</v>
    <v>523323</v>
    <v>KOVAI MEDICAL CENTER AND HOSPITAL LIMITED (XBOM:523323)</v>
    <v>234</v>
    <v>5410</v>
    <v>1985</v>
  </rv>
  <rv s="2">
    <v>449</v>
  </rv>
  <rv s="0">
    <v>https://www.bing.com/financeapi/forcetrigger?t=bp8hh7&amp;q=XNSE%3aANUP&amp;form=skydnc</v>
    <v>Learn more on Bing</v>
  </rv>
  <rv s="1">
    <v>en-IN</v>
    <v>bp8hh7</v>
    <v>268435456</v>
    <v>1</v>
    <v>Powered by Refinitiv</v>
    <v>0</v>
    <v>THE ANUP ENGINEERING LIMITED (XNSE:ANUP)</v>
    <v>2</v>
    <v>3</v>
    <v>Finance</v>
    <v>4</v>
    <v>2954.9</v>
    <v>1422.3</v>
    <v>0.58160000000000001</v>
    <v>64.400000000000006</v>
    <v>3.4432999999999998E-2</v>
    <v>INR</v>
    <v>The Anup Engineering Limited is engaged in manufacturing and fabrication of process equipment required for chemicals, petrochemicals, pharmaceuticals, fertilizers, drugs and other allied industries. The Company operates through the engineering products segment. Its static process equipment includes heat exchangers, reactors, pressure vessels, columns and towers, Industrial Centrifuges, Silos and tanks. Its technology products include Helixchanger, EMBaffle and Polymerization reactor. Helixchanger is a proprietary Lummus shell‑and‑tube heat exchanger offering higher efficiency, lower pressure drop, reduced vibration, over conventional shell &amp; tube heat exchangers. EMBaffle is a gas shell‑and‑tube exchanger, patented by Brembana Rolle, licensed ANUP. Polymerization reactors are proprietary equipment for PP plants under Lummus Novolen license, featuring tight internal tolerances and finishes for helical agitators, with ANUP supplying reactors and DIP pipe internals domestically.</v>
    <v>309</v>
    <v>National Stock Exchange of India</v>
    <v>XNSE</v>
    <v>XNSE</v>
    <v>Behind 66 KV Electric Sub Station, Odhav Road, AHMEDABAD, GUJARAT, 382415 IN</v>
    <v>1999.2</v>
    <v>Machinery, Equipment &amp; Components</v>
    <v>Stock</v>
    <v>46176.466851851852</v>
    <v>451</v>
    <v>1840.1</v>
    <v>41192710000</v>
    <v>THE ANUP ENGINEERING LIMITED</v>
    <v>THE ANUP ENGINEERING LIMITED</v>
    <v>1870.3</v>
    <v>35.1</v>
    <v>1870.3</v>
    <v>1934.7</v>
    <v>20031470</v>
    <v>ANUP</v>
    <v>THE ANUP ENGINEERING LIMITED (XNSE:ANUP)</v>
    <v>121290</v>
    <v>32240</v>
    <v>2017</v>
  </rv>
  <rv s="2">
    <v>452</v>
  </rv>
  <rv s="3">
    <v>en-IN</v>
    <v>c839c7</v>
    <v>268435456</v>
    <v>1</v>
    <v>Powered by Refinitiv</v>
    <v>5</v>
    <v>BIKAJI FOODS INTERNATIONAL LIMITED (XNSE:BIKAJI)</v>
    <v>6</v>
    <v>3</v>
    <v>Finance</v>
    <v>4</v>
    <v>818.7</v>
    <v>592.54999999999995</v>
    <v>0.97170000000000001</v>
    <v>-16</v>
    <v>-2.4049000000000001E-2</v>
    <v>INR</v>
    <v>Bikaji Foods International Limited is an India-based ethnic snacking company. It is primarily involved in the manufacturing, purchase, and sale of snacks. The Company's products category includes frozen food, bhujia, namkeen, packed sweets, papad, western snacks, and other snacks. Its western snacks include chips, extruded products and pellets. Its other snacks include gift packs (assortment), frozen food, mathri range and cookies. Its namkeen products include Roasted Crushed Peanuts, Crusty Nuts, Murukku Sticks, Masala Boondi, Classic Salted Peanuts, Chowpati Bhelpuri, Chowpati Bhelpuri (Mobile Pack), and Punjabi Tadka. Its sweets products include Coconut Soanpapdi, Kaju Katli, Rajbhog, Cham Cham, Rasgulla Gol Matol, Gol M Gol Gulab Jamun, and Mango Chocolate Burfee. It exports snacks, sweets, frozen food, and savories to approximately 31 countries, including North America, Asia Pacific, the Middle East, the European Union, Africa, and the United Kingdom.</v>
    <v>2589</v>
    <v>National Stock Exchange of India</v>
    <v>XNSE</v>
    <v>XNSE</v>
    <v>Plot No.E-558-561, C-569-572, E-573-577,F-585-592, Karni Extension, Riico Industrial Area, BIKANER, RAJASTHAN, 334004 IN</v>
    <v>664.8</v>
    <v>Food &amp; Tobacco</v>
    <v>Stock</v>
    <v>46176.466863425929</v>
    <v>647.4</v>
    <v>175790800000</v>
    <v>BIKAJI FOODS INTERNATIONAL LIMITED</v>
    <v>BIKAJI FOODS INTERNATIONAL LIMITED</v>
    <v>664.8</v>
    <v>62.98</v>
    <v>665.3</v>
    <v>649.29999999999995</v>
    <v>250736400</v>
    <v>BIKAJI</v>
    <v>BIKAJI FOODS INTERNATIONAL LIMITED (XNSE:BIKAJI)</v>
    <v>129078</v>
    <v>178390</v>
    <v>1995</v>
  </rv>
  <rv s="2">
    <v>454</v>
  </rv>
  <rv s="0">
    <v>https://www.bing.com/financeapi/forcetrigger?t=bwd9u2&amp;q=XNSE%3aANGELONE&amp;form=skydnc</v>
    <v>Learn more on Bing</v>
  </rv>
  <rv s="1">
    <v>en-IN</v>
    <v>bwd9u2</v>
    <v>268435456</v>
    <v>1</v>
    <v>Powered by Refinitiv</v>
    <v>0</v>
    <v>ANGEL ONE LIMITED (XNSE:ANGELONE)</v>
    <v>2</v>
    <v>3</v>
    <v>Finance</v>
    <v>4</v>
    <v>351</v>
    <v>208.63</v>
    <v>1.0927</v>
    <v>-7.9</v>
    <v>-2.3056E-2</v>
    <v>INR</v>
    <v>Angel One Limited is a retail full-service broking house. The Company is engaged in the business of stock, currency, and commodity broking, providing margin trading facilities, depository services and distribution of mutual funds to its clients. The Company operates through the Broking and related services segment. Broking and related services segment is engaged in broking, advisory, third-party product distribution, margin trade facility and other fee-based services. Its digital platforms include Angel One Super App, Angel One Trade, and Smart API. It offers various investment options, such as stocks, mutual funds, upcoming initial public offering (IPO), futures, options, United States stocks, exchange-traded funds (ETF), currencies, commodities, and more. The Company's subsidiaries include Angel Financial Advisors Private Limited, Angel Fincap Private Limited, Angel Securities Limited, Angel DigiTech Services Private Limited, Mimansa Software Systems Private Limited, and others.</v>
    <v>2934</v>
    <v>National Stock Exchange of India</v>
    <v>XNSE</v>
    <v>XNSE</v>
    <v>6TH FLOOR, 601, AKRUTI STAR, MIDC CENTRAL ROAD, ANDHERI EAST,, MAHARASHTRA, 400093 IN</v>
    <v>343.35</v>
    <v>Investment Banking &amp; Investment Services</v>
    <v>Stock</v>
    <v>46176.466840277775</v>
    <v>456</v>
    <v>327.60000000000002</v>
    <v>221623800000</v>
    <v>ANGEL ONE LIMITED</v>
    <v>ANGEL ONE LIMITED</v>
    <v>343</v>
    <v>33.18</v>
    <v>342.65</v>
    <v>334.75</v>
    <v>913349400</v>
    <v>ANGELONE</v>
    <v>ANGEL ONE LIMITED (XNSE:ANGELONE)</v>
    <v>6426900</v>
    <v>10300800</v>
    <v>1996</v>
  </rv>
  <rv s="2">
    <v>457</v>
  </rv>
  <rv s="0">
    <v>https://www.bing.com/financeapi/forcetrigger?t=ahhcf2&amp;q=XNSE%3aCDSL&amp;form=skydnc</v>
    <v>Learn more on Bing</v>
  </rv>
  <rv s="1">
    <v>en-IN</v>
    <v>ahhcf2</v>
    <v>268435456</v>
    <v>1</v>
    <v>Powered by Refinitiv</v>
    <v>0</v>
    <v>CENTRAL DEPOSITORY SERVICES (INDIA) LIMITED (XNSE:CDSL)</v>
    <v>2</v>
    <v>3</v>
    <v>Finance</v>
    <v>4</v>
    <v>1828.9</v>
    <v>1116.3</v>
    <v>1.1991000000000001</v>
    <v>-8.6</v>
    <v>-7.0099999999999997E-3</v>
    <v>INR</v>
    <v>Central Depository Services (India) Limited is engaged in the depository services business and provides services to exchanges, clearing corporations, depository participants and investors. Its segments include Depository Activity, Data Entry and Storage, and Repository. Depository Activity provides various services to investors, such as dematerialization, rematerialisation, holding, transfer and pledge of securities in electronic form and providing e-voting services to companies. Data Entry and Storage segment relates to Centralized record keeping of Know Your Customer (KYC) documents of capital market investors. Repository segment provides policyholders/warehouse receipts holder with facility to keep insurance policies/ warehouse receipts in electronic form and to undertake changes, modifications and revisions to the policy/receipt. It also offers e-Locker, Myeasi Mobile App, E-Voting, SMART, and Electronic access to securities information &amp; execution of secure transactions.</v>
    <v>403</v>
    <v>National Stock Exchange of India</v>
    <v>XNSE</v>
    <v>XNSE</v>
    <v>Marathon Futurex, Unit No. A-2501, Mafatlal Mills Compound, Lower Parel (E), MUMBAI, MAHARASHTRA, 400013 IN</v>
    <v>1227</v>
    <v>Investment Banking &amp; Investment Services</v>
    <v>Stock</v>
    <v>46176.466886574075</v>
    <v>459</v>
    <v>1201</v>
    <v>296759100000</v>
    <v>CENTRAL DEPOSITORY SERVICES (INDIA) LIMITED</v>
    <v>CENTRAL DEPOSITORY SERVICES (INDIA) LIMITED</v>
    <v>1226.7</v>
    <v>55.8</v>
    <v>1226.8</v>
    <v>1218.2</v>
    <v>209000000</v>
    <v>CDSL</v>
    <v>CENTRAL DEPOSITORY SERVICES (INDIA) LIMITED (XNSE:CDSL)</v>
    <v>1215220</v>
    <v>1664730</v>
    <v>1997</v>
  </rv>
  <rv s="2">
    <v>460</v>
  </rv>
  <rv s="0">
    <v>https://www.bing.com/financeapi/forcetrigger?t=bwd9im&amp;q=XNSE%3aCAMS&amp;form=skydnc</v>
    <v>Learn more on Bing</v>
  </rv>
  <rv s="1">
    <v>en-IN</v>
    <v>bwd9im</v>
    <v>268435456</v>
    <v>1</v>
    <v>Powered by Refinitiv</v>
    <v>0</v>
    <v>COMPUTER AGE MANAGEMENT SERVICES LIMITED (XNSE:CAMS)</v>
    <v>2</v>
    <v>3</v>
    <v>Finance</v>
    <v>4</v>
    <v>875</v>
    <v>611.4</v>
    <v>0.88849999999999996</v>
    <v>-20.25</v>
    <v>-2.6208999999999996E-2</v>
    <v>INR</v>
    <v>Computer Age Management Services Limited is a technology-driven financial infrastructure and services provider for mutual funds and other financial institutions. It offers technology-enabled financial infrastructure and services to diverse financial institutions, including mutual funds (MFs), alternative investment funds (AIFs), insurance companies, and others. The Company is in the business of providing data processing and other services to clients, which is the primary segment. Its principal business activities include Mutual Fund Services Business, Insurance Repository Services Business, Electronic Payment Solutions and Payment Aggregator, Know Your Customer (KYC) Registration Agency Business, Alternative Investment Fund Services Business, Software Solutions Business, Analytical Services, and Account Aggregator. The Company’s subsidiaries include CAMS Insurance Repository Services Limited, CAMS Investor Services Private Limited, Sterling Software Private Limited, and others.</v>
    <v>7086</v>
    <v>National Stock Exchange of India</v>
    <v>XNSE</v>
    <v>XNSE</v>
    <v>NEW NO.10, OLD NO.178, M.G.R.SALAI, NUNGAMBAKKAM,, TAMIL NADU, 600034 IN</v>
    <v>774.45</v>
    <v>Professional &amp; Commercial Services</v>
    <v>Stock</v>
    <v>46176.466840277775</v>
    <v>462</v>
    <v>745</v>
    <v>176248600000</v>
    <v>COMPUTER AGE MANAGEMENT SERVICES LIMITED</v>
    <v>COMPUTER AGE MANAGEMENT SERVICES LIMITED</v>
    <v>769.15</v>
    <v>39.130000000000003</v>
    <v>772.65</v>
    <v>752.4</v>
    <v>247984500</v>
    <v>CAMS</v>
    <v>COMPUTER AGE MANAGEMENT SERVICES LIMITED (XNSE:CAMS)</v>
    <v>1152395</v>
    <v>1326050</v>
    <v>1988</v>
  </rv>
  <rv s="2">
    <v>463</v>
  </rv>
  <rv s="0">
    <v>https://www.bing.com/financeapi/forcetrigger?t=ahha27&amp;q=XNSE%3aBSE&amp;form=skydnc</v>
    <v>Learn more on Bing</v>
  </rv>
  <rv s="1">
    <v>en-IN</v>
    <v>ahha27</v>
    <v>268435456</v>
    <v>1</v>
    <v>Powered by Refinitiv</v>
    <v>0</v>
    <v>BSE Limited (XNSE:BSE)</v>
    <v>2</v>
    <v>3</v>
    <v>Finance</v>
    <v>4</v>
    <v>4446.8</v>
    <v>2021.5</v>
    <v>0.9819</v>
    <v>34.200000000000003</v>
    <v>8.6980000000000009E-3</v>
    <v>INR</v>
    <v>BSE Limited is an India-based stock exchange. The Company provides a platform for listing and transactions in equity, debt instruments, currency, commodities, derivatives, mutual funds, and small-and-medium enterprise (SME) securities. The Company operates through a single business segment, namely, facilitates trading in securities and other related ancillary services. It also provides a host of other services to capital market participants, including risk management, clearing, settlement, market data services and education. The Company's systems and processes are designed to safeguard market integrity, drive the growth of the Indian capital market, and stimulate innovation and competition across all market segments. The Company's subsidiaries include Indian Clearing Corporation Limited, BSE Investments Limited, BSE Technologies Private Limited (BTPL), BSE Administration and Supervision Limited, and BSE Institute Limited, among others.</v>
    <v>771</v>
    <v>National Stock Exchange of India</v>
    <v>XNSE</v>
    <v>XNSE</v>
    <v>25TH FLOOR, PJ TOWER DALAL STREET, MUMBAI, MAHARASHTRA, 400001 IN</v>
    <v>4018</v>
    <v>Investment Banking &amp; Investment Services</v>
    <v>Stock</v>
    <v>46176.466874999998</v>
    <v>465</v>
    <v>3855</v>
    <v>1153471000000</v>
    <v>BSE Limited</v>
    <v>BSE Limited</v>
    <v>3935.5</v>
    <v>65.75</v>
    <v>3931.9</v>
    <v>3966.1</v>
    <v>407299100</v>
    <v>BSE</v>
    <v>BSE Limited (XNSE:BSE)</v>
    <v>5058668</v>
    <v>4235960</v>
    <v>2005</v>
  </rv>
  <rv s="2">
    <v>466</v>
  </rv>
  <rv s="0">
    <v>https://www.bing.com/financeapi/forcetrigger?t=ahj1ww&amp;q=XNSE%3aMOTILALOFS&amp;form=skydnc</v>
    <v>Learn more on Bing</v>
  </rv>
  <rv s="1">
    <v>en-IN</v>
    <v>ahj1ww</v>
    <v>268435456</v>
    <v>1</v>
    <v>Powered by Refinitiv</v>
    <v>0</v>
    <v>MOTILAL OSWAL FINANCIAL SERVICES LIMITED (XNSE:MOTILALOFS)</v>
    <v>2</v>
    <v>3</v>
    <v>Finance</v>
    <v>4</v>
    <v>1097.0999999999999</v>
    <v>614.9</v>
    <v>0.48780000000000001</v>
    <v>-10.4</v>
    <v>-1.201E-2</v>
    <v>INR</v>
    <v>Motilal Oswal Financial Services Limited is an integrated technology-based financial services company. It offers a range of services including retail and institutional broking and financial product distribution. Its segments include Wealth Management, Capital Markets, Asset and Private Wealth Management, Home finance, and Treasury Investments. The Wealth Management includes broking services. Capital Market activities include broking services to clients, research and advisory services, financial product distribution, depository services, investment banking, and margin trading funding. The Asset and Wealth Management includes fee-based services for management of assets. Home Finance represents interest and other related income from the affordable housing finance business. Treasury Investments include investment and financing activities. It provides financial services, such as brokerage, distribution of investment products, advisory, lending, investment banking and institutional equity.</v>
    <v>9281</v>
    <v>National Stock Exchange of India</v>
    <v>XNSE</v>
    <v>XNSE</v>
    <v>Motilal Oswal Tower, Rahimtullah Sayani Road, Opposite Parel ST. Depot, Prabhadevi, MUMBAI, MAHARASHTRA, 400025 IN</v>
    <v>869.8</v>
    <v>Investment Banking &amp; Investment Services</v>
    <v>Stock</v>
    <v>46176.466863425929</v>
    <v>468</v>
    <v>838.4</v>
    <v>503297100000</v>
    <v>MOTILAL OSWAL FINANCIAL SERVICES LIMITED</v>
    <v>MOTILAL OSWAL FINANCIAL SERVICES LIMITED</v>
    <v>868.8</v>
    <v>27.46</v>
    <v>865.95</v>
    <v>855.55</v>
    <v>601860000</v>
    <v>MOTILALOFS</v>
    <v>MOTILAL OSWAL FINANCIAL SERVICES LIMITED (XNSE:MOTILALOFS)</v>
    <v>566985</v>
    <v>895010</v>
    <v>2005</v>
  </rv>
  <rv s="2">
    <v>469</v>
  </rv>
  <rv s="3">
    <v>en-IN</v>
    <v>c8gy3m</v>
    <v>268435456</v>
    <v>1</v>
    <v>Powered by Refinitiv</v>
    <v>5</v>
    <v>KFIN TECHNOLOGIES LIMITED (XNSE:KFINTECH)</v>
    <v>6</v>
    <v>3</v>
    <v>Finance</v>
    <v>4</v>
    <v>1388.5</v>
    <v>784.95</v>
    <v>1.2134</v>
    <v>-21.4</v>
    <v>-2.4920000000000001E-2</v>
    <v>INR</v>
    <v>KFin Technologies Limited is engaged in providing service of registrar to the public issue of securities, registrar to the securities transfers, and back-office operations to mutual fund houses and data processing activities. Its business segments include Domestic mutual fund investor solutions, Issuer solutions, International and other investor solutions and Global business services. It is an investor solutions provider to asset management firms and issuer solutions provider to both listed and unlisted corporations in India, in terms of the number of clients served. It also offers investor solutions and fund administration to asset managers in GIFT City (India), Malaysia, the Philippines, Singapore, Hong Kong, Thailand, and Canada. It offers platform-as-a-service and software-as-a-service based solutions, such as digital onboarding for investors, transfer agency, fund accounting, fund administration, transaction management and other diverse digital services to global asset managers.</v>
    <v>6371</v>
    <v>National Stock Exchange of India</v>
    <v>XNSE</v>
    <v>XNSE</v>
    <v>SELENIUM, TOWER B, PLOT NO- 31 &amp; 32, FINANCIAL DISTRICT, NANAKRAMGUDA, SERILINGAMPALLY HYDERABAD RANGAREDDI TG, TELANGANA, 500032 IN</v>
    <v>863.45</v>
    <v>Financial Technology (Fintech) &amp; Infrastructure</v>
    <v>Stock</v>
    <v>46176.466863425929</v>
    <v>833.1</v>
    <v>181913300000</v>
    <v>KFIN TECHNOLOGIES LIMITED</v>
    <v>KFIN TECHNOLOGIES LIMITED</v>
    <v>863.45</v>
    <v>42.06</v>
    <v>858.75</v>
    <v>837.35</v>
    <v>172615100</v>
    <v>KFINTECH</v>
    <v>KFIN TECHNOLOGIES LIMITED (XNSE:KFINTECH)</v>
    <v>1120027</v>
    <v>1124000</v>
    <v>2017</v>
  </rv>
  <rv s="2">
    <v>471</v>
  </rv>
  <rv s="3">
    <v>en-IN</v>
    <v>ca9dw7</v>
    <v>268435456</v>
    <v>1</v>
    <v>Powered by Refinitiv</v>
    <v>5</v>
    <v>IDEAFORGE TECHNOLOGY LIMITED (XNSE:IDEAFORGE)</v>
    <v>6</v>
    <v>3</v>
    <v>Finance</v>
    <v>4</v>
    <v>888</v>
    <v>366</v>
    <v>1.48</v>
    <v>28.25</v>
    <v>3.4081E-2</v>
    <v>INR</v>
    <v>ideaForge Technology Limited is an India-based company operating under the unmanned aircraft systems (UAS) market. It is engaged in manufacturing and marketing unmanned aerial vehicles (UAVs) used for security and surveillance. Its UAV product portfolio includes Q6 V2 GEO, NETRA 5, SWITCH V2, ZOLT, LOGISTICS, Early Access Program (EAP), Co-innovate Access Program (CAP), SWITCH, NETRA V4 PRO, Q6 V2, and Q4i. Its UAVs have been designed to be able to handle all terrains and temperature conditions. Its applications include mapping and surveying and security and surveillance operations. Its mapping and surveying applications include land survey, mining area planning and mapping, volumetric estimation, railways, construction and real estate, corridor mapping. SWITCH UAV is a fixed wing and vertical take-off and landing (VTOL) hybrid UAV which is used for long-range, high-altitude last mile surveillance and security operations.</v>
    <v>513</v>
    <v>National Stock Exchange of India</v>
    <v>XNSE</v>
    <v>XNSE</v>
    <v>EL - 146, TTC INDUSTRIAL AREA, ELECTRONIC ZONE,, MIDC, MAHAPE,, THANE,, MAHARASHTRA, 400710 IN</v>
    <v>870</v>
    <v>Aerospace &amp; Defense</v>
    <v>Stock</v>
    <v>46176.466874999998</v>
    <v>806.8</v>
    <v>20236240000</v>
    <v>IDEAFORGE TECHNOLOGY LIMITED</v>
    <v>IDEAFORGE TECHNOLOGY LIMITED</v>
    <v>839</v>
    <v>0</v>
    <v>828.9</v>
    <v>857.15</v>
    <v>43388900</v>
    <v>IDEAFORGE</v>
    <v>IDEAFORGE TECHNOLOGY LIMITED (XNSE:IDEAFORGE)</v>
    <v>329383</v>
    <v>367760</v>
    <v>2007</v>
  </rv>
  <rv s="2">
    <v>473</v>
  </rv>
  <rv s="0">
    <v>http://en.wikipedia.org/wiki/Oil_India</v>
    <v>Wikipedia</v>
  </rv>
  <rv s="4">
    <v>339</v>
    <v>475</v>
  </rv>
  <rv s="5">
    <v>11</v>
    <v>https://www.bing.com/th?id=AMMS_c95bda5ece615d354bb4f1ba57fc6de6&amp;qlt=95</v>
    <v>476</v>
    <v>0</v>
    <v>https://www.bing.com/images/search?form=xlimg&amp;q=oil+india</v>
    <v>Image of OIL INDIA LIMITED</v>
  </rv>
  <rv s="0">
    <v>https://www.bing.com/financeapi/forcetrigger?t=ahj9cw&amp;q=XNSE%3aOIL&amp;form=skydnc</v>
    <v>Learn more on Bing</v>
  </rv>
  <rv s="6">
    <v>en-IN</v>
    <v>ahj9cw</v>
    <v>268435456</v>
    <v>1</v>
    <v>Powered by Refinitiv</v>
    <v>7</v>
    <v>OIL INDIA LIMITED (XNSE:OIL)</v>
    <v>9</v>
    <v>10</v>
    <v>Finance</v>
    <v>4</v>
    <v>531</v>
    <v>384.6</v>
    <v>0.82140000000000002</v>
    <v>6.85</v>
    <v>1.4150000000000001E-2</v>
    <v>INR</v>
    <v>Oil India Limited is an India-based company engaged in the exploration, development, and production of crude oil, natural gas, liquefied petroleum gas (LPG), and condensate and providing services such as pipeline transportation and generation of renewable energy. Its segments include Crude Oil, Natural Gas, LPG, Pipeline Transportation, and Renewable Energy. Its upstream operations include geosciences, drilling, and production. The midstream operations involve operating and maintaining pipelines to transport hydrocarbons such as crude oil, natural gas, and petroleum products. Its downstream portfolio includes activities in refining and petrochemicals and city gas distribution. It has an installed renewable energy capacity of approximately 188.1 megawatts (MW), comprising 174.1 MW from wind energy projects and 14.0 MW from solar energy projects. Its subsidiaries include Oil India Sweden AB, Oil India International B.V., Oil India International Pte. Ltd., and Numaligarh Refinery Limited.</v>
    <v>6412</v>
    <v>National Stock Exchange of India</v>
    <v>XNSE</v>
    <v>XNSE</v>
    <v>PLOT NO 19 NEAR FILM CITY, SECTOR 16A, UTTAR PRADESH, 201301 IN</v>
    <v>495.4</v>
    <v>477</v>
    <v>Oil &amp; Gas</v>
    <v>Stock</v>
    <v>46176.466874999998</v>
    <v>478</v>
    <v>485.8</v>
    <v>728557600000</v>
    <v>OIL INDIA LIMITED</v>
    <v>OIL INDIA LIMITED</v>
    <v>487.35</v>
    <v>12.06</v>
    <v>484.1</v>
    <v>490.95</v>
    <v>1626608000</v>
    <v>OIL</v>
    <v>OIL INDIA LIMITED (XNSE:OIL)</v>
    <v>3895881</v>
    <v>3224300</v>
    <v>1959</v>
  </rv>
  <rv s="2">
    <v>479</v>
  </rv>
  <rv s="0">
    <v>https://www.bing.com/financeapi/forcetrigger?t=ahhzcw&amp;q=XNSE%3aGRINDWELL&amp;form=skydnc</v>
    <v>Learn more on Bing</v>
  </rv>
  <rv s="1">
    <v>en-IN</v>
    <v>ahhzcw</v>
    <v>268435456</v>
    <v>1</v>
    <v>Powered by Refinitiv</v>
    <v>0</v>
    <v>GRINDWELL NORTON LIMITED (XNSE:GRINDWELL)</v>
    <v>2</v>
    <v>3</v>
    <v>Finance</v>
    <v>4</v>
    <v>2002.7</v>
    <v>1329</v>
    <v>1.1576</v>
    <v>8</v>
    <v>4.3030000000000004E-3</v>
    <v>INR</v>
    <v>Grindwell Norton Limited is an India-based company, which is engaged in the manufacturing of abrasives, performance plastics and refractory products. The Company's segments include abrasives, ceramics and plastics, digital services, and others. The abrasives segment markets and manufactures a full range of bonded abrasives, coated abrasives (including non-woven abrasives), thin wheels and super abrasives. Its performance ceramics and refractories business makes ceramic and refractory products for a wide range of industrial applications. The products manufactured include silicon carbide based shaped refractory and ceramic products. Its performance plastics business produces and markets more than 800 standard and custom-made polymer products through three business divisions: engineered components, life sciences and composites. It provides various digital services, such as application development, infrastructure management, and cybersecurity to the Saint-Gobain group globally.</v>
    <v>2429</v>
    <v>National Stock Exchange of India</v>
    <v>XNSE</v>
    <v>XNSE</v>
    <v>5TH LEVEL LEELA BUSINESS PARK ANDHERI-KURLA ROAD, MAROL, ANDHERI EAST, MAHARASHTRA, 400059 IN</v>
    <v>1889.3</v>
    <v>Machinery, Equipment &amp; Components</v>
    <v>Stock</v>
    <v>46176.466863425929</v>
    <v>481</v>
    <v>1849.8</v>
    <v>174682900000</v>
    <v>GRINDWELL NORTON LIMITED</v>
    <v>GRINDWELL NORTON LIMITED</v>
    <v>1849.8</v>
    <v>49.79</v>
    <v>1859</v>
    <v>1867</v>
    <v>110720000</v>
    <v>GRINDWELL</v>
    <v>GRINDWELL NORTON LIMITED (XNSE:GRINDWELL)</v>
    <v>92642</v>
    <v>80980</v>
    <v>1950</v>
  </rv>
  <rv s="2">
    <v>482</v>
  </rv>
  <rv s="0">
    <v>https://www.bing.com/financeapi/forcetrigger?t=ahj9zr&amp;q=XNSE%3aONGC&amp;form=skydnc</v>
    <v>Learn more on Bing</v>
  </rv>
  <rv s="1">
    <v>en-IN</v>
    <v>ahj9zr</v>
    <v>268435456</v>
    <v>1</v>
    <v>Powered by Refinitiv</v>
    <v>0</v>
    <v>OIL AND NATURAL GAS CORPORATION LIMITED (XNSE:ONGC)</v>
    <v>2</v>
    <v>3</v>
    <v>Finance</v>
    <v>4</v>
    <v>307.5</v>
    <v>228.61</v>
    <v>0.59079999999999999</v>
    <v>2.7</v>
    <v>1.0187E-2</v>
    <v>INR</v>
    <v>Oil and Natural Gas Corporation Limited is an India-based integrated oil and gas company. The Company is engaged in exploration, development and production of crude oil, natural gas and value-added products in India and acquisition of oil and gas acreages outside India for exploration, development and production, downstream (Refining and marketing of petroleum products), Petrochemicals, Power Generation, liquefied natural gas (LNG) supply, Pipeline Transportation, special economic zone (SEZ) development, Helicopter services, Manufacturing of Ethanol and Sugar, Green and Renewable energy business. Its segments include Exploration and Production, Refining &amp; Marketing, and Petrochemicals. Its geographical segments consist of India, which includes offshore and onshore, and Outside India. Its subsidiaries include ONGC Videsh Limited, ONGC Green Limited, Mangalore Refinery and Petrochemicals Limited, Hindustan Petroleum Corporation Limited, HPCL Biofuels Limited, and among others.</v>
    <v>25319</v>
    <v>National Stock Exchange of India</v>
    <v>XNSE</v>
    <v>XNSE</v>
    <v>Deendayal Urja Bhawan, 5A, Nelson Mandela Marg, Vasant Kunj, NEW DELHI, DELHI, 110070 IN</v>
    <v>268.7</v>
    <v>Oil &amp; Gas</v>
    <v>Stock</v>
    <v>46176.466840277775</v>
    <v>484</v>
    <v>264.3</v>
    <v>3066821000000</v>
    <v>OIL AND NATURAL GAS CORPORATION LIMITED</v>
    <v>OIL AND NATURAL GAS CORPORATION LIMITED</v>
    <v>265.14999999999998</v>
    <v>8.1300000000000008</v>
    <v>265.05</v>
    <v>267.75</v>
    <v>12580280000</v>
    <v>ONGC</v>
    <v>OIL AND NATURAL GAS CORPORATION LIMITED (XNSE:ONGC)</v>
    <v>14618721</v>
    <v>20044810</v>
    <v>1993</v>
  </rv>
  <rv s="2">
    <v>485</v>
  </rv>
  <rv s="0">
    <v>https://www.bing.com/financeapi/forcetrigger?t=bspynm&amp;q=XNSE%3aAPOLLOPIPE&amp;form=skydnc</v>
    <v>Learn more on Bing</v>
  </rv>
  <rv s="1">
    <v>en-IN</v>
    <v>bspynm</v>
    <v>268435456</v>
    <v>1</v>
    <v>Powered by Refinitiv</v>
    <v>0</v>
    <v>APOLLO PIPES LIMITED (XNSE:APOLLOPIPE)</v>
    <v>2</v>
    <v>3</v>
    <v>Finance</v>
    <v>4</v>
    <v>554</v>
    <v>252.1</v>
    <v>0.72819999999999996</v>
    <v>7.6</v>
    <v>1.5871E-2</v>
    <v>INR</v>
    <v>Apollo Pipes Limited is an India-based company, which is engaged in the manufacturing and trading of polyvinyl chloride (PVC) pipes and fittings. The Company's product portfolio includes a range of over 2600 stock keeping units (SKUs), including chlorinated polyvinyl chloride (cPVC), unplasticized polyvinyl chloride (uPVC) and high-density polyethylene (HDPE) pipes, water storage tanks, PVC taps, fittings and solvents. Its borewell system products include column pipes and casing pipes. Its bath fitting products include faucets, showers, health faucets, cisterns and accessories. Its agricultural products include agricultural pipes and fittings, HDPE pipes and coils and sprinkler system. The Company caters to various industries, such as agriculture, construction, infrastructure and telecom ducting segments. Its sewerage solution products include SWR-drainage system and underground drainage system. It also offers uPVC and cPVC plumbing system, and kitchen tank.</v>
    <v>627</v>
    <v>National Stock Exchange of India</v>
    <v>XNSE</v>
    <v>XNSE</v>
    <v>37, HARGOBIND ENCLAVE VIKAS MARG, DELHI, DELHI -, DELHI, 110092 IN</v>
    <v>494</v>
    <v>Homebuilding &amp; Construction Supplies</v>
    <v>Stock</v>
    <v>46176.466863425929</v>
    <v>487</v>
    <v>467.5</v>
    <v>12778790000</v>
    <v>APOLLO PIPES LIMITED</v>
    <v>APOLLO PIPES LIMITED</v>
    <v>478.95</v>
    <v>295.82</v>
    <v>478.85</v>
    <v>486.45</v>
    <v>43919360</v>
    <v>APOLLOPIPE</v>
    <v>APOLLO PIPES LIMITED (XNSE:APOLLOPIPE)</v>
    <v>201208</v>
    <v>384120</v>
    <v>1985</v>
  </rv>
  <rv s="2">
    <v>488</v>
  </rv>
  <rv s="0">
    <v>https://www.bing.com/financeapi/forcetrigger?t=ahi5f2&amp;q=XNSE%3aHINDCOPPER&amp;form=skydnc</v>
    <v>Learn more on Bing</v>
  </rv>
  <rv s="1">
    <v>en-IN</v>
    <v>ahi5f2</v>
    <v>268435456</v>
    <v>1</v>
    <v>Powered by Refinitiv</v>
    <v>0</v>
    <v>HINDUSTAN COPPER LTD (XNSE:HINDCOPPER)</v>
    <v>2</v>
    <v>3</v>
    <v>Finance</v>
    <v>4</v>
    <v>760.05</v>
    <v>226.7</v>
    <v>1.5155000000000001</v>
    <v>-0.8</v>
    <v>-1.4649999999999999E-3</v>
    <v>INR</v>
    <v>Hindustan Copper Limited is an India-based vertically integrated copper-producing company. The Company is engaged in the business of mining and processing of copper ore. The principal activities of the Company are exploration, exploitation, mining of copper and copper ore including beneficiation of minerals, smelting and refining. It has copper mines and concentrator plants in Malanjkhand Copper Project in Madhya Pradesh (MCP), Khetri Copper Complex in Rajasthan (KCC) and Indian Copper Complex, Ghatsila in Jharkhand (ICC). The Company has smelter and refinery plants at ICC and Gujarat Copper Project, Gujarat (GCP) for the production of copper cathode and thereafter conversion of cathode to copper wire rod at Taloja Copper Project, Taloja, Maharashtra (TCP). The Company markets copper cathodes, continuous cast copper rods and by-products, such as anode slime (containing precious metals), copper sulfate and sulfuric acid. Its subsidiary is Chhattisgarh Copper Limited.</v>
    <v>1274</v>
    <v>National Stock Exchange of India</v>
    <v>XNSE</v>
    <v>XNSE</v>
    <v>TAMRA BHAVAN 1, ASHUTOSH CHOWDHURY AVENUE, WEST BENGAL, 700019 IN</v>
    <v>551.5</v>
    <v>Metals &amp; Mining</v>
    <v>Stock</v>
    <v>46176.466874999998</v>
    <v>490</v>
    <v>535.04999999999995</v>
    <v>521661100000</v>
    <v>HINDUSTAN COPPER LTD</v>
    <v>HINDUSTAN COPPER LTD</v>
    <v>550</v>
    <v>57.47</v>
    <v>546.20000000000005</v>
    <v>545.4</v>
    <v>967024000</v>
    <v>HINDCOPPER</v>
    <v>HINDUSTAN COPPER LTD (XNSE:HINDCOPPER)</v>
    <v>3349872</v>
    <v>4717410</v>
    <v>1967</v>
  </rv>
  <rv s="2">
    <v>491</v>
  </rv>
  <rv s="0">
    <v>https://www.bing.com/financeapi/forcetrigger?t=ayp6zr&amp;q=XNSE%3aAPOLLO&amp;form=skydnc</v>
    <v>Learn more on Bing</v>
  </rv>
  <rv s="1">
    <v>en-IN</v>
    <v>ayp6zr</v>
    <v>268435456</v>
    <v>1</v>
    <v>Powered by Refinitiv</v>
    <v>0</v>
    <v>APOLLO MICRO SYSTEMS LIMITED (XNSE:APOLLO)</v>
    <v>2</v>
    <v>3</v>
    <v>Finance</v>
    <v>4</v>
    <v>446.9</v>
    <v>162.34</v>
    <v>1.2011000000000001</v>
    <v>-29.45</v>
    <v>-6.7390999999999993E-2</v>
    <v>INR</v>
    <v>Apollo Micro Systems Limited is an electronic, electromechanical, and engineering design, manufacturing, and supplies company. It specializes in the design, development, and sale of high-performance solutions that are critical for missions and time-sensitive operations. Its portfolio comprises products catering to the needs of a wide range of customers across various industries. It offers a wide range of products and services, including electronic manufacturing, PCB fabrication, embedded software and hardware design, printed circuit board assembly, concept-to-product development, host interface development, and custom-built electronic systems. Its product-based solutions include avionics systems, aerospace, ground defense, space, transportation, embedded solutions, and homeland security. Its service-based solutions include electronic manufacturing services, electronic-CAD design, mechanical engineering services, information technology and software services, and hardware designing.</v>
    <v>405</v>
    <v>National Stock Exchange of India</v>
    <v>XNSE</v>
    <v>XNSE</v>
    <v>PLOT NO 128/A, ROAD NO. 12, BEL ROAD IDA MALLAPUR, UPPAL MANDAL, RANGAREDDI, TELANGANA, 500076 IN</v>
    <v>446.9</v>
    <v>Aerospace &amp; Defense</v>
    <v>Stock</v>
    <v>46176.466840277775</v>
    <v>493</v>
    <v>402.5</v>
    <v>88930090000</v>
    <v>APOLLO MICRO SYSTEMS LIMITED</v>
    <v>APOLLO MICRO SYSTEMS LIMITED</v>
    <v>441</v>
    <v>124.63</v>
    <v>437</v>
    <v>407.55</v>
    <v>357305500</v>
    <v>APOLLO</v>
    <v>APOLLO MICRO SYSTEMS LIMITED (XNSE:APOLLO)</v>
    <v>42624969</v>
    <v>56197950</v>
    <v>1997</v>
  </rv>
  <rv s="2">
    <v>494</v>
  </rv>
  <rv s="0">
    <v>https://www.bing.com/financeapi/forcetrigger?t=ahi4oc&amp;q=XNSE%3aHFCL&amp;form=skydnc</v>
    <v>Learn more on Bing</v>
  </rv>
  <rv s="1">
    <v>en-IN</v>
    <v>ahi4oc</v>
    <v>268435456</v>
    <v>1</v>
    <v>Powered by Refinitiv</v>
    <v>0</v>
    <v>HFCL LIMITED (XNSE:HFCL)</v>
    <v>2</v>
    <v>3</v>
    <v>Finance</v>
    <v>4</v>
    <v>199.43</v>
    <v>59.82</v>
    <v>1.5014000000000001</v>
    <v>9.4700000000000006</v>
    <v>4.9858E-2</v>
    <v>INR</v>
    <v>HFCL Limited is an India-based global technology company. The Company delivers communication and networking products and solutions globally across the telecom, defense, and railways sectors. Its business segments include manufacturing of telecom products, executing turnkey contracts and providing services relating thereto. It offers a range of products and solutions for the telecom industry, which include open‑standards‑based wired and wireless access solutions are customizable to diverse network needs, enabling seamless end‑to‑end connectivity for small, medium, and large scale deployments, globally scalable. In Defence includes designs and delivers customized products and solutions for defence services, institutions, and projects of national security significance.</v>
    <v>1910</v>
    <v>National Stock Exchange of India</v>
    <v>XNSE</v>
    <v>XNSE</v>
    <v>8, COMMERCIAL COMPLEX MASJID MOTH, GREATER KAILASH-II, DELHI, 110048 IN</v>
    <v>199.43</v>
    <v>Communications &amp; Networking</v>
    <v>Stock</v>
    <v>46176.466886574075</v>
    <v>496</v>
    <v>189</v>
    <v>90391200000</v>
    <v>HFCL LIMITED</v>
    <v>HFCL LIMITED</v>
    <v>189.9</v>
    <v>93.62</v>
    <v>189.94</v>
    <v>199.41</v>
    <v>1530264000</v>
    <v>HFCL</v>
    <v>HFCL LIMITED (XNSE:HFCL)</v>
    <v>65716679</v>
    <v>65816490</v>
    <v>1987</v>
  </rv>
  <rv s="2">
    <v>497</v>
  </rv>
  <rv s="0">
    <v>https://www.bing.com/financeapi/forcetrigger?t=ahh1k2&amp;q=XNSE%3aAUROPHARMA&amp;form=skydnc</v>
    <v>Learn more on Bing</v>
  </rv>
  <rv s="1">
    <v>en-IN</v>
    <v>ahh1k2</v>
    <v>268435456</v>
    <v>1</v>
    <v>Powered by Refinitiv</v>
    <v>0</v>
    <v>AUROBINDO PHARMA LTD (XNSE:AUROPHARMA)</v>
    <v>2</v>
    <v>3</v>
    <v>Finance</v>
    <v>4</v>
    <v>1550</v>
    <v>1016.1</v>
    <v>0.60470000000000002</v>
    <v>11.2</v>
    <v>7.8370000000000002E-3</v>
    <v>INR</v>
    <v>Aurobindo Pharma Limited is an India-based pharmaceutical company. The Company is principally engaged in manufacturing and marketing of active pharmaceutical ingredients, branded pharmaceuticals, generic pharmaceuticals, and related services. Its key therapeutic segments include Central nervous systems (CNS), Antiretrovirals (ARVs), Cardiovascular (CVS), SSP - Orals and Sterile, Anti-infectives, Anti-diabetics and Cephalosporins - Orals. It is engaged in developing a range of oncology, non-oncology prescription formulation, and hormonal products. It is developing topical as well as transdermal products in the dermatology therapeutic segment. It is marketing its products globally in approximately 150 countries. Its subsidiaries include APL Healthcare Limited, Auronext Pharma Private Limited, Auro Peptides Limited, APL Pharma Thai Limited, Auro Pharma Inc, Aurobindo Pharma (Malta) Limited, APL Swift Services (Malta) Limited, Aurobindo Pharma Industria Farmaceutica Ltd, and others.</v>
    <v>9107</v>
    <v>National Stock Exchange of India</v>
    <v>XNSE</v>
    <v>XNSE</v>
    <v>GALAXY, FLOORS: 22-24, PLOT NO.1, SURVEY NO.83/1,, HYDERABAD KNOWLEDGE CITY,, RAIDURG PANMAKTHA, RANGA REDDY DISTRICT,, TELANGANA, 500032 IN</v>
    <v>1458</v>
    <v>Pharmaceuticals</v>
    <v>Stock</v>
    <v>46176.466840277775</v>
    <v>499</v>
    <v>1419.2</v>
    <v>678202100000</v>
    <v>AUROBINDO PHARMA LTD</v>
    <v>AUROBINDO PHARMA LTD</v>
    <v>1432.5</v>
    <v>23.87</v>
    <v>1429.2</v>
    <v>1440.4</v>
    <v>575377900</v>
    <v>AUROPHARMA</v>
    <v>AUROBINDO PHARMA LTD (XNSE:AUROPHARMA)</v>
    <v>969156</v>
    <v>1597380</v>
    <v>1986</v>
  </rv>
  <rv s="2">
    <v>500</v>
  </rv>
  <rv s="0">
    <v>https://www.bing.com/financeapi/forcetrigger?t=ahjuw7&amp;q=XNSE%3aSELAN&amp;form=skydnc</v>
    <v>Learn more on Bing</v>
  </rv>
  <rv s="1">
    <v>en-IN</v>
    <v>ahjuw7</v>
    <v>268435456</v>
    <v>1</v>
    <v>Powered by Refinitiv</v>
    <v>0</v>
    <v>ANTELOPUS SELAN ENERGY LIMITED (XNSE:ANTELOPUS)</v>
    <v>2</v>
    <v>3</v>
    <v>Finance</v>
    <v>4</v>
    <v>896.9</v>
    <v>357</v>
    <v>0.81220000000000003</v>
    <v>17.600000000000001</v>
    <v>2.0604000000000001E-2</v>
    <v>INR</v>
    <v>Antelopus Selan Energy Limited, formerly Selan Exploration Technology Limited, is an India-based company, which is engaged in the business of oil and gas exploration and production. The Company holds a portfolio of oil and gas fields: Bakrol, Lohar and Karjisan, which are located in Gujarat. It also operates four contract areas: two offshore (one each on the West Coast and East Coast of India) and two onshore (one each in Assam and Andhra Pradesh). The Bakrol field is a productive oil field located in the Cambay Basin, around 16 kilometers (kms) south-east of Ahmedabad city, which covers an area of 36 square kilometers (sq. kms). The Bakrol field's reservoir zones are K-VIII and K-IX of the Kalol formation from the Middle Eocene age. The Lohar field is located approximately 35 kms west-north-west of Ahmedabad city, which covers an area of five sq. kms. The Karjisan field covers an area of around five sq. kms, which is located in Ahmedabad-Mehsana tectonic block of the Cambay Basin.</v>
    <v>78</v>
    <v>National Stock Exchange of India</v>
    <v>XNSE</v>
    <v>XNSE</v>
    <v>8TH FLOOR, IMPERIA MINDSPACE, SECTOR 62, BHONDSI, HARYANA, 122102 IN</v>
    <v>896.9</v>
    <v>Oil &amp; Gas</v>
    <v>Stock</v>
    <v>46176.466863425929</v>
    <v>502</v>
    <v>846.8</v>
    <v>12932710000</v>
    <v>ANTELOPUS SELAN ENERGY LIMITED</v>
    <v>ANTELOPUS SELAN ENERGY LIMITED</v>
    <v>879</v>
    <v>34.22</v>
    <v>854.2</v>
    <v>871.8</v>
    <v>35162360</v>
    <v>ANTELOPUS</v>
    <v>ANTELOPUS SELAN ENERGY LIMITED (XNSE:ANTELOPUS)</v>
    <v>254667</v>
    <v>147610</v>
    <v>1985</v>
  </rv>
  <rv s="2">
    <v>503</v>
  </rv>
  <rv s="0">
    <v>https://www.bing.com/financeapi/forcetrigger?t=ahhbzr&amp;q=XNSE%3aCARERATING&amp;form=skydnc</v>
    <v>Learn more on Bing</v>
  </rv>
  <rv s="1">
    <v>en-IN</v>
    <v>ahhbzr</v>
    <v>268435456</v>
    <v>1</v>
    <v>Powered by Refinitiv</v>
    <v>0</v>
    <v>CARE RATINGS LIMITED (XNSE:CARERATING)</v>
    <v>2</v>
    <v>3</v>
    <v>Finance</v>
    <v>4</v>
    <v>1964</v>
    <v>1392.7</v>
    <v>0.35610000000000003</v>
    <v>-16.600000000000001</v>
    <v>-1.0126999999999999E-2</v>
    <v>INR</v>
    <v>CARE Ratings Limited is a credit rating company. The Company provides various credit ratings to corporates to raise capital for their various requirements and assists investors to form an informed investment decision based on credit risk and their own risk-return expectations. Its subsidiaries include CARE Ratings (Africa) Private Limited (CRAF), CARE Ratings Nepal Limited (CRNL), CARE ESG Ratings Limited, CARE Analytics and Advisory Private Limited, CARE Ratings South Africa (Pty) Limited and CareEdge Global IFSC Limited. CRNL offers a comprehensive array of rating services tailored to the Nepalese market, and technical support from its parent company. CareEdge Global IFSC Limited offers credit ratings and global-scale ratings for issuers and debt securities. CARE Analytics and Advisory Private Limited which specialises in the advisory, consulting, sustainability, research, and analytics services.</v>
    <v>598</v>
    <v>National Stock Exchange of India</v>
    <v>XNSE</v>
    <v>XNSE</v>
    <v>4th Floor, Godrej Coliseum, Somaiya Hospital Road, Off Eastern Express Highway, Sion (East), MUMBAI, MAHARASHTRA, 400022 IN</v>
    <v>1639.2</v>
    <v>Professional &amp; Commercial Services</v>
    <v>Stock</v>
    <v>46176.466898148145</v>
    <v>505</v>
    <v>1583.3</v>
    <v>48625760000</v>
    <v>CARE RATINGS LIMITED</v>
    <v>CARE RATINGS LIMITED</v>
    <v>1639.2</v>
    <v>28.44</v>
    <v>1639.2</v>
    <v>1622.6</v>
    <v>30049160</v>
    <v>CARERATING</v>
    <v>CARE RATINGS LIMITED (XNSE:CARERATING)</v>
    <v>36797</v>
    <v>51720</v>
    <v>1993</v>
  </rv>
  <rv s="2">
    <v>506</v>
  </rv>
  <rv s="0">
    <v>https://www.bing.com/financeapi/forcetrigger?t=ahhaur&amp;q=XNSE%3aZYDUSLIFE&amp;form=skydnc</v>
    <v>Learn more on Bing</v>
  </rv>
  <rv s="1">
    <v>en-IN</v>
    <v>ahhaur</v>
    <v>268435456</v>
    <v>1</v>
    <v>Powered by Refinitiv</v>
    <v>0</v>
    <v>ZYDUS LIFESCIENCES LIMITED (XNSE:ZYDUSLIFE)</v>
    <v>2</v>
    <v>3</v>
    <v>Finance</v>
    <v>4</v>
    <v>1115.5</v>
    <v>835.5</v>
    <v>0.52090000000000003</v>
    <v>-1.7</v>
    <v>-1.5770000000000001E-3</v>
    <v>INR</v>
    <v>Zydus Lifesciences Limited is an India-based life-sciences company with positions across pharmaceuticals and consumer wellness, supported by a MedTech franchise and a global footprint across United States, India and other international markets. Its pharmaceutical business includes integrated pharmaceutical operations with business encompassing the entire value chain in research, development, production, marketing and distribution of pharmaceutical products. Its product portfolio includes active pharmaceutical ingredients, human formulations, and animal health and veterinary. Its consumer products business includes development, production, marketing and distribution of differentiated health and wellness products. It provides biologicals manufacturing sites offering contract development and manufacturing organization services to biopharmaceutical companies globally. Its focused therapy areas include cardiology, anti-diabetes, super specialty areas of oncology and nephrology, and others.</v>
    <v>27917</v>
    <v>National Stock Exchange of India</v>
    <v>XNSE</v>
    <v>XNSE</v>
    <v>Zydus Corporate Park, Scheme No. 63, Survey No. 536, Near Vaishnodevi Circle, Khoraj (Gandhinagar), Sarkhej-Gandhinagar Highway, AHMEDABAD, GUJARAT, 382481 IN</v>
    <v>1081.0999999999999</v>
    <v>Pharmaceuticals</v>
    <v>Stock</v>
    <v>46176.466851851852</v>
    <v>508</v>
    <v>1048.9000000000001</v>
    <v>906314900000</v>
    <v>ZYDUS LIFESCIENCES LIMITED</v>
    <v>ZYDUS LIFESCIENCES LIMITED</v>
    <v>1078.0999999999999</v>
    <v>21.49</v>
    <v>1078.3</v>
    <v>1076.5999999999999</v>
    <v>1006234000</v>
    <v>ZYDUSLIFE</v>
    <v>ZYDUS LIFESCIENCES LIMITED (XNSE:ZYDUSLIFE)</v>
    <v>1403453</v>
    <v>3757920</v>
    <v>1995</v>
  </rv>
  <rv s="2">
    <v>509</v>
  </rv>
  <rv s="0">
    <v>https://www.bing.com/financeapi/forcetrigger?t=ahixf2&amp;q=XNSE%3aMCLEODRUSS&amp;form=skydnc</v>
    <v>Learn more on Bing</v>
  </rv>
  <rv s="1">
    <v>en-IN</v>
    <v>ahixf2</v>
    <v>268435456</v>
    <v>1</v>
    <v>Powered by Refinitiv</v>
    <v>0</v>
    <v>MCLEOD RUSSEL INDIA LIMITED (XNSE:MCLEODRUSS)</v>
    <v>2</v>
    <v>3</v>
    <v>Finance</v>
    <v>4</v>
    <v>78.41</v>
    <v>28.5</v>
    <v>1.6335</v>
    <v>-1.5</v>
    <v>-1.9915000000000002E-2</v>
    <v>INR</v>
    <v>McLeod Russel India Limited is an India-based company engaged in the cultivation and manufacturing of tea. The Company’s geographical segments include India, Vietnam, Uganda, the United Kingdom, and Others. Its plantations consist of approximately 33 tea estates located in Assam and West Bengal. The Tea is produced and sold in domestic as well as international markets including the United Kingdom and Europe. Its facility operates over two bulk blending units that can blend both Orthodox and Crushed, torn, and curled (CTC) tea varieties. Its subsidiaries include Borelli Tea Holdings Limited, McLeod Russel Uganda Limited, McLeod Russel Middle East DMCC, UAE, and McLeod Russel Africa Limited.</v>
    <v>46977</v>
    <v>National Stock Exchange of India</v>
    <v>XNSE</v>
    <v>XNSE</v>
    <v>4 MANGOE LANE, SURENDRA MOHAN GHOSH SARANI HARE STREET, KOLKATA, WEST BENGAL, INDIA,, WEST BENGAL, 700001 IN</v>
    <v>73.819999999999993</v>
    <v>Food &amp; Tobacco</v>
    <v>Stock</v>
    <v>46176.466863425929</v>
    <v>511</v>
    <v>73.819999999999993</v>
    <v>4783028000</v>
    <v>MCLEOD RUSSEL INDIA LIMITED</v>
    <v>MCLEOD RUSSEL INDIA LIMITED</v>
    <v>73.819999999999993</v>
    <v>0</v>
    <v>75.319999999999993</v>
    <v>73.819999999999993</v>
    <v>104455700</v>
    <v>MCLEODRUSS</v>
    <v>MCLEOD RUSSEL INDIA LIMITED (XNSE:MCLEODRUSS)</v>
    <v>124129</v>
    <v>716890</v>
    <v>1998</v>
  </rv>
  <rv s="2">
    <v>512</v>
  </rv>
  <rv s="0">
    <v>https://www.bing.com/financeapi/forcetrigger?t=ahgt7w&amp;q=XNSE%3aAJANTPHARM&amp;form=skydnc</v>
    <v>Learn more on Bing</v>
  </rv>
  <rv s="1">
    <v>en-IN</v>
    <v>ahgt7w</v>
    <v>268435456</v>
    <v>1</v>
    <v>Powered by Refinitiv</v>
    <v>0</v>
    <v>AJANTA PHARMA LIMITED (XNSE:AJANTPHARM)</v>
    <v>2</v>
    <v>3</v>
    <v>Finance</v>
    <v>4</v>
    <v>3314.9</v>
    <v>2329.9</v>
    <v>0.61719999999999997</v>
    <v>17</v>
    <v>5.8379999999999994E-3</v>
    <v>INR</v>
    <v>Ajanta Pharma Limited is an India-based specialty pharmaceutical company. It provides a comprehensive range of specialty branded generic products targeting a broad range of chronic and acute therapies. It is focused on branded generic businesses across India, Asia, and Africa. It has a wide range of therapeutic segments, such as cardiology, anti-diabetes, ophthalmology, dermatology, antibiotic, anti-malarial, pain, respiratory, gynecology, pediatric and general health products. Its business also consists of two verticals: the United States generics and the institutional business in Africa. Its ophthalmology products include Bimat (anti glaucoma), Nepaflam (anti-inflammatory), Softdrops (lubricant), and Olopat (anti-allergic). Its cardiology products include MET XL, Atorfit CV, Antihypertensive Cinod, Rosutor Gold, Dapalex and Vilatin. Its subsidiaries include Ajanta Pharma (Mauritius) Limited, Ajanta Pharma USA Inc., Ajanta Pharma Philippines Inc., and Ajanta Pharma Nigeria Limited.</v>
    <v>9628</v>
    <v>National Stock Exchange of India</v>
    <v>XNSE</v>
    <v>XNSE</v>
    <v>AJANTA HOUSE, 98, GOVT. INDUSTRIAL AREA CHARKOP, KANDIVALI WEST, MAHARASHTRA, 400067 IN</v>
    <v>2945.5</v>
    <v>Pharmaceuticals</v>
    <v>Stock</v>
    <v>46176.466851851852</v>
    <v>514</v>
    <v>2851.5</v>
    <v>341149200000</v>
    <v>AJANTA PHARMA LIMITED</v>
    <v>AJANTA PHARMA LIMITED</v>
    <v>2935.9</v>
    <v>34.65</v>
    <v>2912.2</v>
    <v>2929.2</v>
    <v>124935600</v>
    <v>AJANTPHARM</v>
    <v>AJANTA PHARMA LIMITED (XNSE:AJANTPHARM)</v>
    <v>188221</v>
    <v>111650</v>
    <v>1979</v>
  </rv>
  <rv s="2">
    <v>515</v>
  </rv>
  <rv s="0">
    <v>https://www.bing.com/financeapi/forcetrigger?t=ahixw7&amp;q=XNSE%3aMENONBE&amp;form=skydnc</v>
    <v>Learn more on Bing</v>
  </rv>
  <rv s="1">
    <v>en-IN</v>
    <v>ahixw7</v>
    <v>268435456</v>
    <v>1</v>
    <v>Powered by Refinitiv</v>
    <v>0</v>
    <v>MENON BEARINGS LIMITED (XNSE:MENONBE)</v>
    <v>2</v>
    <v>3</v>
    <v>Finance</v>
    <v>4</v>
    <v>159.9</v>
    <v>101.5</v>
    <v>0.69530000000000003</v>
    <v>-0.38</v>
    <v>-2.6710000000000002E-3</v>
    <v>INR</v>
    <v>Menon Bearings Limited is an India-based engine bearings company. The Company is engaged in manufacturing of critical engine components, which are bearings, bushes, thrust washers used in long-haul, heavy-duty diesel engines and multi-axle vehicles at two locations, and manufacturing of aluminum die casting components at another location. It undertakes designing, testing, validation and manufacturing of bearings, bushes and thrust washers for a range of applications, which include automotive engines, compressors, generators, stationary engines, marine engines, earthmovers and tillers (agriculture). Its products include bi-metal engine bearings, bushes &amp; thrust washers for light and heavy automobile engines, two-wheeler engines as well as compressors for refrigerators, air conditioners, and others. Its bearing products include bearings for connecting rods, bearings for crank shafts, flanged bearings, and trimetal bearings.</v>
    <v>203</v>
    <v>National Stock Exchange of India</v>
    <v>XNSE</v>
    <v>XNSE</v>
    <v>G 1 MIDC GOKULSHIRGAON KOLHPUR, MAHARASHTRA, 416234 IN</v>
    <v>143.30000000000001</v>
    <v>Automobiles &amp; Auto Parts</v>
    <v>Stock</v>
    <v>46176.466851851852</v>
    <v>517</v>
    <v>141.08000000000001</v>
    <v>7107553000</v>
    <v>MENON BEARINGS LIMITED</v>
    <v>MENON BEARINGS LIMITED</v>
    <v>143.30000000000001</v>
    <v>20.81</v>
    <v>142.28</v>
    <v>141.9</v>
    <v>56040000</v>
    <v>MENONBE</v>
    <v>MENON BEARINGS LIMITED (XNSE:MENONBE)</v>
    <v>42413</v>
    <v>165940</v>
    <v>1991</v>
  </rv>
  <rv s="2">
    <v>518</v>
  </rv>
  <rv s="0">
    <v>https://www.bing.com/financeapi/forcetrigger?t=ahjvmw&amp;q=XNSE%3aSFL&amp;form=skydnc</v>
    <v>Learn more on Bing</v>
  </rv>
  <rv s="1">
    <v>en-IN</v>
    <v>ahjvmw</v>
    <v>268435456</v>
    <v>1</v>
    <v>Powered by Refinitiv</v>
    <v>0</v>
    <v>SHEELA FOAM LIMITED (XNSE:SFL)</v>
    <v>2</v>
    <v>3</v>
    <v>Finance</v>
    <v>4</v>
    <v>769.9</v>
    <v>456.8</v>
    <v>0.72799999999999998</v>
    <v>-5.6</v>
    <v>-9.2569999999999996E-3</v>
    <v>INR</v>
    <v>Sheela Foam Limited is an India-based company which manufactures polyurethane (PU) foam and mattresses. The Company offers a wide range of products for home comfort, technical applications and institutional use. Its product portfolio includes Mattresses segmentation, Comfort foam and home care products, Technical foam, and Furniture foam. The Comfort foam and home care products include foam sheets, foam blocks, comfort range accessories, foam cores, furniture cushions, pillows, bedsheets, mattress protectors, and sofa-cum-beds. The Technical foam includes automotive foams, reticulated foams, ultraviolet stable foams, and silentech foams. The Mattresses segmentation includes spring range, technology range, custom cell range, back support range, flexi PUF range, economy range, and online brand. The Furniture foam includes Sleepwell Resitec, Sleepwell Cool Gel, and Primo. The Company’s brands include Sleepwell, Kurlon, FeatherFoam, Interplasp, Joyce, Furlenco, and Starlite.</v>
    <v>2626</v>
    <v>National Stock Exchange of India</v>
    <v>XNSE</v>
    <v>XNSE</v>
    <v>#14 Sector 135, NOIDA, UTTAR PRADESH, 201301 IN</v>
    <v>605.29999999999995</v>
    <v>Household Goods</v>
    <v>Stock</v>
    <v>46176.466874999998</v>
    <v>520</v>
    <v>591.79999999999995</v>
    <v>61927090000</v>
    <v>SHEELA FOAM LIMITED</v>
    <v>SHEELA FOAM LIMITED</v>
    <v>605.29999999999995</v>
    <v>40.799999999999997</v>
    <v>604.95000000000005</v>
    <v>599.35</v>
    <v>109203300</v>
    <v>SFL</v>
    <v>SHEELA FOAM LIMITED (XNSE:SFL)</v>
    <v>165896</v>
    <v>547920</v>
    <v>1971</v>
  </rv>
  <rv s="2">
    <v>521</v>
  </rv>
  <rv s="3">
    <v>en-IN</v>
    <v>c839hw</v>
    <v>268435456</v>
    <v>1</v>
    <v>Powered by Refinitiv</v>
    <v>5</v>
    <v>GLOBAL HEALTH LIMITED (XNSE:MEDANTA)</v>
    <v>6</v>
    <v>3</v>
    <v>Finance</v>
    <v>4</v>
    <v>1456.5</v>
    <v>956</v>
    <v>0.503</v>
    <v>2.5</v>
    <v>2.085E-3</v>
    <v>INR</v>
    <v>Global Health Limited (Medanta) is an India-based multi-specialty tertiary care provider in the North and East regions of India. Medanta delivers advanced, end-to-end healthcare in Delhi, Gurugram, Indore, Ranchi, Patna, and Lucknow through its network of approximately five hospitals. Medanta provides healthcare services in over 30 medical specialties and engages over 1,800 doctors. Its specialty treatments are in cardiac care, cancer care, neurosciences, orthopedics, renal care, liver transplants, oncology, bone marrow transplant, obstetrics and gynecology, chest surgery, lung transplant, pediatric care, ENT, head and neck surgery, and others. Its facilities and services include medicine delivery, lab tests &amp; diagnostics, homecare services, health checkups, elder care, air ambulance, among others. Its subsidiaries include Global Health Patliputra Private Limited, Medanta Holdings Private Limited, and GHL Pharma &amp; Diagnostic Private Limited.</v>
    <v>10260</v>
    <v>National Stock Exchange of India</v>
    <v>XNSE</v>
    <v>XNSE</v>
    <v>Medanta-The Medicity, Sector-38, GURGAON, HARYANA, 122001 IN</v>
    <v>1218.3</v>
    <v>Healthcare Providers &amp; Services</v>
    <v>Stock</v>
    <v>46176.466863425929</v>
    <v>1195</v>
    <v>313849100000</v>
    <v>GLOBAL HEALTH LIMITED</v>
    <v>GLOBAL HEALTH LIMITED</v>
    <v>1209</v>
    <v>58.01</v>
    <v>1198.8</v>
    <v>1201.3</v>
    <v>269070700</v>
    <v>MEDANTA</v>
    <v>GLOBAL HEALTH LIMITED (XNSE:MEDANTA)</v>
    <v>406713</v>
    <v>159370</v>
    <v>2004</v>
  </rv>
  <rv s="2">
    <v>523</v>
  </rv>
  <rv s="3">
    <v>en-IN</v>
    <v>c9qntc</v>
    <v>268435456</v>
    <v>1</v>
    <v>Powered by Refinitiv</v>
    <v>5</v>
    <v>MANKIND PHARMA LIMITED (XNSE:MANKIND)</v>
    <v>6</v>
    <v>3</v>
    <v>Finance</v>
    <v>4</v>
    <v>2716.5</v>
    <v>1909.7</v>
    <v>0.502</v>
    <v>70.5</v>
    <v>3.0666000000000002E-2</v>
    <v>INR</v>
    <v>Mankind Pharma Limited is an India-based pharmaceutical company. The Company is engaged in developing, manufacturing, and marketing a range of pharmaceutical formulations across various acute and chronic therapeutic areas, as well as several consumer healthcare products. It also offers pet care, crop protection solutions, and veterinary care. It offers healthcare solutions for a range of healthcare needs with a portfolio that includes anti-infectives, cardiovascular, gastrointestinal, anti-diabetic, neuro/central nervous system, vitamins, minerals and nutrients, derma, fertility, and respiratory therapies. Its portfolio of brands includes Nurokind, Telmikind, Manforce (Rx), Gudcef, Moxikind, Amlokind, Glimestar, Asthakind, Codistar, Candiforce, Mahacef, Dydroboon, Cefakind, Zenflox, Monticope, Dynaglipt, Rivotril, and others. Its subsidiaries include Lifestar Pharma Private Limited, Magnet Labs Private Limited, Jaspack Industries Private Limited, and others.</v>
    <v>27000</v>
    <v>National Stock Exchange of India</v>
    <v>XNSE</v>
    <v>XNSE</v>
    <v>262, Okhla Industrial Estate, Phase-III, NEW DELHI, DELHI, 110020 IN</v>
    <v>2383.5</v>
    <v>Pharmaceuticals</v>
    <v>Stock</v>
    <v>46176.466863425929</v>
    <v>2285.1</v>
    <v>913909100000</v>
    <v>MANKIND PHARMA LIMITED</v>
    <v>MANKIND PHARMA LIMITED</v>
    <v>2320</v>
    <v>51.12</v>
    <v>2299</v>
    <v>2369.5</v>
    <v>412909200</v>
    <v>MANKIND</v>
    <v>MANKIND PHARMA LIMITED (XNSE:MANKIND)</v>
    <v>1012891</v>
    <v>1208140</v>
    <v>1991</v>
  </rv>
  <rv s="2">
    <v>525</v>
  </rv>
  <rv s="0">
    <v>https://www.bing.com/financeapi/forcetrigger?t=ahidnm&amp;q=XNSE%3aIPCALAB&amp;form=skydnc</v>
    <v>Learn more on Bing</v>
  </rv>
  <rv s="1">
    <v>en-IN</v>
    <v>ahidnm</v>
    <v>268435456</v>
    <v>1</v>
    <v>Powered by Refinitiv</v>
    <v>0</v>
    <v>IPCA LABORATORIES LIMITED (XNSE:IPCALAB)</v>
    <v>2</v>
    <v>3</v>
    <v>Finance</v>
    <v>4</v>
    <v>1678.3</v>
    <v>1251.5999999999999</v>
    <v>0.46289999999999998</v>
    <v>47</v>
    <v>3.1173000000000003E-2</v>
    <v>INR</v>
    <v>Ipca Laboratories Limited is an India-based integrated pharmaceutical company. The Company is engaged in manufacturing and marketing over 350 formulations and approximately 80 active pharmaceutical ingredients (APIs) covering various therapeutic segments. It offers APIs, such as Atenolol, Chloroquine Phosphate, Chlorthalidone, Furosemide, Hydroxychloroquine sulfate, Losartan, Metoprolol Succinate, Metoprolol Tartrate, Pyrantel Salts and Propranolol. The Company offers brands, such as Zerodol, Lariago, HCQS, Perinorm, Rapither AB, Tenoric, Lumerax, Etova, Fexova, Malirid, Allsuth, Alwiz, AZR 50mg, Bacilon, Cinkona, Clarbact, Glyree MV, Halotop, Luliz, Ozepam, Pacimol, Pari, Xtor-F, Zabpro, Zilast, Ramcor, Sove, Venpower and Folitrax. The Company’s products are sold in over 100 countries across the globe. The Company has 18 manufacturing units in India manufacturing APIs and formulations. Its subsidiaries include Ipca Pharmaceuticals, Inc. and Ipca Pharma Nigeria Ltd.</v>
    <v>18043</v>
    <v>National Stock Exchange of India</v>
    <v>XNSE</v>
    <v>XNSE</v>
    <v>48, KANDIVLI INDUSTRIAL ESTATE KANDIVLI (W), MAHARASHTRA, 400067 IN</v>
    <v>1562.1</v>
    <v>Pharmaceuticals</v>
    <v>Stock</v>
    <v>46176.466840277775</v>
    <v>527</v>
    <v>1499.1</v>
    <v>382535200000</v>
    <v>IPCA LABORATORIES LIMITED</v>
    <v>IPCA LABORATORIES LIMITED</v>
    <v>1507.7</v>
    <v>34.56</v>
    <v>1507.7</v>
    <v>1554.7</v>
    <v>253704200</v>
    <v>IPCALAB</v>
    <v>IPCA LABORATORIES LIMITED (XNSE:IPCALAB)</v>
    <v>274172</v>
    <v>280290</v>
    <v>1949</v>
  </rv>
  <rv s="2">
    <v>528</v>
  </rv>
  <rv s="0">
    <v>https://www.bing.com/financeapi/forcetrigger?t=ahj827&amp;q=XNSE%3aNLCINDIA&amp;form=skydnc</v>
    <v>Learn more on Bing</v>
  </rv>
  <rv s="1">
    <v>en-IN</v>
    <v>ahj827</v>
    <v>268435456</v>
    <v>1</v>
    <v>Powered by Refinitiv</v>
    <v>0</v>
    <v>NLC INDIA LIMITED (XNSE:NLCINDIA)</v>
    <v>2</v>
    <v>3</v>
    <v>Finance</v>
    <v>4</v>
    <v>387.8</v>
    <v>220.71</v>
    <v>1.1727000000000001</v>
    <v>-3.1</v>
    <v>-8.8800000000000007E-3</v>
    <v>INR</v>
    <v>NLC India Limited is an India-based company, which is engaged in the business of mining of lignite, coal and generation of power by using lignite as well as renewable energy sources and consultancy. Its segments include Mining and Power generation. The Mining segment includes mining of lignite and coal. The Power generation segment includes generation of power and sale to power utilities across the country. It operates three opencast Lignite Mines at Neyveli in Tamil Nadu and one opencast Lignite Mine at Barsingsar in Rajasthan, with a combined mining capacity of 30.10 million Tons Per Annum (MTPA). It also operates Talabira Open Cast Mine in Odisha, with a mining capacity of 20.00 MTPA. It is operating five lignite based thermal power stations, four at Neyveli, in Tamil Nadu and one at Barsingsar, in Rajasthan with capacity of over 3,640 megawatts. The total combined mining capacity of lignite and coal for the Company is 50.10 MTPA.</v>
    <v>10227</v>
    <v>National Stock Exchange of India</v>
    <v>XNSE</v>
    <v>XNSE</v>
    <v>NO.135, EVR PERIYAR HIGH ROAD KILPAUK, TAMIL NADU, 600010 IN</v>
    <v>352.85</v>
    <v>Electrical Utilities &amp; IPPs</v>
    <v>Stock</v>
    <v>46176.466851851852</v>
    <v>530</v>
    <v>338.65</v>
    <v>354077700000</v>
    <v>NLC INDIA LIMITED</v>
    <v>NLC INDIA LIMITED</v>
    <v>349.5</v>
    <v>13.03</v>
    <v>349.1</v>
    <v>346</v>
    <v>1386637000</v>
    <v>NLCINDIA</v>
    <v>NLC INDIA LIMITED (XNSE:NLCINDIA)</v>
    <v>3487960</v>
    <v>5729390</v>
    <v>1956</v>
  </rv>
  <rv s="2">
    <v>531</v>
  </rv>
  <rv s="0">
    <v>https://www.bing.com/financeapi/forcetrigger?t=ahiw77&amp;q=XNSE%3aMARKSANS&amp;form=skydnc</v>
    <v>Learn more on Bing</v>
  </rv>
  <rv s="1">
    <v>en-IN</v>
    <v>ahiw77</v>
    <v>268435456</v>
    <v>1</v>
    <v>Powered by Refinitiv</v>
    <v>0</v>
    <v>MARKSANS PHARMA LIMITED (XNSE:MARKSANS)</v>
    <v>2</v>
    <v>3</v>
    <v>Finance</v>
    <v>4</v>
    <v>270.7</v>
    <v>155</v>
    <v>1.5098</v>
    <v>1.18</v>
    <v>4.8920000000000005E-3</v>
    <v>INR</v>
    <v>Marksans Pharma Limited is an India-based company, which is primarily engaged in the business of research, manufacture, marketing and sale of pharmaceutical formulations. It operates under single business segment, namely Pharmaceuticals. It operates two manufacturing facilities in Goa and maintains two research and development centers, located in Goa and in Navi Mumbai. Its product portfolio spreads various therapeutic segments of the cardiovascular system (CVS), central nervous system (CNS), antidiabetic, pain management, cough and cold, gastroenterological, and anti-allergies. Its product portfolio includes tablets (plain, enteric-coated and film-coated), hard capsules, soft gelatin capsules, oral liquids and ointments. Its consumer self-care products include pain management, upper respiratory, digestive health, vitamins, minerals and supplements (VMS) and skin care products. Its prescription - Rx therapeutic segments include CVS, CNS, oncology, anti-diabetics and anti-biotic.</v>
    <v>1349</v>
    <v>National Stock Exchange of India</v>
    <v>XNSE</v>
    <v>XNSE</v>
    <v>11TH FLOOR, GRANDEUR, VEERA DESAI EXTENSION ROAD, OSHIWARA, ANDHERI (W), MAHARASHTRA, 400053 IN</v>
    <v>248.1</v>
    <v>Pharmaceuticals</v>
    <v>Stock</v>
    <v>46176.466851851852</v>
    <v>533</v>
    <v>241.19</v>
    <v>78646570000</v>
    <v>MARKSANS PHARMA LIMITED</v>
    <v>MARKSANS PHARMA LIMITED</v>
    <v>241.6</v>
    <v>26.26</v>
    <v>241.19</v>
    <v>242.37</v>
    <v>453163800</v>
    <v>MARKSANS</v>
    <v>MARKSANS PHARMA LIMITED (XNSE:MARKSANS)</v>
    <v>2709024</v>
    <v>7444750</v>
    <v>1992</v>
  </rv>
  <rv s="2">
    <v>534</v>
  </rv>
  <rv s="0">
    <v>https://www.bing.com/financeapi/forcetrigger?t=b1ntur&amp;q=XNSE%3aSOLARA&amp;form=skydnc</v>
    <v>Learn more on Bing</v>
  </rv>
  <rv s="1">
    <v>en-IN</v>
    <v>b1ntur</v>
    <v>268435456</v>
    <v>1</v>
    <v>Powered by Refinitiv</v>
    <v>0</v>
    <v>SOLARA ACTIVE PHARMA SCIENCES LIMITED (XNSE:SOLARA)</v>
    <v>2</v>
    <v>3</v>
    <v>Finance</v>
    <v>4</v>
    <v>734.4</v>
    <v>422</v>
    <v>1.6383000000000001</v>
    <v>-4.2</v>
    <v>-7.7339999999999996E-3</v>
    <v>INR</v>
    <v>Solara Active Pharma Sciences Limited is an India-based global, pureplay active pharmaceutical ingredients (API) company. The Company is engaged in the manufacturing and development of APIs and offers contract manufacturing and development services for global companies. Its commercial product category includes Albendazole, Aprepitant (Antiemetic), Colchicine, Citicoline Sodium, Disulfiram, Dolutegravir, Etomidate, Flucytosine, Ibuprofen Arginine, Lurasidone Hydrochloride, Rifaximin, Tioconazole, Zileuton and others. Its research and development (R&amp;D) product category includes Brivaracetam, Flecainide Acetate, Naproxen Base, Obeticholic acid, Patiromer Sorbitex Calcium, Rotigotine, Safinamide, Sapropterin, Sugammadex, Tranexamic Acid, Sucroferric Oxyhydroxide and others. Its business is spread across 70 countries with operations in the key markets of North America, Europe, Japan, South Korea and the Middle East and North Africa. It has one R&amp;D center in Chennai.</v>
    <v>1775</v>
    <v>National Stock Exchange of India</v>
    <v>XNSE</v>
    <v>XNSE</v>
    <v>Second Floor, Admin Block, 27, Vandaloor Kelambakkam Road, Keelakottaiyur Village, Melakottaiyur (PO), CHENNAI, TAMIL NADU, 600127 IN</v>
    <v>545.45000000000005</v>
    <v>Pharmaceuticals</v>
    <v>Stock</v>
    <v>46176.466840277775</v>
    <v>536</v>
    <v>534.04999999999995</v>
    <v>25036230000</v>
    <v>SOLARA ACTIVE PHARMA SCIENCES LIMITED</v>
    <v>SOLARA ACTIVE PHARMA SCIENCES LIMITED</v>
    <v>542.04999999999995</v>
    <v>0</v>
    <v>543.04999999999995</v>
    <v>538.85</v>
    <v>48173760</v>
    <v>SOLARA</v>
    <v>SOLARA ACTIVE PHARMA SCIENCES LIMITED (XNSE:SOLARA)</v>
    <v>82577</v>
    <v>205870</v>
    <v>2017</v>
  </rv>
  <rv s="2">
    <v>537</v>
  </rv>
  <rv s="0">
    <v>https://www.bing.com/financeapi/forcetrigger?t=btjqa2&amp;q=XNSE%3aARTEMISMED&amp;form=skydnc</v>
    <v>Learn more on Bing</v>
  </rv>
  <rv s="1">
    <v>en-IN</v>
    <v>btjqa2</v>
    <v>268435456</v>
    <v>1</v>
    <v>Powered by Refinitiv</v>
    <v>0</v>
    <v>ARTEMIS MEDICARE SERVICES LIMITED (XNSE:ARTEMISMED)</v>
    <v>2</v>
    <v>3</v>
    <v>Finance</v>
    <v>4</v>
    <v>297.5</v>
    <v>203.35</v>
    <v>1.8748</v>
    <v>-2.5499999999999998</v>
    <v>-9.4129999999999995E-3</v>
    <v>INR</v>
    <v>Artemis Medicare Services Limited is an India-based company. The Company manages and operates a multi-specialty hospital. It specializes in a range of advanced medical and surgical interventions, a mix of inpatient and outpatient services. It offers treatment facilities for various medical conditions under various specialties, which include allergy and immunology, blood (hematology), bones, muscles and joints (orthopedics), brain, spine and nervous system, cancer (oncology), circulatory (vascular), dermatology, digestive (gastroenterology), endocrine, diabetes and cardiology, infectious diseases, sleep apnea, kidneys stone treatment and failure (renal), lung (pulmonary), mouth, teeth and face (oral and maxillofacial), obstetrics and gynecology, psychiatry, arthritis and joint disease, surgery, and urology. It also offers treatment for irregular periods, vertigo, finger joint treatment, and piles. The Company's subsidiary includes Artemis Cardiac Care Private Limited.</v>
    <v>2077</v>
    <v>National Stock Exchange of India</v>
    <v>XNSE</v>
    <v>XNSE</v>
    <v>Artemis Hospitals, Sector 51, GURGAON, HARYANA, 122001 IN</v>
    <v>272.3</v>
    <v>Healthcare Providers &amp; Services</v>
    <v>Stock</v>
    <v>46176.466874999998</v>
    <v>539</v>
    <v>264.7</v>
    <v>40550140000</v>
    <v>ARTEMIS MEDICARE SERVICES LIMITED</v>
    <v>ARTEMIS MEDICARE SERVICES LIMITED</v>
    <v>272.3</v>
    <v>40.909999999999997</v>
    <v>270.89999999999998</v>
    <v>268.35000000000002</v>
    <v>158306200</v>
    <v>ARTEMISMED</v>
    <v>ARTEMIS MEDICARE SERVICES LIMITED (XNSE:ARTEMISMED)</v>
    <v>86549</v>
    <v>174540</v>
    <v>2004</v>
  </rv>
  <rv s="2">
    <v>540</v>
  </rv>
  <rv s="0">
    <v>https://www.bing.com/financeapi/forcetrigger?t=ahjtzr&amp;q=XNSE%3aSATIN&amp;form=skydnc</v>
    <v>Learn more on Bing</v>
  </rv>
  <rv s="1">
    <v>en-IN</v>
    <v>ahjtzr</v>
    <v>268435456</v>
    <v>1</v>
    <v>Powered by Refinitiv</v>
    <v>0</v>
    <v>SATIN CREDITCARE NETWORK LIMITED (XNSE:SATIN)</v>
    <v>2</v>
    <v>3</v>
    <v>Finance</v>
    <v>4</v>
    <v>245.54</v>
    <v>133.01</v>
    <v>1.0702</v>
    <v>4.13</v>
    <v>1.787E-2</v>
    <v>INR</v>
    <v>Satin Creditcare Network Limited is a non-deposit accepting non-banking financial company. The Company is engaged in providing micro-finance services to women in the rural areas of India who are enrolled as members and organized as joint liability groups (JLG). Its business is primarily based on the JLG, which allows it to provide collateral-free, microcredit facilities to economically active women in both rural and semi-urban areas. Its products include income generation loan (IGL), Lending to Corporate Institutions &amp; Micro Finance Companies, micro, small and medium enterprise (MSME) Loan, and water, sanitation and hygiene loan (WASH). Its MSME loans are focused on lending to merchants, retailers, service providers, salaried and self-employed professionals, and Agri business. Its loan products cover a range of household appliances, solar, mobile phones, and cycles. The Company's subsidiaries include Satin Housing Finance Limited and Satin Finserv Limited.</v>
    <v>15189</v>
    <v>National Stock Exchange of India</v>
    <v>XNSE</v>
    <v>XNSE</v>
    <v>5TH FLOOR, KUNDAN BHAWAN AZADPUR COMMERCIAL COMPLEX, AZADPUR, DELHI, 110033 IN</v>
    <v>236.3</v>
    <v>Banking Services</v>
    <v>Stock</v>
    <v>46176.466851851852</v>
    <v>542</v>
    <v>225.8</v>
    <v>16601590000</v>
    <v>SATIN CREDITCARE NETWORK LIMITED</v>
    <v>SATIN CREDITCARE NETWORK LIMITED</v>
    <v>231.12</v>
    <v>7.79</v>
    <v>231.12</v>
    <v>235.25</v>
    <v>110086900</v>
    <v>SATIN</v>
    <v>SATIN CREDITCARE NETWORK LIMITED (XNSE:SATIN)</v>
    <v>624651</v>
    <v>575030</v>
    <v>1990</v>
  </rv>
  <rv s="2">
    <v>543</v>
  </rv>
  <rv s="0">
    <v>https://www.bing.com/financeapi/forcetrigger?t=ahkpxm&amp;q=XNSE%3aZENTEC&amp;form=skydnc</v>
    <v>Learn more on Bing</v>
  </rv>
  <rv s="1">
    <v>en-IN</v>
    <v>ahkpxm</v>
    <v>268435456</v>
    <v>1</v>
    <v>Powered by Refinitiv</v>
    <v>0</v>
    <v>ZEN TECHNOLOGIES LIMITED (XNSE:ZENTEC)</v>
    <v>2</v>
    <v>3</v>
    <v>Finance</v>
    <v>4</v>
    <v>2268</v>
    <v>1223</v>
    <v>1.6906000000000001</v>
    <v>15.7</v>
    <v>9.3880000000000005E-3</v>
    <v>INR</v>
    <v>Zen Technologies Limited is focused on providing defense training and anti-drone solutions and builds training systems for imparting defense training and measuring combat readiness of security forces. It designs, develops and manufactures training simulators, anti-drone systems and operations for para-military forces, armed forces, security forces, police and government departments. Its segment is Defence and Homeland. Its solutions include anti-drone systems, combat training center, live ranges, live simulation and virtual simulation. Its anti-drone system works on drone detection, classification and tracking on passive surveillance, camera sensors and neutralization of the threat through jamming the drone communications. Its live ranges include Air-To-Ground Firing Range Scoring System, Tank Zeroing System, Multi-Functional Target System, and others. The laser instrumented tactical engagement simulator, or Zen TacSim, offers realistic force-on-force mission rehearsal training.</v>
    <v>395</v>
    <v>National Stock Exchange of India</v>
    <v>XNSE</v>
    <v>XNSE</v>
    <v>B-42, INDUSTRIAL ESTATE, SANATHNAGAR, HYDERABAD, TELANGANA, 500018 IN</v>
    <v>1710</v>
    <v>Aerospace &amp; Defense</v>
    <v>Stock</v>
    <v>46176.466851851852</v>
    <v>545</v>
    <v>1669.9</v>
    <v>111166200000</v>
    <v>ZEN TECHNOLOGIES LIMITED</v>
    <v>ZEN TECHNOLOGIES LIMITED</v>
    <v>1678</v>
    <v>78.44</v>
    <v>1672.4</v>
    <v>1688.1</v>
    <v>89931270</v>
    <v>ZENTEC</v>
    <v>ZEN TECHNOLOGIES LIMITED (XNSE:ZENTEC)</v>
    <v>613409</v>
    <v>559460</v>
    <v>1993</v>
  </rv>
  <rv s="2">
    <v>546</v>
  </rv>
  <rv s="0">
    <v>https://www.bing.com/financeapi/forcetrigger?t=c111oc&amp;q=XNSE%3aMTARTECH&amp;form=skydnc</v>
    <v>Learn more on Bing</v>
  </rv>
  <rv s="1">
    <v>en-IN</v>
    <v>c111oc</v>
    <v>268435456</v>
    <v>1</v>
    <v>Powered by Refinitiv</v>
    <v>0</v>
    <v>MTAR TECHNOLOGIES LIMITED (XNSE:MTARTECH)</v>
    <v>2</v>
    <v>3</v>
    <v>Finance</v>
    <v>4</v>
    <v>8449.5</v>
    <v>1390.5</v>
    <v>1.0357000000000001</v>
    <v>252</v>
    <v>3.4922000000000002E-2</v>
    <v>INR</v>
    <v>MTAR Technologies Limited is an India-based engineering company. The Company is engaged in the manufacture of mission-critical precision engineered systems for clean energy, civil nuclear power, fuel cells, hydro wind, space and defense sectors. It provides manufacturing solutions such as advanced machining, specialized fabrication, assembly &amp; testing, heat treatment, and special processes such as painting and surface treatment. Its business segments include Civilian Nuclear Power, Space, Defence &amp; Aerospace, Clean Energy, Ball Screws &amp; Roller Screws, and Other Segments-Marine. Its Civilian Nuclear Power segment has a product portfolio, which includes complex assemblies, such as fuel machining heads, drive mechanisms, bridge and column and coolant channel assemblies, and others. Its Space segment provides a range of mission critical assemblies to the Indian Space Research Organisation (ISRO). Its Defence &amp; Aerospace segment offers high-precision machined and fabricated systems.</v>
    <v>1180</v>
    <v>National Stock Exchange of India</v>
    <v>XNSE</v>
    <v>XNSE</v>
    <v>18, Technocrats Industrial Estate, Balanagar, TELANGANA, 500037 IN</v>
    <v>7612.5</v>
    <v>Machinery, Equipment &amp; Components</v>
    <v>Stock</v>
    <v>46176.466840277775</v>
    <v>548</v>
    <v>7311.5</v>
    <v>81033070000</v>
    <v>MTAR TECHNOLOGIES LIMITED</v>
    <v>MTAR TECHNOLOGIES LIMITED</v>
    <v>7360.5</v>
    <v>244.21</v>
    <v>7216</v>
    <v>7468</v>
    <v>30759590</v>
    <v>MTARTECH</v>
    <v>MTAR TECHNOLOGIES LIMITED (XNSE:MTARTECH)</v>
    <v>1337901</v>
    <v>2335190</v>
    <v>1999</v>
  </rv>
  <rv s="2">
    <v>549</v>
  </rv>
  <rv s="0">
    <v>https://www.bing.com/financeapi/forcetrigger?t=ahixkr&amp;q=XNSE%3aMCX&amp;form=skydnc</v>
    <v>Learn more on Bing</v>
  </rv>
  <rv s="1">
    <v>en-IN</v>
    <v>ahixkr</v>
    <v>268435456</v>
    <v>1</v>
    <v>Powered by Refinitiv</v>
    <v>0</v>
    <v>MULTI COMMODITY EXCHANGE OF INDIA LIMITED (XNSE:MCX)</v>
    <v>2</v>
    <v>3</v>
    <v>Finance</v>
    <v>4</v>
    <v>3480</v>
    <v>1312.2</v>
    <v>1.1261000000000001</v>
    <v>-45.1</v>
    <v>-1.5667E-2</v>
    <v>INR</v>
    <v>Multi Commodity Exchange of India Limited is a commodity derivatives exchange. The Company facilitates online trading of commodity futures and options, data feed subscription and membership. It offers a platform for trading in varied commodity derivative contracts across product segments: bullion, base metals, energy, agricultural commodities and indices. Its flagship index series, MCX iCOMDEX, is a series of real-time commodity futures price indices, which give information on market movements in key segments traded on the exchange. The MCX iCOMDEX series consists of a composite index, apart from two sectoral indices, such as the Base Metal index, and the Bullion index, and four single-commodity indices, such as Gold, Silver, Copper, and Crude Oil. Its subsidiary, Multi Commodity Exchange Clearing Corporation Ltd, provides collateral management and risk management services, along with clearing and settlement of trades executed on the exchange.</v>
    <v>400</v>
    <v>National Stock Exchange of India</v>
    <v>XNSE</v>
    <v>XNSE</v>
    <v>EXCHANGE SQUARE, CHAKALA, SUREN ROAD, ANDHERI (EAST), MAHARASHTRA, 400093 IN</v>
    <v>2904.2</v>
    <v>Investment Banking &amp; Investment Services</v>
    <v>Stock</v>
    <v>46176.466909722221</v>
    <v>551</v>
    <v>2797.5</v>
    <v>583600800000</v>
    <v>MULTI COMMODITY EXCHANGE OF INDIA LIMITED</v>
    <v>MULTI COMMODITY EXCHANGE OF INDIA LIMITED</v>
    <v>2886</v>
    <v>71.5</v>
    <v>2878.7</v>
    <v>2833.6</v>
    <v>254514100</v>
    <v>MCX</v>
    <v>MULTI COMMODITY EXCHANGE OF INDIA LIMITED (XNSE:MCX)</v>
    <v>3605952</v>
    <v>4426810</v>
    <v>2002</v>
  </rv>
  <rv s="2">
    <v>552</v>
  </rv>
  <rv s="0">
    <v>https://www.bing.com/financeapi/forcetrigger?t=ahgsbh&amp;q=XNSE%3aBBOX&amp;form=skydnc</v>
    <v>Learn more on Bing</v>
  </rv>
  <rv s="1">
    <v>en-IN</v>
    <v>ahgsbh</v>
    <v>268435456</v>
    <v>1</v>
    <v>Powered by Refinitiv</v>
    <v>0</v>
    <v>BLACK BOX LIMITED (XNSE:BBOX)</v>
    <v>2</v>
    <v>3</v>
    <v>Finance</v>
    <v>4</v>
    <v>1068</v>
    <v>435.05</v>
    <v>1.1653</v>
    <v>24.5</v>
    <v>2.3744999999999999E-2</v>
    <v>INR</v>
    <v>Black Box Limited is a provider of digital infrastructure solutions, delivering network and system integration, managed services, and technology products. The Company's segments include System integration, Technology product solutions and Others. The System Integration segment includes enterprise networking, data centers, digital workplace, connected buildings and cyber security. The Technology Product Solution includes keyboard, video and mouse (KVM), cables, Internet of Things (IoT), and audio video (AV) products. The Others segment includes training, consulting and design services. It is also a provider of digital infrastructure, data center networking, cloud, cybersecurity, and managed technology solutions. Its Technology Products portfolio enhances business operations with solutions in AV, IoT, KVM, Networking, Infrastructure, and Cables. It serves businesses across financial services, technology, healthcare, retail, public services, and manufacturing.</v>
    <v>314</v>
    <v>National Stock Exchange of India</v>
    <v>XNSE</v>
    <v>XNSE</v>
    <v>501, 5TH FLOOR, BUILDING NO.9, AIROLI KNOWLEDGE PARK,, MIDC INDUSTRIAL AREA,, AIROLI, THANE, MAHARASHTRA, 400708 IN</v>
    <v>1060</v>
    <v>Software &amp; IT Services</v>
    <v>Stock</v>
    <v>46176.466840277775</v>
    <v>554</v>
    <v>1010</v>
    <v>88028660000</v>
    <v>BLACK BOX LIMITED</v>
    <v>BLACK BOX LIMITED</v>
    <v>1022.1</v>
    <v>82.65</v>
    <v>1031.8</v>
    <v>1056.3</v>
    <v>177599200</v>
    <v>BBOX</v>
    <v>BLACK BOX LIMITED (XNSE:BBOX)</v>
    <v>934234</v>
    <v>1173740</v>
    <v>1986</v>
  </rv>
  <rv s="2">
    <v>555</v>
  </rv>
  <rv s="0">
    <v>https://www.bing.com/financeapi/forcetrigger?t=ahko2w&amp;q=XNSE%3aWHEELS&amp;form=skydnc</v>
    <v>Learn more on Bing</v>
  </rv>
  <rv s="1">
    <v>en-IN</v>
    <v>ahko2w</v>
    <v>268435456</v>
    <v>1</v>
    <v>Powered by Refinitiv</v>
    <v>0</v>
    <v>WHEELS INDIA LIMITED (XNSE:WHEELS)</v>
    <v>2</v>
    <v>3</v>
    <v>Finance</v>
    <v>4</v>
    <v>1744</v>
    <v>705.85</v>
    <v>0.75309999999999999</v>
    <v>-20.2</v>
    <v>-1.3308E-2</v>
    <v>INR</v>
    <v>Wheels India Limited is an India-based manufacturer of steel, aluminum and wire wheels. The Company is a supplier of wheels to manufacturers of commercial vehicles, passenger vehicles, agricultural tractors and construction equipment. Its segments include Automotive Components and Industrial Components. Its product categories include wheels, vehicle chassis and suspension, renewable energy components, fabricated and precision products, hydraulic cylinders, railway and aftermarket. Its air suspension systems are designed for commuter and intercity buses, coaches, ICVs, and electric vehicles. Its vehicle chassis and suspension products include FTS 2 ton series, FTS 3 ton series, FLS 4 ton series and others. The Company's renewable energy components include stiffening plate, torque plate, pitch plate, rotor lock disc, seal contact rings, yaw ring / yaw gear and others. It provides hydraulic cylinders for energy equipment and off-road vehicles.</v>
    <v>2593</v>
    <v>National Stock Exchange of India</v>
    <v>XNSE</v>
    <v>XNSE</v>
    <v>PO Box No. 50, MTH Road, Padi, CHENNAI, TAMIL NADU, 600050 IN</v>
    <v>1536</v>
    <v>Automobiles &amp; Auto Parts</v>
    <v>Stock</v>
    <v>46176.466840277775</v>
    <v>557</v>
    <v>1468.4</v>
    <v>19844490000</v>
    <v>WHEELS INDIA LIMITED</v>
    <v>WHEELS INDIA LIMITED</v>
    <v>1517.7</v>
    <v>24.52</v>
    <v>1517.9</v>
    <v>1497.7</v>
    <v>24433010</v>
    <v>WHEELS</v>
    <v>WHEELS INDIA LIMITED (XNSE:WHEELS)</v>
    <v>80547</v>
    <v>196680</v>
    <v>1960</v>
  </rv>
  <rv s="2">
    <v>558</v>
  </rv>
  <rv s="0">
    <v>https://www.bing.com/financeapi/forcetrigger?t=ahk552&amp;q=XNSE%3aSTLTECH&amp;form=skydnc</v>
    <v>Learn more on Bing</v>
  </rv>
  <rv s="1">
    <v>en-IN</v>
    <v>ahk552</v>
    <v>268435456</v>
    <v>1</v>
    <v>Powered by Refinitiv</v>
    <v>0</v>
    <v>STERLITE TECHNOLOGIES LIMITED (XNSE:STLTECH)</v>
    <v>2</v>
    <v>3</v>
    <v>Finance</v>
    <v>4</v>
    <v>620.6</v>
    <v>70.11</v>
    <v>0.60089999999999999</v>
    <v>29.55</v>
    <v>4.9995999999999999E-2</v>
    <v>INR</v>
    <v>Sterlite Technologies Limited is a global optical and digital solutions company, which provides advanced offerings to build fifth generation (5G), Rural, Fiber to the X (FTTx), Enterprise and Data Centre networks. The Company's operations primarily relate to the telecom sector, including the manufacturing of telecom products, telecom services and providing digital and technology solutions. Its portfolio includes optical networking business and digital and technology solutions. Its optical networking business is engaged in the design and manufacturing of optical fiber, cables, and optical interconnect products. Its digital and technology solutions is engaged in enabling the digital transformation of telcos and enterprises. Its digital network solutions help telcos, cloud companies, and large enterprises. Its digital services include cloud, cybersecurity, data analytics &amp; artificial intelligence (AI), enterprise software as a service, product engineering, and digital experience.</v>
    <v>1050</v>
    <v>National Stock Exchange of India</v>
    <v>XNSE</v>
    <v>XNSE</v>
    <v>4th Floor Godrej Millennium, Koregaon Road 9, STS 12/1, MAHARASHTRA, 411001 IN</v>
    <v>620.6</v>
    <v>Communications &amp; Networking</v>
    <v>Stock</v>
    <v>46176.466851851852</v>
    <v>560</v>
    <v>603.20000000000005</v>
    <v>45349750000</v>
    <v>STERLITE TECHNOLOGIES LIMITED</v>
    <v>STERLITE TECHNOLOGIES LIMITED</v>
    <v>610</v>
    <v>544.39</v>
    <v>591.04999999999995</v>
    <v>620.6</v>
    <v>488167600</v>
    <v>STLTECH</v>
    <v>STERLITE TECHNOLOGIES LIMITED (XNSE:STLTECH)</v>
    <v>3222970</v>
    <v>2212050</v>
    <v>2000</v>
  </rv>
  <rv s="2">
    <v>561</v>
  </rv>
  <rv s="0">
    <v>https://www.bing.com/financeapi/forcetrigger?t=ahhh2w&amp;q=XNSE%3aCUPID&amp;form=skydnc</v>
    <v>Learn more on Bing</v>
  </rv>
  <rv s="1">
    <v>en-IN</v>
    <v>ahhh2w</v>
    <v>268435456</v>
    <v>1</v>
    <v>Powered by Refinitiv</v>
    <v>0</v>
    <v>CUPID LIMITED (XNSE:CUPID)</v>
    <v>2</v>
    <v>3</v>
    <v>Finance</v>
    <v>4</v>
    <v>133.91999999999999</v>
    <v>17.68</v>
    <v>0.47610000000000002</v>
    <v>1.45</v>
    <v>1.1297E-2</v>
    <v>INR</v>
    <v>Cupid Limited is an India-based company. The Company is engaged in manufacturing and supplying male condoms, female condoms, water-based lubricant jelly and in vitro diagnostics (IVD) kits. The Company caters to a wide range of customers, including both business-to-business (B2B) and business-to-consumer (B2C) customer types. Its facility has a capacity of approximately 480 million pieces of male condoms, 52 million pieces of female condoms and 210 million sachets of lubricant jelly per annum. It offers various flavors, colors, lubricants, and silicone-based lubricants in all its male condoms range. Its male condoms are available in various flavors, including natural plain, banana, strawberry, chocolate, apple, pineapple, grapes, rose, jasmine, mint, whiskey, rum Jamaica, pan, bubblegum and vanilla. Its lubricant jelly is available in 3ml, 5ml sachets, 20 gm, 50gm, 82 gm, 114 gm tubes. Its manufacturing facility is located at Nashik, approximately 200 kilometers east of Mumbai.</v>
    <v>206</v>
    <v>National Stock Exchange of India</v>
    <v>XNSE</v>
    <v>XNSE</v>
    <v>A - 68, M. I. D. C. , SINNAR,, MALEGAON, NASIK, MAHARASHTRA, 422113 IN</v>
    <v>130.77000000000001</v>
    <v>Personal &amp; Household Products &amp; Services</v>
    <v>Stock</v>
    <v>46176.466874999998</v>
    <v>563</v>
    <v>128</v>
    <v>117816800000</v>
    <v>CUPID LIMITED</v>
    <v>CUPID LIMITED</v>
    <v>129.11000000000001</v>
    <v>161.08000000000001</v>
    <v>128.35</v>
    <v>129.80000000000001</v>
    <v>268467100</v>
    <v>CUPID</v>
    <v>CUPID LIMITED (XNSE:CUPID)</v>
    <v>9280138</v>
    <v>13566650</v>
    <v>1993</v>
  </rv>
  <rv s="2">
    <v>564</v>
  </rv>
  <rv s="0">
    <v>https://www.bing.com/financeapi/forcetrigger?t=ahipz2&amp;q=XNSE%3aLAURUSLABS&amp;form=skydnc</v>
    <v>Learn more on Bing</v>
  </rv>
  <rv s="1">
    <v>en-IN</v>
    <v>ahipz2</v>
    <v>268435456</v>
    <v>1</v>
    <v>Powered by Refinitiv</v>
    <v>0</v>
    <v>LAURUS LABS LIMITED (XNSE:LAURUSLABS)</v>
    <v>2</v>
    <v>3</v>
    <v>Finance</v>
    <v>4</v>
    <v>1398.8</v>
    <v>606.20000000000005</v>
    <v>0.86870000000000003</v>
    <v>11.7</v>
    <v>8.461999999999999E-3</v>
    <v>INR</v>
    <v>Laurus Labs Limited is an India-based company. The Company is a pharmaceutical manufacturing organization. It is engaged in developing and manufacturing active pharmaceutical ingredients (APIs) and intermediates. It supplies anti-retroviral APIs and intermediates. It provides contract and custom manufacturing solutions, allowing client organizations to outsource various stages of the manufacturing process. It is also engaged in development and manufacturing of animal-origin-free recombinant proteins, growth factors, and cell-culture media supplements catering to the needs of stem cells and regenerative medicine, vaccines and biological drugs, cultured meat, and cell-culture media manufacturing. It offers precision fermentation as a contract development and manufacturing organization (CDMO) service. Its service is offered to protein companies and bio-manufacturers operating across healthcare, food, nutrition, personal care, and bio-based materials markets.</v>
    <v>6167</v>
    <v>National Stock Exchange of India</v>
    <v>XNSE</v>
    <v>XNSE</v>
    <v>2nd Floor, Serene Chambers,, Road No. 7, Banjara Hills,, HYDERABAD, TELANGANA, 500034 IN</v>
    <v>1396.8</v>
    <v>Pharmaceuticals</v>
    <v>Stock</v>
    <v>46176.466874999998</v>
    <v>566</v>
    <v>1371</v>
    <v>571330300000</v>
    <v>LAURUS LABS LIMITED</v>
    <v>LAURUS LABS LIMITED</v>
    <v>1382</v>
    <v>84.66</v>
    <v>1382.6</v>
    <v>1394.3</v>
    <v>539856600</v>
    <v>LAURUSLABS</v>
    <v>LAURUS LABS LIMITED (XNSE:LAURUSLABS)</v>
    <v>1443846</v>
    <v>1956530</v>
    <v>2005</v>
  </rv>
  <rv s="2">
    <v>567</v>
  </rv>
  <rv s="0">
    <v>https://www.bing.com/financeapi/forcetrigger?t=ahimh7&amp;q=XNSE%3aKIRLOSENG&amp;form=skydnc</v>
    <v>Learn more on Bing</v>
  </rv>
  <rv s="1">
    <v>en-IN</v>
    <v>ahimh7</v>
    <v>268435456</v>
    <v>1</v>
    <v>Powered by Refinitiv</v>
    <v>0</v>
    <v>KIRLOSKAR OIL ENGINES LIMITED (XNSE:KIRLOSENG)</v>
    <v>2</v>
    <v>3</v>
    <v>Finance</v>
    <v>4</v>
    <v>1990.8</v>
    <v>825.6</v>
    <v>1.3104</v>
    <v>32.6</v>
    <v>1.7556000000000002E-2</v>
    <v>INR</v>
    <v>Kirloskar Oil Engines Limited is an India-based company, which is engaged in the business of manufacturing of engines, generating sets, pump sets and power tillers and spares thereof. The Company operates through three segments: Business to Business (B2B), Business to Customer (B2C), and Financial Services. Its B2B segment includes businesses related to fuel agnostic internal combustion engine platforms. The businesses include power generation, industrial, and distribution &amp; aftermarket and international business. Its power generation business includes engines, gensets, and backup solutions, across a range of power output from 2.1 kilovolt amperes (kVA) to 5200 kVA. The industrial engine business manufactures a variety of diesel engines and offers from 20 horsepower (hp) to 750 hp in the industrial engine. Its B2C segment consists of water management solutions and farm mechanization solutions such as pumps and pump-sets to induction motors, small engines, column pipes and cable.</v>
    <v>2476</v>
    <v>National Stock Exchange of India</v>
    <v>XNSE</v>
    <v>XNSE</v>
    <v>Laxmanrao Kirloskar Road, Khadki, PUNE, MAHARASHTRA, 411003 IN</v>
    <v>1913.4</v>
    <v>Machinery, Equipment &amp; Components</v>
    <v>Stock</v>
    <v>46176.466886574075</v>
    <v>569</v>
    <v>1855</v>
    <v>167243400000</v>
    <v>KIRLOSKAR OIL ENGINES LIMITED</v>
    <v>KIRLOSKAR OIL ENGINES LIMITED</v>
    <v>1872.1</v>
    <v>48.21</v>
    <v>1856.9</v>
    <v>1889.5</v>
    <v>145379900</v>
    <v>KIRLOSENG</v>
    <v>KIRLOSKAR OIL ENGINES LIMITED (XNSE:KIRLOSENG)</v>
    <v>250338</v>
    <v>522290</v>
    <v>2009</v>
  </rv>
  <rv s="2">
    <v>570</v>
  </rv>
  <rv s="0">
    <v>https://www.bing.com/financeapi/forcetrigger?t=ahhgz2&amp;q=XNSE%3aCUMMINSIND&amp;form=skydnc</v>
    <v>Learn more on Bing</v>
  </rv>
  <rv s="1">
    <v>en-IN</v>
    <v>ahhgz2</v>
    <v>268435456</v>
    <v>1</v>
    <v>Powered by Refinitiv</v>
    <v>0</v>
    <v>CUMMINS INDIA LIMITED (XNSE:CUMMINSIND)</v>
    <v>2</v>
    <v>3</v>
    <v>Finance</v>
    <v>4</v>
    <v>6100</v>
    <v>3212.2</v>
    <v>1.1863999999999999</v>
    <v>-15.5</v>
    <v>-2.7150000000000004E-3</v>
    <v>INR</v>
    <v>Cummins India Limited is a manufacturer of diesel and natural gas engines for power generation, industrial and automotive markets. The Company’s business units include engines, power systems, and distribution. Its engine business manufactures engines from 125 to 400 horsepower (HP) for low, medium and heavy-duty on-highway commercial vehicle markets and off-highway commercial equipment industries spanning construction and compressor (49HP to 430HP). Its power systems business designs and manufactures robust engines with a horsepower spectrum ranging from 700 HP to 4500 HP. These engines are tailored for various sectors, including marine, railways, defense, and mining. Its distribution business provides products, packages, services and solutions for the uptime of its equipment. Its digital products include Acumen, Incal and Inline. It serves end users, Original Equipment Manufacturers (OEMs), channel partners, dealers, distributors, and retailers.</v>
    <v>3025</v>
    <v>National Stock Exchange of India</v>
    <v>XNSE</v>
    <v>XNSE</v>
    <v>CUMMINS INDIA OFFICE CAMPUS TOWER A, 5TH FLOOR, SURVEY NO.21,, BALEWADI, MAHARASHTRA, 411045 IN</v>
    <v>5749</v>
    <v>Automobiles &amp; Auto Parts</v>
    <v>Stock</v>
    <v>46176.466840277775</v>
    <v>572</v>
    <v>5657</v>
    <v>1102646000000</v>
    <v>CUMMINS INDIA LIMITED</v>
    <v>CUMMINS INDIA LIMITED</v>
    <v>5741</v>
    <v>66.81</v>
    <v>5708</v>
    <v>5692.5</v>
    <v>277200000</v>
    <v>CUMMINSIND</v>
    <v>CUMMINS INDIA LIMITED (XNSE:CUMMINSIND)</v>
    <v>384967</v>
    <v>696940</v>
    <v>1962</v>
  </rv>
  <rv s="2">
    <v>573</v>
  </rv>
  <rv s="0">
    <v>https://www.bing.com/financeapi/forcetrigger?t=ahgr6h&amp;q=XNSE%3aADANIPORTS&amp;form=skydnc</v>
    <v>Learn more on Bing</v>
  </rv>
  <rv s="1">
    <v>en-IN</v>
    <v>ahgr6h</v>
    <v>268435456</v>
    <v>1</v>
    <v>Powered by Refinitiv</v>
    <v>0</v>
    <v>ADANI PORTS AND SPECIAL ECONOMIC ZONE LIMITED (XNSE:ADANIPORTS)</v>
    <v>2</v>
    <v>3</v>
    <v>Finance</v>
    <v>4</v>
    <v>1842.8</v>
    <v>1290.5</v>
    <v>1.3834</v>
    <v>-10.7</v>
    <v>-5.8970000000000003E-3</v>
    <v>INR</v>
    <v>Adani Ports and Special Economic Zone Limited is an India-based integrated ports and logistics company. Its segments include port and special economic zone (SEZ) activities, and other. The port and SEZ activities segment, which includes developing, operating and maintaining the port services, port related infrastructure development activities and development of infrastructure in a contiguous special economic zone. The Other Segment mainly includes Aircraft Operating Income, Warehousing and transportation of food grains. Its presence across 13 domestic ports in seven maritime states of Gujarat, Maharashtra, Kerala, Andhra Pradesh, Tamil Nadu, Odisha and others. The ports are equipped to handle diverse cargos, from dry cargo, liquid cargo, and crude to containers. Its ports &amp; terminals include Gangavaram Port, Karaikal Port, Krishnapatnam Port, Mundra Port, Gopalpur Port, and others. It also owns north queensland export terminal (NQXT), a natural deep-water, multi-user export terminal.</v>
    <v>3372</v>
    <v>National Stock Exchange of India</v>
    <v>XNSE</v>
    <v>XNSE</v>
    <v>Adani Corporate House, Shantigram, Near Vaishno Devi Circle, S. G. Highway, Khodiyar, AHMEDABAD, GUJARAT, 382421 IN</v>
    <v>1840</v>
    <v>Transport Infrastructure</v>
    <v>Stock</v>
    <v>46176.466863425929</v>
    <v>575</v>
    <v>1781.9</v>
    <v>3291436000000</v>
    <v>ADANI PORTS AND SPECIAL ECONOMIC ZONE LIMITED</v>
    <v>ADANI PORTS AND SPECIAL ECONOMIC ZONE LIMITED</v>
    <v>1829.4</v>
    <v>30.98</v>
    <v>1814.5</v>
    <v>1803.8</v>
    <v>2303959000</v>
    <v>ADANIPORTS</v>
    <v>ADANI PORTS AND SPECIAL ECONOMIC ZONE LIMITED (XNSE:ADANIPORTS)</v>
    <v>2967709</v>
    <v>1943250</v>
    <v>1998</v>
  </rv>
  <rv s="2">
    <v>576</v>
  </rv>
  <rv s="0">
    <v>https://www.bing.com/financeapi/forcetrigger?t=ahjryc&amp;q=XNSE%3aSAKAR&amp;form=skydnc</v>
    <v>Learn more on Bing</v>
  </rv>
  <rv s="1">
    <v>en-IN</v>
    <v>ahjryc</v>
    <v>268435456</v>
    <v>1</v>
    <v>Powered by Refinitiv</v>
    <v>0</v>
    <v>SAKAR HEALTHCARE LIMITED (XNSE:SAKAR)</v>
    <v>2</v>
    <v>3</v>
    <v>Finance</v>
    <v>4</v>
    <v>871.3</v>
    <v>306.35000000000002</v>
    <v>0.79339999999999999</v>
    <v>-21.75</v>
    <v>-2.606E-2</v>
    <v>INR</v>
    <v>Sakar Healthcare Limited is an India-based pharmaceutical company. The Company is engaged in manufacturing of pharmaceutical products providing liquid orals, cephalosporin tablets, capsules, dry powder syrup, dry powder injections, liquid injectables (SVP) in ampoules and vials &amp; lyophilized injections. The Company's oncology products include oral solid dosage (tablet &amp; capsule), liquid injection, lyophilized injection, active pharmaceutical ingredient (API), CDMO products and CRAMs. It has a presence across the regions of Africa (Anglo &amp; Francophone), SEASIA, CIS, Latin &amp; Central America and in Europe. It operates in over 50 countries globally and has approximately 292 registered products. It exports to Southeast Asia, Asia, Africa-Anglo &amp; Francophone, MENA, America, covering around 38 countries with more than 250 brands registered.</v>
    <v>342</v>
    <v>National Stock Exchange of India</v>
    <v>XNSE</v>
    <v>XNSE</v>
    <v>Block No. 10/13, Village: Changodar Sarkhej-Bavla Highway, Sanand, GUJARAT, 382213 IN</v>
    <v>838</v>
    <v>Pharmaceuticals</v>
    <v>Stock</v>
    <v>46176.466851851852</v>
    <v>578</v>
    <v>778.85</v>
    <v>8347054000</v>
    <v>SAKAR HEALTHCARE LIMITED</v>
    <v>SAKAR HEALTHCARE LIMITED</v>
    <v>835</v>
    <v>59.38</v>
    <v>834.6</v>
    <v>812.85</v>
    <v>21949910</v>
    <v>SAKAR</v>
    <v>SAKAR HEALTHCARE LIMITED (XNSE:SAKAR)</v>
    <v>140577</v>
    <v>208490</v>
    <v>2004</v>
  </rv>
  <rv s="2">
    <v>579</v>
  </rv>
  <rv s="0">
    <v>https://www.bing.com/financeapi/forcetrigger?t=ahivm7&amp;q=XNSE%3aMANINDS&amp;form=skydnc</v>
    <v>Learn more on Bing</v>
  </rv>
  <rv s="1">
    <v>en-IN</v>
    <v>ahivm7</v>
    <v>268435456</v>
    <v>1</v>
    <v>Powered by Refinitiv</v>
    <v>0</v>
    <v>MAN INDUSTRIES (INDIA) LIMITED (XNSE:MANINDS)</v>
    <v>2</v>
    <v>3</v>
    <v>Finance</v>
    <v>4</v>
    <v>606.4</v>
    <v>302.05</v>
    <v>1.9539</v>
    <v>-5</v>
    <v>-9.9769999999999998E-3</v>
    <v>INR</v>
    <v>Man Industries (India) Limited is an India-based company, which is engaged in the business of manufacturing, processing, and trading of submerged arc welded steel pipes and steel products. It specializes in the manufacturing and coating of large-diameter carbon steel pipes, alongside ventures in infrastructure, realty, and trading. The Company’s segments are Manufacturing and trading in Steel Products and Real Estate. The Company’s LSAW pipes are approximately 16 inches to 56 inches in diameter. LSAW pipes have a maximum length of about 12.20 meters. It also provides various options for coating systems, which include external coating system and internal coating system. It offers external coatings and internal linings that protect steel pipes against corrosion and mechanical impact. The Company’s subsidiaries include Merino Shelters Private Limited, Man Stainless Steel Tubes Limited, Man Overseas Metals DMCC, Man International Steel Industrial Company, and Man USA Inc.</v>
    <v>742</v>
    <v>National Stock Exchange of India</v>
    <v>XNSE</v>
    <v>XNSE</v>
    <v>Man House, 101, S.V. Road, Vile Parle (W), MUMBAI, MAHARASHTRA, 400056 IN</v>
    <v>511</v>
    <v>Metals &amp; Mining</v>
    <v>Stock</v>
    <v>46176.466863425929</v>
    <v>581</v>
    <v>484</v>
    <v>25735780000</v>
    <v>MAN INDUSTRIES (INDIA) LIMITED</v>
    <v>MAN INDUSTRIES (INDIA) LIMITED</v>
    <v>503.45</v>
    <v>21.02</v>
    <v>501.15</v>
    <v>496.15</v>
    <v>75009570</v>
    <v>MANINDS</v>
    <v>MAN INDUSTRIES (INDIA) LIMITED (XNSE:MANINDS)</v>
    <v>871071</v>
    <v>1366930</v>
    <v>1988</v>
  </rv>
  <rv s="2">
    <v>582</v>
  </rv>
  <rv s="0">
    <v>https://www.bing.com/financeapi/forcetrigger?t=c3ecr7&amp;q=XNSE%3aVIJAYA&amp;form=skydnc</v>
    <v>Learn more on Bing</v>
  </rv>
  <rv s="1">
    <v>en-IN</v>
    <v>c3ecr7</v>
    <v>268435456</v>
    <v>1</v>
    <v>Powered by Refinitiv</v>
    <v>0</v>
    <v>VIJAYA DIAGNOSTIC CENTRE LIMITED (XNSE:VIJAYA)</v>
    <v>2</v>
    <v>3</v>
    <v>Finance</v>
    <v>4</v>
    <v>1379.3</v>
    <v>848</v>
    <v>0.73909999999999998</v>
    <v>-37.6</v>
    <v>-2.8549999999999999E-2</v>
    <v>INR</v>
    <v>Vijaya Diagnostic Centre Limited is an India-based company, which is engaged in the business of providing a range of diagnostic services, spanning pathological investigations, basic and high-end radiology, nuclear medicine, and related healthcare services. It operates through the Diagnostic Services segment. It offers laboratory services and radiology services. Its services include clinical pathology, microbiology, hematology, serology, histopathology, cytogenetics, biochemistry, molecular diagnostics, computerized tomography (CT) scan, magnetic resonance imaging (MRI) scan, ultrasound, X-ray, cardiology, gastroenterology, nuclear medicine, and MRI-3T. It operates approximately 160 diagnostic centers in 25 cities spread across India. Its clinical pathology includes liver function test (LFT-A), creatine kinase (CPK) test, and thyroid profile test. It offers various health checkups, which include general wellness, women's care, gynecology packages, and lifestyle.</v>
    <v>2218</v>
    <v>National Stock Exchange of India</v>
    <v>XNSE</v>
    <v>XNSE</v>
    <v>6-3-883/F, Ground Floor, FPA Building,, Near Topaz Building, Punjagutta,, HYDERABAD, TELANGANA, 500082 IN</v>
    <v>1333</v>
    <v>Healthcare Providers &amp; Services</v>
    <v>Stock</v>
    <v>46176.466851851852</v>
    <v>584</v>
    <v>1262.0999999999999</v>
    <v>102804100000</v>
    <v>VIJAYA DIAGNOSTIC CENTRE LIMITED</v>
    <v>VIJAYA DIAGNOSTIC CENTRE LIMITED</v>
    <v>1327.8</v>
    <v>76.06</v>
    <v>1317</v>
    <v>1279.4000000000001</v>
    <v>102896700</v>
    <v>VIJAYA</v>
    <v>VIJAYA DIAGNOSTIC CENTRE LIMITED (XNSE:VIJAYA)</v>
    <v>109859</v>
    <v>208470</v>
    <v>2002</v>
  </rv>
  <rv s="2">
    <v>585</v>
  </rv>
  <rv s="0">
    <v>https://www.bing.com/financeapi/forcetrigger?t=ahh6ur&amp;q=XNSE%3aBHARATFORG&amp;form=skydnc</v>
    <v>Learn more on Bing</v>
  </rv>
  <rv s="1">
    <v>en-IN</v>
    <v>ahh6ur</v>
    <v>268435456</v>
    <v>1</v>
    <v>Powered by Refinitiv</v>
    <v>0</v>
    <v>BHARAT FORGE LTD (XNSE:BHARATFORG)</v>
    <v>2</v>
    <v>3</v>
    <v>Finance</v>
    <v>4</v>
    <v>2044</v>
    <v>1100.5</v>
    <v>1.1419999999999999</v>
    <v>33.6</v>
    <v>1.7656999999999999E-2</v>
    <v>INR</v>
    <v>Bharat Forge Limited is an India-based global provider of safety and critical components and solutions to various sectors, including automotive, power, oil and gas, construction and mining, rail, marine, defense and aerospace. Its segments include Forgings, Defence and Others. The Forgings produces and sells forged products comprising forgings and machined components for automotive and industrial sectors. The Defence segment produces and sells products which have an application in defense related activities. Forged components used in defense related activities are included as a part of the Forgings segment. Others include various initiatives which the Company is carrying out other than forging and defense related activities. Its power products include thermal, such as shafts and others; hydro, such as rotor and others; wind, such as shafts and gear boxes, and nuclear, such as high-pressure valves and nozzles. It has a global manufacturing footprint with presence across five countries.</v>
    <v>3970</v>
    <v>National Stock Exchange of India</v>
    <v>XNSE</v>
    <v>XNSE</v>
    <v>MUNDHAWA PUNE CANTONMENT, MAHARASHTRA, 411036 IN</v>
    <v>1948.9</v>
    <v>Metals &amp; Mining</v>
    <v>Stock</v>
    <v>46176.466840277775</v>
    <v>587</v>
    <v>1893.9</v>
    <v>698152800000</v>
    <v>BHARAT FORGE LTD</v>
    <v>BHARAT FORGE LTD</v>
    <v>1908.1</v>
    <v>85.76</v>
    <v>1902.9</v>
    <v>1936.5</v>
    <v>478088600</v>
    <v>BHARATFORG</v>
    <v>BHARAT FORGE LTD (XNSE:BHARATFORG)</v>
    <v>808066</v>
    <v>1078310</v>
    <v>1961</v>
  </rv>
  <rv s="2">
    <v>588</v>
  </rv>
  <rv s="0">
    <v>https://www.bing.com/financeapi/forcetrigger?t=ahjkrw&amp;q=XNSE%3aRADICO&amp;form=skydnc</v>
    <v>Learn more on Bing</v>
  </rv>
  <rv s="1">
    <v>en-IN</v>
    <v>ahjkrw</v>
    <v>268435456</v>
    <v>1</v>
    <v>Powered by Refinitiv</v>
    <v>0</v>
    <v>RADICO KHAITAN LIMITED (XNSE:RADICO)</v>
    <v>2</v>
    <v>3</v>
    <v>Finance</v>
    <v>4</v>
    <v>3679</v>
    <v>2500</v>
    <v>0.85229999999999995</v>
    <v>-23.4</v>
    <v>-6.7100000000000007E-3</v>
    <v>INR</v>
    <v>Radico Khaitan Limited is an India-based manufacturer of alcohol and alcoholic products. The Company is engaged in the manufacturing and trading of alcoholic products, such as Indian-made foreign liquor (IMFL) and country liquor. The Company operates through Alcohol and Alcoholic Beverages segment. It offers various brands, such as rampur indian single malt whisky, jaisalmer indian craft gin, royal ranthambore heritage collection royal crafted whisky, happiness in a bottle, magic moments dazzle vodka, magic moments verve, magic moments vodka, magic moments vodka cocktails, after dark premium whisky, morpheus blue xo brandy, morpheus xo brandy, 8pm premium black whisky, 8pm whisky, 1965 the spirit of victory premium xxx rum, whytehall premium brandy, old admiral brandy, and contessa rum. It has two distillery campuses located in India. The Company has a total capacity of over 321 million liters and operates 44 bottling units, spread across the country.</v>
    <v>1494</v>
    <v>National Stock Exchange of India</v>
    <v>XNSE</v>
    <v>XNSE</v>
    <v>PLOT NO.J-1, BLOCK B-1 MOHAN CO-OPERATIVE INDUSTRIAL AREA, MATHURA ROAD, DELHI, 110044 IN</v>
    <v>3509.6</v>
    <v>Beverages</v>
    <v>Stock</v>
    <v>46176.466851851852</v>
    <v>590</v>
    <v>3451</v>
    <v>392026800000</v>
    <v>RADICO KHAITAN LIMITED</v>
    <v>RADICO KHAITAN LIMITED</v>
    <v>3485</v>
    <v>76.709999999999994</v>
    <v>3487.5</v>
    <v>3464.1</v>
    <v>133931400</v>
    <v>RADICO</v>
    <v>RADICO KHAITAN LIMITED (XNSE:RADICO)</v>
    <v>159441</v>
    <v>334800</v>
    <v>1983</v>
  </rv>
  <rv s="2">
    <v>591</v>
  </rv>
  <rv s="0">
    <v>https://www.bing.com/financeapi/forcetrigger?t=ahj4jc&amp;q=XNSE%3aNATIONALUM&amp;form=skydnc</v>
    <v>Learn more on Bing</v>
  </rv>
  <rv s="1">
    <v>en-IN</v>
    <v>ahj4jc</v>
    <v>268435456</v>
    <v>1</v>
    <v>Powered by Refinitiv</v>
    <v>0</v>
    <v>NATIONAL ALUMINIUM CO LTD (XNSE:NATIONALUM)</v>
    <v>2</v>
    <v>3</v>
    <v>Finance</v>
    <v>4</v>
    <v>445.15</v>
    <v>176.34</v>
    <v>0.74139999999999995</v>
    <v>2.5</v>
    <v>5.7549999999999997E-3</v>
    <v>INR</v>
    <v>National Aluminium Company Limited is an India-based integrated bauxite-alumina-aluminum- power complex. The Company's operations include bauxite mines, alumina refinery, aluminum smelter, captive power plant, port facilities, wind power plants, solar power and Nalco Research &amp; Technology Centre - testing services. Its segments include Chemicals and Aluminum. Chemicals segment includes calcined alumina, alumina hydrate and other related products. The aluminum segment includes aluminum ingots, wire rods, billets, strips, rolled and other related products. It is operating approximately 22.75 lakh MT per annum alumina refinery plant located at Damanjodi in Koraput district of Odisha and 4.60 lakh MT per annum aluminum smelter located at Angul, Odisha. It operates four wind power plants with total capacity of approximately 198.40 megawatts. The Company, through its joint venture company, Khanij Bidesh India Limited, is focused on sourcing battery minerals like lithium and cobalt.</v>
    <v>4803</v>
    <v>National Stock Exchange of India</v>
    <v>XNSE</v>
    <v>XNSE</v>
    <v>Nalco Bhawan, Plot No. P/1, Nayapalli, BHUBANESHWAR, ORISSA, 751013 IN</v>
    <v>441.95</v>
    <v>Metals &amp; Mining</v>
    <v>Stock</v>
    <v>46176.466851851852</v>
    <v>593</v>
    <v>431.3</v>
    <v>656412200000</v>
    <v>NATIONAL ALUMINIUM CO LTD</v>
    <v>NATIONAL ALUMINIUM CO LTD</v>
    <v>437.2</v>
    <v>13.84</v>
    <v>434.4</v>
    <v>436.9</v>
    <v>1836632000</v>
    <v>NATIONALUM</v>
    <v>NATIONAL ALUMINIUM CO LTD (XNSE:NATIONALUM)</v>
    <v>7827914</v>
    <v>18205790</v>
    <v>1981</v>
  </rv>
  <rv s="2">
    <v>594</v>
  </rv>
  <rv s="0">
    <v>https://www.bing.com/financeapi/forcetrigger?t=ahhurw&amp;q=XNSE%3aGESHIP&amp;form=skydnc</v>
    <v>Learn more on Bing</v>
  </rv>
  <rv s="1">
    <v>en-IN</v>
    <v>ahhurw</v>
    <v>268435456</v>
    <v>1</v>
    <v>Powered by Refinitiv</v>
    <v>0</v>
    <v>THE GREAT EASTERN SHIPPING COMPANY LIMITED (XNSE:GESHIP)</v>
    <v>2</v>
    <v>3</v>
    <v>Finance</v>
    <v>4</v>
    <v>1798</v>
    <v>913.1</v>
    <v>1.0419</v>
    <v>-37</v>
    <v>-2.4386999999999999E-2</v>
    <v>INR</v>
    <v>The Great Eastern Shipping Company Limited is an India-based company which operates as a shipping service provider. It operates in two main businesses. The Shipping business is involved in transportation of crude oil, petroleum products, gas and dry bulk commodities. It is engaged in managing a diverse fleet of Crude Oil Carriers, Product Carriers, LPG Carriers, and various classes of Dry Bulk Carriers. The Offshore business services oil companies in carrying out offshore exploration and production activities, through its subsidiary Greatship (India) Limited. Its crude oil carriers include Jag Lok, Jag Lalit, Jag Leena, Jag Lakshya, Jag Leela and Jag Laxmi. Its product carriers include Jag Lokesh, Jag Lara, Jag Aabha, Jag Aanchal, Jag Amisha, Jag Aparna. Its LPG Carriers Include Jag Vikram, Jag Vishnu, Jag Vasant, and Jag Viraat. Its Dry Bulk Carriers include Jag Anand, Jag Alaia, Jag Aarati, among others. Its fleet include over 38 vessels, 26 tankers and 12 dry bulk carriers.</v>
    <v>266</v>
    <v>National Stock Exchange of India</v>
    <v>XNSE</v>
    <v>XNSE</v>
    <v>134/A OCEAN HOUSE DR. ANNIE BESANT ROAD, WORLI, MAHARASHTRA, 400018 IN</v>
    <v>1536</v>
    <v>Oil &amp; Gas Related Equipment and Services</v>
    <v>Stock</v>
    <v>46176.466863425929</v>
    <v>596</v>
    <v>1470.5</v>
    <v>157943300000</v>
    <v>THE GREAT EASTERN SHIPPING COMPANY LIMITED</v>
    <v>THE GREAT EASTERN SHIPPING COMPANY LIMITED</v>
    <v>1520</v>
    <v>7.18</v>
    <v>1517.2</v>
    <v>1480.2</v>
    <v>142767200</v>
    <v>GESHIP</v>
    <v>THE GREAT EASTERN SHIPPING COMPANY LIMITED (XNSE:GESHIP)</v>
    <v>584518</v>
    <v>2098930</v>
    <v>1948</v>
  </rv>
  <rv s="2">
    <v>597</v>
  </rv>
  <rv s="3">
    <v>en-IN</v>
    <v>cgof5r</v>
    <v>268435456</v>
    <v>1</v>
    <v>Powered by Refinitiv</v>
    <v>5</v>
    <v>ATHER ENERGY LIMITED (XNSE:ATHERENERG)</v>
    <v>6</v>
    <v>3</v>
    <v>Finance</v>
    <v>4</v>
    <v>1047</v>
    <v>301</v>
    <v>1.2969999999999999</v>
    <v>61.45</v>
    <v>6.3969999999999999E-2</v>
    <v>INR</v>
    <v>Ather Energy Limited is an India-based pure play electric vehicle (EV) company. The Company specializes in Indian electric two-wheeler (E2W) market. The Company sells E2Ws and the associated product ecosystem, comprised of its software, charging infrastructure and smart accessories, all of which are conceptualized and designed by it in India. Its E2W portfolio comprises two product lines: the Ather 450 line, which caters to customers seeking performance scooters, and the Ather Rizta line, which is targeted at customers seeking convenience scooters for their family. The Company’s software, Atherstack, is developed in-house and powers all Ather products. Atherstack offers approximately 69 features related to navigation, analytics, ride assistance, safety and productivity, as well as integration with its charging infrastructure and smart accessories. Upon purchase of an E2W, its customers have the option to purchase advanced Atherstack software features through the Atherstack Pro.</v>
    <v>1617</v>
    <v>National Stock Exchange of India</v>
    <v>XNSE</v>
    <v>XNSE</v>
    <v>3rd Floor Tower D, Ibc Knowledge Park, Bannerghatta Main Road, BANGALORE, KARNATAKA, 560029 IN</v>
    <v>1047</v>
    <v>Leisure Products</v>
    <v>Stock</v>
    <v>46176.466932870368</v>
    <v>960.6</v>
    <v>249475900000</v>
    <v>ATHER ENERGY LIMITED</v>
    <v>ATHER ENERGY LIMITED</v>
    <v>961</v>
    <v>0</v>
    <v>960.6</v>
    <v>1022.05</v>
    <v>383121000</v>
    <v>ATHERENERG</v>
    <v>ATHER ENERGY LIMITED (XNSE:ATHERENERG)</v>
    <v>13219934</v>
    <v>3970030</v>
    <v>2013</v>
  </rv>
  <rv s="2">
    <v>599</v>
  </rv>
  <rv s="0">
    <v>https://www.bing.com/financeapi/forcetrigger?t=c4etk2&amp;q=XNSE%3aANANDRATHI&amp;form=skydnc</v>
    <v>Learn more on Bing</v>
  </rv>
  <rv s="1">
    <v>en-IN</v>
    <v>c4etk2</v>
    <v>268435456</v>
    <v>1</v>
    <v>Powered by Refinitiv</v>
    <v>0</v>
    <v>Anand Rathi Wealth Ltd (XNSE:ANANDRATHI)</v>
    <v>2</v>
    <v>3</v>
    <v>Finance</v>
    <v>4</v>
    <v>3735</v>
    <v>1721</v>
    <v>0.16619999999999999</v>
    <v>15.55</v>
    <v>8.7869999999999997E-3</v>
    <v>INR</v>
    <v>Anand Rathi Wealth Limited is an India-based wealth solutions provider. The Company is engaged in the business of services for the distribution and sale of financial products. It works with high and ultra-high net worth individuals (HNIs and UHNIs) to facilitate their investments in financial instruments using its solutions. Its flagship Private Wealth (PW) vertical is engaged in providing solutions to its clients by facilitating investments in financial instruments. Its Digital Wealth (DW) vertical focuses on integrating financial technology (fintech) and providing wealth solutions to the mass affluent sector through a physical plus digital (phygital) channel, or a blend of human contact and technology. Omni Financial Advisors (OFA) is a technology platform that is designed specifically for Mutual Fund Distributors (MFDs) and Independent Financial Advisors. It offers business dashboards, online mutual fund transactions, goal planning, and post sales services.</v>
    <v>1256</v>
    <v>National Stock Exchange of India</v>
    <v>XNSE</v>
    <v>XNSE</v>
    <v>Floor No 2nd &amp; 3rd, Block B &amp; C, E, Wing, Trade Link, Kamala Mills Compound,, Senapati Bapat Marg, Lower Parel, MUMBAI, MAHARASHTRA, 400013 IN</v>
    <v>1821.3</v>
    <v>Investment Banking &amp; Investment Services</v>
    <v>Stock</v>
    <v>46176.466851851852</v>
    <v>601</v>
    <v>1721</v>
    <v>261697600000</v>
    <v>Anand Rathi Wealth Ltd</v>
    <v>Anand Rathi Wealth Ltd</v>
    <v>1779.8</v>
    <v>74.89</v>
    <v>1769.65</v>
    <v>1785.2</v>
    <v>83020630</v>
    <v>ANANDRATHI</v>
    <v>Anand Rathi Wealth Ltd (XNSE:ANANDRATHI)</v>
    <v>686802</v>
    <v>673400</v>
    <v>1995</v>
  </rv>
  <rv s="2">
    <v>602</v>
  </rv>
  <rv s="0">
    <v>https://www.bing.com/financeapi/forcetrigger?t=ahkjtc&amp;q=XNSE%3aVEDL&amp;form=skydnc</v>
    <v>Learn more on Bing</v>
  </rv>
  <rv s="1">
    <v>en-IN</v>
    <v>ahkjtc</v>
    <v>268435456</v>
    <v>1</v>
    <v>Powered by Refinitiv</v>
    <v>0</v>
    <v>VEDANTA LIMITED (XNSE:VEDL)</v>
    <v>2</v>
    <v>3</v>
    <v>Finance</v>
    <v>4</v>
    <v>360</v>
    <v>157.16999999999999</v>
    <v>0.84719999999999995</v>
    <v>-5.35</v>
    <v>-1.6040000000000002E-2</v>
    <v>INR</v>
    <v>Vedanta Limited is an India-based company, which specializes in critical minerals, energy transition metals, power, and technology, with operations spanning India, South Africa, Namibia, Liberia, United Arab Emirates, Saudi Arabia, Korea, Taiwan and Japan. Its segments include Zinc, Lead and Silver - India; Zinc - International; Oil &amp; Gas; Aluminium; Copper; Iron Ore; Power and Others. Zinc, Lead and Silver - India segment consists of mining of ore, manufacturing of zinc and lead ingots and silver, both from own mining and purchased concentrate. Zinc - International segment consists of exploration, mining, treatment and production of zinc, lead, copper and associated mineral concentrates for sale. Oil &amp; Gas segment consists of exploration, development and production of oil and gas. Aluminium segment consists of mining of bauxite and manufacturing of alumina and various aluminum products. Iron ore segment consists of mining of ore and manufacturing of pig iron and metallurgical coke.</v>
    <v>8354</v>
    <v>National Stock Exchange of India</v>
    <v>XNSE</v>
    <v>XNSE</v>
    <v>1st Floor, C wing, Unit 103, Corporate Avenue Atul Projects, Chakala, Andheri (East), MUMBAI, MAHARASHTRA, 400093 IN</v>
    <v>334</v>
    <v>Metals &amp; Mining</v>
    <v>Stock</v>
    <v>46176.466840277775</v>
    <v>604</v>
    <v>325</v>
    <v>2488569000000</v>
    <v>VEDANTA LIMITED</v>
    <v>VEDANTA LIMITED</v>
    <v>333.55</v>
    <v>16.98</v>
    <v>333.55</v>
    <v>328.2</v>
    <v>3904802000</v>
    <v>VEDL</v>
    <v>VEDANTA LIMITED (XNSE:VEDL)</v>
    <v>20194365</v>
    <v>24714850</v>
    <v>1965</v>
  </rv>
  <rv s="2">
    <v>605</v>
  </rv>
  <rv s="3">
    <v>en-IN</v>
    <v>ci8lk2</v>
    <v>268435456</v>
    <v>1</v>
    <v>Powered by Refinitiv</v>
    <v>5</v>
    <v>ATLANTA ELECTRICALS LIMITED (XNSE:ATLANTAELE)</v>
    <v>6</v>
    <v>3</v>
    <v>Finance</v>
    <v>4</v>
    <v>2058</v>
    <v>707.6</v>
    <v>-2.9820000000000002</v>
    <v>97.6</v>
    <v>4.9987000000000004E-2</v>
    <v>INR</v>
    <v>Atlanta Electricals Limited is an India-based transformer manufacturing company. The Company is focused on power, auto and inverter duty transformers up to and including over 200 Mega Volt-Ampere (MVA) capacity and with 220 kilovolts (kV) voltage. Its products include Auto Transformer, Inverter Duty Transformer, Furnace Transformer, Power Transformer, Generator Transformer, and Special Duty Transformer. Its type of transformer and range of manufacturing include Auto Transformer - ranging from 66 kV to 220 kV; Inverter Duty Transformer - ranging from 0.60 kV to 33 kV; Furnace Transformer - ranging from 0.43 kV to 66 kV; Power Transformer - ranging from 11 kV to 220 kV; Generator Transformer - ranging from 3.30 kV to 220 kV, and Special Duty Transformer - ranging from 0.43 kV to 132 kV. It operates three fully functional manufacturing facilities, two located at Anand, Gujarat and one at Bengaluru, Karnataka spread over 3,21,451.39 square foot.</v>
    <v>311</v>
    <v>National Stock Exchange of India</v>
    <v>XNSE</v>
    <v>XNSE</v>
    <v>Plot No. 1503/4, GIDC Estate, Vithal Udyognagar, ANAND, GUJARAT, 388121 IN</v>
    <v>2050.1</v>
    <v>Machinery, Equipment &amp; Components</v>
    <v>Stock</v>
    <v>46176.466932870368</v>
    <v>1881.1</v>
    <v>63020630000</v>
    <v>ATLANTA ELECTRICALS LIMITED</v>
    <v>ATLANTA ELECTRICALS LIMITED</v>
    <v>1943</v>
    <v>29.78</v>
    <v>1952.5</v>
    <v>2050.1</v>
    <v>76896630</v>
    <v>ATLANTAELE</v>
    <v>ATLANTA ELECTRICALS LIMITED (XNSE:ATLANTAELE)</v>
    <v>116065</v>
    <v>135480</v>
    <v>1988</v>
  </rv>
  <rv s="2">
    <v>607</v>
  </rv>
  <rv s="3">
    <v>en-IN</v>
    <v>ces5ec</v>
    <v>268435456</v>
    <v>1</v>
    <v>Powered by Refinitiv</v>
    <v>5</v>
    <v>KRN HEAT EXCHANGER AND REFRIGERATION LIMITED (XNSE:KRN)</v>
    <v>6</v>
    <v>3</v>
    <v>Finance</v>
    <v>4</v>
    <v>1405</v>
    <v>589.79999999999995</v>
    <v>2.2149999999999999</v>
    <v>55.2</v>
    <v>4.9973000000000004E-2</v>
    <v>INR</v>
    <v>KRN Heat Exchanger &amp; Refrigeration Limited is a manufacturer in the heat ventilation air conditioning and refrigeration (HVAC&amp;R) industry, specialized in fin and tube type heat exchangers. The Company produces a diverse range of heat exchangers, including condenser coils, evaporator units, evaporator coils, fluid and steam coils, and sheet metal parts. These products are customized in various shapes and sizes, with heat exchanger tube diameters ranging from five millimeters (mm) to 15.88mm. Its products are used in various applications, including residential and commercial HVAC systems, precision air conditioning, data center cooling, automotive air conditioning, and defense air conditioning systems. The Company manufactures components for commercial refrigeration, beverage coolers, chest freezers, and vending machines. The Company’s heat exchangers are also used in process cooling applications in civil construction, as well as in white goods such as washing machines and dryers.</v>
    <v>208</v>
    <v>National Stock Exchange of India</v>
    <v>XNSE</v>
    <v>XNSE</v>
    <v>Plot No. F-46,47,48,49, EPIP, RIICO Industrial Area, Neemrana, ALWAR, RAJASTHAN, 301705 IN</v>
    <v>1159.8</v>
    <v>Machinery, Equipment &amp; Components</v>
    <v>Stock</v>
    <v>46176.466898148145</v>
    <v>1130</v>
    <v>44227530000</v>
    <v>KRN HEAT EXCHANGER AND REFRIGERATION LIMITED</v>
    <v>KRN HEAT EXCHANGER AND REFRIGERATION LIMITED</v>
    <v>1159.8</v>
    <v>94.29</v>
    <v>1104.5999999999999</v>
    <v>1159.8</v>
    <v>65458490</v>
    <v>KRN</v>
    <v>KRN HEAT EXCHANGER AND REFRIGERATION LIMITED (XNSE:KRN)</v>
    <v>186036</v>
    <v>179100</v>
    <v>2017</v>
  </rv>
  <rv s="2">
    <v>609</v>
  </rv>
  <rv s="3">
    <v>en-IN</v>
    <v>cc1w2w</v>
    <v>268435456</v>
    <v>1</v>
    <v>Powered by Refinitiv</v>
    <v>5</v>
    <v>AZAD ENGINEERING LIMITED (XNSE:AZAD)</v>
    <v>6</v>
    <v>3</v>
    <v>Finance</v>
    <v>4</v>
    <v>2350</v>
    <v>1360</v>
    <v>1.704</v>
    <v>24.8</v>
    <v>1.2003E-2</v>
    <v>INR</v>
    <v>Azad Engineering Limited is an India-based company. The Company is engaged in manufacturing product lines in the aerospace and defense, energy and oil and gas industries, highly engineered, complex and mission and life-critical components. The Company’s products include three dimensional (3D) rotating air foil portions of turbine engines and other critical products for defense and civil aircrafts, spaceships, defense missiles, nuclear power, hydrogen, gas power, oil, and thermal power. The Company’s segments include Aerospace, Defense, Oil &amp; Gas, and Energy. In Defense segment the Company manufactures industrial aerospace standard fluid distribution parts, integrated into the aircraft hydraulic systems which spans from nose to tail and left to right ends of the wing of an airplane, for the functioning of all the synchronized hydro pneumatic system. The Oil &amp; Gas segment includes exploration, extraction, refining, and distribution of fossil fuels, primarily oil and natural gas.</v>
    <v>1441</v>
    <v>National Stock Exchange of India</v>
    <v>XNSE</v>
    <v>XNSE</v>
    <v>90/C,90/D, PHASE 1 I.D.A JEEDIMETLA, TELANGANA, 500055 IN</v>
    <v>2132</v>
    <v>Machinery, Equipment &amp; Components</v>
    <v>Stock</v>
    <v>46176.466886574075</v>
    <v>2043.9</v>
    <v>100999400000</v>
    <v>AZAD ENGINEERING LIMITED</v>
    <v>AZAD ENGINEERING LIMITED</v>
    <v>2071</v>
    <v>101.9</v>
    <v>2066.1</v>
    <v>2090.9</v>
    <v>64581740</v>
    <v>AZAD</v>
    <v>AZAD ENGINEERING LIMITED (XNSE:AZAD)</v>
    <v>403701</v>
    <v>385220</v>
    <v>1983</v>
  </rv>
  <rv s="2">
    <v>611</v>
  </rv>
  <rv s="0">
    <v>https://www.bing.com/financeapi/forcetrigger?t=ahk1gh&amp;q=XNSE%3aSMSPHARMA&amp;form=skydnc</v>
    <v>Learn more on Bing</v>
  </rv>
  <rv s="1">
    <v>en-IN</v>
    <v>ahk1gh</v>
    <v>268435456</v>
    <v>1</v>
    <v>Powered by Refinitiv</v>
    <v>0</v>
    <v>SMS PHARMACEUTICALS LIMITED (XNSE:SMSPHARMA)</v>
    <v>2</v>
    <v>3</v>
    <v>Finance</v>
    <v>4</v>
    <v>447.8</v>
    <v>207.7</v>
    <v>1.1597999999999999</v>
    <v>-7.45</v>
    <v>-2.0470000000000002E-2</v>
    <v>INR</v>
    <v>SMS Pharmaceuticals Limited is an India-based pharmaceutical manufacturing company. The Company is engaged in the business of manufacturing active pharma ingredients and their intermediates. Its product categories include anti-ulcer, anti-inflammatory, anti-migraine, ant-diabetic, anti-coagulant, anti-viral, anti-retroviral, anti-psychotic, and others. The Company products include ranitidine, famotidine, pantoprazole sodium, itraconazole, lanoconazole, luliconazole, ibuprofen, Dex ibuprofen, fenoprofen calcium, sumatriptan, almotriptan, zolmitriptan, rizatriptan, Ele triptan, vildagliptin, sitagliptin, rosiglitazone, empagliflozin, dapagliflozin, tenofovir, dolutegravir, raltegravir, lamivudine, efavirenz, apixaban, rivaroxaban, levetiracetam, perampanel, lamotrigine, penciclovir, valaciclovir, and others. The Company has manufacturing facilities at Bachupally, Hyderabad, Telangana and also at Kandivalasa Village, Poosapatirega Mandal, Vijayanagaram District, Andhra Pradesh.</v>
    <v>1470</v>
    <v>National Stock Exchange of India</v>
    <v>XNSE</v>
    <v>XNSE</v>
    <v>Plot No.72, H. No.8-2-334/3 &amp; 4 Road No.5, Opp. SBI Executive Enclave, Banjara Hills, HYDERABAD, TELANGANA, 500034 IN</v>
    <v>364.6</v>
    <v>Pharmaceuticals</v>
    <v>Stock</v>
    <v>46176.466863425929</v>
    <v>613</v>
    <v>352.7</v>
    <v>31724630000</v>
    <v>SMS PHARMACEUTICALS LIMITED</v>
    <v>SMS PHARMACEUTICALS LIMITED</v>
    <v>364.2</v>
    <v>31.49</v>
    <v>363.95</v>
    <v>356.5</v>
    <v>93652030</v>
    <v>SMSPHARMA</v>
    <v>SMS PHARMACEUTICALS LIMITED (XNSE:SMSPHARMA)</v>
    <v>163360</v>
    <v>485200</v>
    <v>1987</v>
  </rv>
  <rv s="2">
    <v>614</v>
  </rv>
  <rv s="0">
    <v>https://www.bing.com/financeapi/forcetrigger?t=ahhyp2&amp;q=XNSE%3aGRAPHITE&amp;form=skydnc</v>
    <v>Learn more on Bing</v>
  </rv>
  <rv s="1">
    <v>en-IN</v>
    <v>ahhyp2</v>
    <v>268435456</v>
    <v>1</v>
    <v>Powered by Refinitiv</v>
    <v>0</v>
    <v>GRAPHITE INDIA LIMITED (XNSE:GRAPHITE)</v>
    <v>2</v>
    <v>3</v>
    <v>Finance</v>
    <v>4</v>
    <v>802.4</v>
    <v>505.8</v>
    <v>1.397</v>
    <v>8.6999999999999993</v>
    <v>1.2060999999999999E-2</v>
    <v>INR</v>
    <v>Graphite India Limited is engaged in the business of manufacturing graphite electrodes and specialties, calcined petroleum coke, impervious graphite equipment, glass reinforced plastic pipes, steel and generation of renewable energy. It caters to a range of customers, engaged in manufacturing steel, the cutting tool industry, chemicals, fertilizers, polymers, drug intermediaries, metal pressing, effluent treatment, and irrigation. Its segment includes Graphite and Carbon Segment and Others segment. Its Graphite and Carbon Segment, engaged in the production of Graphite Electrodes, Other Miscellaneous Graphite and Carbon Products and related Processing/Service Charges. Its Others segment, engaged in manufacturing/laying of GRP Pipes, and in manufacturing of High-Speed Steel and Alloy Steel and Power Generating Unit for outside sale. Its Coke plant in Barauni, Bihar, is engaged in the manufacturing of Calcined Petroleum Coke, Carbon Paste and Electrically Calcined Anthracite Paste.</v>
    <v>1666</v>
    <v>National Stock Exchange of India</v>
    <v>XNSE</v>
    <v>XNSE</v>
    <v>31, CHOWRINGHEE ROAD, WEST BENGAL, 700016 IN</v>
    <v>739.4</v>
    <v>Machinery, Equipment &amp; Components</v>
    <v>Stock</v>
    <v>46176.466840277775</v>
    <v>616</v>
    <v>712.8</v>
    <v>117088600000</v>
    <v>GRAPHITE INDIA LIMITED</v>
    <v>GRAPHITE INDIA LIMITED</v>
    <v>721.4</v>
    <v>81.39</v>
    <v>721.35</v>
    <v>730.05</v>
    <v>195375600</v>
    <v>GRAPHITE</v>
    <v>GRAPHITE INDIA LIMITED (XNSE:GRAPHITE)</v>
    <v>895481</v>
    <v>1252260</v>
    <v>1974</v>
  </rv>
  <rv s="2">
    <v>617</v>
  </rv>
  <rv s="0">
    <v>https://www.bing.com/financeapi/forcetrigger?t=az66u2&amp;q=XNSE%3aASTERDM&amp;form=skydnc</v>
    <v>Learn more on Bing</v>
  </rv>
  <rv s="1">
    <v>en-IN</v>
    <v>az66u2</v>
    <v>268435456</v>
    <v>1</v>
    <v>Powered by Refinitiv</v>
    <v>0</v>
    <v>ASTER DM HEALTHCARE LIMITED (XNSE:ASTERDM)</v>
    <v>2</v>
    <v>3</v>
    <v>Finance</v>
    <v>4</v>
    <v>776.55</v>
    <v>519.1</v>
    <v>0.97319999999999995</v>
    <v>3.55</v>
    <v>4.8830000000000002E-3</v>
    <v>INR</v>
    <v>Aster DM Healthcare Limited is an India-based healthcare service provider. The Company is operating in India with a presence across primary, secondary, tertiary, and quaternary healthcare through approximately 19 hospitals with 5,159 beds, 10 clinics, 203 pharmacies (Operated by Alfaone Retail Pharmacies Private Limited under brand license from Aster), and 262 labs and patient experience centers across five states in India. Its center of excellence includes Cardiac Sciences, Neurosciences, Gastro Sciences, Orthopaedics, Multi-Organ Transplant. Its pharmacy offers operating 203 pharmacies across southern India, delivering quality pharmaceutical, nutritional, infant care, lifestyle, and wellness products to communities and expanding healthcare access. Its labs deliver diagnostic services covering Biochemistry, Microbiology, Hematology, Clinical Pathology, Histopathology and Cytogenetics.</v>
    <v>15291</v>
    <v>National Stock Exchange of India</v>
    <v>XNSE</v>
    <v>XNSE</v>
    <v>Awfis, 2nd Floor, Renaissance Centra, 27 &amp; 27/1, Mission Road, Sampangi Rama Nagar, BANGALORE, KARNATAKA, 560027 IN</v>
    <v>736</v>
    <v>Healthcare Providers &amp; Services</v>
    <v>Stock</v>
    <v>46176.466840277775</v>
    <v>619</v>
    <v>723.85</v>
    <v>313382100000</v>
    <v>ASTER DM HEALTHCARE LIMITED</v>
    <v>ASTER DM HEALTHCARE LIMITED</v>
    <v>726.95</v>
    <v>96.88</v>
    <v>726.95</v>
    <v>730.5</v>
    <v>516918500</v>
    <v>ASTERDM</v>
    <v>ASTER DM HEALTHCARE LIMITED (XNSE:ASTERDM)</v>
    <v>556755</v>
    <v>424780</v>
    <v>2008</v>
  </rv>
  <rv s="2">
    <v>620</v>
  </rv>
  <rv s="0">
    <v>https://www.bing.com/financeapi/forcetrigger?t=ahj8jc&amp;q=XNSE%3aNRBBEARING&amp;form=skydnc</v>
    <v>Learn more on Bing</v>
  </rv>
  <rv s="1">
    <v>en-IN</v>
    <v>ahj8jc</v>
    <v>268435456</v>
    <v>1</v>
    <v>Powered by Refinitiv</v>
    <v>0</v>
    <v>NRB BEARINGS LIMITED (XNSE:NRBBEARING)</v>
    <v>2</v>
    <v>3</v>
    <v>Finance</v>
    <v>4</v>
    <v>390</v>
    <v>212.55</v>
    <v>1.1539999999999999</v>
    <v>0.9</v>
    <v>2.5249999999999999E-3</v>
    <v>INR</v>
    <v>NRB Bearings Limited is an India-based company, which is engaged in the ball and roller bearings business. The Company's products/services include needle roller bushes and cages, ball and roller bearings, and automobile components. It also manufactures ball bearings, taper roller bearings and all types of thrust bearings. The Company offers a wide range of friction solutions to the automotive sector and mobility sector and produces needle bearings and cylindrical roller bearings. The Company serves the mobility sector, which has Indian original equipment manufacturers (OEMs) and tier I customers. Its product range includes drawn cup needle bearings, polyamide and steel needle bearing cages, full-complement needle bearings, formed strip cages for heavy gearboxes, cylindrical roller bearings, drawn cup cylindrical roller bearings, special ball bearings, tapered and spherical roller bearings, planetary shafts and other special pins, crank pins, thrust bearings, and rocker-arm bearing.</v>
    <v>1316</v>
    <v>National Stock Exchange of India</v>
    <v>XNSE</v>
    <v>XNSE</v>
    <v>DHANNUR 15 SIR P M ROAD, FORT, MAHARASHTRA, 400001 IN</v>
    <v>361.2</v>
    <v>Machinery, Equipment &amp; Components</v>
    <v>Stock</v>
    <v>46176.466851851852</v>
    <v>622</v>
    <v>349.45</v>
    <v>24700720000</v>
    <v>NRB BEARINGS LIMITED</v>
    <v>NRB BEARINGS LIMITED</v>
    <v>354.55</v>
    <v>24.28</v>
    <v>356.45</v>
    <v>357.35</v>
    <v>96922600</v>
    <v>NRBBEARING</v>
    <v>NRB BEARINGS LIMITED (XNSE:NRBBEARING)</v>
    <v>267676</v>
    <v>573120</v>
    <v>1965</v>
  </rv>
  <rv s="2">
    <v>623</v>
  </rv>
  <rv s="0">
    <v>https://www.bing.com/financeapi/forcetrigger?t=c5olz2&amp;q=XNSE%3aSHAILY&amp;form=skydnc</v>
    <v>Learn more on Bing</v>
  </rv>
  <rv s="1">
    <v>en-IN</v>
    <v>c5olz2</v>
    <v>268435456</v>
    <v>1</v>
    <v>Powered by Refinitiv</v>
    <v>0</v>
    <v>SHAILY ENGINEERING PLASTICS LIMITED (XNSE:SHAILY)</v>
    <v>2</v>
    <v>3</v>
    <v>Finance</v>
    <v>4</v>
    <v>3198</v>
    <v>1535.9</v>
    <v>0.38290000000000002</v>
    <v>32.700000000000003</v>
    <v>1.0764000000000001E-2</v>
    <v>INR</v>
    <v>Shaily Engineering Plastics Limited is an exporter of engineering plastics components. The Company is engaged in the manufacture and sale of customized components made up of plastic and other materials. It manufactures value-added products from engineering plastics that find application in sectors such as consumer-home furnishings, medical devices, fast-moving consumer goods (FMCG), pharma packaging, automotive, consumer electronics, and others. Its diversified business platform includes Healthcare, Consumer, and Industrial. Its healthcare division has developed a portfolio of medical and drug delivery injectable devices, including pen injectors, auto-injectors, wearable injectors, and other specialty devices. Its consumer division consists of home furnishings, FMCG packaging, light-emitting diode lights, toys and carbon-steel furniture segments. Its industrial division comprises automotive components, appliances and high-performance engineering components.</v>
    <v>839</v>
    <v>National Stock Exchange of India</v>
    <v>XNSE</v>
    <v>XNSE</v>
    <v>SURVEY NO. 364/366 AT &amp; PO. RANIA, TALUKA SAVLI, VADODARA, GUJARAT, 391780 IN</v>
    <v>3186.9</v>
    <v>Chemicals</v>
    <v>Stock</v>
    <v>46176.466851851852</v>
    <v>625</v>
    <v>3007.4</v>
    <v>99768510000</v>
    <v>SHAILY ENGINEERING PLASTICS LIMITED</v>
    <v>SHAILY ENGINEERING PLASTICS LIMITED</v>
    <v>3023</v>
    <v>83.06</v>
    <v>3038</v>
    <v>3070.7</v>
    <v>45995250</v>
    <v>SHAILY</v>
    <v>SHAILY ENGINEERING PLASTICS LIMITED (XNSE:SHAILY)</v>
    <v>224422</v>
    <v>424730</v>
    <v>1980</v>
  </rv>
  <rv s="2">
    <v>626</v>
  </rv>
  <rv s="3">
    <v>en-IN</v>
    <v>c8zrar</v>
    <v>268435456</v>
    <v>1</v>
    <v>Powered by Refinitiv</v>
    <v>5</v>
    <v>PONDY OXIDES AND CHEMICALS LIMITED (XNSE:POCL)</v>
    <v>6</v>
    <v>3</v>
    <v>Finance</v>
    <v>4</v>
    <v>1619</v>
    <v>689</v>
    <v>1.9379999999999999</v>
    <v>-21.5</v>
    <v>-1.6076E-2</v>
    <v>INR</v>
    <v>Pondy Oxides and Chemicals Limited is an India-based recycler of non-ferrous metals and manufacturer of lead and lead alloys. The principal activities of the Company are converting lead scraps of various forms into lead metal and alloys. It carries out smelting of lead battery scrap to produce secondary lead metal which is further transformed into pure lead and specific lead alloys. The Company's segment includes Lead and Copper. Its products include lead, aluminum, copper, plastics, and trading. Its lead products include pure lead, lead calcium alloys, lead tin alloys, lead antimony alloys, lead master alloys, and specialty alloys. Its copper products include Clove, Cobra, Mill Berry, Grease Berry, Tin Berry. Its plastics products include Polypropylene Copolymer Plastic (PPCP), Acrylonitrile Butadiene Styrene (ABS), High-Density Polyethylene (HDPE), Low-Density Polyethylene (LDPE), Polycarbonate (PC), Polypropylene Homopolymer Plastic (PPHP), and Nylon 6, 66.</v>
    <v>468</v>
    <v>National Stock Exchange of India</v>
    <v>XNSE</v>
    <v>XNSE</v>
    <v>4 th Floor, KRM Centre, No: 2, Harrington Road, Chetpet, CHENNAI, TAMIL NADU, 600031 IN</v>
    <v>1365</v>
    <v>Metals &amp; Mining</v>
    <v>Stock</v>
    <v>46176.466863425929</v>
    <v>1294.8</v>
    <v>42285580000</v>
    <v>PONDY OXIDES AND CHEMICALS LIMITED</v>
    <v>PONDY OXIDES AND CHEMICALS LIMITED</v>
    <v>1345</v>
    <v>29.92</v>
    <v>1337.4</v>
    <v>1315.9</v>
    <v>30511280</v>
    <v>POCL</v>
    <v>PONDY OXIDES AND CHEMICALS LIMITED (XNSE:POCL)</v>
    <v>350847</v>
    <v>607210</v>
    <v>1995</v>
  </rv>
  <rv s="2">
    <v>628</v>
  </rv>
  <rv s="0">
    <v>https://www.bing.com/financeapi/forcetrigger?t=ahjwur&amp;q=XNSE%3aSHILPAMED&amp;form=skydnc</v>
    <v>Learn more on Bing</v>
  </rv>
  <rv s="1">
    <v>en-IN</v>
    <v>ahjwur</v>
    <v>268435456</v>
    <v>1</v>
    <v>Powered by Refinitiv</v>
    <v>0</v>
    <v>SHILPA MEDICARE LIMITED (XNSE:SHILPAMED)</v>
    <v>2</v>
    <v>3</v>
    <v>Finance</v>
    <v>4</v>
    <v>529.79999999999995</v>
    <v>259.5</v>
    <v>0.43809999999999999</v>
    <v>-1.95</v>
    <v>-3.7690000000000002E-3</v>
    <v>INR</v>
    <v>Shilpa Medicare Limited is an India-based pharmaceutical company. The Company is engaged in the manufacturing of active pharmaceutical ingredients (APIs), formulation and development service. It is engaged in APIs, intermediates, formulations, new drug delivery systems, peptides / biotech products and specialty chemicals, and others. The Company supplies more than 30 oncology APIs including key products such as Capecitabine, Gemcitabine Hydrochloride, Pemetrexed, Axitinib, Erlotinib Hydrochloride and Irinotecan Hydrochloride for various international markets including United States of America, Europe, Japan, South Korea, Russia, Mexico, Brazil, and other emerging markets. Its non-Oncology API products include Ambroxol (Mucolytic agent), Tranexmic Acid and Ursodeoxycholic Acid. Its Injectable Dosage Forms include Myelodysplastic Syndrome, Breast Cancer, Multiple Myeloma, and more. Its Oral Solid Dosage Forms include Psoriasis, Prostate Cancer, Multiple Sclerosis, and others.</v>
    <v>898</v>
    <v>National Stock Exchange of India</v>
    <v>XNSE</v>
    <v>XNSE</v>
    <v>#12-6-214/A1, Hyderabad Road,, RAICHUR, KARNATAKA, 584135 IN</v>
    <v>525</v>
    <v>Pharmaceuticals</v>
    <v>Stock</v>
    <v>46176.466874999998</v>
    <v>630</v>
    <v>502.4</v>
    <v>57677080000</v>
    <v>SHILPA MEDICARE LIMITED</v>
    <v>SHILPA MEDICARE LIMITED</v>
    <v>521</v>
    <v>41.17</v>
    <v>517.35</v>
    <v>515.4</v>
    <v>195581800</v>
    <v>SHILPAMED</v>
    <v>SHILPA MEDICARE LIMITED (XNSE:SHILPAMED)</v>
    <v>1776974</v>
    <v>1865570</v>
    <v>1987</v>
  </rv>
  <rv s="2">
    <v>631</v>
  </rv>
  <rv s="0">
    <v>https://www.bing.com/financeapi/forcetrigger?t=ahj852&amp;q=XNSE%3aNMDC&amp;form=skydnc</v>
    <v>Learn more on Bing</v>
  </rv>
  <rv s="1">
    <v>en-IN</v>
    <v>ahj852</v>
    <v>268435456</v>
    <v>1</v>
    <v>Powered by Refinitiv</v>
    <v>0</v>
    <v>NMDC LIMITED (XNSE:NMDC)</v>
    <v>2</v>
    <v>3</v>
    <v>Finance</v>
    <v>4</v>
    <v>97.49</v>
    <v>66.8</v>
    <v>0.78490000000000004</v>
    <v>0.73</v>
    <v>7.659E-3</v>
    <v>INR</v>
    <v>NMDC Limited is an India-based producer of iron ore. It owns and operates highly mechanized iron ore mines in the state of Chhattisgarh and Karnataka. It also operates the mechanized diamond mine in India at Panna, Madhya Pradesh. It offers a diverse range of iron ore products, each tailored to meet specific industrial requirements. It produces rough diamonds that cater to the gem and jewelry industry. Its segments include Iron Ore, and Pellet, Other Minerals &amp; Services. Its products include Baila ROM, Baila Lump, DR CLO, 10-20 mm Baila, Baila Fine, Doni Lump, Kumaraswamy Lump, Kumaraswamy Lump Ore, Doni Fines, Kumaraswamy Fine, Iron Ore Pellets, and Rough Diamonds. The Company, through its subsidiary, Legacy Iron Ore Limited, carries out exploration in its 21 exploration tenements in Western Australia in iron ore, gold, tungsten and base metals. Its projects include Bailadila Iron Ore Mine, Kirandul Complex (BIOM, KC); Bailadila Iron Ore Mine, Bacheli Complex (BIOM, BC) and others.</v>
    <v>5677</v>
    <v>National Stock Exchange of India</v>
    <v>XNSE</v>
    <v>XNSE</v>
    <v>KHANIJ BHAVAN 10-3-311/A CASTLE HILLS,MASAB TANK, TELANGANA, 500028 IN</v>
    <v>97.49</v>
    <v>Metals &amp; Mining</v>
    <v>Stock</v>
    <v>46176.466863425929</v>
    <v>633</v>
    <v>95.07</v>
    <v>721984100000</v>
    <v>NMDC LIMITED</v>
    <v>NMDC LIMITED</v>
    <v>96.1</v>
    <v>11.32</v>
    <v>95.31</v>
    <v>96.04</v>
    <v>8791817000</v>
    <v>NMDC</v>
    <v>NMDC LIMITED (XNSE:NMDC)</v>
    <v>48441070</v>
    <v>34309190</v>
    <v>1958</v>
  </rv>
  <rv s="2">
    <v>634</v>
  </rv>
  <rv s="0">
    <v>https://www.bing.com/financeapi/forcetrigger?t=c53jr7&amp;q=XNSE%3aGRWRHITECH&amp;form=skydnc</v>
    <v>Learn more on Bing</v>
  </rv>
  <rv s="1">
    <v>en-IN</v>
    <v>c53jr7</v>
    <v>268435456</v>
    <v>1</v>
    <v>Powered by Refinitiv</v>
    <v>0</v>
    <v>GARWARE HI-TECH FILMS LIMITED (XNSE:GRWRHITECH)</v>
    <v>2</v>
    <v>3</v>
    <v>Finance</v>
    <v>4</v>
    <v>6166</v>
    <v>2681</v>
    <v>1.1228</v>
    <v>-181</v>
    <v>-3.0706999999999998E-2</v>
    <v>INR</v>
    <v>Garware Hi-Tech Films Limited is an India-based manufacturer of specialized solar control films &amp; paint protection films for the automotive segment, sun control films for architectural applications, and high-end biaxially-oriented polyethylene terephthalate (BOPET) films for industrial applications. The Company offers a wide range of products with diverse end applications, including Solar Control and Paint Protection Films for automotive applications, BOPET Films, Thermal Lamination Films, Low-Oligomer Films, and high shrink films, and others. Its Paint Protection Films are used in automobiles and a variety of other specialty polyester films, such as PET Shrink films used for Label applications, Low Oligomer PET films used for insulation of hermetically sealed compressor motors, electric motor insulation and cable insulation, sequin application films, TV and LCD screen application, Packaging applications, and others.</v>
    <v>947</v>
    <v>National Stock Exchange of India</v>
    <v>XNSE</v>
    <v>XNSE</v>
    <v>NAIGAON, POST WALUJ, MAHARASHTRA, 431133 IN</v>
    <v>5949.5</v>
    <v>Chemicals</v>
    <v>Stock</v>
    <v>46176.466851851852</v>
    <v>636</v>
    <v>5480</v>
    <v>69866780000</v>
    <v>GARWARE HI-TECH FILMS LIMITED</v>
    <v>GARWARE HI-TECH FILMS LIMITED</v>
    <v>5894.5</v>
    <v>39.24</v>
    <v>5894.5</v>
    <v>5713.5</v>
    <v>23232390</v>
    <v>GRWRHITECH</v>
    <v>GARWARE HI-TECH FILMS LIMITED (XNSE:GRWRHITECH)</v>
    <v>102102</v>
    <v>122110</v>
    <v>1957</v>
  </rv>
  <rv s="2">
    <v>637</v>
  </rv>
  <rv s="0">
    <v>https://www.bing.com/financeapi/forcetrigger?t=ahhdmw&amp;q=XNSE%3aCGPOWER&amp;form=skydnc</v>
    <v>Learn more on Bing</v>
  </rv>
  <rv s="1">
    <v>en-IN</v>
    <v>ahhdmw</v>
    <v>268435456</v>
    <v>1</v>
    <v>Powered by Refinitiv</v>
    <v>0</v>
    <v>CG POWER AND INDUSTRIAL SOLUTIONS LIMITED (XNSE:CGPOWER)</v>
    <v>2</v>
    <v>3</v>
    <v>Finance</v>
    <v>4</v>
    <v>944.1</v>
    <v>525.5</v>
    <v>1.1762999999999999</v>
    <v>-1.05</v>
    <v>-1.157E-3</v>
    <v>INR</v>
    <v>CG Power and Industrial Solutions Limited is an India-based company, which is engaged in providing end-to-end solutions to utilities, industries and consumers for the management and application of electrical energy. The Company’s segments include Power Systems and Industrial Systems. Power Business focuses on power transmission, distribution, power solutions, and setting up of integrated power systems. It manufactures power and distribution transformers, extra high voltage (EHV) and medium voltage circuit breakers, switchgears, EHV instrument transformers, lightning arrestors, and isolators. It offers turnkey solutions for transmission and distribution. Industrial Business is engaged in the business of power conversion equipment which includes a wide spectrum of Medium and Low Voltage Rotating Machines (Motors, Generators, Alternators), Drives and Stampings. Railways business supplies traction machines and systems, propulsion systems and signaling and coach products to Indian Railways.</v>
    <v>3408</v>
    <v>National Stock Exchange of India</v>
    <v>XNSE</v>
    <v>XNSE</v>
    <v>6TH FLOOR, CG HOUSE, A B ROAD, WORLI, MAHARASHTRA, 400030 IN</v>
    <v>914.6</v>
    <v>Machinery, Equipment &amp; Components</v>
    <v>Stock</v>
    <v>46176.466840277775</v>
    <v>639</v>
    <v>890.45</v>
    <v>915948800000</v>
    <v>CG POWER AND INDUSTRIAL SOLUTIONS LIMITED</v>
    <v>CG POWER AND INDUSTRIAL SOLUTIONS LIMITED</v>
    <v>912.95</v>
    <v>117.78</v>
    <v>907.7</v>
    <v>906.65</v>
    <v>1574958000</v>
    <v>CGPOWER</v>
    <v>CG POWER AND INDUSTRIAL SOLUTIONS LIMITED (XNSE:CGPOWER)</v>
    <v>3685445</v>
    <v>4240570</v>
    <v>1937</v>
  </rv>
  <rv s="2">
    <v>640</v>
  </rv>
  <rv s="0">
    <v>https://www.bing.com/financeapi/forcetrigger?t=c42na2&amp;q=XNSE%3aNYKAA&amp;form=skydnc</v>
    <v>Learn more on Bing</v>
  </rv>
  <rv s="1">
    <v>en-IN</v>
    <v>c42na2</v>
    <v>268435456</v>
    <v>1</v>
    <v>Powered by Refinitiv</v>
    <v>0</v>
    <v>FSN E-COMMERCE VENTURES LIMITED (XNSE:NYKAA)</v>
    <v>2</v>
    <v>3</v>
    <v>Finance</v>
    <v>4</v>
    <v>285.60000000000002</v>
    <v>191.16</v>
    <v>1.3062</v>
    <v>-0.15</v>
    <v>-5.5650000000000003E-4</v>
    <v>INR</v>
    <v>FSN E-Commerce Ventures Limited is a consumer technology platform company. It is engaged in the business of manufacturing, selling and distribution of beauty, wellness, fitness, personal care, health care, skin care, hair care products on online platforms or Websites, such as e-commerce, m-commerce, websites, and intranet, as well as through retail outlets, general trade and modern trade. Its segments include Beauty, Fashion, and Others. Beauty segment includes the online beauty platform, beauty-owned brands, physical retail stores, the electronic business-to-business distribution business and Nykaa Man BPC business. Fashion segment includes Nykaa Fashion, Fashion retail, fashion owned brands, LBB (content platform) and Nykaa Man lifestyle business. Others segment includes groups international beauty business. Its business verticals include Nykaa Beauty, Nykaa Fashion and Nykaa Others. Nykaa Beauty includes beauty and personal care. Nykaa Fashion is engaged in apparel and accessories.</v>
    <v>3735</v>
    <v>National Stock Exchange of India</v>
    <v>XNSE</v>
    <v>XNSE</v>
    <v>104 VASAN UDYOG BHAVAN SUN MILL COMPOUND, TULSI PIPE ROAD, LOWER PAREL MUMBAI, MAHARASHTRA, 400013 IN</v>
    <v>270.39999999999998</v>
    <v>Diversified Retail</v>
    <v>Stock</v>
    <v>46176.466851851852</v>
    <v>642</v>
    <v>263.89999999999998</v>
    <v>728798600000</v>
    <v>FSN E-COMMERCE VENTURES LIMITED</v>
    <v>FSN E-COMMERCE VENTURES LIMITED</v>
    <v>268.85000000000002</v>
    <v>390.43</v>
    <v>269.55</v>
    <v>269.39999999999998</v>
    <v>2863508000</v>
    <v>NYKAA</v>
    <v>FSN E-COMMERCE VENTURES LIMITED (XNSE:NYKAA)</v>
    <v>4025633</v>
    <v>9460310</v>
    <v>2012</v>
  </rv>
  <rv s="2">
    <v>643</v>
  </rv>
  <rv s="0">
    <v>https://www.bing.com/financeapi/forcetrigger?t=ahgzqh&amp;q=XNSE%3aASTRAMICRO&amp;form=skydnc</v>
    <v>Learn more on Bing</v>
  </rv>
  <rv s="1">
    <v>en-IN</v>
    <v>ahgzqh</v>
    <v>268435456</v>
    <v>1</v>
    <v>Powered by Refinitiv</v>
    <v>0</v>
    <v>ASTRA MICROWAVE PRODUCTS LIMITED (XNSE:ASTRAMICRO)</v>
    <v>2</v>
    <v>3</v>
    <v>Finance</v>
    <v>4</v>
    <v>1433</v>
    <v>851</v>
    <v>1.6529</v>
    <v>-0.1</v>
    <v>-7.5539999999999998E-5</v>
    <v>INR</v>
    <v>Astra Microwave Products Limited is engaged in the business of designing, developing, and manufacturing and supplying value-added radio frequency and microwave super components, sub-systems and systems. Its products include AESA AAAU: AAAU for Uttam Radar, PPTR: Pulsed Phased Array Tracking Radar, PATM-II: Phased Array Auto Track telemetry (PATM) Antenna System, Drishti d4 Radar, DWR: X, C-Band Doppler Weather Radar Systems, and SRES: Radiation Mode Test &amp; Evaluation facility for Radar EW Systems. The Company provides cutting-edge technological solutions for defense, space, meteorology, homeland security, systems integration, antenna technology, global navigation satellite systems, and unmanned ground vehicles. Its outdoor antenna test range offers a realistic testing environment for antennas. Its subsidiaries include Bhavyabhanu Electronics Private Limited, Aelius Semiconductors Pte. Ltd., Astra Foundation, and Astra Space Technologies Private Limited.</v>
    <v>1491</v>
    <v>National Stock Exchange of India</v>
    <v>XNSE</v>
    <v>XNSE</v>
    <v>ASTRA TOWERS, SURVEY NO.: 12(PART), OPP. CII GREEN BUILDING,, HITECH CITY,, KONDAPUR,, TELANGANA, 500038 IN</v>
    <v>1352.7</v>
    <v>Electronic Equipment &amp; Parts</v>
    <v>Stock</v>
    <v>46176.466863425929</v>
    <v>645</v>
    <v>1296.3</v>
    <v>93630020000</v>
    <v>ASTRA MICROWAVE PRODUCTS LIMITED</v>
    <v>ASTRA MICROWAVE PRODUCTS LIMITED</v>
    <v>1315</v>
    <v>65.14</v>
    <v>1323.8</v>
    <v>1323.7</v>
    <v>94945010</v>
    <v>ASTRAMICRO</v>
    <v>ASTRA MICROWAVE PRODUCTS LIMITED (XNSE:ASTRAMICRO)</v>
    <v>511436</v>
    <v>2352260</v>
    <v>1991</v>
  </rv>
  <rv s="2">
    <v>646</v>
  </rv>
  <rv s="0">
    <v>https://www.bing.com/financeapi/forcetrigger?t=c1bvcw&amp;q=XNSE%3aANURAS&amp;form=skydnc</v>
    <v>Learn more on Bing</v>
  </rv>
  <rv s="1">
    <v>en-IN</v>
    <v>c1bvcw</v>
    <v>268435456</v>
    <v>1</v>
    <v>Powered by Refinitiv</v>
    <v>0</v>
    <v>ANUPAM RASAYAN INDIA LIMITED (XNSE:ANURAS)</v>
    <v>2</v>
    <v>3</v>
    <v>Finance</v>
    <v>4</v>
    <v>1415</v>
    <v>991.3</v>
    <v>1.1577999999999999</v>
    <v>2.2999999999999998</v>
    <v>1.7360000000000001E-3</v>
    <v>INR</v>
    <v>Anupam Rasayan India Ltd. is an India-based company, which is engaged in the custom synthesis (CSM) and manufacturing of specialty chemicals. The Company's segments include Life Science related Specialty Chemicals and Other Specialty Chemicals. The Life Science related Specialty Chemicals segment includes agrochemicals (including crop protection), personal care, and pharmaceuticals businesses. Its agrochemicals business includes manufacturing agro intermediates and active ingredients, such as insecticides, fungicides, herbicides and plant growth regulators. Its personal care business manufactures antibacterial and ultraviolet protection intermediates. Its pharmaceuticals business develops intermediates and key starting materials for active pharmaceutical ingredients used in therapeutic segments, including cardiovascular and antidiabetic. The Other Specialty Chemicals segment includes specialty pigments, specialty dyes, and polymer additives. It caters to Indian and global customers.</v>
    <v>2606</v>
    <v>National Stock Exchange of India</v>
    <v>XNSE</v>
    <v>XNSE</v>
    <v>1101 TO1107, 11TH FLOOR, ICON RIO,B/H ICON BUSINESS CENTRE, DUMAS ROAD, PIPLOD, GUJARAT, 395007 IN</v>
    <v>1337</v>
    <v>Chemicals</v>
    <v>Stock</v>
    <v>46176.466840277775</v>
    <v>648</v>
    <v>1298.3</v>
    <v>152294900000</v>
    <v>ANUPAM RASAYAN INDIA LIMITED</v>
    <v>ANUPAM RASAYAN INDIA LIMITED</v>
    <v>1324.9</v>
    <v>87.95</v>
    <v>1324.9</v>
    <v>1327.2</v>
    <v>113848300</v>
    <v>ANURAS</v>
    <v>ANUPAM RASAYAN INDIA LIMITED (XNSE:ANURAS)</v>
    <v>275959</v>
    <v>362550</v>
    <v>2003</v>
  </rv>
  <rv s="2">
    <v>649</v>
  </rv>
  <rv s="0">
    <v>https://www.bing.com/financeapi/forcetrigger?t=ahi7dm&amp;q=XNSE%3aHSCL&amp;form=skydnc</v>
    <v>Learn more on Bing</v>
  </rv>
  <rv s="1">
    <v>en-IN</v>
    <v>ahi7dm</v>
    <v>268435456</v>
    <v>1</v>
    <v>Powered by Refinitiv</v>
    <v>0</v>
    <v>HIMADRI SPECIALITY CHEMICAL LIMITED (XNSE:HSCL)</v>
    <v>2</v>
    <v>3</v>
    <v>Finance</v>
    <v>4</v>
    <v>654.45000000000005</v>
    <v>418.5</v>
    <v>1.7272000000000001</v>
    <v>-5.05</v>
    <v>-8.317999999999999E-3</v>
    <v>INR</v>
    <v>Himadri Speciality Chemical Limited is an India-based global specialty chemical company with a focus on research and development (R&amp;D) and sustainability. The Company develops raw materials of lithium-ion battery value chain. It is primarily engaged in the manufacturing of carbon materials and chemicals. Its segments include Carbon materials and chemicals, and Power. Its diverse product portfolio includes specialty carbon black, coal tar pitch, refined naphthalene, advance materials, sulphonated naphthalene formaldehyde (SNF), specialty oils, power and others catering to various industries such as lithium-ion batteries, paints, plastics, tires, aluminum, graphite electrodes, agrochemicals, defense and construction chemicals. Its product offerings include anode materials, silicon-based anode materials, cathode materials, graphene, hybrid polycarboxylate ether, and COLORX. It operates in both domestic and international markets, exporting to approximately 54 countries across the globe.</v>
    <v>1161</v>
    <v>National Stock Exchange of India</v>
    <v>XNSE</v>
    <v>XNSE</v>
    <v>Ruby House, 8, India Exchange Place, 2nd Floor, KOLKATA, WEST BENGAL, 700001 IN</v>
    <v>614.70000000000005</v>
    <v>Chemicals</v>
    <v>Stock</v>
    <v>46176.466863425929</v>
    <v>651</v>
    <v>580.9</v>
    <v>239116800000</v>
    <v>HIMADRI SPECIALITY CHEMICAL LIMITED</v>
    <v>HIMADRI SPECIALITY CHEMICAL LIMITED</v>
    <v>609</v>
    <v>39.93</v>
    <v>607.1</v>
    <v>602.04999999999995</v>
    <v>504541600</v>
    <v>HSCL</v>
    <v>HIMADRI SPECIALITY CHEMICAL LIMITED (XNSE:HSCL)</v>
    <v>11405271</v>
    <v>8717910</v>
    <v>1987</v>
  </rv>
  <rv s="2">
    <v>652</v>
  </rv>
  <rv s="0">
    <v>https://www.bing.com/financeapi/forcetrigger?t=ahh7zr&amp;q=XNSE%3aBIOCON&amp;form=skydnc</v>
    <v>Learn more on Bing</v>
  </rv>
  <rv s="1">
    <v>en-IN</v>
    <v>ahh7zr</v>
    <v>268435456</v>
    <v>1</v>
    <v>Powered by Refinitiv</v>
    <v>0</v>
    <v>BIOCON LIMITED (XNSE:BIOCON)</v>
    <v>2</v>
    <v>3</v>
    <v>Finance</v>
    <v>4</v>
    <v>440.4</v>
    <v>327.60000000000002</v>
    <v>0.74850000000000005</v>
    <v>-4.3499999999999996</v>
    <v>-1.0437E-2</v>
    <v>INR</v>
    <v>Biocon Limited is an India-based biopharmaceutical company, engaged in the manufacture of biotechnology products and research services. The Company is in the business of manufacturing active pharmaceutical ingredients (APIs) and formulations, including biosimilar drugs for diabetics, oncology and autoimmune diseases. The Company’s segment includes Generics, Biosimilars, Novel Biologics and Research Services. It focuses on three key therapeutic areas - Oncology, Diabetes, and Immunology. Its APIs portfolio includes cardiovascular, anti-diabetics, immunosuppressants, and specialty molecules. Its products include Tacrolimus, Rosuvastatin, Simvastatin, Atorvastatin, Pravastatin, Fingolimod and others. Its APIs manufacturing facilities with capabilities in microbial fermentation, downstream process, including chromatographic purification, chemical synthesis, peptide synthesis and Highly Potent APIs (HPAPIs). It has over five facilities in Bangalore, Hyderabad and Visakhapatnam in India.</v>
    <v>3442</v>
    <v>National Stock Exchange of India</v>
    <v>XNSE</v>
    <v>XNSE</v>
    <v>20TH KM HOSUR ROAD ELECTRONIC CITY, KARNATAKA, 560100 IN</v>
    <v>417.35</v>
    <v>Biotechnology &amp; Medical Research</v>
    <v>Stock</v>
    <v>46176.466863425929</v>
    <v>654</v>
    <v>411.15</v>
    <v>568465400000</v>
    <v>BIOCON LIMITED</v>
    <v>BIOCON LIMITED</v>
    <v>415</v>
    <v>147.83000000000001</v>
    <v>416.8</v>
    <v>412.45</v>
    <v>1619507000</v>
    <v>BIOCON</v>
    <v>BIOCON LIMITED (XNSE:BIOCON)</v>
    <v>2368146</v>
    <v>4088980</v>
    <v>1978</v>
  </rv>
  <rv s="2">
    <v>655</v>
  </rv>
  <rv s="0">
    <v>https://www.bing.com/financeapi/forcetrigger?t=ahhk6h&amp;q=XNSE%3aDIAPOWER&amp;form=skydnc</v>
    <v>Learn more on Bing</v>
  </rv>
  <rv s="1">
    <v>en-IN</v>
    <v>ahhk6h</v>
    <v>268435456</v>
    <v>1</v>
    <v>Powered by Refinitiv</v>
    <v>0</v>
    <v>DIAMOND POWER INFRASTRUCTURE LIMITED (XNSE:DIACABS)</v>
    <v>2</v>
    <v>3</v>
    <v>Finance</v>
    <v>4</v>
    <v>211.2</v>
    <v>97.7</v>
    <v>1.6374</v>
    <v>-5.97</v>
    <v>-3.0670000000000003E-2</v>
    <v>INR</v>
    <v>Diamond Power Infrastructure Limited is an integrated manufacturer of power transmission equipment. The Company is engaged in the manufacturing and sale of conductors, cables, and transmission towers. The Company operates in the Transmission and Distribution of Power (T&amp;D) related business segment. It designs and manufactures a range of power transmission equipment that includes conductors, power cables (HV, LV, and UHV), and transmission towers. The Company’s product portfolio includes power and control cables, MV and EHV cables, conductors, and transmission towers. Its conductor products include EC Grade Aluminum Wire Rods, Aluminum Alloy Wire Rods, All Aluminum Conductors (AAC), All Aluminum Alloy Conductors (AAAC), Aluminum Conductor Steel Reinforced (ACSR), Aluminum Alloy Conductor Steel Reinforced (AACSR), Aluminum Conductor Alloy Reinforced (ACAR), Stay Wire / Galvanized Steel Earth Wire, and others. Its subsidiary is Diamond Power Global Holdings Limited.</v>
    <v>150</v>
    <v>National Stock Exchange of India</v>
    <v>XNSE</v>
    <v>XNSE</v>
    <v>A2 - 12th Floor, "Palladium",, Near Orchid Wood, Opp, Divy Bhaskar, Corporate Road,Makarba, AHMEDABAD, GUJARAT, 380051 IN</v>
    <v>193.8</v>
    <v>Machinery, Equipment &amp; Components</v>
    <v>Stock</v>
    <v>46176.466874999998</v>
    <v>657</v>
    <v>187.11</v>
    <v>69317770000</v>
    <v>DIAMOND POWER INFRASTRUCTURE LIMITED</v>
    <v>DIAMOND POWER INFRASTRUCTURE LIMITED</v>
    <v>193.8</v>
    <v>62.89</v>
    <v>194.65</v>
    <v>188.68</v>
    <v>526971100</v>
    <v>DIACABS</v>
    <v>DIAMOND POWER INFRASTRUCTURE LIMITED (XNSE:DIACABS)</v>
    <v>2369180</v>
    <v>7858400</v>
    <v>1992</v>
  </rv>
  <rv s="2">
    <v>658</v>
  </rv>
  <rv s="0">
    <v>https://www.bing.com/financeapi/forcetrigger?t=ahgr3m&amp;q=XNSE%3aADANIENT&amp;form=skydnc</v>
    <v>Learn more on Bing</v>
  </rv>
  <rv s="1">
    <v>en-IN</v>
    <v>ahgr3m</v>
    <v>268435456</v>
    <v>1</v>
    <v>Powered by Refinitiv</v>
    <v>0</v>
    <v>ADANI ENTERPRISES LIMITED (XNSE:ADANIENT)</v>
    <v>2</v>
    <v>3</v>
    <v>Finance</v>
    <v>4</v>
    <v>3027.5</v>
    <v>1753</v>
    <v>1.3903000000000001</v>
    <v>-42.5</v>
    <v>-1.4319E-2</v>
    <v>INR</v>
    <v>Adani Enterprises Limited is an India-based integrated infrastructure company that operates with various businesses spanning across integrated resource management, mining services and commercial mining, new energy ecosystem, data center, airports, roads, copper, digital, food Fast-Moving Consumer Goods (FMCG) and others. Its segments include integrated resources management, mining services, commercial mining, new energy ecosystem, airport, road, and others. The Integrated Resources Management provides end-to-end procurement and logistics services. The Mining segment includes mining service contracts for nine coal blocks with a capacity of approximately 100 plus millinewton (Mn) metric tons per annum. The Airport segment is engaged in the construction, operations, and maintenance of airports. The New Energy Ecosystem provides cell and module manufacturing. The Road segment is engaged in the construction, operations, and maintenance of road assets. It also operates in duty free business.</v>
    <v>10482</v>
    <v>National Stock Exchange of India</v>
    <v>XNSE</v>
    <v>XNSE</v>
    <v>Adani House, Shrimali Society, Nr. Mithakhali Circle, Navrangpura, AHMEDABAD, GUJARAT, 380009 IN</v>
    <v>2965</v>
    <v>Diversified Industrial Goods Wholesale</v>
    <v>Stock</v>
    <v>46176.466840277775</v>
    <v>660</v>
    <v>2888.1</v>
    <v>2677113000000</v>
    <v>ADANI ENTERPRISES LIMITED</v>
    <v>ADANI ENTERPRISES LIMITED</v>
    <v>2960</v>
    <v>37.79</v>
    <v>2968.1</v>
    <v>2925.6</v>
    <v>1440195000</v>
    <v>ADANIENT</v>
    <v>ADANI ENTERPRISES LIMITED (XNSE:ADANIENT)</v>
    <v>1346112</v>
    <v>2783460</v>
    <v>1993</v>
  </rv>
  <rv s="2">
    <v>661</v>
  </rv>
  <rv s="0">
    <v>https://www.bing.com/financeapi/forcetrigger?t=bmzvec&amp;q=XNSE%3aGRSE&amp;form=skydnc</v>
    <v>Learn more on Bing</v>
  </rv>
  <rv s="1">
    <v>en-IN</v>
    <v>bmzvec</v>
    <v>268435456</v>
    <v>1</v>
    <v>Powered by Refinitiv</v>
    <v>0</v>
    <v>GARDEN REACH SHIPBUILDERS &amp; ENGINEERS LIMITED (XNSE:GRSE)</v>
    <v>2</v>
    <v>3</v>
    <v>Finance</v>
    <v>4</v>
    <v>3538.4</v>
    <v>1963.7</v>
    <v>2.0771000000000002</v>
    <v>-6.7</v>
    <v>-2.562E-3</v>
    <v>INR</v>
    <v>Garden Reach Shipbuilders &amp; Engineers Ltd. is an India-based warship building company. The Company is under the administrative control of the Ministry of Defense, primarily catering to the shipbuilding requirements of the Indian Navy and the Indian Coast Guard. The Company's divisions include ship division, engineering division and engine division. It has built over 800 platforms, including 114 warships for Indian Navy, Indian Coast Guard and Govt. of Mauritius and Govt. of Seychelles. It has designed and built warships, such as frigates, anti-submarine warfare corvettes, fleet tanker and landing ship tank (large), among others. Its engineering product includes prefabricated steel bridges of various ranges and types, and various deck machinery items such as anchor capstans, boat davits, and others. The Company is also engaged in engineering activities. It is involved in assembly/testing/overhauling of marine diesel engines and the manufacture of naval surface guns.</v>
    <v>1690</v>
    <v>National Stock Exchange of India</v>
    <v>XNSE</v>
    <v>XNSE</v>
    <v>GRSE Bhavan, 61, Garden Reach Road, KOLKATA, WEST BENGAL, 700024 IN</v>
    <v>2633.7</v>
    <v>Aerospace &amp; Defense</v>
    <v>Stock</v>
    <v>46176.466840277775</v>
    <v>663</v>
    <v>2575</v>
    <v>280583700000</v>
    <v>GARDEN REACH SHIPBUILDERS &amp; ENGINEERS LIMITED</v>
    <v>GARDEN REACH SHIPBUILDERS &amp; ENGINEERS LIMITED</v>
    <v>2614.9</v>
    <v>39.94</v>
    <v>2614.9</v>
    <v>2608.1999999999998</v>
    <v>114552000</v>
    <v>GRSE</v>
    <v>GARDEN REACH SHIPBUILDERS &amp; ENGINEERS LIMITED (XNSE:GRSE)</v>
    <v>528597</v>
    <v>928980</v>
    <v>1934</v>
  </rv>
  <rv s="2">
    <v>664</v>
  </rv>
  <rv s="0">
    <v>https://www.bing.com/financeapi/forcetrigger?t=ahiou2&amp;q=XNSE%3aKSCL&amp;form=skydnc</v>
    <v>Learn more on Bing</v>
  </rv>
  <rv s="1">
    <v>en-IN</v>
    <v>ahiou2</v>
    <v>268435456</v>
    <v>1</v>
    <v>Powered by Refinitiv</v>
    <v>0</v>
    <v>KAVERI SEED COMPANY LTD. (XNSE:KSCL)</v>
    <v>2</v>
    <v>3</v>
    <v>Finance</v>
    <v>4</v>
    <v>1493</v>
    <v>705.1</v>
    <v>0.60009999999999997</v>
    <v>1.3</v>
    <v>1.5170000000000001E-3</v>
    <v>INR</v>
    <v>Kaveri Seed Company Limited is an India-based agriculture company. The Company is engaged in the research, production, processing and marketing of various hybrid seeds. It is also engaged in the business of sale of seeds and micronutrients. Its product categories include field crops and vegetables. Its field crops include maize, paddy, cotton, sunflower, mustard, sorghum, pulses, bajra, and wheat. The Company's vegetables include tomatoes, okra, chilies, watermelon, gourds and brinjal. Its cotton products include ATM, Jadoo, Money maker, Jackpot, 3/1, KCH 4011, KCH-4021 and KCH-1603. The Company's maize products include Kaveri 50, KMH 2589 (Drona), Profit, God Father, KMH 5210, and KMH 1311 (Sultan). Its tomato products include KTH-354, KTH-355, and KTH-304. The Company's subsidiaries include Aditya Agri Tech Private Limited, Kaveri Microteck Private Limited, Genome Agritech Private Limited, Genomix Agri Genetics Private Limited and Kaveri Seed Company Bangladesh Private Limited.</v>
    <v>1466</v>
    <v>National Stock Exchange of India</v>
    <v>XNSE</v>
    <v>XNSE</v>
    <v>513B Vth Floor, Minerva Complex, Sarojini Devi, SECUNDERABAD, TELANGANA, 500003 IN</v>
    <v>863.55</v>
    <v>Food &amp; Tobacco</v>
    <v>Stock</v>
    <v>46176.466863425929</v>
    <v>666</v>
    <v>842.3</v>
    <v>45884960000</v>
    <v>KAVERI SEED COMPANY LTD.</v>
    <v>KAVERI SEED COMPANY LTD.</v>
    <v>855.45</v>
    <v>15.07</v>
    <v>856.8</v>
    <v>858.1</v>
    <v>51040870</v>
    <v>KSCL</v>
    <v>KAVERI SEED COMPANY LTD. (XNSE:KSCL)</v>
    <v>68663</v>
    <v>123500</v>
    <v>1986</v>
  </rv>
  <rv s="2">
    <v>667</v>
  </rv>
  <rv s="3">
    <v>en-IN</v>
    <v>c9it27</v>
    <v>268435456</v>
    <v>1</v>
    <v>Powered by Refinitiv</v>
    <v>5</v>
    <v>Avalon Technologies Ltd (XNSE:AVALON)</v>
    <v>6</v>
    <v>3</v>
    <v>Finance</v>
    <v>4</v>
    <v>1570.1</v>
    <v>777.3</v>
    <v>1.4159999999999999</v>
    <v>3.9</v>
    <v>2.5800000000000003E-3</v>
    <v>INR</v>
    <v>Avalon Technologies Limited is an India-based integrated electronic manufacturing services (EMS) company with end-to-end capabilities in delivering box build solutions. It offers a range of capabilities, including printed circuit board (PCB) design and assembly, cable and wire harness manufacturing, sheet metal fabrication, machining, injection molded plastics, and magnetics. The Company offers telecom and fifth generation (5G) solutions such as Remote Radio Heads (RRH), antennas, and Base Band Units (BBU), satellite systems including base station antenna systems, digital antennas and control panels, along with digital infrastructure solutions like fleet management, vehicle tracking, and vision systems. The Company caters to various industries, such as the clean energy sector, railway, automotive, communication, and aerospace. Its manufacturing facilities are located in Chennai and Bangalore, India and in Atlanta and Fremont, the United States.</v>
    <v>1142</v>
    <v>National Stock Exchange of India</v>
    <v>XNSE</v>
    <v>XNSE</v>
    <v>B-7 FIRST MAIN ROAD, MEPZ-SEZ, TAMBARAM, TAMIL NADU, 600045 IN</v>
    <v>1540</v>
    <v>Electronic Equipment &amp; Parts</v>
    <v>Stock</v>
    <v>46176.466863425929</v>
    <v>1489.9</v>
    <v>59435520000</v>
    <v>Avalon Technologies Ltd</v>
    <v>Avalon Technologies Ltd</v>
    <v>1512.1</v>
    <v>89.59</v>
    <v>1511.9</v>
    <v>1515.8</v>
    <v>66766160</v>
    <v>AVALON</v>
    <v>Avalon Technologies Ltd (XNSE:AVALON)</v>
    <v>223256</v>
    <v>938990</v>
    <v>1999</v>
  </rv>
  <rv s="2">
    <v>669</v>
  </rv>
  <rv s="0">
    <v>https://www.bing.com/financeapi/forcetrigger?t=ahherw&amp;q=XNSE%3aCOALINDIA&amp;form=skydnc</v>
    <v>Learn more on Bing</v>
  </rv>
  <rv s="1">
    <v>en-IN</v>
    <v>ahherw</v>
    <v>268435456</v>
    <v>1</v>
    <v>Powered by Refinitiv</v>
    <v>0</v>
    <v>COAL INDIA LTD (XNSE:COALINDIA)</v>
    <v>2</v>
    <v>3</v>
    <v>Finance</v>
    <v>4</v>
    <v>491.25</v>
    <v>368.65</v>
    <v>0.66200000000000003</v>
    <v>0.15</v>
    <v>3.1769999999999997E-4</v>
    <v>INR</v>
    <v>Coal India Limited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Its consumers include power and steel sectors, cement, fertilizers, brick kilns and others. The Company has approximately 21 training institutes and 76 vocational training centers.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BHAWAN,PREMISES NO-04-MAR, PLOT-AF-III ACTION AREA-1A, NEW TOWN RAJARHAT, WEST BENGAL, 700156 IN</v>
    <v>478.55</v>
    <v>Coal</v>
    <v>Stock</v>
    <v>46176.466886574075</v>
    <v>671</v>
    <v>466.2</v>
    <v>2643194000000</v>
    <v>COAL INDIA LTD</v>
    <v>COAL INDIA LTD</v>
    <v>471.9</v>
    <v>9.36</v>
    <v>472.15</v>
    <v>472.3</v>
    <v>6162729000</v>
    <v>COALINDIA</v>
    <v>COAL INDIA LTD (XNSE:COALINDIA)</v>
    <v>15291450</v>
    <v>34080500</v>
    <v>1973</v>
  </rv>
  <rv s="2">
    <v>672</v>
  </rv>
  <rv s="0">
    <v>https://www.bing.com/financeapi/forcetrigger?t=ahh27w&amp;q=XNSE%3aAVANTIFEED&amp;form=skydnc</v>
    <v>Learn more on Bing</v>
  </rv>
  <rv s="1">
    <v>en-IN</v>
    <v>ahh27w</v>
    <v>268435456</v>
    <v>1</v>
    <v>Powered by Refinitiv</v>
    <v>0</v>
    <v>AVANTI FEEDS LIMITED (XNSE:AVANTIFEED)</v>
    <v>2</v>
    <v>3</v>
    <v>Finance</v>
    <v>4</v>
    <v>1593.8</v>
    <v>614.25</v>
    <v>0.52410000000000001</v>
    <v>13.1</v>
    <v>1.1307000000000001E-2</v>
    <v>INR</v>
    <v>Avanti Feeds Limited is engaged in manufacturing of shrimp feed. The Company operates through three segments: Shrimp Feed, Windmills, and Shrimp Hatchery. The shrimp feed is manufactured and marketed to farmers, which is used in aqua culture to grow shrimp. The shrimps are purchased from the farmers and are further processed and exported to various countries. It has installed over four mills of over 3.2 megawatts capacity at Chitradurga, Karnataka. The power generated from windmills is sold to Bangalore Electricity Supply Company Limited (BESCOM) under a power purchase agreement. It has six shrimp feed manufacturing units and one hatchery. The Company’s products include raw shrimp, cooked shrimp, and value-added shrimp. Its Brand Stand Out in the Market include Head-on, Headless, Easy peel, Raw Peeled &amp; Deveined, Tail-on and others. The Company provides its products to various markets, such as USA, Europe, Japan, South Korea, China, Russia, Canada, and the Middle East.</v>
    <v>1548</v>
    <v>National Stock Exchange of India</v>
    <v>XNSE</v>
    <v>XNSE</v>
    <v>FLAT NO 103, GROUND FLOOR R SQUARE, PANDURANGAPURAM, ANDHRA PRADESH, 530003 IN</v>
    <v>1174.8</v>
    <v>Food &amp; Tobacco</v>
    <v>Stock</v>
    <v>46176.466851851852</v>
    <v>674</v>
    <v>1131.3</v>
    <v>110815400000</v>
    <v>AVANTI FEEDS LIMITED</v>
    <v>AVANTI FEEDS LIMITED</v>
    <v>1158.5999999999999</v>
    <v>25.76</v>
    <v>1158.5999999999999</v>
    <v>1171.7</v>
    <v>136245600</v>
    <v>AVANTIFEED</v>
    <v>AVANTI FEEDS LIMITED (XNSE:AVANTIFEED)</v>
    <v>288810</v>
    <v>652390</v>
    <v>1993</v>
  </rv>
  <rv s="2">
    <v>675</v>
  </rv>
  <rv s="0">
    <v>https://www.bing.com/financeapi/forcetrigger?t=ahkhjc&amp;q=XNSE%3aUNIONBANK&amp;form=skydnc</v>
    <v>Learn more on Bing</v>
  </rv>
  <rv s="1">
    <v>en-IN</v>
    <v>ahkhjc</v>
    <v>268435456</v>
    <v>1</v>
    <v>Powered by Refinitiv</v>
    <v>0</v>
    <v>UNION BANK OF INDIA LIMITED (XNSE:UNIONBANK)</v>
    <v>2</v>
    <v>3</v>
    <v>Finance</v>
    <v>4</v>
    <v>205.49</v>
    <v>124.64</v>
    <v>1.1101000000000001</v>
    <v>4.0199999999999996</v>
    <v>2.4710999999999997E-2</v>
    <v>INR</v>
    <v>Union Bank of India Limited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an online donation facility. It provides digital services, such as app banking, Internet banking, automated teller machine banking, self-service banking and immediate payment service (IMPS). It also provides foreign currency loans.</v>
    <v>73945</v>
    <v>National Stock Exchange of India</v>
    <v>XNSE</v>
    <v>XNSE</v>
    <v>UNION BANK BUILDING CENTRAL OFFICE 239 BACKBAY RECLAMATION POST BOX NO.93A NARIMAN POINT, MAHARASHTRA, 400021 IN</v>
    <v>167.5</v>
    <v>Banking Services</v>
    <v>Stock</v>
    <v>46176.466851851852</v>
    <v>677</v>
    <v>160.55000000000001</v>
    <v>1268629000000</v>
    <v>UNION BANK OF INDIA LIMITED</v>
    <v>UNION BANK OF INDIA LIMITED</v>
    <v>164.01</v>
    <v>6.55</v>
    <v>162.68</v>
    <v>166.7</v>
    <v>7633605000</v>
    <v>UNIONBANK</v>
    <v>UNION BANK OF INDIA LIMITED (XNSE:UNIONBANK)</v>
    <v>10405094</v>
    <v>15278400</v>
    <v>1919</v>
  </rv>
  <rv s="2">
    <v>678</v>
  </rv>
  <rv s="0">
    <v>https://www.bing.com/financeapi/forcetrigger?t=ahh34c&amp;q=XNSE%3aBAJAJCON&amp;form=skydnc</v>
    <v>Learn more on Bing</v>
  </rv>
  <rv s="1">
    <v>en-IN</v>
    <v>ahh34c</v>
    <v>268435456</v>
    <v>1</v>
    <v>Powered by Refinitiv</v>
    <v>0</v>
    <v>BAJAJ CONSUMER CARE LIMITED (XNSE:BAJAJCON)</v>
    <v>2</v>
    <v>3</v>
    <v>Finance</v>
    <v>4</v>
    <v>581</v>
    <v>168.25</v>
    <v>0.76939999999999997</v>
    <v>-16.25</v>
    <v>-2.8426E-2</v>
    <v>INR</v>
    <v>Bajaj Consumer Care Limited is an India-based fast-moving consumer goods (FMCG) company. The Company is engaged in the business of cosmetics, toiletries, and other personal care products. It has a presence in both domestic and international markets. It offers products across various segments of personal care, including hair care and skin care. Its range of products includes Bajaj Almond Drops, Bajaj 100% Pure Coconut Oil, Bajaj Amla Aloevera Hair Oil, Bajaj Brahmi Amla Hair Oil, Bajaj Sarson Amla Hair Oil, Natyv Soul, Bajaj 100% Pure, and Bajaj Nomarks Ayurveda. Its Natyv Soul products include Natyv Soul Pure Argan Oil from Morocco, Natyv Soul Hair Oil with Rosehip Oil from Chile, and Natyv Soul Hair Oil with Apple Seed oil from France. The Company's distribution outlets are classified as two parts: general trade, which includes general retail stores and local corner shops, and organized trade, which includes large retail outlets as well as e-commerce.</v>
    <v>503</v>
    <v>National Stock Exchange of India</v>
    <v>XNSE</v>
    <v>XNSE</v>
    <v>OLD STATION ROAD SEVASHRAM CHOURAHA, RAJASTHAN, 313001 IN</v>
    <v>579.85</v>
    <v>Personal &amp; Household Products &amp; Services</v>
    <v>Stock</v>
    <v>46176.466874999998</v>
    <v>680</v>
    <v>553.1</v>
    <v>37030290000</v>
    <v>BAJAJ CONSUMER CARE LIMITED</v>
    <v>BAJAJ CONSUMER CARE LIMITED</v>
    <v>573.9</v>
    <v>39.229999999999997</v>
    <v>571.65</v>
    <v>555.4</v>
    <v>130618300</v>
    <v>BAJAJCON</v>
    <v>BAJAJ CONSUMER CARE LIMITED (XNSE:BAJAJCON)</v>
    <v>693422</v>
    <v>708930</v>
    <v>2006</v>
  </rv>
  <rv s="2">
    <v>681</v>
  </rv>
  <rv s="0">
    <v>https://www.bing.com/financeapi/forcetrigger?t=ahheur&amp;q=XNSE%3aCOCHINSHIP&amp;form=skydnc</v>
    <v>Learn more on Bing</v>
  </rv>
  <rv s="1">
    <v>en-IN</v>
    <v>ahheur</v>
    <v>268435456</v>
    <v>1</v>
    <v>Powered by Refinitiv</v>
    <v>0</v>
    <v>COCHIN SHIPYARD LIMITED (XNSE:COCHINSHIP)</v>
    <v>2</v>
    <v>3</v>
    <v>Finance</v>
    <v>4</v>
    <v>2545</v>
    <v>1187</v>
    <v>1.7978000000000001</v>
    <v>-12</v>
    <v>-8.1759999999999992E-3</v>
    <v>INR</v>
    <v>Cochin Shipyard Limited is an India-based company. The Company is engaged in the construction and maintenance of various types of ships. It caters to both domestic and international markets. It operates in two segments: Shipbuilding and Ship Repair. Its shipbuilding products include defense, such as aircraft carriers, next generation missile vessels, technology demonstration vessels, hydrographic survey vessels, and others; commercial, such as oil tankers, bulk carriers, dredgers, Pax vessels, marine ambulances, and others; and offshore, such as platform supply vessels, anchor handling/tug supply vessels, and multi-purpose vessels. It offers ship repair services such as maintenance and repairs of aircraft carriers and other defense vessels; oil rig upgrades, repair projects, and conversions; and repairs and maintenance of tankers, bulk carriers, and all commercial and specialized vessels. The Company’s subsidiaries are Hooghly Cochin Shipyard Limited and Udupi Cochin Shipyard Limited.</v>
    <v>2140</v>
    <v>National Stock Exchange of India</v>
    <v>XNSE</v>
    <v>XNSE</v>
    <v>ADMINISTRATIVE BUILDING COCHIN SHIPYARD PREMISES, PERUMANOOR, COCHIN, KERALA, 682015 IN</v>
    <v>1469.6</v>
    <v>Machinery, Equipment &amp; Components</v>
    <v>Stock</v>
    <v>46176.466886574075</v>
    <v>683</v>
    <v>1430.8</v>
    <v>407064900000</v>
    <v>COCHIN SHIPYARD LIMITED</v>
    <v>COCHIN SHIPYARD LIMITED</v>
    <v>1467.7</v>
    <v>53.44</v>
    <v>1467.7</v>
    <v>1455.7</v>
    <v>263080800</v>
    <v>COCHINSHIP</v>
    <v>COCHIN SHIPYARD LIMITED (XNSE:COCHINSHIP)</v>
    <v>691044</v>
    <v>1119430</v>
    <v>1972</v>
  </rv>
  <rv s="2">
    <v>684</v>
  </rv>
  <rv s="0">
    <v>https://www.bing.com/financeapi/forcetrigger?t=b1ntp2&amp;q=XNSE%3aSOUTHWEST&amp;form=skydnc</v>
    <v>Learn more on Bing</v>
  </rv>
  <rv s="1">
    <v>en-IN</v>
    <v>b1ntp2</v>
    <v>268435456</v>
    <v>1</v>
    <v>Powered by Refinitiv</v>
    <v>0</v>
    <v>SOUTH WEST PINNACLE EXPLORATION LIMITED (XNSE:SOUTHWEST)</v>
    <v>2</v>
    <v>3</v>
    <v>Finance</v>
    <v>4</v>
    <v>275</v>
    <v>121</v>
    <v>0.63339999999999996</v>
    <v>-2.5</v>
    <v>-9.4339999999999997E-3</v>
    <v>INR</v>
    <v>South West Pinnacle Exploration Limited is an India-based exploration services company. The Company is engaged in providing end to end drilling, exploration and allied services to the coal, ferrous, non-ferrous, atomic and base metal mining industries and water and unconventional energy industries. Its segment includes Drilling &amp; Exploration and Coal Mining &amp; Trading. The Company also provides consultancy for geological field services and allied services and has an in-house team of geoscientists for providing integrated exploration services, including geophysical logging, surface geophysical and topographic surveys. Its services include Aquifer Mapping Services, CBM Exploration Services, CBM Production Services, Mining Services, Coal and Mineral Drilling Services, Geological and Geophysical Services, 2D/3D Seismic Exploration and Workover Rig Services. Its Aquifer Mapping is a multi-disciplinary holistic scientific approach for aquifer characterization.</v>
    <v>574</v>
    <v>National Stock Exchange of India</v>
    <v>XNSE</v>
    <v>XNSE</v>
    <v>GROUND FLOOR PLOT NO. 15, SECTOR-44, HARYANA, 122003 IN</v>
    <v>271.95</v>
    <v>Oil &amp; Gas Related Equipment and Services</v>
    <v>Stock</v>
    <v>46176.466851851852</v>
    <v>686</v>
    <v>257.05</v>
    <v>5328535000</v>
    <v>SOUTH WEST PINNACLE EXPLORATION LIMITED</v>
    <v>SOUTH WEST PINNACLE EXPLORATION LIMITED</v>
    <v>267</v>
    <v>23.84</v>
    <v>265</v>
    <v>262.5</v>
    <v>29830010</v>
    <v>SOUTHWEST</v>
    <v>SOUTH WEST PINNACLE EXPLORATION LIMITED (XNSE:SOUTHWEST)</v>
    <v>167281</v>
    <v>447930</v>
    <v>2006</v>
  </rv>
  <rv s="2">
    <v>687</v>
  </rv>
  <rv s="3">
    <v>en-IN</v>
    <v>cavcsm</v>
    <v>268435456</v>
    <v>1</v>
    <v>Powered by Refinitiv</v>
    <v>5</v>
    <v>R R KABEL LIMITED (XNSE:RRKABEL)</v>
    <v>6</v>
    <v>3</v>
    <v>Finance</v>
    <v>4</v>
    <v>2169</v>
    <v>1165</v>
    <v>1.036</v>
    <v>132.1</v>
    <v>6.5272999999999998E-2</v>
    <v>INR</v>
    <v>R R Kabel Limited is an India-based consumer electrical company, which is engaged in manufacturing and selling wires and cables, including house wires, industrial wires, power cables and special cables, and fast-moving electric goods (FMEG), including fans, lighting, switches, and appliances. The Company’s segments include Wire and Cable and FMEG. Its Wire and Cable segment is engaged in the manufacture and sale of wires and cables. Its FMEG segment is engaged in the manufacture and sale of fans, light-emitting diode (LED) lighting, switches, switchgear, water heaters, and domestic appliances. It manufactures, markets, and sells fans and lights under the brand RR Signature Fans and Lights. It offers premium electrical products under the RR Signature appliances brand, which include water heater, immersion heater, iron, and air cooler. Its brand, Arraystorm, focuses on the LED lighting business. It owns and operates approximately five integrated manufacturing facilities across India.</v>
    <v>3678</v>
    <v>National Stock Exchange of India</v>
    <v>XNSE</v>
    <v>XNSE</v>
    <v>305/A, WINDSOR PLAZA, R. C. DUTT ROAD, ALKAPURI,, GUJARAT, 390007 IN</v>
    <v>2169</v>
    <v>Machinery, Equipment &amp; Components</v>
    <v>Stock</v>
    <v>46176.466874999998</v>
    <v>2020.1</v>
    <v>169905200000</v>
    <v>R R KABEL LIMITED</v>
    <v>R R KABEL LIMITED</v>
    <v>2025</v>
    <v>49.53</v>
    <v>2023.8</v>
    <v>2155.9</v>
    <v>113105500</v>
    <v>RRKABEL</v>
    <v>R R KABEL LIMITED (XNSE:RRKABEL)</v>
    <v>1528524</v>
    <v>686000</v>
    <v>1995</v>
  </rv>
  <rv s="2">
    <v>689</v>
  </rv>
  <rv s="3">
    <v>en-IN</v>
    <v>chn55r</v>
    <v>268435456</v>
    <v>1</v>
    <v>Powered by Refinitiv</v>
    <v>5</v>
    <v>ADITYA INFOTECH LIMITED (XNSE:CPPLUS)</v>
    <v>6</v>
    <v>3</v>
    <v>Finance</v>
    <v>4</v>
    <v>3374.3</v>
    <v>1015</v>
    <v>0.75700000000000001</v>
    <v>155.5</v>
    <v>4.8386999999999999E-2</v>
    <v>INR</v>
    <v>Aditya Infotech Limited is an India-based closed-circuit television (CCTV) surveillance company. The Company offers a comprehensive range of advanced video security and surveillance products, technologies and solutions for enterprise and consumer segments under its CP PLUS brand. It also offers solutions and services such as fully integrated security systems and security-as-a-service, directly and through its distribution network, addressing the requirements of end-customers engaged in a range of sectors, such as banking, insurance, real estate, healthcare, industrial, education, hospitality, retail and law enforcement. Its product portfolio, including products that it sources from third parties, deploys a variety of security technologies, such as artificial intelligence (AI) and machine learning to deliver edge-based AI analytics, integrated Internet of Things ecosystem for connected and smart homes, and a number of cloud services. Its brands include CP PLUS, Dahua and OnVigil.</v>
    <v>970</v>
    <v>National Stock Exchange of India</v>
    <v>XNSE</v>
    <v>XNSE</v>
    <v>Khemka Square, A-11 &amp; 12, Sector 4, NOIDA, UTTAR PRADESH, 201301 IN</v>
    <v>3374.3</v>
    <v>Professional &amp; Commercial Services</v>
    <v>Stock</v>
    <v>46176.466932870368</v>
    <v>3114.1</v>
    <v>166878700000</v>
    <v>ADITYA INFOTECH LIMITED</v>
    <v>ADITYA INFOTECH LIMITED</v>
    <v>3235</v>
    <v>106.02</v>
    <v>3213.7</v>
    <v>3369.2</v>
    <v>117850500</v>
    <v>CPPLUS</v>
    <v>ADITYA INFOTECH LIMITED (XNSE:CPPLUS)</v>
    <v>669017</v>
    <v>498700</v>
    <v>1995</v>
  </rv>
  <rv s="2">
    <v>691</v>
  </rv>
  <rv s="7">
    <v>en-IN</v>
    <v>cfttvh</v>
    <v>268435456</v>
    <v>1</v>
    <v>Powered by Refinitiv</v>
    <v>13</v>
    <v>NIBE LIMITED (XNSE:NIBE)</v>
    <v>6</v>
    <v>14</v>
    <v>Finance</v>
    <v>4</v>
    <v>2001</v>
    <v>809.6</v>
    <v>-38.9</v>
    <v>-2.5243000000000002E-2</v>
    <v>INR</v>
    <v>Nibe Limited is a holding company engaged in the fabrication and machining of components used in the defense sector as well as the assembly of components of electronic (E) vehicles. Its defense activities are primarily focused on precision weapons, surveillance communication equipment, protective vehicles, defensive/ deterrence systems, and components. Its Defence Structures division offers tank turrets, modular bridges, VMC and CNC machinery. Its Small Arm division offers advanced small arms and firearms. Its Aeronautics division offers aerial defense capabilities and charter aviation services. Its Electronics division offers precision manufacturing of electrical and electronic assemblies. Its Space division is engaged in satellite manufacturing and Earth observation. Its products include BrahMos Missiles Canister, K9 Vajra Tank-Hull and Turret, Pinaka Launcher System, Universal Vertical Launch Mechanism, Road Mobile Launcher, Ruggedized Ethernet Switch, and Network Switch.</v>
    <v>149</v>
    <v>National Stock Exchange of India</v>
    <v>XNSE</v>
    <v>XNSE</v>
    <v>202, C-Wing, Windfall, Sahar Plaza Complex, J. B. Nagar, Marol, M. V. Road, Andheri (East), MUMBAI, MAHARASHTRA, 400059 IN</v>
    <v>1558.9</v>
    <v>Aerospace &amp; Defense</v>
    <v>Stock</v>
    <v>46176.466898148145</v>
    <v>1469</v>
    <v>17537840000</v>
    <v>NIBE LIMITED</v>
    <v>NIBE LIMITED</v>
    <v>1554.9</v>
    <v>631.13</v>
    <v>1541</v>
    <v>1502.1</v>
    <v>14941270</v>
    <v>NIBE</v>
    <v>NIBE LIMITED (XNSE:NIBE)</v>
    <v>183530</v>
    <v>725980</v>
    <v>2005</v>
  </rv>
  <rv s="2">
    <v>693</v>
  </rv>
  <rv s="0">
    <v>https://www.bing.com/financeapi/forcetrigger?t=bwv5yc&amp;q=XNSE%3aGLAND&amp;form=skydnc</v>
    <v>Learn more on Bing</v>
  </rv>
  <rv s="1">
    <v>en-IN</v>
    <v>bwv5yc</v>
    <v>268435456</v>
    <v>1</v>
    <v>Powered by Refinitiv</v>
    <v>0</v>
    <v>GLAND PHARMA LTD (XNSE:GLAND)</v>
    <v>2</v>
    <v>3</v>
    <v>Finance</v>
    <v>4</v>
    <v>2396</v>
    <v>1571.1</v>
    <v>0.19850000000000001</v>
    <v>-44.7</v>
    <v>-1.9630999999999999E-2</v>
    <v>INR</v>
    <v>Gland Pharma Limited is an India-based generic injectables manufacturer. The Company specializes in sterile injectables, oncology, and ophthalmic, with a specific focus on complex injectables, New Chemical Entities (NCE)-1s, First-to-File products, and 505(b)(2) filings. The Company manufactures a range of dosage formulations, including solutions, suspensions, and lyophilized products. Its product portfolio includes delivery methods such as pre-filled syringes, vials, ampoules, bags, and dry powder injections. It also produces generic injectables in liquid, lyophilized, suspension, and pre-filled syringe forms. Its molecules include Enoxaparin Sodium, Cisplatin, Lacosamide, Rocuronium Bromide, Zoledronic Acid, Vancomycin, and others. Its therapeutic products categories include Anti Malarials, Anti-Infectives, Anti-Neoplastics, Gynecological, Hormones, and others. The Company functions primarily on a business-to-business model. Its subsidiary is Gland Pharma International Pte. Ltd.</v>
    <v>4351</v>
    <v>National Stock Exchange of India</v>
    <v>XNSE</v>
    <v>XNSE</v>
    <v>SY.NO.143-148,150 &amp;151, NEAR GANDI MAISAMMA X ROADS, D.P.PALLY,DUNDIGAL, DUNDIGAL, GANDIMAISAMMA(M) MEDCHAL MALKAJGIRI RANGAREDDI, TELANGANA, 500043 IN</v>
    <v>2305.9</v>
    <v>Pharmaceuticals</v>
    <v>Stock</v>
    <v>46176.466840277775</v>
    <v>695</v>
    <v>2222</v>
    <v>283249300000</v>
    <v>GLAND PHARMA LTD</v>
    <v>GLAND PHARMA LTD</v>
    <v>2277</v>
    <v>35.799999999999997</v>
    <v>2277</v>
    <v>2232.3000000000002</v>
    <v>164756400</v>
    <v>GLAND</v>
    <v>GLAND PHARMA LTD (XNSE:GLAND)</v>
    <v>255715</v>
    <v>831180</v>
    <v>1978</v>
  </rv>
  <rv s="2">
    <v>696</v>
  </rv>
  <rv s="0">
    <v>https://www.bing.com/financeapi/forcetrigger?t=bqettc&amp;q=XNSE%3aCONFIPET&amp;form=skydnc</v>
    <v>Learn more on Bing</v>
  </rv>
  <rv s="1">
    <v>en-IN</v>
    <v>bqettc</v>
    <v>268435456</v>
    <v>1</v>
    <v>Powered by Refinitiv</v>
    <v>0</v>
    <v>CONFIDENCE PETROLEUM INDIA LIMITED (XNSE:CONFIPET)</v>
    <v>2</v>
    <v>3</v>
    <v>Finance</v>
    <v>4</v>
    <v>76.790000000000006</v>
    <v>28.06</v>
    <v>0.97050000000000003</v>
    <v>6.98</v>
    <v>9.9985999999999992E-2</v>
    <v>INR</v>
    <v>Confidence Petroleum India Limited is an India-based manufacturer of liquefied petroleum gas (LPG) cylinders. The Company operates through two segments: Cylinder and LPG. The Cylinder segment includes production and marketing operations of LPG/compressed natural gas (CNG) cylinders. The LPG segment includes LPG marketing and bottling business and others. It provides a range of industrial gas cylinders for nitrogen, oxygen, helium, argon, and more. Its LPG retail segment / packed LPG segment offers under the brand GoGas. It offers a range of cylinder sizes from 2 kilograms (kg) to 425 kg. Its subsidiaries include Hemkunt Petroleum Ltd, Taraa Lpg Bottling Pvt Ltd, Agwan Coach Pvt Ltd, Confidence Go Gas Ltd, Keppy Infrastructure Developers Pvt Ltd, Unity Cylinders&amp; Equipment Pvt Ltd, Confidence Technologies Pvt Ltd, Sv Engineering Equipments Pvt Ltd, among others.</v>
    <v>925</v>
    <v>National Stock Exchange of India</v>
    <v>XNSE</v>
    <v>XNSE</v>
    <v>404/405, SATYAM APARTMENT 8 WARDHA ROAD, DHANTOLI, MAHARASHTRA, 440012 IN</v>
    <v>76.790000000000006</v>
    <v>Oil &amp; Gas</v>
    <v>Stock</v>
    <v>46176.466851851852</v>
    <v>698</v>
    <v>70.16</v>
    <v>11289550000</v>
    <v>CONFIDENCE PETROLEUM INDIA LIMITED</v>
    <v>CONFIDENCE PETROLEUM INDIA LIMITED</v>
    <v>70.16</v>
    <v>27.43</v>
    <v>69.81</v>
    <v>76.790000000000006</v>
    <v>332241000</v>
    <v>CONFIPET</v>
    <v>CONFIDENCE PETROLEUM INDIA LIMITED (XNSE:CONFIPET)</v>
    <v>13245255</v>
    <v>3279480</v>
    <v>1994</v>
  </rv>
  <rv s="2">
    <v>699</v>
  </rv>
  <rv s="0">
    <v>https://www.bing.com/financeapi/forcetrigger?t=ahjihw&amp;q=XNSE%3aPREMEXPLN&amp;form=skydnc</v>
    <v>Learn more on Bing</v>
  </rv>
  <rv s="1">
    <v>en-IN</v>
    <v>ahjihw</v>
    <v>268435456</v>
    <v>1</v>
    <v>Powered by Refinitiv</v>
    <v>0</v>
    <v>PREMIER EXPLOSIVES LIMITED (XNSE:PREMEXPLN)</v>
    <v>2</v>
    <v>3</v>
    <v>Finance</v>
    <v>4</v>
    <v>779.5</v>
    <v>378.4</v>
    <v>1.9861</v>
    <v>2.7</v>
    <v>4.1419999999999998E-3</v>
    <v>INR</v>
    <v>Premier Explosives Limited is an India-based company. The Company is engaged in the manufacture of high energy materials like bulk explosives, packaged explosives, detonators, detonating fuse, solid propellants, pyrogen igniters, and pyro devices having applications in mining, infrastructure, defense, space, homeland security and such other areas. It also operates and maintains solid propellant plants of defense and space establishments. Its geographical segments include India and the Rest of the world. Its capabilities include advanced products, such as solid propellants for missiles and rockets, strap-on motors for satellite launch vehicles, and initiating systems. It also manufactures a diverse range of commercial explosives, such as bulk explosives, packaged explosives, cast booster, emulsion booster, detonators and detonating fuse for mining and infrastructure requirements. It also produces explosive bolts, pyro actuators, smoke markers, cable cutters and many other products.</v>
    <v>838</v>
    <v>National Stock Exchange of India</v>
    <v>XNSE</v>
    <v>XNSE</v>
    <v>PREMIER HOUSE,11, ISHAQ COLONY NEAR AOC CENTRE TRIMULGHERRY,, TELANGANA, 500015 IN</v>
    <v>670</v>
    <v>Chemicals</v>
    <v>Stock</v>
    <v>46176.466874999998</v>
    <v>701</v>
    <v>630</v>
    <v>27238110000</v>
    <v>PREMIER EXPLOSIVES LIMITED</v>
    <v>PREMIER EXPLOSIVES LIMITED</v>
    <v>655</v>
    <v>76.83</v>
    <v>651.85</v>
    <v>654.54999999999995</v>
    <v>53761200</v>
    <v>PREMEXPLN</v>
    <v>PREMIER EXPLOSIVES LIMITED (XNSE:PREMEXPLN)</v>
    <v>463987</v>
    <v>2604810</v>
    <v>1980</v>
  </rv>
  <rv s="2">
    <v>702</v>
  </rv>
  <rv s="0">
    <v>https://www.bing.com/financeapi/forcetrigger?t=ahjt77&amp;q=XNSE%3aSANGHVIMOV&amp;form=skydnc</v>
    <v>Learn more on Bing</v>
  </rv>
  <rv s="1">
    <v>en-IN</v>
    <v>ahjt77</v>
    <v>268435456</v>
    <v>1</v>
    <v>Powered by Refinitiv</v>
    <v>0</v>
    <v>SANGHVI MOVERS LIMITED (XNSE:SANGHVIMOV)</v>
    <v>2</v>
    <v>3</v>
    <v>Finance</v>
    <v>4</v>
    <v>411.9</v>
    <v>223.8</v>
    <v>1.0650999999999999</v>
    <v>1.85</v>
    <v>5.1759999999999992E-3</v>
    <v>INR</v>
    <v>Sanghvi Movers Limited is a crane rental company, which is engaged in the business of providing hydraulic and crawler cranes to various industries in the infrastructure sector. Its segments include Crane hiring and other ancillary services, Wind engineering, procurement, and construction (EPC), and Project EPC. Its Crane hiring and other ancillary services segment includes crane rental services including mobilization and demobilization. Its Wind EPC segment includes logistics, interacting, installation and commissioning of wind turbine components. Its Project EPC segment includes complete kiting and rigging for all heavy lifts, foundation preparation alignment, execution &amp; planning of completion of heavy lifts. The Company has a fleet of medium -to large -size hydraulic truck mounted telescopic and lattice boom cranes and crawler cranes with lifting capacity ranging from 20 tons to 1600 tons. It caters various industrial plants, such as power, steel, cement, fertilizers, and others.</v>
    <v>330</v>
    <v>National Stock Exchange of India</v>
    <v>XNSE</v>
    <v>XNSE</v>
    <v>Survey No 92, Tathawade, PUNE, MAHARASHTRA, 411033 IN</v>
    <v>362.9</v>
    <v>Professional &amp; Commercial Services</v>
    <v>Stock</v>
    <v>46176.466863425929</v>
    <v>704</v>
    <v>350.1</v>
    <v>27284430000</v>
    <v>SANGHVI MOVERS LIMITED</v>
    <v>SANGHVI MOVERS LIMITED</v>
    <v>358.5</v>
    <v>16.88</v>
    <v>357.45</v>
    <v>359.3</v>
    <v>86576000</v>
    <v>SANGHVIMOV</v>
    <v>SANGHVI MOVERS LIMITED (XNSE:SANGHVIMOV)</v>
    <v>204256</v>
    <v>1370260</v>
    <v>1989</v>
  </rv>
  <rv s="2">
    <v>705</v>
  </rv>
  <rv s="0">
    <v>https://www.bing.com/financeapi/forcetrigger?t=azjuur&amp;q=XNSE%3aSANDHAR&amp;form=skydnc</v>
    <v>Learn more on Bing</v>
  </rv>
  <rv s="1">
    <v>en-IN</v>
    <v>azjuur</v>
    <v>268435456</v>
    <v>1</v>
    <v>Powered by Refinitiv</v>
    <v>0</v>
    <v>SANDHAR TECHNOLOGIES LIMITED (XNSE:SANDHAR)</v>
    <v>2</v>
    <v>3</v>
    <v>Finance</v>
    <v>4</v>
    <v>733.9</v>
    <v>405.2</v>
    <v>1.0729</v>
    <v>21.1</v>
    <v>3.0266000000000001E-2</v>
    <v>INR</v>
    <v>Sandhar Technologies Limited is an India-based automotive components and systems supplier. The Company is engaged in the manufacturing and assembling of automotive components, mainly catering to Original Equipment Manufacturers (OEM). It is also engaged in the design and manufacturing of molds, dies and dies parts, machine tools, jigs and fixtures and fabrication and assembly and construction, Agri-farm, and railway products. The Company's product categories include automotive locking and security systems, automotive vision systems, stampings, operators cabins and structural parts, zinc die casting, aluminum die casting, magnesium die casting, automotive optoelectronics, polymers, painting, plating and coating, commercial tooling, helmets, assemblies, and fuel pumps, filters and wiper blades. The Company's products include automotive locks, latches, door handles, switches, passive and remote keyless entry systems, mirrors and various sheet metal components.</v>
    <v>1689</v>
    <v>National Stock Exchange of India</v>
    <v>XNSE</v>
    <v>XNSE</v>
    <v>Plot no 13, Sector 44, GURGAON, HARYANA, 122002 IN</v>
    <v>733.75</v>
    <v>Automobiles &amp; Auto Parts</v>
    <v>Stock</v>
    <v>46176.466840277775</v>
    <v>707</v>
    <v>685.5</v>
    <v>33655630000</v>
    <v>SANDHAR TECHNOLOGIES LIMITED</v>
    <v>SANDHAR TECHNOLOGIES LIMITED</v>
    <v>696.9</v>
    <v>21.77</v>
    <v>697.15</v>
    <v>718.25</v>
    <v>60190710</v>
    <v>SANDHAR</v>
    <v>SANDHAR TECHNOLOGIES LIMITED (XNSE:SANDHAR)</v>
    <v>1154289</v>
    <v>2307500</v>
    <v>1987</v>
  </rv>
  <rv s="2">
    <v>708</v>
  </rv>
  <rv s="0">
    <v>https://www.bing.com/financeapi/forcetrigger?t=ahigu2&amp;q=XNSE%3aJINDRILL&amp;form=skydnc</v>
    <v>Learn more on Bing</v>
  </rv>
  <rv s="1">
    <v>en-IN</v>
    <v>ahigu2</v>
    <v>268435456</v>
    <v>1</v>
    <v>Powered by Refinitiv</v>
    <v>0</v>
    <v>JINDAL DRILLING AND INDUSTRIES LIMITED (XNSE:JINDRILL)</v>
    <v>2</v>
    <v>3</v>
    <v>Finance</v>
    <v>4</v>
    <v>693.5</v>
    <v>440.1</v>
    <v>0.71689999999999998</v>
    <v>21.2</v>
    <v>3.4931999999999998E-2</v>
    <v>INR</v>
    <v>Jindal Drilling and Industries Limited is an India-based company. The Company is engaged in providing services to entities involved in the exploration of oil and gas. The Company operates through the drilling and related services segment. The Company offers various services, such as offshore drilling, directional/horizontal drilling, measurement while drilling (MWD) services and mud logging services. It offers various types of offshore rigs, such as drilling barges, jack-up rigs, submersible rigs, semi-submersible rigs and drill ships. It provides the retrievable MWD tool, which can be retrieved using a wireline, without having to pull out the complete string, thus saving considerable rig time. The MWD is a technology used to determine the position of a well by measuring real-time parameters, such as direction, inclination and tool face. It operates approximately six Jack-up Rigs, namely Jindal Explorer, Jindal Pioneer, Discovery I, Jindal Star, Virtue I, and Jindal Supreme.</v>
    <v>649</v>
    <v>National Stock Exchange of India</v>
    <v>XNSE</v>
    <v>XNSE</v>
    <v>Jindal Corp Office,, Plot No. 106,, Institutional Sector - 44, GURGAON, HARYANA, 122002 IN</v>
    <v>635.9</v>
    <v>Oil &amp; Gas Related Equipment and Services</v>
    <v>Stock</v>
    <v>46176.466863425929</v>
    <v>710</v>
    <v>606.04999999999995</v>
    <v>15096260000</v>
    <v>JINDAL DRILLING AND INDUSTRIES LIMITED</v>
    <v>JINDAL DRILLING AND INDUSTRIES LIMITED</v>
    <v>611</v>
    <v>9.06</v>
    <v>606.9</v>
    <v>628.1</v>
    <v>28981100</v>
    <v>JINDRILL</v>
    <v>JINDAL DRILLING AND INDUSTRIES LIMITED (XNSE:JINDRILL)</v>
    <v>965297</v>
    <v>3969930</v>
    <v>2004</v>
  </rv>
  <rv s="2">
    <v>711</v>
  </rv>
  <rv s="0">
    <v>https://www.bing.com/financeapi/forcetrigger?t=c4iym7&amp;q=XNSE%3aRATEGAIN&amp;form=skydnc</v>
    <v>Learn more on Bing</v>
  </rv>
  <rv s="1">
    <v>en-IN</v>
    <v>c4iym7</v>
    <v>268435456</v>
    <v>1</v>
    <v>Powered by Refinitiv</v>
    <v>0</v>
    <v>RATEGAIN TRAVEL TECHNOLOGIES LIMITED (XNSE:RATEGAIN)</v>
    <v>2</v>
    <v>3</v>
    <v>Finance</v>
    <v>4</v>
    <v>802</v>
    <v>417.6</v>
    <v>1.4709000000000001</v>
    <v>-9.5500000000000007</v>
    <v>-1.2325999999999998E-2</v>
    <v>INR</v>
    <v>RateGain Travel Technologies Limited is an India-based information technology company, which is engaged in providing solutions to help clients in the hospitality and travel industry to achieve their business goals. The Company’s offerings include data as a service (DaaS), distribution, and marketing technology (MarTech). DaaS offers solutions to hotels, online travel agents (OTAs), airlines, cruise liners, car rentals, and vacation rentals, and others. The Company provides a software as a service (SaaS) solution for travel and hospitality, helping them accelerate revenue generation through acquisition, retention, and wallet share expansion. The Company’s products include hotel content distribution, drive direct bookings, travel intent for hotels, enterprise connectivity, social media for hotels, enterprise connectivity and others. The Company serves both travel and non-travel customer segments globally. It also offers a digital marketing platform for travel and hospitality brands.</v>
    <v>659</v>
    <v>National Stock Exchange of India</v>
    <v>XNSE</v>
    <v>XNSE</v>
    <v>PRIUS GLOBAL PLOT NO. 2, 3, 4, TOWER A, 4TH FLOOR, SECTOR 125, UTTAR PRADESH, 201301 IN</v>
    <v>774.8</v>
    <v>Software &amp; IT Services</v>
    <v>Stock</v>
    <v>46176.466851851852</v>
    <v>713</v>
    <v>752.2</v>
    <v>78109270000</v>
    <v>RATEGAIN TRAVEL TECHNOLOGIES LIMITED</v>
    <v>RATEGAIN TRAVEL TECHNOLOGIES LIMITED</v>
    <v>774.8</v>
    <v>46.46</v>
    <v>774.8</v>
    <v>765.25</v>
    <v>118097800</v>
    <v>RATEGAIN</v>
    <v>RATEGAIN TRAVEL TECHNOLOGIES LIMITED (XNSE:RATEGAIN)</v>
    <v>213632</v>
    <v>1967020</v>
    <v>2012</v>
  </rv>
  <rv s="2">
    <v>714</v>
  </rv>
  <rv s="0">
    <v>https://www.bing.com/financeapi/forcetrigger?t=c4oac7&amp;q=XNSE%3aSUPRIYA&amp;form=skydnc</v>
    <v>Learn more on Bing</v>
  </rv>
  <rv s="1">
    <v>en-IN</v>
    <v>c4oac7</v>
    <v>268435456</v>
    <v>1</v>
    <v>Powered by Refinitiv</v>
    <v>0</v>
    <v>SUPRIYA LIFESCIENCE LIMITED (XNSE:SUPRIYA)</v>
    <v>2</v>
    <v>3</v>
    <v>Finance</v>
    <v>4</v>
    <v>1085</v>
    <v>545.5</v>
    <v>1.2593000000000001</v>
    <v>-16.3</v>
    <v>-1.7770999999999999E-2</v>
    <v>INR</v>
    <v>Supriya Lifescience Limited is an India-based manufacturer of active pharmaceutical ingredients (APIs). The Company is primarily engaged in the manufacturing of bulk drugs and pharmaceutical chemicals. The Company exports its products in the antihistamine, anesthetics and anti-asthma therapy categories to approximately 86 countries. The Company's product portfolio consists of approximately 38 API products that offer remedies in therapeutic segments, such as antihistamines, analgesics, vitamins, anesthetics and anti-asthmatics, among others. Its products include Chlorphenamine Maleate, Pheniramine Maleate, Brompheniramine Maleate, Dexchlorpheniramine Maleate, Mepyramine / Pyrilamine Maleate, Dexbrompheniramine Maleate, Cetirizine DiHCL, Diphenhydramine HCL, Bisoprolol Fumarate, Nicorandil, Mecobalamin, Hydroxocobalamin Sulfate, Hydroxocobalamin Acetate, and Hydroxocobalamin Hydrochloride, among others. The Company has manufacturing facilities located in Maharashtra.</v>
    <v>515</v>
    <v>National Stock Exchange of India</v>
    <v>XNSE</v>
    <v>XNSE</v>
    <v>207/208, UDYOG BHAVAN, SONAWALA ROAD GOREGAON (EAST), MAHARASHTRA, 400063 IN</v>
    <v>935</v>
    <v>Pharmaceuticals</v>
    <v>Stock</v>
    <v>46176.466851851852</v>
    <v>716</v>
    <v>881.45</v>
    <v>59444600000</v>
    <v>SUPRIYA LIFESCIENCE LIMITED</v>
    <v>SUPRIYA LIFESCIENCE LIMITED</v>
    <v>917.3</v>
    <v>34.68</v>
    <v>917.25</v>
    <v>900.95</v>
    <v>80482800</v>
    <v>SUPRIYA</v>
    <v>SUPRIYA LIFESCIENCE LIMITED (XNSE:SUPRIYA)</v>
    <v>999067</v>
    <v>1598090</v>
    <v>2008</v>
  </rv>
  <rv s="2">
    <v>717</v>
  </rv>
  <rv s="0">
    <v>https://www.bing.com/financeapi/forcetrigger?t=ahk2lh&amp;q=XNSE%3aSPARC&amp;form=skydnc</v>
    <v>Learn more on Bing</v>
  </rv>
  <rv s="1">
    <v>en-IN</v>
    <v>ahk2lh</v>
    <v>268435456</v>
    <v>1</v>
    <v>Powered by Refinitiv</v>
    <v>0</v>
    <v>SUN PHARMA ADVANCED RESEARCH COMPANY LIMITED (XNSE:SPARC)</v>
    <v>2</v>
    <v>3</v>
    <v>Finance</v>
    <v>4</v>
    <v>248.75</v>
    <v>108</v>
    <v>1.5643</v>
    <v>4.26</v>
    <v>2.0857999999999998E-2</v>
    <v>INR</v>
    <v>Sun Pharma Advanced Research Company Limited is an India-based clinical-stage biopharmaceutical company that focuses on developing therapeutics to improve standards of care for patients worldwide. The Company’s therapeutic focus is in the area of oncology, neurology and immunology. Its lead oncology programs include vodobatinib (SCO-088), a BCR-ABL targeting tyrosine kinase inhibitor for refractory chronic myelogenous leukemia, and an anti-MUC-1 antibody-drug conjugate (ADC) with the potential to treat multiple cancers. The Company’s other programs include Sezaby for the treatment of neonatal seizures, Vodobatinib for the treatment of neurodegenerative disorders (SCC-138), Vibozilimod for the treatment of autoimmune disorders (SCD-044), SCD-153 for the treatment of alopecia areata, SBO-154 for multiple cancer indications and SCO-155 for treatment of cancer. SBO-154 is an anti MUC1 ADC being developed for multiple tumor types expressing MUC1.</v>
    <v>316</v>
    <v>National Stock Exchange of India</v>
    <v>XNSE</v>
    <v>XNSE</v>
    <v>17B Mahal Industrial Estate, Mahakali Caves Road, Andheri (East), MUMBAI, MAHARASHTRA, 400093 IN</v>
    <v>210.59</v>
    <v>Pharmaceuticals</v>
    <v>Stock</v>
    <v>46176.466863425929</v>
    <v>719</v>
    <v>196.5</v>
    <v>44086260000</v>
    <v>SUN PHARMA ADVANCED RESEARCH COMPANY LIMITED</v>
    <v>SUN PHARMA ADVANCED RESEARCH COMPANY LIMITED</v>
    <v>205.67</v>
    <v>4.3600000000000003</v>
    <v>204.24</v>
    <v>208.5</v>
    <v>324521600</v>
    <v>SPARC</v>
    <v>SUN PHARMA ADVANCED RESEARCH COMPANY LIMITED (XNSE:SPARC)</v>
    <v>4848519</v>
    <v>21596390</v>
    <v>2006</v>
  </rv>
  <rv s="2">
    <v>720</v>
  </rv>
  <rv s="0">
    <v>https://www.bing.com/financeapi/forcetrigger?t=ahiimw&amp;q=XNSE%3aJSWENERGY&amp;form=skydnc</v>
    <v>Learn more on Bing</v>
  </rv>
  <rv s="1">
    <v>en-IN</v>
    <v>ahiimw</v>
    <v>268435456</v>
    <v>1</v>
    <v>Powered by Refinitiv</v>
    <v>0</v>
    <v>JSW ENERGY LIMITED (XNSE:JSWENERGY)</v>
    <v>2</v>
    <v>3</v>
    <v>Finance</v>
    <v>4</v>
    <v>617.35</v>
    <v>427.75</v>
    <v>1.3651</v>
    <v>-8.35</v>
    <v>-1.4187E-2</v>
    <v>INR</v>
    <v>JSW Energy Limited is an India-based power company, which is engaged in the business of power generation. The Company operates through two segments: Thermal and Renewables. Its Thermal segment comprises generation of power from coal and other thermal sources (lignite, gas, and oil) from plants owned and related ancillary services. Its Renewables segment comprises generation of power from renewable energy sources such as hydro, wind, solar, and related ancillary services. Its plants are Baspa, Karcham Wangtoo, Barmer, Vijaynagar, Ratnagiri, Jharsuguda, and Akaltara. Baspa Plant is in the higher reaches of the Himalayas and has a generating capacity of over 300 megawatts (MW). The Karcham Wangtoo plant is located on the river Satluj in Kinnaur District of Himachal Pradesh and has a generating capacity of over 1091 MW. Barmer Plant is located close to its fuel source, the lignite mines in Kapurdi, and Jalipa. The Vijayanagar plant consists of two separate business units, BU I and SBU I.</v>
    <v>3129</v>
    <v>National Stock Exchange of India</v>
    <v>XNSE</v>
    <v>XNSE</v>
    <v>JSW CENTRE, BANDRA KURLA COMPLEX BANDRA (EAST), MUMBAI CITY, MUMBAI, MAHARASHTRA, INDIA,, MAHARASHTRA, 400051 IN</v>
    <v>590.45000000000005</v>
    <v>Electrical Utilities &amp; IPPs</v>
    <v>Stock</v>
    <v>46176.466874999998</v>
    <v>722</v>
    <v>571.4</v>
    <v>863034400000</v>
    <v>JSW ENERGY LIMITED</v>
    <v>JSW ENERGY LIMITED</v>
    <v>589.9</v>
    <v>45.22</v>
    <v>588.54999999999995</v>
    <v>580.20000000000005</v>
    <v>1832373000</v>
    <v>JSWENERGY</v>
    <v>JSW ENERGY LIMITED (XNSE:JSWENERGY)</v>
    <v>1997491</v>
    <v>4813710</v>
    <v>1994</v>
  </rv>
  <rv s="2">
    <v>723</v>
  </rv>
  <rv s="0">
    <v>https://www.bing.com/financeapi/forcetrigger?t=ahk7qh&amp;q=XNSE%3aSUVEN&amp;form=skydnc</v>
    <v>Learn more on Bing</v>
  </rv>
  <rv s="1">
    <v>en-IN</v>
    <v>ahk7qh</v>
    <v>268435456</v>
    <v>1</v>
    <v>Powered by Refinitiv</v>
    <v>0</v>
    <v>SUVEN LIFE SCIENCES LIMITED (XNSE:SUVEN)</v>
    <v>2</v>
    <v>3</v>
    <v>Finance</v>
    <v>4</v>
    <v>299.99</v>
    <v>124.11</v>
    <v>1.4419999999999999</v>
    <v>0.15</v>
    <v>5.4510000000000008E-4</v>
    <v>INR</v>
    <v>Suven Life Sciences Limited is an India-based biopharmaceutical company, which is engaged in drug discovery and development of new chemical entities (NCEs) in central nervous system (CNS) disorders targeting unmet medical needs, globally. The Company's lead clinical-stage assets include Masupirdine (Pure 5-HT 6 receptor antagonist), Samelisant (Histamine 3 receptor inverse agonist) and Ropanicant (a4b2 antagonist). Masupirdine is an ongoing phase III study for agitation and aggression in Alzheimer's type dementias in North America and Europe. Samelisant is a study on the treatment of excessive daytime sleepiness (EDS) in adult narcolepsy patients with and without cataplexy. Ropanicant is an ongoing screening for Phase II open label study for moderate to severe major depressive disorder in United States. Its other clinical-stage assets include Usmarapride (5-HT4 receptor agonist), SUVN-I6107 (True muscarinic M1 positive allosteric modulator) and SUVN-D1044 (5-HT4 receptor agonist).</v>
    <v>138</v>
    <v>National Stock Exchange of India</v>
    <v>XNSE</v>
    <v>XNSE</v>
    <v>DOOR NO. 8-2-334, 6TH FLOOR SDE SERENE CHAMBERS ROAD, NO. 5, AVENUE 7, BANJARA HILLS, TELANGANA, 500034 IN</v>
    <v>278.5</v>
    <v>Biotechnology &amp; Medical Research</v>
    <v>Stock</v>
    <v>46176.466863425929</v>
    <v>725</v>
    <v>269.14999999999998</v>
    <v>34830850000</v>
    <v>SUVEN LIFE SCIENCES LIMITED</v>
    <v>SUVEN LIFE SCIENCES LIMITED</v>
    <v>277</v>
    <v>0</v>
    <v>275.2</v>
    <v>275.35000000000002</v>
    <v>263720600</v>
    <v>SUVEN</v>
    <v>SUVEN LIFE SCIENCES LIMITED (XNSE:SUVEN)</v>
    <v>1030873</v>
    <v>3246370</v>
    <v>1989</v>
  </rv>
  <rv s="2">
    <v>726</v>
  </rv>
  <rv s="0">
    <v>https://www.bing.com/financeapi/forcetrigger?t=ahhirw&amp;q=XNSE%3aDEEPAKFERT&amp;form=skydnc</v>
    <v>Learn more on Bing</v>
  </rv>
  <rv s="1">
    <v>en-IN</v>
    <v>ahhirw</v>
    <v>268435456</v>
    <v>1</v>
    <v>Powered by Refinitiv</v>
    <v>0</v>
    <v>DEEPAK FERTILISERS AND PETROCHEMICALS CORPORATION LTD (XNSE:DEEPAKFERT)</v>
    <v>2</v>
    <v>3</v>
    <v>Finance</v>
    <v>4</v>
    <v>1778.6</v>
    <v>866.4</v>
    <v>1.335</v>
    <v>1.2</v>
    <v>8.5369999999999999E-4</v>
    <v>INR</v>
    <v>Deepak Fertilisers and Petrochemicals Corporation Limited is primarily engaged in the business of the manufacture, trading, and sale of bulk chemicals. It also has operations in value added real estate. It operates through three segments: Chemicals, Bulk Fertilizers, and Realty. Its Chemicals segment offers products, such as ammonia, methanol, dilute nitric acid, concentrated nitric acid, carbon dioxide (CO2), technical ammonium nitrate, iso-propyl alcohol, propane, bulk, and specialty chemicals. Its Bulk Fertilizers segment offers products, such as Nitro Phosphate (NP), Muriate of potash, Diammonium phosphate (DAP), Ammonium Sulphate, Mixtures, Single super phosphate, Sulphur, Micronutrients, Single superphosphate (SSF) and Bio Fertilizers. Its Realty segment includes the real estate business. Its subsidiaries include Mahadhan AgriTech Ltd. (MAL), Platinum Blasting Services (Logistics) Pty Ltd, Performance Chemiserve Limited (PCL), SCM Fertichem Limited (SCMFL), and others.</v>
    <v>1018</v>
    <v>National Stock Exchange of India</v>
    <v>XNSE</v>
    <v>XNSE</v>
    <v>Sai Hira, Survey No. 93, Mundhwa,, PUNE, MAHARASHTRA, 411036 IN</v>
    <v>1425</v>
    <v>Chemicals</v>
    <v>Stock</v>
    <v>46176.466840277775</v>
    <v>728</v>
    <v>1376.3</v>
    <v>154578200000</v>
    <v>DEEPAK FERTILISERS AND PETROCHEMICALS CORPORATION LTD</v>
    <v>DEEPAK FERTILISERS AND PETROCHEMICALS CORPORATION LTD</v>
    <v>1410</v>
    <v>24.09</v>
    <v>1405.7</v>
    <v>1406.9</v>
    <v>126237800</v>
    <v>DEEPAKFERT</v>
    <v>DEEPAK FERTILISERS AND PETROCHEMICALS CORPORATION LTD (XNSE:DEEPAKFERT)</v>
    <v>202110</v>
    <v>653980</v>
    <v>1979</v>
  </rv>
  <rv s="2">
    <v>729</v>
  </rv>
  <rv s="0">
    <v>https://www.bing.com/financeapi/forcetrigger?t=ahkcec&amp;q=XNSE%3aTHERMAX&amp;form=skydnc</v>
    <v>Learn more on Bing</v>
  </rv>
  <rv s="1">
    <v>en-IN</v>
    <v>ahkcec</v>
    <v>268435456</v>
    <v>1</v>
    <v>Powered by Refinitiv</v>
    <v>0</v>
    <v>THERMAX LIMITED. (XNSE:THERMAX)</v>
    <v>2</v>
    <v>3</v>
    <v>Finance</v>
    <v>4</v>
    <v>5075</v>
    <v>2742.7</v>
    <v>0.34810000000000002</v>
    <v>-185.2</v>
    <v>-3.7266000000000001E-2</v>
    <v>INR</v>
    <v>Thermax Limited is an India-based energy and environment solutions provider. The Company's segments include Industrial Products, Industrial Infra, Green Solutions and Chemical. Industrial Products segment includes air pollution control, cooling, heating, water and waste solutions, and specialized services. Industrial Infra segment includes boilers and fired heaters, projects and energy solutions, and specialized services. Green Solutions segment includes build-own-operate, energy management solutions, green hydrogen projects and renewable energy (solar/wind). Chemical segment includes construction chemicals, ion exchange resins, oil field chemicals and performance chemicals. Its Thermax EDGE Live is a digital solution that uses AI and machine learning to analyze data from all industrial equipment worldwide and help clients to optimize asset performance in terms of up time and efficiency. It serves various industries, including aviation, construction, biotechnology and chemicals.</v>
    <v>3704</v>
    <v>National Stock Exchange of India</v>
    <v>XNSE</v>
    <v>XNSE</v>
    <v>THERMAX HOUSE, 14, MUMBAI-PUNE ROAD, WAKDEWADI,, MAHARASHTRA, 411003 IN</v>
    <v>4959</v>
    <v>Machinery, Equipment &amp; Components</v>
    <v>Stock</v>
    <v>46176.466840277775</v>
    <v>731</v>
    <v>4722.1000000000004</v>
    <v>333912500000</v>
    <v>THERMAX LIMITED.</v>
    <v>THERMAX LIMITED.</v>
    <v>4959</v>
    <v>74.819999999999993</v>
    <v>4969.7</v>
    <v>4784.5</v>
    <v>112648700</v>
    <v>THERMAX</v>
    <v>THERMAX LIMITED. (XNSE:THERMAX)</v>
    <v>323481</v>
    <v>425620</v>
    <v>1980</v>
  </rv>
  <rv s="2">
    <v>732</v>
  </rv>
  <rv s="0">
    <v>https://www.bing.com/financeapi/forcetrigger?t=ahip9c&amp;q=XNSE%3aKTKBANK&amp;form=skydnc</v>
    <v>Learn more on Bing</v>
  </rv>
  <rv s="1">
    <v>en-IN</v>
    <v>ahip9c</v>
    <v>268435456</v>
    <v>1</v>
    <v>Powered by Refinitiv</v>
    <v>0</v>
    <v>THE KARNATAKA BANK LIMITED (XNSE:KTKBANK)</v>
    <v>2</v>
    <v>3</v>
    <v>Finance</v>
    <v>4</v>
    <v>278.39999999999998</v>
    <v>169.12</v>
    <v>0.9768</v>
    <v>3.6</v>
    <v>1.3635999999999999E-2</v>
    <v>INR</v>
    <v>The Karnataka Bank Limited is a banking company, which provides range of banking and financial services involving retail, corporate / wholesale banking, para-banking activities, treasury operations, and foreign exchange business. Its segments: Treasury, Corporate and Wholesale Banking, Retail Banking and Other Banking Operations. The Corporate and Wholesale Banking business encompasses a diverse portfolio tailored to meet the needs of large companies, public enterprises, and private firms. Within the Retail segment, the Company offers an array of credit products, such as home loans, automobile loans, personal loans, education loans, loans against term deposits, loans against securities, gold loans, small business loans and agriculture loans. The Treasury operations encompass a range of activities aimed at managing statutory reserves, liquidity, investments and foreign exchange. It Other Banking Operations includes mutual funds, depository services, priority sector lending, and others.</v>
    <v>8750</v>
    <v>National Stock Exchange of India</v>
    <v>XNSE</v>
    <v>XNSE</v>
    <v>KARNATAKA BANK LTD REGD. AND HEAD OFFICE, P.B.NO.599, MAHAVEERA CIRCLE KANKANADY, MANGALORE, KARNATAKA, 575002 IN</v>
    <v>269.64999999999998</v>
    <v>Banking Services</v>
    <v>Stock</v>
    <v>46176.466851851852</v>
    <v>734</v>
    <v>257.14999999999998</v>
    <v>70486410000</v>
    <v>THE KARNATAKA BANK LIMITED</v>
    <v>THE KARNATAKA BANK LIMITED</v>
    <v>264.10000000000002</v>
    <v>7.72</v>
    <v>264</v>
    <v>267.60000000000002</v>
    <v>378190100</v>
    <v>KTKBANK</v>
    <v>THE KARNATAKA BANK LIMITED (XNSE:KTKBANK)</v>
    <v>2909567</v>
    <v>4792790</v>
    <v>1924</v>
  </rv>
  <rv s="2">
    <v>735</v>
  </rv>
  <rv s="0">
    <v>https://www.bing.com/financeapi/forcetrigger?t=ahgrc7&amp;q=XNSE%3aADANITRANS&amp;form=skydnc</v>
    <v>Learn more on Bing</v>
  </rv>
  <rv s="1">
    <v>en-IN</v>
    <v>ahgrc7</v>
    <v>268435456</v>
    <v>1</v>
    <v>Powered by Refinitiv</v>
    <v>0</v>
    <v>ADANI ENERGY SOLUTIONS LIMITED (XNSE:ADANIENSOL)</v>
    <v>2</v>
    <v>3</v>
    <v>Finance</v>
    <v>4</v>
    <v>1578.5</v>
    <v>744.9</v>
    <v>2.2471999999999999</v>
    <v>-37.5</v>
    <v>-2.4500000000000001E-2</v>
    <v>INR</v>
    <v>Adani Energy Solutions Limited is an India-based holding company. The Company is a private utility providing end-to-end energy solutions. Its segments include Transmission, GTD Business, Smart Metering, and Trading. The Transmission segment is engaged in providing transmission lines for transmission of power. The GTD Business segment is engaged in the generation, transmission, and distribution (GTD) of power business for Mumbai city (Mumbai GTD Business) and Mundra distribution. The Smart Metering segment focuses on supply, installing and maintaining of a Smart Metering Project on a Design-Build-Finance-Own-Operate-Transfer (DBFOOT) basis. The Trading segment is involved in trading activity of goods. It owns and operates various high voltage AC transmission lines and substations. It also offers cooling solutions and others. The Company has approximately 21,783 circuit kilometers (ckm) of transmission lines and 61,686 mega volt amp (MVA) of transformation capacity.</v>
    <v>3514</v>
    <v>National Stock Exchange of India</v>
    <v>XNSE</v>
    <v>XNSE</v>
    <v>Adani Corporate House, Shantigram, Near Vaishno Devi Circle, S G Highway, S. G. Highway, Khodiyar, AHMEDABAD, GUJARAT, 382421 IN</v>
    <v>1532</v>
    <v>Electrical Utilities &amp; IPPs</v>
    <v>Stock</v>
    <v>46176.466851851852</v>
    <v>737</v>
    <v>1445</v>
    <v>1120196000000</v>
    <v>ADANI ENERGY SOLUTIONS LIMITED</v>
    <v>ADANI ENERGY SOLUTIONS LIMITED</v>
    <v>1531.5</v>
    <v>78.58</v>
    <v>1530.6</v>
    <v>1493.1</v>
    <v>1201283000</v>
    <v>ADANIENSOL</v>
    <v>ADANI ENERGY SOLUTIONS LIMITED (XNSE:ADANIENSOL)</v>
    <v>4433558</v>
    <v>3838940</v>
    <v>2013</v>
  </rv>
  <rv s="2">
    <v>738</v>
  </rv>
  <rv s="0">
    <v>https://www.bing.com/financeapi/forcetrigger?t=ahgwsm&amp;q=XNSE%3aAPOLLOHOSP&amp;form=skydnc</v>
    <v>Learn more on Bing</v>
  </rv>
  <rv s="1">
    <v>en-IN</v>
    <v>ahgwsm</v>
    <v>268435456</v>
    <v>1</v>
    <v>Powered by Refinitiv</v>
    <v>0</v>
    <v>APOLLO HOSPITALS ENTERPRISE LIMITED (XNSE:APOLLOHOSP)</v>
    <v>2</v>
    <v>3</v>
    <v>Finance</v>
    <v>4</v>
    <v>8443</v>
    <v>6696.5</v>
    <v>0.73280000000000001</v>
    <v>201</v>
    <v>2.4847000000000001E-2</v>
    <v>INR</v>
    <v>Apollo Hospitals Enterprise Limited is an integrated healthcare company. It is engaged in the business of providing hospital services and selling pharma and wellness products through a network of pharmacies, including the operation of multidisciplinary private hospitals, clinics, diagnostic centers and pharmacies. It is engaged in hospitals and hospitals-based services. The Company's segments include Healthcare Services, Retail Health and Diagnostics, Digital Health and Pharmacy Distribution, and Others. The Retail Health and Diagnostics segment include clinics, diagnostics, Spectra, Cradle, Sugar, Dental and Dialysis business. The Digital Health and Pharmacy Distribution segment is engaged in the business of procurement and distribution of pharmaceuticals, fast-moving consumer goods and private label products business from various services using the digital platform. The Company has approximately 10,100 plus beds across 73 hospitals and 6,600 plus pharmacies.</v>
    <v>42497</v>
    <v>National Stock Exchange of India</v>
    <v>XNSE</v>
    <v>XNSE</v>
    <v>"Ali Towers" Ill Floor, #55, Greams Road, CHENNAI, TAMIL NADU, 600006 IN</v>
    <v>8317.5</v>
    <v>Healthcare Providers &amp; Services</v>
    <v>Stock</v>
    <v>46176.466840277775</v>
    <v>740</v>
    <v>8109.5</v>
    <v>1051282000000</v>
    <v>APOLLO HOSPITALS ENTERPRISE LIMITED</v>
    <v>APOLLO HOSPITALS ENTERPRISE LIMITED</v>
    <v>8109.5</v>
    <v>61.39</v>
    <v>8089.5</v>
    <v>8290.5</v>
    <v>143784700</v>
    <v>APOLLOHOSP</v>
    <v>APOLLO HOSPITALS ENTERPRISE LIMITED (XNSE:APOLLOHOSP)</v>
    <v>724687</v>
    <v>566360</v>
    <v>1979</v>
  </rv>
  <rv s="2">
    <v>741</v>
  </rv>
  <rv s="0">
    <v>https://www.bing.com/financeapi/forcetrigger?t=ahjif2&amp;q=XNSE%3aPRECWIRE&amp;form=skydnc</v>
    <v>Learn more on Bing</v>
  </rv>
  <rv s="1">
    <v>en-IN</v>
    <v>ahjif2</v>
    <v>268435456</v>
    <v>1</v>
    <v>Powered by Refinitiv</v>
    <v>0</v>
    <v>PRECISION WIRES INDIA LIMITED (XNSE:PRECWIRE)</v>
    <v>2</v>
    <v>3</v>
    <v>Finance</v>
    <v>4</v>
    <v>467.5</v>
    <v>168.51</v>
    <v>1.4359999999999999</v>
    <v>8.25</v>
    <v>1.9255000000000001E-2</v>
    <v>INR</v>
    <v>Precision Wires India Limited is an India-based company, which is engaged in the manufacturing of enameled round and rectangular copper winding wires, continuously transposed conductors (CTC) and paper/mica/Nomex insulated copper conductors (PICC) which are used by the electrical/electronic industries. It operates in winding wires made of copper segment. Its products include enameled round winding wires, enameled rectangular winding wires, continuously transposed conductors, paper-insulated copper conductors, and submersible winding wires. Its enameled round copper wires are used in electrical machines such as motors, generators, transformers, household appliances, auto-electrical, refrigeration (hermetic) motors, electrical hand tools, fans, switchgear, coils and relays, ballasts and more, mainly in low voltage applications. Its submersible winding wires are used in submersible pumps/motors of all sizes for agricultural, domestic, and industrial applications.</v>
    <v>704</v>
    <v>National Stock Exchange of India</v>
    <v>XNSE</v>
    <v>XNSE</v>
    <v>SAIMAN HSC, 2ND FLR, 1ST KHEDGALL,, KHED GALLI, PRABHADEVI, MAHARASHTRA, 400025 IN</v>
    <v>439</v>
    <v>Machinery, Equipment &amp; Components</v>
    <v>Stock</v>
    <v>46176.466840277775</v>
    <v>743</v>
    <v>427.75</v>
    <v>41484660000</v>
    <v>PRECISION WIRES INDIA LIMITED</v>
    <v>PRECISION WIRES INDIA LIMITED</v>
    <v>429.85</v>
    <v>50.25</v>
    <v>428.45</v>
    <v>436.7</v>
    <v>182808000</v>
    <v>PRECWIRE</v>
    <v>PRECISION WIRES INDIA LIMITED (XNSE:PRECWIRE)</v>
    <v>305731</v>
    <v>1113520</v>
    <v>1989</v>
  </rv>
  <rv s="2">
    <v>744</v>
  </rv>
  <rv s="0">
    <v>https://www.bing.com/financeapi/forcetrigger?t=c3jhoc&amp;q=XNSE%3aSANSERA&amp;form=skydnc</v>
    <v>Learn more on Bing</v>
  </rv>
  <rv s="1">
    <v>en-IN</v>
    <v>c3jhoc</v>
    <v>268435456</v>
    <v>1</v>
    <v>Powered by Refinitiv</v>
    <v>0</v>
    <v>SANSERA ENGINEERING LIMITED (XNSE:SANSERA)</v>
    <v>2</v>
    <v>3</v>
    <v>Finance</v>
    <v>4</v>
    <v>2992.2</v>
    <v>1216.3</v>
    <v>1.2909999999999999</v>
    <v>-38.5</v>
    <v>-1.3036000000000001E-2</v>
    <v>INR</v>
    <v>Sansera Engineering Limited is an India-based engineering-led integrated manufacturer of complex and critical precision-engineered components such as forged and machined components across the automotive and non-automotive sectors. In the automotive sector, the Company manufactures and supplies a wide range of precision forged and machined components and assemblies, such as connecting rods, rocker arms, crankshafts, gear shifter fork, step holders, aluminum forged parts, generator shafts, a variety of systems including engine, transmission, suspension, chassis, braking systems, and other systems for the two-wheeler, passenger vehicle, and commercial vehicle verticals. In the non-automotive sector, the Company manufactures and supplies a wide range of precision components for the aerospace, off-road, agriculture and other segments, including engineering and capital goods. Its subsidiaries include Fitwel Tools and Forgings Private Limited and Sansera Engineering Limited Mauritius.</v>
    <v>2534</v>
    <v>National Stock Exchange of India</v>
    <v>XNSE</v>
    <v>XNSE</v>
    <v>Plant-7, No.143/A, Jigani Link Road Bommasandra Industrial area, Anekal Taluk, KARNATAKA, 560105 IN</v>
    <v>2992</v>
    <v>Automobiles &amp; Auto Parts</v>
    <v>Stock</v>
    <v>46176.466851851852</v>
    <v>746</v>
    <v>2892.4</v>
    <v>113410000000</v>
    <v>SANSERA ENGINEERING LIMITED</v>
    <v>SANSERA ENGINEERING LIMITED</v>
    <v>2953.2</v>
    <v>55.87</v>
    <v>2953.3</v>
    <v>2914.8</v>
    <v>62332050</v>
    <v>SANSERA</v>
    <v>SANSERA ENGINEERING LIMITED (XNSE:SANSERA)</v>
    <v>301913</v>
    <v>623580</v>
    <v>1981</v>
  </rv>
  <rv s="2">
    <v>747</v>
  </rv>
  <rv s="0">
    <v>https://www.bing.com/financeapi/forcetrigger?t=ahjrvh&amp;q=XNSE%3aSAIL&amp;form=skydnc</v>
    <v>Learn more on Bing</v>
  </rv>
  <rv s="1">
    <v>en-IN</v>
    <v>ahjrvh</v>
    <v>268435456</v>
    <v>1</v>
    <v>Powered by Refinitiv</v>
    <v>0</v>
    <v>STEEL AUTHORITY OF INDIA LIMITED (XNSE:SAIL)</v>
    <v>2</v>
    <v>3</v>
    <v>Finance</v>
    <v>4</v>
    <v>209.7</v>
    <v>118.1</v>
    <v>1.1625000000000001</v>
    <v>-1.98</v>
    <v>-9.6189999999999991E-3</v>
    <v>INR</v>
    <v>Steel Authority of India Limited is an India-based company, which is engaged in the steel manufacturing business. The Company is engaged in the manufacturing and sale of iron and steel products. Its business includes integrated steel plants and special steel plants. Its steel plants include Bhilai Steel Plant, Chhattisgarh; Durgapur Steel Plant, West Bengal; Rourkela Steel Plant, Odisha; Bokaro Steel Plant, Jharkhand; IISCO Steel Plant, West Bengal; Alloy Steels Plant, West Bengal; Salem Steel Plant, Tamil Nadu; Visvesvaraya Iron &amp; Steel Plant, Karnataka, and Chandrapur Ferro Alloy Plant, Maharashtra. Its products include Pig Iron, Cold Rolled Products, Pipes, SAIL TMT Bars, Structurals, Galvanished products, Wire rods, PM Plates, Stainless Steel Products, Electrical Steels, Wheels and Axles, SAIL SeQR TMT Bars, Railway Products, Hot Rolled Products, and others. The Company's subsidiaries include SAIL Refractory Company Limited and Chhattisgarh Mega Steel Limited.</v>
    <v>53159</v>
    <v>National Stock Exchange of India</v>
    <v>XNSE</v>
    <v>XNSE</v>
    <v>Ispat Bhawan, Lodi Road, NEW DELHI, DELHI, 110003 IN</v>
    <v>206.9</v>
    <v>Metals &amp; Mining</v>
    <v>Stock</v>
    <v>46176.466840277775</v>
    <v>749</v>
    <v>200.71</v>
    <v>610326400000</v>
    <v>STEEL AUTHORITY OF INDIA LIMITED</v>
    <v>STEEL AUTHORITY OF INDIA LIMITED</v>
    <v>206.69</v>
    <v>24.98</v>
    <v>205.85</v>
    <v>203.87</v>
    <v>4130525000</v>
    <v>SAIL</v>
    <v>STEEL AUTHORITY OF INDIA LIMITED (XNSE:SAIL)</v>
    <v>10280547</v>
    <v>26099430</v>
    <v>1973</v>
  </rv>
  <rv s="2">
    <v>750</v>
  </rv>
  <rv s="0">
    <v>https://www.bing.com/financeapi/forcetrigger?t=ahhyar&amp;q=XNSE%3aGOODLUCK&amp;form=skydnc</v>
    <v>Learn more on Bing</v>
  </rv>
  <rv s="1">
    <v>en-IN</v>
    <v>ahhyar</v>
    <v>268435456</v>
    <v>1</v>
    <v>Powered by Refinitiv</v>
    <v>0</v>
    <v>GOODLUCK INDIA LIMITED (XNSE:GOODLUCK)</v>
    <v>2</v>
    <v>3</v>
    <v>Finance</v>
    <v>4</v>
    <v>1475</v>
    <v>915</v>
    <v>1.0931999999999999</v>
    <v>23.7</v>
    <v>1.7956E-2</v>
    <v>INR</v>
    <v>Goodluck India Limited is engaged in the business of manufacturing and sale of engineering products including heavy engineered structures, transmission and distribution towers, cold drawn welded (CDW) Tubes, precision tubes, pipes, sheets and forged engineering products. It is in the business of manufacturing iron and steel products. Its products include Electric Resistance Welded (ERW) precision and CDW Tubes, Forged Flanges, Custom Forgings, Power and Telecom Towers, Solar Structures, ERW Hot Dip Galvanized Pipes, Black Pipes, Black and GI Hollow Sections, Road Safety Product Galvanized Plain and Corrugated Sheets. Its products are being used by end-customers, such as automobile manufacturers, infrastructure, engineering industries, defense, aerospace, oil and gas industries and others. The Company operates through over six manufacturing facilities. It has a presence in approximately 100 countries across the globe.</v>
    <v>3337</v>
    <v>National Stock Exchange of India</v>
    <v>XNSE</v>
    <v>XNSE</v>
    <v>509, ARUNACHAL BUILDING, BARAKHAMBA ROAD, CONNAUGHT PLACE,, DELHI, 110001 IN</v>
    <v>1349.9</v>
    <v>Metals &amp; Mining</v>
    <v>Stock</v>
    <v>46176.466851851852</v>
    <v>752</v>
    <v>1296.5999999999999</v>
    <v>38054770000</v>
    <v>GOODLUCK INDIA LIMITED</v>
    <v>GOODLUCK INDIA LIMITED</v>
    <v>1313.1</v>
    <v>23.96</v>
    <v>1319.9</v>
    <v>1343.6</v>
    <v>33238510</v>
    <v>GOODLUCK</v>
    <v>GOODLUCK INDIA LIMITED (XNSE:GOODLUCK)</v>
    <v>131828</v>
    <v>307650</v>
    <v>1986</v>
  </rv>
  <rv s="2">
    <v>753</v>
  </rv>
  <rv s="0">
    <v>https://www.bing.com/financeapi/forcetrigger?t=ahjuhw&amp;q=XNSE%3aSCHNEIDER&amp;form=skydnc</v>
    <v>Learn more on Bing</v>
  </rv>
  <rv s="1">
    <v>en-IN</v>
    <v>ahjuhw</v>
    <v>268435456</v>
    <v>1</v>
    <v>Powered by Refinitiv</v>
    <v>0</v>
    <v>SCHNEIDER ELECTRIC INFRASTRUCTURE LIMITED (XNSE:SCHNEIDER)</v>
    <v>2</v>
    <v>3</v>
    <v>Finance</v>
    <v>4</v>
    <v>1417.8</v>
    <v>571.85</v>
    <v>0.89419999999999999</v>
    <v>-59</v>
    <v>-4.9945000000000003E-2</v>
    <v>INR</v>
    <v>Schneider Electric Infrastructure Limited is an India-based company engaged in the business of manufacturing, designing, building and servicing technologically advanced products and systems for electricity distribution, including products such as distribution transformers, medium-voltage switchgear, medium and low-voltage protection relays and electricity distribution and automation equipment. Its product categories include transformers, components, ring main units, and automation. The Company offers electricity distribution management systems, power transformers, substation automation systems, including power management systems, controllers, remote terminal units, communication elements, graphical user interfaces, engineering tools, simulation tools, and others. It also provides medium voltage distribution and grid automation products and low voltage products and systems. It offers the EcoStruxure platform, which monitors energy consumption and electrical assets in real time.</v>
    <v>1473</v>
    <v>National Stock Exchange of India</v>
    <v>XNSE</v>
    <v>XNSE</v>
    <v>9th Floor, DLF Building No. 10,, Tower-C, DLF Cyber City, Phase-II,, GURGAON, HARYANA, 122002 IN</v>
    <v>1122.3</v>
    <v>Machinery, Equipment &amp; Components</v>
    <v>Stock</v>
    <v>46176.466909722221</v>
    <v>755</v>
    <v>1122.3</v>
    <v>150396400000</v>
    <v>SCHNEIDER ELECTRIC INFRASTRUCTURE LIMITED</v>
    <v>SCHNEIDER ELECTRIC INFRASTRUCTURE LIMITED</v>
    <v>1122.3</v>
    <v>126.24</v>
    <v>1181.3</v>
    <v>1122.3</v>
    <v>239104000</v>
    <v>SCHNEIDER</v>
    <v>SCHNEIDER ELECTRIC INFRASTRUCTURE LIMITED (XNSE:SCHNEIDER)</v>
    <v>52580</v>
    <v>246300</v>
    <v>2011</v>
  </rv>
  <rv s="2">
    <v>756</v>
  </rv>
  <rv s="0">
    <v>https://www.bing.com/financeapi/forcetrigger?t=ahgr9c&amp;q=XNSE%3aADANIPOWER&amp;form=skydnc</v>
    <v>Learn more on Bing</v>
  </rv>
  <rv s="1">
    <v>en-IN</v>
    <v>ahgr9c</v>
    <v>268435456</v>
    <v>1</v>
    <v>Powered by Refinitiv</v>
    <v>0</v>
    <v>ADANI POWER LIMITED (XNSE:ADANIPOWER)</v>
    <v>2</v>
    <v>3</v>
    <v>Finance</v>
    <v>4</v>
    <v>254.2</v>
    <v>105.42</v>
    <v>1.1669</v>
    <v>-3.41</v>
    <v>-1.4453000000000001E-2</v>
    <v>INR</v>
    <v>Adani Power Limited is an India-based private base load power generation company. The Company has an installed thermal power capacity of approximately 18,150 megawatts (MW) spread over 13 power plants and a 40 MW solar power plant in Gujarat. Its segments include Power Generation and related activities and Trading, Investment and other activities. It sells power generated from its projects under a combination of long-term power purchase agreements (PPAs), supplemental power purchase agreements (SPPAs), medium-term PPA, short-term PPA, and on a merchant basis. Its power plants are located in various locations, including Mundra, Gujarat; Tiroda and Butibori, Maharashtra; Kawai, Rajasthan; Udupi, Karnataka; Raipur, Chhattisgarh; Raigarh, Chhattisgarh; Godda, Jharkhand; Singrauli, Madhya Pradesh (ongoing expansion); Singrauli, Madhya Pradesh, and Bitta, Gujarat. Its Udupi power plant operates as an imported coal-based utility with a capacity of approximately 1.2 gigawatts (GW).</v>
    <v>3967</v>
    <v>National Stock Exchange of India</v>
    <v>XNSE</v>
    <v>XNSE</v>
    <v>Adani Corporate House, Shantigram, Near Vaishno Devi Circle,, S. G. Highway, Khodiyar, AHMEDABAD, GUJARAT, 382421 IN</v>
    <v>237.15</v>
    <v>Electrical Utilities &amp; IPPs</v>
    <v>Stock</v>
    <v>46176.466874999998</v>
    <v>758</v>
    <v>229.43</v>
    <v>2765040000000</v>
    <v>ADANI POWER LIMITED</v>
    <v>ADANI POWER LIMITED</v>
    <v>237</v>
    <v>34.85</v>
    <v>235.93</v>
    <v>232.52</v>
    <v>19284700000</v>
    <v>ADANIPOWER</v>
    <v>ADANI POWER LIMITED (XNSE:ADANIPOWER)</v>
    <v>22600806</v>
    <v>52041480</v>
    <v>1996</v>
  </rv>
  <rv s="2">
    <v>759</v>
  </rv>
  <rv s="0">
    <v>https://www.bing.com/financeapi/forcetrigger?t=ahh7cw&amp;q=XNSE%3aBHEL&amp;form=skydnc</v>
    <v>Learn more on Bing</v>
  </rv>
  <rv s="1">
    <v>en-IN</v>
    <v>ahh7cw</v>
    <v>268435456</v>
    <v>1</v>
    <v>Powered by Refinitiv</v>
    <v>0</v>
    <v>BHARAT HEAVY ELECTRICALS LIMITED (XNSE:BHEL)</v>
    <v>2</v>
    <v>3</v>
    <v>Finance</v>
    <v>4</v>
    <v>424.9</v>
    <v>205.12</v>
    <v>1.8568</v>
    <v>-4.45</v>
    <v>-1.0834E-2</v>
    <v>INR</v>
    <v>Bharat Heavy Electricals Limited is an engineering and manufacturing company. The Company offers comprehensive products, systems, and services in various areas, including power generation (thermal, hydro, gas, nuclear, and solar photovoltaic), transmission, transportation, defense, aerospace, oil and gas, and emerging sectors like battery energy storage systems and electric vehicle chargers. The Company operates through two business segments: Power and Industry. The Power segment comprises thermal, gas, hydro and nuclear power plant businesses, spares and services businesses, apart from new businesses of coal to chemicals, emission control equipment and spares. The Industry segment caters to major equipment supplies and engineering, procurement and construction (EPC) works for a number of industries, including transportation, transmission, defense, aerospace, captive power plants, process industries, renewables, downstream oil &amp; gas, and energy storage, among others.</v>
    <v>41132</v>
    <v>National Stock Exchange of India</v>
    <v>XNSE</v>
    <v>XNSE</v>
    <v>BHEL HOUSE SIRI FORT, DELHI, 110049 IN</v>
    <v>412.65</v>
    <v>Machinery, Equipment &amp; Components</v>
    <v>Stock</v>
    <v>46176.466840277775</v>
    <v>761</v>
    <v>397.3</v>
    <v>924661900000</v>
    <v>BHARAT HEAVY ELECTRICALS LIMITED</v>
    <v>BHARAT HEAVY ELECTRICALS LIMITED</v>
    <v>410.75</v>
    <v>88.33</v>
    <v>410.75</v>
    <v>406.3</v>
    <v>3482063000</v>
    <v>BHEL</v>
    <v>BHARAT HEAVY ELECTRICALS LIMITED (XNSE:BHEL)</v>
    <v>10000048</v>
    <v>10635210</v>
    <v>1964</v>
  </rv>
  <rv s="2">
    <v>762</v>
  </rv>
  <rv s="0">
    <v>https://www.bing.com/financeapi/forcetrigger?t=ahhup2&amp;q=XNSE%3aGEPIL&amp;form=skydnc</v>
    <v>Learn more on Bing</v>
  </rv>
  <rv s="1">
    <v>en-IN</v>
    <v>ahhup2</v>
    <v>268435456</v>
    <v>1</v>
    <v>Powered by Refinitiv</v>
    <v>0</v>
    <v>GE POWER INDIA LIMITED (XNSE:GVPIL)</v>
    <v>2</v>
    <v>3</v>
    <v>Finance</v>
    <v>4</v>
    <v>897.4</v>
    <v>253.2</v>
    <v>1.8704000000000001</v>
    <v>9.5</v>
    <v>1.106E-2</v>
    <v>INR</v>
    <v>GE Power India Ltd is an India‑based industrial engineering company. The Company provides power generation equipment and infrastructure solutions. It undertakes engineering, procurement, manufacturing, construction, project management and servicing of power plants and related equipment. It offers boilers, mills, steam generators, air quality control systems and automation and control systems, and delivers solutions across steam, hydro and gas power technologies, including emission control and plant services. It operates manufacturing facilities at Durgapur and engineering centers in Noida and supports domestic and international projects. It operates within GE Vernova’s Power segment and serves power generation and industrial sectors.</v>
    <v>1070</v>
    <v>National Stock Exchange of India</v>
    <v>XNSE</v>
    <v>XNSE</v>
    <v>C/O REGUS MAGNUM BUSINESS CENTERS PRIVATE LIMITED 11TH FLOOR, PLATINA, BLOCK G, PLOT C-59 BKC, BANDRA (E), MAHARASHTRA, 400051 IN</v>
    <v>893.95</v>
    <v>Construction &amp; Engineering</v>
    <v>Stock</v>
    <v>46176.466851851852</v>
    <v>764</v>
    <v>850</v>
    <v>20467400000</v>
    <v>GE POWER INDIA LIMITED</v>
    <v>GE POWER INDIA LIMITED</v>
    <v>876</v>
    <v>18.84</v>
    <v>858.95</v>
    <v>868.45</v>
    <v>67227470</v>
    <v>GVPIL</v>
    <v>GE POWER INDIA LIMITED (XNSE:GVPIL)</v>
    <v>554623</v>
    <v>591520</v>
    <v>1992</v>
  </rv>
  <rv s="2">
    <v>765</v>
  </rv>
  <rv s="0">
    <v>https://www.bing.com/financeapi/forcetrigger?t=ahhlvh&amp;q=XNSE%3aDSSL&amp;form=skydnc</v>
    <v>Learn more on Bing</v>
  </rv>
  <rv s="1">
    <v>en-IN</v>
    <v>ahhlvh</v>
    <v>268435456</v>
    <v>1</v>
    <v>Powered by Refinitiv</v>
    <v>0</v>
    <v>DYNACONS SYSTEMS AND SOLUTIONS LIMITED (XNSE:DSSL)</v>
    <v>2</v>
    <v>3</v>
    <v>Finance</v>
    <v>4</v>
    <v>1924.8</v>
    <v>781</v>
    <v>0.21690000000000001</v>
    <v>-75.099999999999994</v>
    <v>-4.9970000000000001E-2</v>
    <v>INR</v>
    <v>Dynacons Systems and Solutions Limited is an India-based information technology (IT) company. The Company's segments include system integration and technology workforce augmentation services. It undertakes all activities related to IT infrastructure including infrastructure design and consulting services, turnkey systems integration and set up of large network and data center infrastructures including supply of associated equipment and software; hyper converged infrastructure solutions, setup of private and public cloud, software defined network and software defined storage solutions, network infrastructure design and setup for ISPs, VDI Solutions, onsite and remote facilities management of multi- location infrastructure of domestic clients. Its enterprise services offerings include a spectrum of enterprise IT services including infrastructure managed services, break fix services, managed print services, cloud computing and applications development and maintenance.</v>
    <v>1013</v>
    <v>National Stock Exchange of India</v>
    <v>XNSE</v>
    <v>XNSE</v>
    <v>78, RATNA JYOT INDUSTRIAL ESTATE IRLA LANE, VILE PARLE WEST, MAHARASHTRA, 400056 IN</v>
    <v>1517.6</v>
    <v>Software &amp; IT Services</v>
    <v>Stock</v>
    <v>46176.466898148145</v>
    <v>767</v>
    <v>1427.8</v>
    <v>12967110000</v>
    <v>DYNACONS SYSTEMS AND SOLUTIONS LIMITED</v>
    <v>DYNACONS SYSTEMS AND SOLUTIONS LIMITED</v>
    <v>1503</v>
    <v>21.43</v>
    <v>1502.9</v>
    <v>1427.8</v>
    <v>12737080</v>
    <v>DSSL</v>
    <v>DYNACONS SYSTEMS AND SOLUTIONS LIMITED (XNSE:DSSL)</v>
    <v>86265</v>
    <v>388280</v>
    <v>1995</v>
  </rv>
  <rv s="2">
    <v>768</v>
  </rv>
  <rv s="0">
    <v>https://www.bing.com/financeapi/forcetrigger?t=ahiwu2&amp;q=XNSE%3aMAYURUNIQ&amp;form=skydnc</v>
    <v>Learn more on Bing</v>
  </rv>
  <rv s="1">
    <v>en-IN</v>
    <v>ahiwu2</v>
    <v>268435456</v>
    <v>1</v>
    <v>Powered by Refinitiv</v>
    <v>0</v>
    <v>MAYUR UNIQUOTERS LIMITED (XNSE:MAYURUNIQ)</v>
    <v>2</v>
    <v>3</v>
    <v>Finance</v>
    <v>4</v>
    <v>805.75</v>
    <v>471.2</v>
    <v>0.56240000000000001</v>
    <v>-10.199999999999999</v>
    <v>-1.3687E-2</v>
    <v>INR</v>
    <v>Mayur Uniquoters Limited is an India-based manufacturer of artificial leather. The Company is engaged in the business of manufacturing coated textile fabrics, artificial leather and polyvinyl chloride (PVC) vinyl, which are used in different segments such as footwear, furnishings, automotive original equipment manufacturers, the automotive replacement market and automotive exports. It operates through a single segment: manufacturing and sale of PU/PVC Synthetic Leather. Its products include automotive, footwear, furnishings, and leather goods and garments. It offers a range of leather for the automotive industry, which is used in various parts, including seats, door trims, steering wheel covers, gear boot and knob covers, roof lining, sun visors and hoods. It offers products for various parts of footwear, such as shoe uppers, shoe lining and insoles. These products find application in formal shoes and boots, sports shoes, sandals, slippers as well as high-end women’s footwear.</v>
    <v>401</v>
    <v>National Stock Exchange of India</v>
    <v>XNSE</v>
    <v>XNSE</v>
    <v>JAIPUR-SIKAR ROAD VILLAGE : JAITPURA, TAHSIL : CHOMU DIST., RAJASTHAN, 303704 IN</v>
    <v>758.7</v>
    <v>Textiles &amp; Apparel</v>
    <v>Stock</v>
    <v>46176.466898148145</v>
    <v>770</v>
    <v>723.55</v>
    <v>21150550000</v>
    <v>MAYUR UNIQUOTERS LIMITED</v>
    <v>MAYUR UNIQUOTERS LIMITED</v>
    <v>758.7</v>
    <v>16.66</v>
    <v>745.25</v>
    <v>735.05</v>
    <v>43452600</v>
    <v>MAYURUNIQ</v>
    <v>MAYUR UNIQUOTERS LIMITED (XNSE:MAYURUNIQ)</v>
    <v>125593</v>
    <v>969910</v>
    <v>1992</v>
  </rv>
  <rv s="2">
    <v>771</v>
  </rv>
  <rv s="8">
    <v>en-IN</v>
    <v>ccbzp2</v>
    <v>268435456</v>
    <v>1</v>
    <v>Powered by Refinitiv</v>
    <v>15</v>
    <v>GRASIM INDUSTRIES LTD (XNSE:GRASIMPP1)</v>
    <v>6</v>
    <v>16</v>
    <v>Finance</v>
    <v>4</v>
    <v>1.046</v>
    <v>-4.8499999999999996</v>
    <v>-2.7810000000000001E-3</v>
    <v>INR</v>
    <v>Grasim Industries Limited is an India-based producer of cellulosic fibers, diversified chemicals, fashion yarn and fabrics producer. Its segments include Cellulosic Fibres, Chemicals, Building Material, Financial Service and Others. Its Cellulosic Fibres segment includes cellulosic staple fiber (CSF) and cellulosic fashion yarn (CFY). The Chemical segment includes chlor alkali, specialty chemicals and chlorine derivatives. The Building Material segment includes cement, paints and business to business (B2B) e-commerce businesses. The Others segment includes textiles, insulators and renewable power business. Its chlor-alkali business is engaged in the production of caustic soda, wide array of chlorine derivatives and specialty chemicals like epoxy polymers and curing agents. Its cement products include grey cement, white cement, ready mix concrete and wall putty products. Birla Pivot, the Company's the B2B e-commerce business unit, offers integrated procurement solutions.</v>
    <v>27327</v>
    <v>National Stock Exchange of India</v>
    <v>XNSE</v>
    <v>XNSE</v>
    <v>Aditya Birla Centre, A Wing, 2nd Floor, S. K. Ahire Marg, MUMBAI, MAHARASHTRA, 400030 IN</v>
    <v>1742.45</v>
    <v>Construction Materials</v>
    <v>Stock</v>
    <v>45638.505682870367</v>
    <v>1715.55</v>
    <v>1791501000000</v>
    <v>GRASIM INDUSTRIES LTD</v>
    <v>GRASIM INDUSTRIES LTD</v>
    <v>1726</v>
    <v>0</v>
    <v>1744.1</v>
    <v>1739.25</v>
    <v>678316300</v>
    <v>GRASIMPP1</v>
    <v>GRASIM INDUSTRIES LTD (XNSE:GRASIMPP1)</v>
    <v>8053</v>
    <v>1192970</v>
    <v>1947</v>
  </rv>
  <rv s="2">
    <v>773</v>
  </rv>
  <rv s="0">
    <v>https://www.bing.com/financeapi/forcetrigger?t=ahk8pr&amp;q=XNSE%3aTALBROAUTO&amp;form=skydnc</v>
    <v>Learn more on Bing</v>
  </rv>
  <rv s="1">
    <v>en-IN</v>
    <v>ahk8pr</v>
    <v>268435456</v>
    <v>1</v>
    <v>Powered by Refinitiv</v>
    <v>0</v>
    <v>TALBROS AUTOMOTIVE COMPONENTS LIMITED (XNSE:TALBROAUTO)</v>
    <v>2</v>
    <v>3</v>
    <v>Finance</v>
    <v>4</v>
    <v>372.8</v>
    <v>219.9</v>
    <v>0.95809999999999995</v>
    <v>10.6</v>
    <v>3.0962E-2</v>
    <v>INR</v>
    <v>Talbros Automotive Components Limited is an India-based company that is primarily engaged in the manufacturing of automotive components. The Company offers a range of products, including multi-layer steel gasket, exhaust manifold gasket, rubber molded gasket, cylinder head gasket, gasket with electrical controls, edge molded gasket and heat shield. It also offers other products, such as kingpins, gear blanks, housing and yoke shafts, power transmission parts for hybrid and electric drive, and vehicle structural parts. Its auto component has its presence across automobile categories in two-wheelers, passenger vehicles, commercial vehicles and farm equipment. It offers manufacturing capabilities, including three-dimensional (3D) modeling, dies and tool design, and 3D design. Its gasket manufacturing facilities are located in Faridabad, Haryana; Pune, Maharashtra, and Sitarganj, Uttarakhand. Its forging manufacturing facilities are located in Bawal, Haryana.</v>
    <v>580</v>
    <v>National Stock Exchange of India</v>
    <v>XNSE</v>
    <v>XNSE</v>
    <v>14/1, Mathura Road, FARIDABAD, HARYANA, 121003 IN</v>
    <v>357.85</v>
    <v>Automobiles &amp; Auto Parts</v>
    <v>Stock</v>
    <v>46176.466863425929</v>
    <v>775</v>
    <v>330.25</v>
    <v>16438210000</v>
    <v>TALBROS AUTOMOTIVE COMPONENTS LIMITED</v>
    <v>TALBROS AUTOMOTIVE COMPONENTS LIMITED</v>
    <v>340.2</v>
    <v>20.92</v>
    <v>342.35</v>
    <v>352.95</v>
    <v>61728150</v>
    <v>TALBROAUTO</v>
    <v>TALBROS AUTOMOTIVE COMPONENTS LIMITED (XNSE:TALBROAUTO)</v>
    <v>227685</v>
    <v>790380</v>
    <v>1956</v>
  </rv>
  <rv s="2">
    <v>776</v>
  </rv>
  <rv s="0">
    <v>https://www.bing.com/financeapi/forcetrigger?t=ahjuqh&amp;q=XNSE%3aSEAMECLTD&amp;form=skydnc</v>
    <v>Learn more on Bing</v>
  </rv>
  <rv s="1">
    <v>en-IN</v>
    <v>ahjuqh</v>
    <v>268435456</v>
    <v>1</v>
    <v>Powered by Refinitiv</v>
    <v>0</v>
    <v>SEAMEC LIMITED (XNSE:SEAMECLTD)</v>
    <v>2</v>
    <v>3</v>
    <v>Finance</v>
    <v>4</v>
    <v>1709.2</v>
    <v>752.55</v>
    <v>1.4039999999999999</v>
    <v>-26</v>
    <v>-1.5821999999999999E-2</v>
    <v>INR</v>
    <v>SEAMEC Limited is an India-based company, which is engaged in providing diving support vessels (DSVs) in the offshore oilfield industry. The Company operates Multi Support Vessels to provide support services including marine, construction and diving services to offshore oilfields and bulk carrier vessels for providing bulk carrier services. The Company has two operating segments, namely Domestic and Overseas. It owns and operates five DSVs, one Offshore Support Vessel (OSV), and one Barge. Its offshore fleet includes SEAMEC II, SEAMEC III, SEAMEC PRINCESS, SEAMEC PALADIN and SEAMEC SWORDFISH which are multi-support, multi-functional DSVs, SEAMEC DIAMOND which is an OSV and SEAMEC GLORIOUS which is an Accommodation Barge. It also owns and operates Bulk Carriers. It has two bulk carriers, namely SEAMEC GALLANT and ASIAN PEARL. The Company’s subsidiaries include SEAMEC International FZE, Seamec UK Investments Limited, Aarey Organic Industries Private Limited, among others.</v>
    <v>68</v>
    <v>National Stock Exchange of India</v>
    <v>XNSE</v>
    <v>XNSE</v>
    <v>A - 901 - 905, 9th Floor, 215 Atrium, Andheri Kurla Road, Andheri East, MUMBAI, MAHARASHTRA, 400093 IN</v>
    <v>1670</v>
    <v>Oil &amp; Gas Related Equipment and Services</v>
    <v>Stock</v>
    <v>46176.466840277775</v>
    <v>778</v>
    <v>1605</v>
    <v>26258940000</v>
    <v>SEAMEC LIMITED</v>
    <v>SEAMEC LIMITED</v>
    <v>1643.3</v>
    <v>16.36</v>
    <v>1643.3</v>
    <v>1617.3</v>
    <v>25425000</v>
    <v>SEAMECLTD</v>
    <v>SEAMEC LIMITED (XNSE:SEAMECLTD)</v>
    <v>184075</v>
    <v>291590</v>
    <v>1986</v>
  </rv>
  <rv s="2">
    <v>779</v>
  </rv>
  <rv s="3">
    <v>en-IN</v>
    <v>cafzc7</v>
    <v>268435456</v>
    <v>1</v>
    <v>Powered by Refinitiv</v>
    <v>5</v>
    <v>NETWEB TECHNOLOGIES INDIA LIMITED (XNSE:NETWEB)</v>
    <v>6</v>
    <v>3</v>
    <v>Finance</v>
    <v>4</v>
    <v>4944.8</v>
    <v>1700.1</v>
    <v>1.3520000000000001</v>
    <v>-77.5</v>
    <v>-1.6204E-2</v>
    <v>INR</v>
    <v>Netweb Technologies India Limited is an India-based company, which is a provider of high-end computing solutions (HCS) with fully integrated design and manufacturing capabilities. The Company's HCS offering comprises high-performance computing (HPC), private cloud and (HCI), artificial intelligence (AI) systems and enterprise workstations, high performance storage (HPS) and data center servers and software and services. Its HPC offerings include HPC clusters, supercomputers with Graphics processing units (GPUs) optimization, HPC on-cloud, symmetric multiprocessing (SMP) solutions. The Company offers a full stack of product and solution suite with comprehensive capabilities in designing, developing, implementing and integrating computing solutions. It offers services in MLOps services, managed services, cloud migration, OpenStack cloud, HPC On Cloud, managed Kubernetes, artificial intelligence (AI) and Machine Learning (ML). Its products and solutions are sold under the Tyrone brand.</v>
    <v>441</v>
    <v>National Stock Exchange of India</v>
    <v>XNSE</v>
    <v>XNSE</v>
    <v>PLOT NO. H-1, POCKET-9 FARIDABAD INDUSTRIAL TOWN (FIT), SECTOR -57, BALLABHGARH, FARIDBAD,, HARYANA, 121004 IN</v>
    <v>4944.8</v>
    <v>Software &amp; IT Services</v>
    <v>Stock</v>
    <v>46176.466874999998</v>
    <v>4630</v>
    <v>185428100000</v>
    <v>NETWEB TECHNOLOGIES INDIA LIMITED</v>
    <v>NETWEB TECHNOLOGIES INDIA LIMITED</v>
    <v>4800</v>
    <v>129.62</v>
    <v>4782.8</v>
    <v>4705.3</v>
    <v>56940690</v>
    <v>NETWEB</v>
    <v>NETWEB TECHNOLOGIES INDIA LIMITED (XNSE:NETWEB)</v>
    <v>2662374</v>
    <v>2670690</v>
    <v>1999</v>
  </rv>
  <rv s="2">
    <v>781</v>
  </rv>
  <rv s="0">
    <v>https://www.bing.com/financeapi/forcetrigger?t=c3ltyc&amp;q=XNSE%3aPARAS&amp;form=skydnc</v>
    <v>Learn more on Bing</v>
  </rv>
  <rv s="1">
    <v>en-IN</v>
    <v>c3ltyc</v>
    <v>268435456</v>
    <v>1</v>
    <v>Powered by Refinitiv</v>
    <v>0</v>
    <v>PARAS DEFENCE AND SPACE TECHNOLOGIES LIMITED (XNSE:PARAS)</v>
    <v>2</v>
    <v>3</v>
    <v>Finance</v>
    <v>4</v>
    <v>942</v>
    <v>580.5</v>
    <v>1.7021999999999999</v>
    <v>-14.35</v>
    <v>-1.6809000000000001E-2</v>
    <v>INR</v>
    <v>Paras Defence and Space Technologies Limited is an India-based defense engineering Company. The Company is engaged in offering a range of products and solutions for defense and space application. It operates through two segments: Optics &amp; Optronic Systems and Defense Engineering. Optics &amp; Optronic Systems segment include optical components and sub-systems, such as space optics/gratings/mirrors, infra-red lenses for night vision devices, opto-mechanical assemblies and precision diamond turned components and opto-electronic systems comprising of submarine periscope, hyperspectral camera. Defense Engineering segment include defense electronics compromising of defense automation and control systems, rugged command and control consoles, and avionic suite; heavy engineering comprising of flow formed rockets/ missile motor tubes, electromechanical assemblies, remote controlled border defense system and turnkey projects, and electromagnetic pulse protection solutions.</v>
    <v>537</v>
    <v>National Stock Exchange of India</v>
    <v>XNSE</v>
    <v>XNSE</v>
    <v>D-112, TTC Industrial Area, Nerul, NAVI MUMBAI, MAHARASHTRA, 400706 IN</v>
    <v>864.15</v>
    <v>Aerospace &amp; Defense</v>
    <v>Stock</v>
    <v>46176.466851851852</v>
    <v>783</v>
    <v>825.05</v>
    <v>54670450000</v>
    <v>PARAS DEFENCE AND SPACE TECHNOLOGIES LIMITED</v>
    <v>PARAS DEFENCE AND SPACE TECHNOLOGIES LIMITED</v>
    <v>860.7</v>
    <v>76.760000000000005</v>
    <v>853.7</v>
    <v>839.35</v>
    <v>80587330</v>
    <v>PARAS</v>
    <v>PARAS DEFENCE AND SPACE TECHNOLOGIES LIMITED (XNSE:PARAS)</v>
    <v>1214263</v>
    <v>1828130</v>
    <v>2009</v>
  </rv>
  <rv s="2">
    <v>784</v>
  </rv>
  <rv s="0">
    <v>https://www.bing.com/financeapi/forcetrigger?t=ahiwcw&amp;q=XNSE%3aMASFIN&amp;form=skydnc</v>
    <v>Learn more on Bing</v>
  </rv>
  <rv s="1">
    <v>en-IN</v>
    <v>ahiwcw</v>
    <v>268435456</v>
    <v>1</v>
    <v>Powered by Refinitiv</v>
    <v>0</v>
    <v>MAS FINANCIAL SERVICES LIMITED (XNSE:MASFIN)</v>
    <v>2</v>
    <v>3</v>
    <v>Finance</v>
    <v>4</v>
    <v>358.85</v>
    <v>277.35000000000002</v>
    <v>0.77700000000000002</v>
    <v>-2.6</v>
    <v>-8.4030000000000007E-3</v>
    <v>INR</v>
    <v>MAS Financial Services Limited is an India-based Non-Banking Finance Company (NBFC) engaged in providing specialized retail financing services. The Company provides a range of products, which include micro enterprise loans (MEL), small and medium enterprise loans (SME), two-wheeler loans (TW), commercial vehicle loans (CV), used car loan, home loans, tractor loan, and others. The Company provides loans for the purchase of new and old houses, construction of houses on owned plots, home improvement loans and loans for the purchase and construction of commercial property. Its SME loans include machinery loans, industrial shed loan, working capital loan, and loan against property. It also provides salaried personal loans for various purposes, like child education, home renovation, furniture purchase, family occasions, medical purposes, and other personal purposes. It offers housing loans to customers to expand on their homesteads/ renovate part of their abodes.</v>
    <v>1758</v>
    <v>National Stock Exchange of India</v>
    <v>XNSE</v>
    <v>XNSE</v>
    <v>6 NARAYAN CHAMBERS GR FLR B/H PATANG HOTEL, ASHRAM ROAD, GUJARAT, 380009 IN</v>
    <v>309.5</v>
    <v>Banking Services</v>
    <v>Stock</v>
    <v>46176.466840277775</v>
    <v>786</v>
    <v>303</v>
    <v>56667890000</v>
    <v>MAS FINANCIAL SERVICES LIMITED</v>
    <v>MAS FINANCIAL SERVICES LIMITED</v>
    <v>309.5</v>
    <v>15</v>
    <v>309.39999999999998</v>
    <v>306.8</v>
    <v>181453400</v>
    <v>MASFIN</v>
    <v>MAS FINANCIAL SERVICES LIMITED (XNSE:MASFIN)</v>
    <v>74625</v>
    <v>106150</v>
    <v>1995</v>
  </rv>
  <rv s="2">
    <v>787</v>
  </rv>
  <rv s="0">
    <v>https://www.bing.com/financeapi/forcetrigger?t=ahh49c&amp;q=XNSE%3aBALRAMCHIN&amp;form=skydnc</v>
    <v>Learn more on Bing</v>
  </rv>
  <rv s="1">
    <v>en-IN</v>
    <v>ahh49c</v>
    <v>268435456</v>
    <v>1</v>
    <v>Powered by Refinitiv</v>
    <v>0</v>
    <v>BALRAMPUR CHINI MILLS LTD (XNSE:BALRAMCHIN)</v>
    <v>2</v>
    <v>3</v>
    <v>Finance</v>
    <v>4</v>
    <v>627.79999999999995</v>
    <v>393.55</v>
    <v>0.77090000000000003</v>
    <v>-7.45</v>
    <v>-1.3863E-2</v>
    <v>INR</v>
    <v>Balrampur Chini Mills Limited is an India-based sugar manufacturing company. The Company is engaged in the manufacturing and sale of sugar. Its allied business activities consist of the manufacturing and sale of ethanol, ethyl alcohol, generation and sale of co-generated power, and manufacturing and sale of agricultural fertilizers. Its segments include Sugar, Distillery, Polylactic Acid, and Others. The Sugar segment is engaged in the sale of sugar and its by-products. The Distillery segment includes the sale of industrial alcohol, which constitutes ethanol sold under contracts with public and private oil marketing companies, and other products to institutional buyers. The Company is also engaged in the manufacturing of polylactic acid (PLA), a biodegradable polymer. The Others segment is principally engaged in the sale of agricultural fertilizers such as granulated potash. Its Agri-inputs products include PAUDH-SHAKTI, JAIV-SHAKI AND DEVDOOT.</v>
    <v>6020</v>
    <v>National Stock Exchange of India</v>
    <v>XNSE</v>
    <v>XNSE</v>
    <v>234/3A A J C BOSE ROAD FMC FORTUNA, 2ND FLOOR, WEST BENGAL, 700020 IN</v>
    <v>537.4</v>
    <v>Food &amp; Tobacco</v>
    <v>Stock</v>
    <v>46176.466840277775</v>
    <v>789</v>
    <v>524.1</v>
    <v>85909720000</v>
    <v>BALRAMPUR CHINI MILLS LTD</v>
    <v>BALRAMPUR CHINI MILLS LTD</v>
    <v>537</v>
    <v>28.28</v>
    <v>537.4</v>
    <v>529.95000000000005</v>
    <v>201902400</v>
    <v>BALRAMCHIN</v>
    <v>BALRAMPUR CHINI MILLS LTD (XNSE:BALRAMCHIN)</v>
    <v>1087517</v>
    <v>598090</v>
    <v>1975</v>
  </rv>
  <rv s="2">
    <v>790</v>
  </rv>
  <rv s="0">
    <v>https://www.bing.com/financeapi/forcetrigger?t=ahjcar&amp;q=XNSE%3aPANAMAPET&amp;form=skydnc</v>
    <v>Learn more on Bing</v>
  </rv>
  <rv s="1">
    <v>en-IN</v>
    <v>ahjcar</v>
    <v>268435456</v>
    <v>1</v>
    <v>Powered by Refinitiv</v>
    <v>0</v>
    <v>PANAMA PETROCHEM LIMITED (XNSE:PANAMAPET)</v>
    <v>2</v>
    <v>3</v>
    <v>Finance</v>
    <v>4</v>
    <v>373.2</v>
    <v>229</v>
    <v>0.97360000000000002</v>
    <v>22.25</v>
    <v>7.0511999999999991E-2</v>
    <v>INR</v>
    <v>Panama Petrochem Limited is an India-based company engaged in the manufacture of specialty petroleum products for diverse user industries, such as printing, textiles, rubber, pharmaceuticals, cosmetics, power, and other industrial oil. The Company's diverse range of products includes white oil/Liquid Paraffin Oil, Petroleum Jelly, Transformer Oil, Ink and Coating Oils, Rubber Process Oil, Industrial Oils and Greases, Automotive Oils, Drilling Fluids, Waxes and other. Its wax products include fully Refined Paraffin Wax, Semi-Refined Paraffin Wax, Slack Wax, Micro Wax, and others. Its petroleum jellies products include Pangel SWJ, Pangel WJ, Pangel YJ, and Material Safety Data Sheet (MSDS). Its geographical segments include Domestic and Overseas. It has four manufacturing units in India and are located at Ankleshwar (Gujarat), Daman (Union Territory), Daman (Gujarat) and Taloja (Dist. Raigadh). The Company exports its products to the United States, the United Kingdom, Europe, and others.</v>
    <v>185</v>
    <v>National Stock Exchange of India</v>
    <v>XNSE</v>
    <v>XNSE</v>
    <v>PLOT NO 3303, GIDC ESTATE, GUJARAT, 393002 IN</v>
    <v>340.5</v>
    <v>Chemicals</v>
    <v>Stock</v>
    <v>46176.466898148145</v>
    <v>792</v>
    <v>311.39999999999998</v>
    <v>18002890000</v>
    <v>PANAMA PETROCHEM LIMITED</v>
    <v>PANAMA PETROCHEM LIMITED</v>
    <v>317.89999999999998</v>
    <v>9.6199999999999992</v>
    <v>315.55</v>
    <v>337.8</v>
    <v>60493600</v>
    <v>PANAMAPET</v>
    <v>PANAMA PETROCHEM LIMITED (XNSE:PANAMAPET)</v>
    <v>319477</v>
    <v>392590</v>
    <v>1982</v>
  </rv>
  <rv s="2">
    <v>793</v>
  </rv>
  <rv s="0">
    <v>https://www.bing.com/financeapi/forcetrigger?t=ahiv27&amp;q=XNSE%3aMANALIPETC&amp;form=skydnc</v>
    <v>Learn more on Bing</v>
  </rv>
  <rv s="1">
    <v>en-IN</v>
    <v>ahiv27</v>
    <v>268435456</v>
    <v>1</v>
    <v>Powered by Refinitiv</v>
    <v>0</v>
    <v>Manali Petrochemicals Limited (XNSE:MANALIPETC)</v>
    <v>2</v>
    <v>3</v>
    <v>Finance</v>
    <v>4</v>
    <v>81.099999999999994</v>
    <v>39.130000000000003</v>
    <v>1.4100999999999999</v>
    <v>4.59</v>
    <v>7.7077999999999994E-2</v>
    <v>INR</v>
    <v>Manali Petrochemicals Limited is an India-based petrochemical company. The Company is engaged in the manufacture and sale of propylene oxide (PO), propylene glycol (PG) and polyols (PY), which are used as industrial raw materials. It manufactures and supplies polyurethane raw materials and blended systems for various industries, such as appliances, automotive, furniture, footwear, paints, coatings, pharmaceuticals, food and fragrances. Polyols are produced in four grades: Flexible Slabstock, Flexible Cold Cure, Rigid, and Elastomers. They are utilized across various industries, including automotive, refrigeration and temperature control, adhesives, sealants, coatings, furniture, and textiles. PG is used as a drug solubilizer in topical, oral, and injectable medications, a stabilizer for vitamins, and as a water-miscible co-solvent. Its other products include Propylene Glycol Mono Methyl Ether (PGMME), which is used in paints and coatings and electronics industries.</v>
    <v>321</v>
    <v>National Stock Exchange of India</v>
    <v>XNSE</v>
    <v>XNSE</v>
    <v>SPIC HOUSE OLD NO. 97, 88 MOUNT ROAD, GUINDY, TAMIL NADU, 600032 IN</v>
    <v>65.2</v>
    <v>Chemicals</v>
    <v>Stock</v>
    <v>46176.466863425929</v>
    <v>795</v>
    <v>58.2</v>
    <v>10106670000</v>
    <v>Manali Petrochemicals Limited</v>
    <v>Manali Petrochemicals Limited</v>
    <v>60.45</v>
    <v>8.48</v>
    <v>59.55</v>
    <v>64.14</v>
    <v>171999200</v>
    <v>MANALIPETC</v>
    <v>Manali Petrochemicals Limited (XNSE:MANALIPETC)</v>
    <v>2619962</v>
    <v>2285920</v>
    <v>1986</v>
  </rv>
  <rv s="2">
    <v>796</v>
  </rv>
  <rv s="0">
    <v>https://www.bing.com/financeapi/forcetrigger?t=azpojc&amp;q=XNSE%3aNARMADA&amp;form=skydnc</v>
    <v>Learn more on Bing</v>
  </rv>
  <rv s="9">
    <v>en-IN</v>
    <v>azpojc</v>
    <v>268435456</v>
    <v>1</v>
    <v>Powered by Refinitiv</v>
    <v>17</v>
    <v>NARMADA AGROBASE LIMITED (XNSE:NARMADA)</v>
    <v>2</v>
    <v>18</v>
    <v>Finance</v>
    <v>4</v>
    <v>39.61</v>
    <v>15.6</v>
    <v>0.22059999999999999</v>
    <v>-0.05</v>
    <v>-1.3680000000000001E-3</v>
    <v>INR</v>
    <v>Narmada Agrobase Limited is an India-based company, which is engaged in manufacturing and processing of cotton seed meal cake, cattle feeds and soya bean meal. The products manufactured by the Company are used for feeding of cattle. The by-products of its products are used in the textile industry, consumer goods industry and paper industry. It is a manufacturer and exporter of cotton seed meal, guar meal, delinted cotton seed, organic fertilizers and cattle feed under the own brand name of Ladoo, Narmada, Narmada Kala Son, Narmada Super, Super Narmada Churma and Gaay Chhaap. It offers a variety of cattle feeds to enhance milk production, reproductive ability and the overall health of cattle. Its products include cattle feed (mesh), maize meal, cotton seed oil cake, maize oil cake, multi grain meal high protein, compound cattle feed, and others. Its products have several uses, like meal that can be used for fertilizers and animal feed, cotton linters which are by product cotton seed.</v>
    <v>National Stock Exchange of India</v>
    <v>XNSE</v>
    <v>XNSE</v>
    <v>401, Silicon Tower, Above Freezeland Restaurant, Law Garden Navrangpura, AHMEDABAD, GUJARAT, 390009 IN</v>
    <v>36.94</v>
    <v>Food &amp; Tobacco</v>
    <v>Stock</v>
    <v>46176.466863425929</v>
    <v>798</v>
    <v>36.31</v>
    <v>1029973000</v>
    <v>NARMADA AGROBASE LIMITED</v>
    <v>NARMADA AGROBASE LIMITED</v>
    <v>36.49</v>
    <v>32.9</v>
    <v>36.54</v>
    <v>36.49</v>
    <v>37936400</v>
    <v>NARMADA</v>
    <v>NARMADA AGROBASE LIMITED (XNSE:NARMADA)</v>
    <v>115384</v>
    <v>441070</v>
    <v>2013</v>
  </rv>
  <rv s="2">
    <v>799</v>
  </rv>
  <rv s="0">
    <v>https://www.bing.com/financeapi/forcetrigger?t=bmzzvh&amp;q=XNSE%3aMARINE&amp;form=skydnc</v>
    <v>Learn more on Bing</v>
  </rv>
  <rv s="1">
    <v>en-IN</v>
    <v>bmzzvh</v>
    <v>268435456</v>
    <v>1</v>
    <v>Powered by Refinitiv</v>
    <v>0</v>
    <v>MARINE ELECTRICALS (INDIA) LIMITED (XNSE:MARINE)</v>
    <v>2</v>
    <v>3</v>
    <v>Finance</v>
    <v>4</v>
    <v>282.48</v>
    <v>150.86000000000001</v>
    <v>1.8817999999999999</v>
    <v>-5.65</v>
    <v>-2.1890999999999997E-2</v>
    <v>INR</v>
    <v>Marine Electricals (India) Limited is an integrated technical services provider in the fields of electrical automation and information and communication technology solutions. It is engaged in the manufacturing and sale of all types of marine and industrial electrical and electronic components like switch-gears and control-gears. It is also engaged in the renewable energy sector, specifically solar. It also provides services like designing and fabricating for all types of electrical and electronic installations in India and abroad and undertakes annual maintenance contracts. It operates through two segments: Marine, which provides products and services for navigational equipment in new ship building, and Industry, which provides products and services for power distribution and solutions for industries like data centers, industrial and large buildings. Its offerings include Integrated Bridge Systems, Integrated Monitoring and Control Systems, Data Distribution Solutions and others.</v>
    <v>622</v>
    <v>National Stock Exchange of India</v>
    <v>XNSE</v>
    <v>XNSE</v>
    <v>B/1, UDYOG SADAN NO. 3, MIDC, ANDHERI (E), MAHARASHTRA, 400093 IN</v>
    <v>263.7</v>
    <v>Machinery, Equipment &amp; Components</v>
    <v>Stock</v>
    <v>46176.466840277775</v>
    <v>801</v>
    <v>245.3</v>
    <v>27087730000</v>
    <v>MARINE ELECTRICALS (INDIA) LIMITED</v>
    <v>MARINE ELECTRICALS (INDIA) LIMITED</v>
    <v>261.95</v>
    <v>59.82</v>
    <v>258.10000000000002</v>
    <v>252.45</v>
    <v>137944400</v>
    <v>MARINE</v>
    <v>MARINE ELECTRICALS (INDIA) LIMITED (XNSE:MARINE)</v>
    <v>866478</v>
    <v>1489810</v>
    <v>2007</v>
  </rv>
  <rv s="2">
    <v>802</v>
  </rv>
  <rv s="0">
    <v>https://www.bing.com/financeapi/forcetrigger?t=ahgqcw&amp;q=XNSE%3aABB&amp;form=skydnc</v>
    <v>Learn more on Bing</v>
  </rv>
  <rv s="1">
    <v>en-IN</v>
    <v>ahgqcw</v>
    <v>268435456</v>
    <v>1</v>
    <v>Powered by Refinitiv</v>
    <v>0</v>
    <v>ABB INDIA LIMITED (XNSE:ABB)</v>
    <v>2</v>
    <v>3</v>
    <v>Finance</v>
    <v>4</v>
    <v>7822.5</v>
    <v>4637.5</v>
    <v>1.0158</v>
    <v>50</v>
    <v>6.9969999999999997E-3</v>
    <v>INR</v>
    <v>ABB India Limited is an India-based technology company that is focused on electrification and automation. The Company's segments include Robotics and Discrete Automation, Motion, Electrification, and Process Automation. Robotics and Discrete Automation segment provides value-added solutions in robotics, machine and factory automation. Motion segment provides products, solutions and related services that improve industrial productivity and energy efficiency. Its motors, generators and drives provide power, motion and control for a wide range of automation applications. Electrification segment provides technology across the full electrical value chain from substation to the point of consumption. Process Automation segment provides products, systems and services designed to optimize the productivity of industrial processes. Its solutions include turnkey engineering, control systems, measurement products, life cycle services, outsourced maintenance and industry specific products.</v>
    <v>3859</v>
    <v>National Stock Exchange of India</v>
    <v>XNSE</v>
    <v>XNSE</v>
    <v>Affolternstrasse 44, ZUERICH, 8050 CH</v>
    <v>7247</v>
    <v>Machinery, Equipment &amp; Components</v>
    <v>Stock</v>
    <v>46176.466840277775</v>
    <v>804</v>
    <v>7083</v>
    <v>1052337000000</v>
    <v>ABB INDIA LIMITED</v>
    <v>ABB INDIA LIMITED</v>
    <v>7146</v>
    <v>99.2</v>
    <v>7146</v>
    <v>7196</v>
    <v>211908400</v>
    <v>ABB</v>
    <v>ABB INDIA LIMITED (XNSE:ABB)</v>
    <v>309040</v>
    <v>493070</v>
    <v>1949</v>
  </rv>
  <rv s="2">
    <v>805</v>
  </rv>
  <rv s="0">
    <v>https://www.bing.com/financeapi/forcetrigger?t=ahhqjc&amp;q=XNSE%3aEXIDEIND&amp;form=skydnc</v>
    <v>Learn more on Bing</v>
  </rv>
  <rv s="1">
    <v>en-IN</v>
    <v>ahhqjc</v>
    <v>268435456</v>
    <v>1</v>
    <v>Powered by Refinitiv</v>
    <v>0</v>
    <v>EXIDE INDUSTRIES LIMITED (XNSE:EXIDEIND)</v>
    <v>2</v>
    <v>3</v>
    <v>Finance</v>
    <v>4</v>
    <v>431</v>
    <v>287</v>
    <v>1.1962999999999999</v>
    <v>-7.3</v>
    <v>-1.7968999999999999E-2</v>
    <v>INR</v>
    <v>Exide Industries Limited is engaged in manufacturing and sales of lead acid batteries and accumulators. The Company’s operates through Storage Batteries &amp; allied products segment. The Company manufactures electrical equipment, general purpose and special-purpose machinery and equipment, transport equipment. The Company’s products include automotive batteries, institutional ups batteries, inverter batteries, solar solutions, integrated power back-up systems, home ups systems, industrial batteries, genset batteries, e-rickshaw vehicles, and submarine batteries. Its automotive battery products include four-wheeler batteries, three-wheeler batteries, two-wheeler batteries and Exide e-ride batteries. Its products are used by automotive vehicles, uninterruptible power supplies (UPS) and inverters, automotive original equipment manufacturer (OEMs), industrial OEMs, institutional customers, government /non-government entities, Indian Navy, export dealers and distributors.</v>
    <v>5135</v>
    <v>National Stock Exchange of India</v>
    <v>XNSE</v>
    <v>XNSE</v>
    <v>EXIDE HOUSE 59E, CHOWRINGHEE ROAD, WEST BENGAL, 700020 IN</v>
    <v>408.9</v>
    <v>Automobiles &amp; Auto Parts</v>
    <v>Stock</v>
    <v>46176.466840277775</v>
    <v>807</v>
    <v>395.05</v>
    <v>294100000000</v>
    <v>EXIDE INDUSTRIES LIMITED</v>
    <v>EXIDE INDUSTRIES LIMITED</v>
    <v>407</v>
    <v>45.75</v>
    <v>406.25</v>
    <v>398.95</v>
    <v>850000000</v>
    <v>EXIDEIND</v>
    <v>EXIDE INDUSTRIES LIMITED (XNSE:EXIDEIND)</v>
    <v>3802136</v>
    <v>5519520</v>
    <v>1947</v>
  </rv>
  <rv s="2">
    <v>808</v>
  </rv>
  <rv s="0">
    <v>https://www.bing.com/financeapi/forcetrigger?t=ahhrlh&amp;q=XNSE%3aFINCABLES&amp;form=skydnc</v>
    <v>Learn more on Bing</v>
  </rv>
  <rv s="1">
    <v>en-IN</v>
    <v>ahhrlh</v>
    <v>268435456</v>
    <v>1</v>
    <v>Powered by Refinitiv</v>
    <v>0</v>
    <v>FINOLEX CABLES LIMITED (XNSE:FINCABLES)</v>
    <v>2</v>
    <v>3</v>
    <v>Finance</v>
    <v>4</v>
    <v>1184.8</v>
    <v>700.8</v>
    <v>0.9214</v>
    <v>-5.5</v>
    <v>-5.4879999999999998E-3</v>
    <v>INR</v>
    <v>Finolex Cables Limited is an India-based company, which is engaged in the manufacturing of electrical cables, communication cables, and other electrical appliances. The Company’s segments include Electrical cables, Communication cables, Copper rods, and Others. The Electrical cables segment manufactures light-duty electrical cables and power and control cables. The Communication cables segment includes copper-based cables and optical fiber (glass-based) cables (OFC). The Copper rods segment is engaged in manufacturing continuous cast copper rods (CCC rods), which are used in the production of copper-based electrical and communication cables. Its product portfolio includes wires and cables, fans, water heaters, switches, switchgear, home appliances-room heaters, home appliances-iron, lights, conduits and fittings, and smart homes. Its wires and cables include house wires, agriculture cables, ofc, telephone cables, LAN cables, speaker cables, and power cables.</v>
    <v>1594</v>
    <v>National Stock Exchange of India</v>
    <v>XNSE</v>
    <v>XNSE</v>
    <v>26/27, BOMBAY POONA ROAD PIMPRI, MAHARASHTRA, 411018 IN</v>
    <v>1021.6</v>
    <v>Machinery, Equipment &amp; Components</v>
    <v>Stock</v>
    <v>46176.466840277775</v>
    <v>810</v>
    <v>975.8</v>
    <v>116516800000</v>
    <v>FINOLEX CABLES LIMITED</v>
    <v>FINOLEX CABLES LIMITED</v>
    <v>1002.2</v>
    <v>21.36</v>
    <v>1002.1</v>
    <v>996.6</v>
    <v>152939300</v>
    <v>FINCABLES</v>
    <v>FINOLEX CABLES LIMITED (XNSE:FINCABLES)</v>
    <v>426524</v>
    <v>856570</v>
    <v>1967</v>
  </rv>
  <rv s="2">
    <v>811</v>
  </rv>
  <rv s="0">
    <v>https://www.bing.com/financeapi/forcetrigger?t=azzujc&amp;q=XNSE%3aE2E&amp;form=skydnc</v>
    <v>Learn more on Bing</v>
  </rv>
  <rv s="1">
    <v>en-IN</v>
    <v>azzujc</v>
    <v>268435456</v>
    <v>1</v>
    <v>Powered by Refinitiv</v>
    <v>0</v>
    <v>E2E NETWORKS LIMITED (XNSE:E2E)</v>
    <v>2</v>
    <v>3</v>
    <v>Finance</v>
    <v>4</v>
    <v>4538</v>
    <v>1833.6</v>
    <v>1.0318000000000001</v>
    <v>-216.2</v>
    <v>-4.9995000000000005E-2</v>
    <v>INR</v>
    <v>E2E Networks Limited is an India-based accelerated pureplay cloud computing company. The Company provides accelerated cloud which supports machine learning applications and other critical workloads. Its cloud infrastructure is used for workloads in various fields ranging from data science, NLP, computer vision / image processing, various digital native workloads and traditional enterprise workloads. The Company provides cloud infrastructure services through its cloud platform, which can be accessed via its self-service portal. It enables customers to provision/manage and monitor Linux/Windows/GPU Cloud Machines with high performance central processing unit (CPU), large memory (RAM) or Smart Dedicated Compute featuring dedicated CPU cores. Its products include CPU Intensive Cloud; High Memory Cloud; Linux Smart Dedicated; cPanel Linux Cloud; Windows Cloud; Windows SQL Cloud; Plesk Windows Cloud; GPU Smart Dedicated, and Load Balancer.</v>
    <v>183</v>
    <v>National Stock Exchange of India</v>
    <v>XNSE</v>
    <v>XNSE</v>
    <v>Awfis, First Floor, A-24/9, Mohan Cooperative Industrial Estate, Mathura Road, DELHI, 110044 IN</v>
    <v>4538</v>
    <v>Software &amp; IT Services</v>
    <v>Stock</v>
    <v>46176.466851851852</v>
    <v>813</v>
    <v>4108.2</v>
    <v>40001870000</v>
    <v>E2E NETWORKS LIMITED</v>
    <v>E2E NETWORKS LIMITED</v>
    <v>4470</v>
    <v>0</v>
    <v>4324.3999999999996</v>
    <v>4108.2</v>
    <v>20556490</v>
    <v>E2E</v>
    <v>E2E NETWORKS LIMITED (XNSE:E2E)</v>
    <v>450792</v>
    <v>217110</v>
    <v>2009</v>
  </rv>
  <rv s="2">
    <v>814</v>
  </rv>
  <rv s="0">
    <v>https://www.bing.com/financeapi/forcetrigger?t=ahjzvh&amp;q=XNSE%3aSKIPPER&amp;form=skydnc</v>
    <v>Learn more on Bing</v>
  </rv>
  <rv s="1">
    <v>en-IN</v>
    <v>ahjzvh</v>
    <v>268435456</v>
    <v>1</v>
    <v>Powered by Refinitiv</v>
    <v>0</v>
    <v>SKIPPER LIMITED (XNSE:SKIPPER)</v>
    <v>2</v>
    <v>3</v>
    <v>Finance</v>
    <v>4</v>
    <v>588</v>
    <v>327.05</v>
    <v>0.78120000000000001</v>
    <v>-1.9</v>
    <v>-3.3189999999999999E-3</v>
    <v>INR</v>
    <v>Skipper Limited is an India-based manufacturer of power transmission &amp; distribution structures, telecommunication (telecom), and railway structures. The Company is also engaged in the polymer pipes and fittings industry. Its segments include Engineering Products, Polymer Products, and Infrastructure Projects. The Engineering Products segment includes power transmission towers, tower accessories, fasteners, telecom towers, angles, channels, high mast poles, swaged poles, solar power systems, railway structures and others. The Infrastructure Projects segment offers engineering, procurement and construction services, hot-dip galvanizing and applied coating services, and horizontal directional drilling. The Polymer Product segment includes ribbed strainer pipes; polyvinyl chloride casing pipes; chlorinated polyvinyl chloride (CPVC) pipes &amp; fittings; unplasticized polyvinyl chloride (UPVC) pipes &amp; fittings; UPVC column pipes; water tanks; bath fittings, and other related products.</v>
    <v>3669</v>
    <v>National Stock Exchange of India</v>
    <v>XNSE</v>
    <v>XNSE</v>
    <v>3A LOUDON STREET, 1ST FLOOR, 700017 IN</v>
    <v>574.70000000000005</v>
    <v>Construction &amp; Engineering</v>
    <v>Stock</v>
    <v>46176.466851851852</v>
    <v>816</v>
    <v>558.04999999999995</v>
    <v>45041610000</v>
    <v>SKIPPER LIMITED</v>
    <v>SKIPPER LIMITED</v>
    <v>569</v>
    <v>30.22</v>
    <v>572.4</v>
    <v>570.5</v>
    <v>112954300</v>
    <v>SKIPPER</v>
    <v>SKIPPER LIMITED (XNSE:SKIPPER)</v>
    <v>1743919</v>
    <v>1488100</v>
    <v>1981</v>
  </rv>
  <rv s="2">
    <v>817</v>
  </rv>
  <rv s="0">
    <v>https://www.bing.com/financeapi/forcetrigger?t=ahkomw&amp;q=XNSE%3aWOCKPHARMA&amp;form=skydnc</v>
    <v>Learn more on Bing</v>
  </rv>
  <rv s="1">
    <v>en-IN</v>
    <v>ahkomw</v>
    <v>268435456</v>
    <v>1</v>
    <v>Powered by Refinitiv</v>
    <v>0</v>
    <v>WOCKHARDT LIMITED (XNSE:WOCKPHARMA)</v>
    <v>2</v>
    <v>3</v>
    <v>Finance</v>
    <v>4</v>
    <v>2422.3000000000002</v>
    <v>1086.7</v>
    <v>1.1788000000000001</v>
    <v>107.7</v>
    <v>5.4775999999999998E-2</v>
    <v>INR</v>
    <v>Wockhardt Limited is a research-based global pharmaceutical and biotech company. The Company is engaged in the pharmaceutical business. It focuses on the unmet need for antibacterial drugs that are effective against the menace of untreatable superbugs. It manufactures and supplies branded and generic finished formulations, as well as intermediate products like active pharmaceutical ingredients (APIs), worldwide. The Company’s products in India include EMROK, MERIWOK, REINVEXIN, ERLISO, METHYCOBAL 500 MCG 15T, METHYCOBAL INJ 1 ML, METHYCOBAL D 10T, HAPID 10C, PROXYFEN NANO GEL, LIVATIRA 500 10T NEW PACK, LIVATIRA INJ 5 ml, GABAWOK NT 100MG 15T, GABAWOK NT 400MG 15T, ETOBRIX 90 MG 10C, ETOBRIX TH 4 10C, ETOBRIX P 10T, GLARZEN 100IU, TERITIDE, GLIMADAY HS, GLIMADAY FORTE-2, GLIMADAY FORTE-1, GLIMADAY FORTE 3, GLIMADAY 2 mg, GLIMADAY 1 mg, MOPADAY FORTE, INOGLA, WEPOX 4000 IU 1ML, MYCORAL M, Val 450, OKERON INJ 100MCG 1ML, DARBOTIN 40, and DARBOTIN 60.</v>
    <v>2296</v>
    <v>National Stock Exchange of India</v>
    <v>XNSE</v>
    <v>XNSE</v>
    <v>Wockhardt Towers, Bandra Kurla Complex, Bandra (East), MUMBAI, MAHARASHTRA, 400051 IN</v>
    <v>2150</v>
    <v>Pharmaceuticals</v>
    <v>Stock</v>
    <v>46176.466851851852</v>
    <v>819</v>
    <v>1960.1</v>
    <v>225474100000</v>
    <v>WOCKHARDT LIMITED</v>
    <v>WOCKHARDT LIMITED</v>
    <v>1978</v>
    <v>158.07</v>
    <v>1966.2</v>
    <v>2073.9</v>
    <v>162492200</v>
    <v>WOCKPHARMA</v>
    <v>WOCKHARDT LIMITED (XNSE:WOCKPHARMA)</v>
    <v>7368265</v>
    <v>4127790</v>
    <v>1999</v>
  </rv>
  <rv s="2">
    <v>820</v>
  </rv>
  <rv s="0">
    <v>https://www.bing.com/financeapi/forcetrigger?t=ahie8m&amp;q=XNSE%3aITDCEM&amp;form=skydnc</v>
    <v>Learn more on Bing</v>
  </rv>
  <rv s="1">
    <v>en-IN</v>
    <v>ahie8m</v>
    <v>268435456</v>
    <v>1</v>
    <v>Powered by Refinitiv</v>
    <v>0</v>
    <v>CEMINDIA PROJECTS LIMITED (XNSE:CEMPRO)</v>
    <v>2</v>
    <v>3</v>
    <v>Finance</v>
    <v>4</v>
    <v>1089.9000000000001</v>
    <v>503.3</v>
    <v>1.5885</v>
    <v>-16.8</v>
    <v>-1.6126999999999999E-2</v>
    <v>INR</v>
    <v>Cemindia Projects Limited, formerly ITD Cementation India Limited, is an India-based engineering and construction company. The Company is involved in the heavy civil, infrastructure, and engineering, procurement and construction (EPC) business and operates in India. The Company is engaged in urban infrastructure, Mass Rapid Transport Systems (MRTS) and airports; highways, bridges and flyovers; maritime structures; industrial structures and buildings; water and wastewater; foundation and specialist engineering, and hydro, dams, tunnels and irrigation. It is focused on the construction of flyovers, underpasses and river bridges using specialized foundation techniques. The Company offers a modern and comprehensive range of construction techniques for the construction of piles and diaphragm walls, ground improvement, drilling grouting works, rock anchors, slope stabilization and rehabilitation work. Its subsidiaries include TD Cementation Projects India Limited, ITD Cem, and ITD CemIndia.</v>
    <v>3187</v>
    <v>National Stock Exchange of India</v>
    <v>XNSE</v>
    <v>XNSE</v>
    <v>9th Floor, Prima Bay, Tower- B, Gate No. 5, Saki Vihar Road, Powai, MUMBAI, MAHARASHTRA, 400072 IN</v>
    <v>1046.8</v>
    <v>Construction &amp; Engineering</v>
    <v>Stock</v>
    <v>46176.466851851852</v>
    <v>822</v>
    <v>1003.1</v>
    <v>117691700000</v>
    <v>CEMINDIA PROJECTS LIMITED</v>
    <v>CEMINDIA PROJECTS LIMITED</v>
    <v>1038.3</v>
    <v>29.45</v>
    <v>1041.7</v>
    <v>1024.9000000000001</v>
    <v>171787600</v>
    <v>CEMPRO</v>
    <v>CEMINDIA PROJECTS LIMITED (XNSE:CEMPRO)</v>
    <v>433507</v>
    <v>917090</v>
    <v>1978</v>
  </rv>
  <rv s="2">
    <v>823</v>
  </rv>
  <rv s="0">
    <v>https://www.bing.com/financeapi/forcetrigger?t=ahknnm&amp;q=XNSE%3aWELCORP&amp;form=skydnc</v>
    <v>Learn more on Bing</v>
  </rv>
  <rv s="1">
    <v>en-IN</v>
    <v>ahknnm</v>
    <v>268435456</v>
    <v>1</v>
    <v>Powered by Refinitiv</v>
    <v>0</v>
    <v>WELSPUN CORP LIMITED (XNSE:WELCORP)</v>
    <v>2</v>
    <v>3</v>
    <v>Finance</v>
    <v>4</v>
    <v>1425</v>
    <v>710</v>
    <v>0.75719999999999998</v>
    <v>26.8</v>
    <v>1.9325000000000002E-2</v>
    <v>INR</v>
    <v>Welspun Corp Limited is an India-based company, which is engaged in the line pipes and home solutions, along with other lines of businesses in infrastructure, pipe solutions, building materials, warehousing, retail, advanced textiles and flooring solutions. The Company is engaged in the manufacturing of large diameter pipes globally and has established a global footprint across six continents and fifty countries by delivering key customized solutions for both onshore and offshore applications. It offers end-to-end products, comprehensive pipe solutions and ancillary services. It also manufactures Bureau of Indian Standards (BIS) -certified steel billets, thermo-mechanically treated (TMT) rebars, ductile iron (DI) pipes, stainless steel pipes, and tubes &amp; bars. The Company has manufacturing facilities in Anjar (Gujarat), Bhopal (Madhya Pradesh), Mandya (Karnataka) and Jhagadia (Gujarat) in India. Overseas, the Company has a manufacturing presence in Little Rock, Arkansas, United States.</v>
    <v>2698</v>
    <v>National Stock Exchange of India</v>
    <v>XNSE</v>
    <v>XNSE</v>
    <v>WELSPUN HOUSE, 5TH FLOOR, KAMALA CITY,, SENAPATI BAPAT MARG,, LOWER PAREL (WEST), MAHARASHTRA, 400013 IN</v>
    <v>1425</v>
    <v>Metals &amp; Mining</v>
    <v>Stock</v>
    <v>46176.466863425929</v>
    <v>825</v>
    <v>1373.4</v>
    <v>195325500000</v>
    <v>WELSPUN CORP LIMITED</v>
    <v>WELSPUN CORP LIMITED</v>
    <v>1385.1</v>
    <v>24.12</v>
    <v>1386.8</v>
    <v>1413.6</v>
    <v>263703900</v>
    <v>WELCORP</v>
    <v>WELSPUN CORP LIMITED (XNSE:WELCORP)</v>
    <v>1901113</v>
    <v>1077360</v>
    <v>1995</v>
  </rv>
  <rv s="2">
    <v>826</v>
  </rv>
  <rv s="0">
    <v>https://www.bing.com/financeapi/forcetrigger?t=ahh8hw&amp;q=XNSE%3aBLISSGVS&amp;form=skydnc</v>
    <v>Learn more on Bing</v>
  </rv>
  <rv s="1">
    <v>en-IN</v>
    <v>ahh8hw</v>
    <v>268435456</v>
    <v>1</v>
    <v>Powered by Refinitiv</v>
    <v>0</v>
    <v>BLISS GVS PHARMA LIMITED (XNSE:BLISSGVS)</v>
    <v>2</v>
    <v>3</v>
    <v>Finance</v>
    <v>4</v>
    <v>447</v>
    <v>118</v>
    <v>0.82789999999999997</v>
    <v>5.2</v>
    <v>1.1969E-2</v>
    <v>INR</v>
    <v>Bliss GVS Pharma Limited is engaged in developing, manufacturing, and marketing pharmaceutical formulations. The Company’s product categories include pharma products, other healthcare products, and therapeutic index. Its pharma products include pharma products include capsules, creams, gels, ointments, dry powder for injection, effervescent tablets, eye/ear drops, nasal solution, lotions, lozenges, oral solids, and others. The Company’s other healthcare products include balm, nasal inhaler, solution, soap, roll on, shampoo, powder, spray, and petroleum jelly. Its brands include ANOMEX, ANOMEX DS, CONLAX 5/10, G - ALFENAC 100, GACET 80/125/170/250/500/1G, GMETH - 50/100, GSUNATE - 50/100/200, GVCAM - 7.5/15, GV-SOFT 1/2/3/4 G, LOFNAC - 12.5/25/50/100, MEFINOL, MELANEZ, MENINA - 25/100, TYRIDOL, VIGOTAMIN, COMIT 50, BG - CLIND, VAGID CL, ECOZOLE, GVGYL 500, GYNANFORT, GVGYL N, KLOVINAL, LONART, LONART FORTE, LONART Dispersible, FINMOL, GACET-500, NOVOGLIP-5, GVZOLE, and DOXYCYCLINE.</v>
    <v>966</v>
    <v>National Stock Exchange of India</v>
    <v>XNSE</v>
    <v>XNSE</v>
    <v>102, HYDE PARK, SAKIVIHAR ROAD, ANDHERI (EAST), MAHARASHTRA, 400072 IN</v>
    <v>447</v>
    <v>Pharmaceuticals</v>
    <v>Stock</v>
    <v>46176.466874999998</v>
    <v>828</v>
    <v>428.4</v>
    <v>17189650000</v>
    <v>BLISS GVS PHARMA LIMITED</v>
    <v>BLISS GVS PHARMA LIMITED</v>
    <v>438</v>
    <v>36.1</v>
    <v>434.45</v>
    <v>439.65</v>
    <v>105789000</v>
    <v>BLISSGVS</v>
    <v>BLISS GVS PHARMA LIMITED (XNSE:BLISSGVS)</v>
    <v>2648317</v>
    <v>5789070</v>
    <v>1984</v>
  </rv>
  <rv s="2">
    <v>829</v>
  </rv>
  <rv s="0">
    <v>https://www.bing.com/financeapi/forcetrigger?t=ahingh&amp;q=XNSE%3aKOPRAN&amp;form=skydnc</v>
    <v>Learn more on Bing</v>
  </rv>
  <rv s="1">
    <v>en-IN</v>
    <v>ahingh</v>
    <v>268435456</v>
    <v>1</v>
    <v>Powered by Refinitiv</v>
    <v>0</v>
    <v>KOPRAN LIMITED (XNSE:KOPRAN)</v>
    <v>2</v>
    <v>3</v>
    <v>Finance</v>
    <v>4</v>
    <v>219</v>
    <v>107</v>
    <v>1.2730999999999999</v>
    <v>-9.49</v>
    <v>-4.8438000000000002E-2</v>
    <v>INR</v>
    <v>Kopran Limited is an India-based pharmaceutical company. The Company is primarily engaged in the business of manufacturing of formulation (finished dosage form) and active pharmaceutical ingredients (API). Its formulations product categories include penicillin-based finished oral dosage forms and non-penicillin-based finished oral dosage forms. The Company's penicillin-based finished oral dosage forms include amoxycillin, ampicillin, cloxacillin, amoxy clauv, flucloxacillin, and phenoxy methyl penicillin. Its non-penicillin-based finished oral dosage forms include macrolides, cardiovascular, anti-helmentics, antihistamine, anti-diabetic, pain management, gastroenterology, and respiratory. It has a portfolio, producing over 100 dosage forms. These include tablets, capsules, dry powder, suspension and injectables. Its subsidiary, Kopran Research Laboratories Ltd, manufactures a range of APIs, including Atenolol and Sterile Carbapenems.</v>
    <v>1024</v>
    <v>National Stock Exchange of India</v>
    <v>XNSE</v>
    <v>XNSE</v>
    <v>PARIJAT HOUSE, 1076 DR E MOSES ROAD, WORLI, MAHARASHTRA, 400018 IN</v>
    <v>194.4</v>
    <v>Pharmaceuticals</v>
    <v>Stock</v>
    <v>46176.466840277775</v>
    <v>831</v>
    <v>186.13</v>
    <v>7132267000</v>
    <v>KOPRAN LIMITED</v>
    <v>KOPRAN LIMITED</v>
    <v>186.25</v>
    <v>35.04</v>
    <v>195.92</v>
    <v>186.43</v>
    <v>48285600</v>
    <v>KOPRAN</v>
    <v>KOPRAN LIMITED (XNSE:KOPRAN)</v>
    <v>226423</v>
    <v>3029940</v>
    <v>1958</v>
  </rv>
  <rv s="2">
    <v>832</v>
  </rv>
  <rv s="0">
    <v>https://www.bing.com/financeapi/forcetrigger?t=ahh86h&amp;q=XNSE%3aBIRLACABLE&amp;form=skydnc</v>
    <v>Learn more on Bing</v>
  </rv>
  <rv s="1">
    <v>en-IN</v>
    <v>ahh86h</v>
    <v>268435456</v>
    <v>1</v>
    <v>Powered by Refinitiv</v>
    <v>0</v>
    <v>BIRLA CABLE LIMITED (XNSE:BIRLACABLE)</v>
    <v>2</v>
    <v>3</v>
    <v>Finance</v>
    <v>4</v>
    <v>224.46</v>
    <v>104</v>
    <v>1.2441</v>
    <v>10.68</v>
    <v>4.9958000000000002E-2</v>
    <v>INR</v>
    <v>Birla Cable Limited is an India-based manufacturer of telecommunication cables. The Company is engaged in the manufacturing and sale of cables comprising telecommunications cables, other types of wires and cables, among others. It offers fiber optic cables, Telecom fiber accessories, Structured cables, and Structured cable accessories. Its telecom fiber accessories include connector, adapter, pigtail patch cord, fiber management, and joint closure. Its structured cable accessories include patch cord, key stones, patch panels, face plate, and connector. CAT 7, CAT 6A, CAT 6, and CAT 5E are the offerings in structured cables. The Company's fiber optic cable products include ADSS (All Di-Electric Self-Supporting), ULTRA-LIGHT WEIGHT, FIG-8 (Metallic-Messenger Wire), FIG-8 (Dielectric-Messenger Wire), FLAT DROP, 2F-12F Steel Wire Armored-Tactical, 2F-6F Spiral Armored, UNI-TUBE, MULTI-TUBE, and others. The Company's subsidiary is Birla Cable Infrasolutions DMCC.</v>
    <v>302</v>
    <v>National Stock Exchange of India</v>
    <v>XNSE</v>
    <v>XNSE</v>
    <v>Udyog Vihar, P.O. Chorhata, Rewa (M.P) - 486 006, MADHYA PRADESH, 486006 IN</v>
    <v>224.46</v>
    <v>Machinery, Equipment &amp; Components</v>
    <v>Stock</v>
    <v>46176.466851851852</v>
    <v>834</v>
    <v>204</v>
    <v>4019700000</v>
    <v>BIRLA CABLE LIMITED</v>
    <v>BIRLA CABLE LIMITED</v>
    <v>213.78</v>
    <v>39.869999999999997</v>
    <v>213.78</v>
    <v>224.46</v>
    <v>30000000</v>
    <v>BIRLACABLE</v>
    <v>BIRLA CABLE LIMITED (XNSE:BIRLACABLE)</v>
    <v>267244</v>
    <v>114760</v>
    <v>1992</v>
  </rv>
  <rv s="2">
    <v>835</v>
  </rv>
  <rv s="0">
    <v>https://www.bing.com/financeapi/forcetrigger?t=c434r7&amp;q=XNSE%3aSJS&amp;form=skydnc</v>
    <v>Learn more on Bing</v>
  </rv>
  <rv s="1">
    <v>en-IN</v>
    <v>c434r7</v>
    <v>268435456</v>
    <v>1</v>
    <v>Powered by Refinitiv</v>
    <v>0</v>
    <v>S.J.S. ENTERPRISES LIMITED (XNSE:SJS)</v>
    <v>2</v>
    <v>3</v>
    <v>Finance</v>
    <v>4</v>
    <v>2137.8000000000002</v>
    <v>1080.9000000000001</v>
    <v>0.64559999999999995</v>
    <v>-47.6</v>
    <v>-2.3584999999999998E-2</v>
    <v>INR</v>
    <v>S.J.S. Enterprises Limited is an India-based decorative aesthetic solution provider. The Company is engaged in the manufacturing of decorative aesthetic products primarily for the automotive, consumer durables and consumer appliance industries, such as automotive dials, overlays, badges and logos, spare parts, plastic accessories and other materials. It also manufactures products for commercial vehicles, medical devices, farm equipment and sanitaryware industries. Its product portfolio includes decals and body graphics, domes, 3D lux, aluminum badges, 2D appliques and dials, in-mold decorative (IMD), in-mold forming (IMF), illuminated logos, optical plastics, lens mask assembly, chrome-plated and painted products, and others. Its chrome-plated and painted products include wheel covers, monograms, nameplates, rear and front appliques, and door handles, among others. Its subsidiaries are SJS Decoplast Private Limited and Walter Pack Automotive Products India Private Limited.</v>
    <v>2730</v>
    <v>National Stock Exchange of India</v>
    <v>XNSE</v>
    <v>XNSE</v>
    <v>Sy.Nos - 28/P16 Agra Village &amp; 85/ P6 BM Kaval Village, Kengeri Hobli, Bangalore South, BANGALORE, KARNATAKA, 560082 IN</v>
    <v>2050.9</v>
    <v>Automobiles &amp; Auto Parts</v>
    <v>Stock</v>
    <v>46176.466851851852</v>
    <v>837</v>
    <v>1949.5</v>
    <v>54986410000</v>
    <v>S.J.S. ENTERPRISES LIMITED</v>
    <v>S.J.S. ENTERPRISES LIMITED</v>
    <v>2018.2</v>
    <v>36.479999999999997</v>
    <v>2018.2</v>
    <v>1970.6</v>
    <v>31996780</v>
    <v>SJS</v>
    <v>S.J.S. ENTERPRISES LIMITED (XNSE:SJS)</v>
    <v>111134</v>
    <v>120420</v>
    <v>2005</v>
  </rv>
  <rv s="2">
    <v>838</v>
  </rv>
  <rv s="0">
    <v>https://www.bing.com/financeapi/forcetrigger?t=ahhym7&amp;q=XNSE%3aGRANULES&amp;form=skydnc</v>
    <v>Learn more on Bing</v>
  </rv>
  <rv s="1">
    <v>en-IN</v>
    <v>ahhym7</v>
    <v>268435456</v>
    <v>1</v>
    <v>Powered by Refinitiv</v>
    <v>0</v>
    <v>GRANULES INDIA LIMITED (XNSE:GRANULES)</v>
    <v>2</v>
    <v>3</v>
    <v>Finance</v>
    <v>4</v>
    <v>804.3</v>
    <v>432.6</v>
    <v>0.63790000000000002</v>
    <v>16.25</v>
    <v>2.0899000000000001E-2</v>
    <v>INR</v>
    <v>Granules India Limited is an India-based pharmaceutical manufacturing company. The Company operates through its pharmaceutical products segment. Its geographical segments include within India and outside India. The Company has a presence across the pharmaceutical manufacturing value chain, including active pharmaceutical ingredients (APIs), pharmaceutical formulation intermediaries (PFIs) and finished dosages (FDs). It produces and supplies Paracetamol, Metformin, Guaifenesin, and Methocarbamol APIs. It has over 10 manufacturing facilities, approximately eight of which are located in India and two in the United States. The Company sells its products in global markets, including the United States of America, Canada, Latin America, Europe, Asia Pacific, and India. Its subsidiaries include Granules USA Inc and Granules Europe Limited. It also owns Senn Chemicals AG, a contract development and manufacturing organization (CDMO) specializing in peptide development and manufacturing.</v>
    <v>4066</v>
    <v>National Stock Exchange of India</v>
    <v>XNSE</v>
    <v>XNSE</v>
    <v>15TH FLOOR, GRANULES TOWER BOTANICAL GARDEN ROAD KONDAPUR, K.V.RANGAREDDY,, SERILINGAMPALLY, TELANGANA, 500084 IN</v>
    <v>797</v>
    <v>Pharmaceuticals</v>
    <v>Stock</v>
    <v>46176.466863425929</v>
    <v>840</v>
    <v>780.45</v>
    <v>143368700000</v>
    <v>GRANULES INDIA LIMITED</v>
    <v>GRANULES INDIA LIMITED</v>
    <v>782</v>
    <v>32.479999999999997</v>
    <v>777.55</v>
    <v>793.8</v>
    <v>247796900</v>
    <v>GRANULES</v>
    <v>GRANULES INDIA LIMITED (XNSE:GRANULES)</v>
    <v>769581</v>
    <v>1914120</v>
    <v>1991</v>
  </rv>
  <rv s="2">
    <v>841</v>
  </rv>
  <rv s="3">
    <v>en-IN</v>
    <v>ch7y27</v>
    <v>268435456</v>
    <v>1</v>
    <v>Powered by Refinitiv</v>
    <v>5</v>
    <v>SIEMENS ENERGY INDIA LIMITED (XNSE:ENRIN)</v>
    <v>6</v>
    <v>3</v>
    <v>Finance</v>
    <v>4</v>
    <v>3968</v>
    <v>2115</v>
    <v>0.86699999999999999</v>
    <v>63.3</v>
    <v>1.7469999999999999E-2</v>
    <v>INR</v>
    <v>Siemens Energy India Ltd is engaged in infrastructure and transport as well as transmission and generation of electrical power. The Company offers a range of products, solutions and services covering a large part of the energy value chain. Its customer base includes oil and gas, power utilities, IPPs, EPCs, transmission system operators, data centers and industrial companies in sectors such as cement, metals, sugar and ethanol, paper &amp; pulp, and petrochemicals. The Company’s segments include Power Generation and Power Transmission. The Generation Segment focuses on business and related services, such as large and industrial gas turbines, large and industrial steam turbines, energy efficiency solutions such as waste heat recovery, and others. The Transmission segment focuses on manufacturing and supplying HV and EHV equipment like air insulated (AIS) and gas insulated (GIS) switchgears, power transformers, bushing, instrument transformers and coils and related accessories.</v>
    <v>4539</v>
    <v>National Stock Exchange of India</v>
    <v>XNSE</v>
    <v>XNSE</v>
    <v>Birla Aurora, Level 21, Plot No. 1080,Dr. Annie Besant Road, Worli, MUMBAI, MAHARASHTRA, 400030 IN</v>
    <v>3789.9</v>
    <v>Electrical Utilities &amp; IPPs</v>
    <v>Stock</v>
    <v>46176.466932870368</v>
    <v>3623.3</v>
    <v>856256100000</v>
    <v>SIEMENS ENERGY INDIA LIMITED</v>
    <v>SIEMENS ENERGY INDIA LIMITED</v>
    <v>3641.4</v>
    <v>100.22</v>
    <v>3623.3</v>
    <v>3686.6</v>
    <v>356120500</v>
    <v>ENRIN</v>
    <v>SIEMENS ENERGY INDIA LIMITED (XNSE:ENRIN)</v>
    <v>1027266</v>
    <v>1364800</v>
    <v>2024</v>
  </rv>
  <rv s="2">
    <v>843</v>
  </rv>
  <rv s="0">
    <v>https://www.bing.com/financeapi/forcetrigger?t=ahixnm&amp;q=XNSE%3aMEGASOFT&amp;form=skydnc</v>
    <v>Learn more on Bing</v>
  </rv>
  <rv s="1">
    <v>en-IN</v>
    <v>ahixnm</v>
    <v>268435456</v>
    <v>1</v>
    <v>Powered by Refinitiv</v>
    <v>0</v>
    <v>SIGMA ADVANCED SYSTEMS LIMITED (XNSE:SIGMAADV)</v>
    <v>2</v>
    <v>3</v>
    <v>Finance</v>
    <v>4</v>
    <v>446</v>
    <v>79.5</v>
    <v>2.3130000000000002</v>
    <v>20.8</v>
    <v>4.9988000000000005E-2</v>
    <v>INR</v>
    <v>Sigma Advanced Systems Limited, formerly Megasoft Limited, is a manufacturer and service provider of defense systems and security solutions. It specializes in the design, development, and production of defense and aerospace solutions. Its portfolio includes Avionics, Naval Systems, Torpedo Systems, Communication Systems, Submarine Platform, Radars and Counter-Unmanned Aerial Systems tailored to meet the needs of modern armed forces and homeland security. It supports its clients with end-to-end solutions, from initial concept design through to full-scale production and others. Its services consist of systems solution and engineering; hardware design and development; software design and development, and production. Its products include Missile System, Avionics, Naval System, Radar System, Anti-Drone System, Surveillance UAV And Armed UAV and COTS. Its Indrajaal Partner integrated system platform combines AI sensing, electronic warfare, and command systems into deployable solutions.</v>
    <v>885</v>
    <v>National Stock Exchange of India</v>
    <v>XNSE</v>
    <v>XNSE</v>
    <v>8th Floor, Unit No. 801B Jain Sadguru Images Capital Park, Plot No. 1, 28 &amp; 29, 98/4/1 to 13, Image Garden Rd, Madhapur, HYDERABAD, TELANGANA, 500081 IN</v>
    <v>436.9</v>
    <v>Aerospace &amp; Defense</v>
    <v>Stock</v>
    <v>46176.466863425929</v>
    <v>845</v>
    <v>406.1</v>
    <v>13967620000</v>
    <v>SIGMA ADVANCED SYSTEMS LIMITED</v>
    <v>SIGMA ADVANCED SYSTEMS LIMITED</v>
    <v>414.4</v>
    <v>17</v>
    <v>416.1</v>
    <v>436.9</v>
    <v>176239700</v>
    <v>SIGMAADV</v>
    <v>SIGMA ADVANCED SYSTEMS LIMITED (XNSE:SIGMAADV)</v>
    <v>840720</v>
    <v>632980</v>
    <v>1999</v>
  </rv>
  <rv s="2">
    <v>846</v>
  </rv>
  <rv s="0">
    <v>https://www.bing.com/financeapi/forcetrigger?t=ahkcpr&amp;q=XNSE%3aTHYROCARE&amp;form=skydnc</v>
    <v>Learn more on Bing</v>
  </rv>
  <rv s="1">
    <v>en-IN</v>
    <v>ahkcpr</v>
    <v>268435456</v>
    <v>1</v>
    <v>Powered by Refinitiv</v>
    <v>0</v>
    <v>THYROCARE TECHNOLOGIES LIMITED (XNSE:THYROCARE)</v>
    <v>2</v>
    <v>3</v>
    <v>Finance</v>
    <v>4</v>
    <v>536.66999999999996</v>
    <v>291.37</v>
    <v>0.77639999999999998</v>
    <v>3.55</v>
    <v>6.8050000000000003E-3</v>
    <v>INR</v>
    <v>Thyrocare Technologies Limited is an India-based company, which operates as a healthcare services provider. It offers a range of diagnostic and related healthcare tests and services that are focused on early detection, preventive care, and ongoing disease monitoring. Its segments include diagnostic testing services, Imaging Services, and others. The Diagnostic Testing Services segment includes diagnostic and testing services, selling of consumables used for collection and promotion of pathology. The Imaging Services include diagnostic and imaging services, the selling of radiopharmaceuticals, and consumables for reporting. The Others segment includes the sale of testing equipment and consumables, and the selling of glucometer and glucostrips under the brand, Sugarscan. It has a centralized fully automated diagnostic testing laboratory, regional processing laboratories, and a medical cyclotron facility across India. It is also focused on offering pathological services.</v>
    <v>1822</v>
    <v>National Stock Exchange of India</v>
    <v>XNSE</v>
    <v>XNSE</v>
    <v>D=37/1, TTC INDUSTRIAL AREA, MIDC, TURBHE, 400703 IN</v>
    <v>529.70000000000005</v>
    <v>Healthcare Providers &amp; Services</v>
    <v>Stock</v>
    <v>46176.466874999998</v>
    <v>848</v>
    <v>512.04999999999995</v>
    <v>74591130000</v>
    <v>THYROCARE TECHNOLOGIES LIMITED</v>
    <v>THYROCARE TECHNOLOGIES LIMITED</v>
    <v>522.5</v>
    <v>51.14</v>
    <v>521.65</v>
    <v>525.20000000000005</v>
    <v>159165300</v>
    <v>THYROCARE</v>
    <v>THYROCARE TECHNOLOGIES LIMITED (XNSE:THYROCARE)</v>
    <v>312888</v>
    <v>431950</v>
    <v>2000</v>
  </rv>
  <rv s="2">
    <v>849</v>
  </rv>
  <rv s="0">
    <v>https://www.bing.com/financeapi/forcetrigger?t=c1ypgh&amp;q=XNSE%3aMODISNME&amp;form=skydnc</v>
    <v>Learn more on Bing</v>
  </rv>
  <rv s="1">
    <v>en-IN</v>
    <v>c1ypgh</v>
    <v>268435456</v>
    <v>1</v>
    <v>Powered by Refinitiv</v>
    <v>0</v>
    <v>MODISON LIMITED (XNSE:MODISONLTD)</v>
    <v>2</v>
    <v>3</v>
    <v>Finance</v>
    <v>4</v>
    <v>329.35</v>
    <v>114</v>
    <v>1.1326000000000001</v>
    <v>15.3</v>
    <v>4.8772999999999997E-2</v>
    <v>INR</v>
    <v>Modison Limited is an India-based company. The Company is engaged in the manufacturing of electrical contacts for switchgear in India and globally. It manufactures electrical contact materials and finishes contacts for all the areas of the switchgear industry including Low, Medium, High and Extra High Voltage. It also produces goods for dominant sectors such as automotive, engineering, aerospace, marine, defense, and railways. Its Electrical Contacts include Low Voltage Electrical Contacts, such as Silver Tin Oxide Contact, Silver Brazing Alloy, and Fine Silver-Powder/ Granules, and others; Medium and High Voltage Electrical Contacts, such as Brazed Arcing Contacts, Electron-Beam Welding, and Copper Tungsten Contacts, among others; and Precious Metal Compounds, such as Silver Oxide, Silver Nitrate, and Silver Sulphate. Its Silver Bullion includes Cast Silver, Minted Silver, and Silver Cutlery. Its value-added services include silver plating, electron beam welding, and others.</v>
    <v>256</v>
    <v>National Stock Exchange of India</v>
    <v>XNSE</v>
    <v>XNSE</v>
    <v>33, NARIMAN BHAVAN 227, NARIMAN POINT, MAHARASHTRA, 400021 IN</v>
    <v>329.35</v>
    <v>Metals &amp; Mining</v>
    <v>Stock</v>
    <v>46176.466840277775</v>
    <v>851</v>
    <v>316.60000000000002</v>
    <v>4998598000</v>
    <v>MODISON LIMITED</v>
    <v>MODISON LIMITED</v>
    <v>329.35</v>
    <v>14.72</v>
    <v>313.7</v>
    <v>329</v>
    <v>32450000</v>
    <v>MODISONLTD</v>
    <v>MODISON LIMITED (XNSE:MODISONLTD)</v>
    <v>200782</v>
    <v>741220</v>
    <v>1983</v>
  </rv>
  <rv s="2">
    <v>852</v>
  </rv>
  <rv s="0">
    <v>https://www.bing.com/financeapi/forcetrigger?t=c3oifr&amp;q=XNSE%3aABSLAMC&amp;form=skydnc</v>
    <v>Learn more on Bing</v>
  </rv>
  <rv s="1">
    <v>en-IN</v>
    <v>c3oifr</v>
    <v>268435456</v>
    <v>1</v>
    <v>Powered by Refinitiv</v>
    <v>0</v>
    <v>ADITYA BIRLA SUN LIFE AMC LIMITED (XNSE:ABSLAMC)</v>
    <v>2</v>
    <v>3</v>
    <v>Finance</v>
    <v>4</v>
    <v>1123.5</v>
    <v>708</v>
    <v>0.81310000000000004</v>
    <v>6.1</v>
    <v>5.9379999999999997E-3</v>
    <v>INR</v>
    <v>Aditya Birla Sun Life AMC Limited is an India-based company. The Company is engaged in the business of providing asset management services to Aditya Birla Sun Life Mutual Fund. The Company also operates multiple alternate strategies including portfolio management services, real estate investments, and alternative investment funds. The Company provides portfolio management services (PMS) and investment advisory services to offshore funds and high net worth investors. The Company also acts as an Investment Manager to Aditya Birla Real Estate Funds (Category II). The Company’s subsidiaries include Aditya Birla Sun Life AMC (Mauritius) Limited, Aditya Birla Sun Life Asset Management Company Pte. Limited, Singapore, and Aditya Birla Sun Life Asset Management Company Limited, (DIFC, Dubai).</v>
    <v>1403</v>
    <v>National Stock Exchange of India</v>
    <v>XNSE</v>
    <v>XNSE</v>
    <v>One World Center, Tower 1, 17th Floor, Jupiter Mills, Senapati Bapat Marg, Elphinstone Road, MUMBAI, MAHARASHTRA, 400013 IN</v>
    <v>1057.0999999999999</v>
    <v>Investment Banking &amp; Investment Services</v>
    <v>Stock</v>
    <v>46176.466851851852</v>
    <v>854</v>
    <v>1005.6</v>
    <v>237100700000</v>
    <v>ADITYA BIRLA SUN LIFE AMC LIMITED</v>
    <v>ADITYA BIRLA SUN LIFE AMC LIMITED</v>
    <v>1020</v>
    <v>30.6</v>
    <v>1027.2</v>
    <v>1033.3</v>
    <v>289175000</v>
    <v>ABSLAMC</v>
    <v>ADITYA BIRLA SUN LIFE AMC LIMITED (XNSE:ABSLAMC)</v>
    <v>467879</v>
    <v>235530</v>
    <v>1994</v>
  </rv>
  <rv s="2">
    <v>855</v>
  </rv>
  <rv s="0">
    <v>https://www.bing.com/financeapi/forcetrigger?t=ahhd2w&amp;q=XNSE%3aCENTUM&amp;form=skydnc</v>
    <v>Learn more on Bing</v>
  </rv>
  <rv s="1">
    <v>en-IN</v>
    <v>ahhd2w</v>
    <v>268435456</v>
    <v>1</v>
    <v>Powered by Refinitiv</v>
    <v>0</v>
    <v>CENTUM ELECTRONICS LIMITED (XNSE:CENTUM)</v>
    <v>2</v>
    <v>3</v>
    <v>Finance</v>
    <v>4</v>
    <v>3714</v>
    <v>2044.2</v>
    <v>0.56269999999999998</v>
    <v>-10.1</v>
    <v>-2.8060000000000003E-3</v>
    <v>INR</v>
    <v>Centum Electronics Limited is an India-based company, which is engaged in electronic system design and manufacturing. It designs manufacture and also exports electronic products. It offers products including electronic systems, subsystems, modules, printed circuit boards assembly, and design services. It is primarily involved in the manufacture of Advanced Microelectronics Modules, Frequency Control Products, Printed Circuit Board Assembly (PCBA), and Resistor Networks catering to the markets. It also offers a range of manufacturing and test solutions, including box builds, system integration, PCBA, and electromechanical assemblies. It provides services such as Feasibility, Architecture, System development, System simulation, Aftermarket/Test tools design, Qualification batch, Test tools acceptance, Value engineering, Obsolescence mgmt., Cost analysis, Test tools mgmt., and Product migration. It serves various sectors Defense, Aerospace, Space, Medical, Transportation, and Industrial.</v>
    <v>1347</v>
    <v>National Stock Exchange of India</v>
    <v>XNSE</v>
    <v>XNSE</v>
    <v>44 KHB INDUSTRIAL AREA YELAHANKA NEW TOWN, KARNATAKA, 560064 IN</v>
    <v>3625.5</v>
    <v>Machinery, Equipment &amp; Components</v>
    <v>Stock</v>
    <v>46176.466863425929</v>
    <v>857</v>
    <v>3515.3</v>
    <v>34344070000</v>
    <v>CENTUM ELECTRONICS LIMITED</v>
    <v>CENTUM ELECTRONICS LIMITED</v>
    <v>3625</v>
    <v>63.08</v>
    <v>3600</v>
    <v>3589.9</v>
    <v>14759020</v>
    <v>CENTUM</v>
    <v>CENTUM ELECTRONICS LIMITED (XNSE:CENTUM)</v>
    <v>57472</v>
    <v>109960</v>
    <v>1993</v>
  </rv>
  <rv s="2">
    <v>858</v>
  </rv>
  <rv s="3">
    <v>en-IN</v>
    <v>c8ip5r</v>
    <v>268435456</v>
    <v>1</v>
    <v>Powered by Refinitiv</v>
    <v>5</v>
    <v>Sky Gold and Diamonds Limited (XNSE:SKYGOLD)</v>
    <v>6</v>
    <v>3</v>
    <v>Finance</v>
    <v>4</v>
    <v>575</v>
    <v>246.05</v>
    <v>0.64339999999999997</v>
    <v>3.55</v>
    <v>6.3429999999999997E-3</v>
    <v>INR</v>
    <v>Sky Gold and Diamonds Limited is an India-based company. The Company is engaged in the business of designing, manufacturing and marketing fine gold jewelry. The Company offers a variety of designs to suit the preferences of the end customer. The Company mainly deals in 22-Carat and 18-Carat gold jewelry. It provides an extensive range of designs and uses natural, lab-grown and American diamonds and/or colored gemstones in many of its jewelry products. It serves jewelry brands, wholesalers, distributors, retailers, and it caters to both special occasions and daily wear segments across multiple price points. It offers a range of rings, chains, mangalsutra, bracelets, pendants, earrings, and customized jewelry. Its collection is categorized into Diamond, Gold and Rose Gold. Its collection includes Rangi, Marisa, Saathiya, Sovana, Shaan, Tazim, Zenna, Kimora, Shaiand Misha, among others. Its manufacturing unit is located in Navi Mumbai.</v>
    <v>780</v>
    <v>National Stock Exchange of India</v>
    <v>XNSE</v>
    <v>XNSE</v>
    <v>Plot No.D-222/2 TTC Industrial Area, MIDC Shirvane,, MUMBAI, MAHARASHTRA, 400706 IN</v>
    <v>575</v>
    <v>Textiles &amp; Apparel</v>
    <v>Stock</v>
    <v>46176.466863425929</v>
    <v>552.85</v>
    <v>51112820000</v>
    <v>Sky Gold and Diamonds Limited</v>
    <v>Sky Gold and Diamonds Limited</v>
    <v>566.79999999999995</v>
    <v>31.17</v>
    <v>559.70000000000005</v>
    <v>563.25</v>
    <v>154873900</v>
    <v>SKYGOLD</v>
    <v>Sky Gold and Diamonds Limited (XNSE:SKYGOLD)</v>
    <v>1758735</v>
    <v>1630370</v>
    <v>2008</v>
  </rv>
  <rv s="2">
    <v>860</v>
  </rv>
  <rv s="0">
    <v>https://www.bing.com/financeapi/forcetrigger?t=ah86cw&amp;q=XBOM%3a500414&amp;form=skydnc</v>
    <v>Learn more on Bing</v>
  </rv>
  <rv s="10">
    <v>en-IN</v>
    <v>ah86cw</v>
    <v>268435456</v>
    <v>1</v>
    <v>Powered by Refinitiv</v>
    <v>19</v>
    <v>TIMEX GROUP INDIA LIMITED (XBOM:500414)</v>
    <v>2</v>
    <v>14</v>
    <v>Finance</v>
    <v>12</v>
    <v>465</v>
    <v>200</v>
    <v>-1.5</v>
    <v>-3.4449999999999997E-3</v>
    <v>INR</v>
    <v>Timex Group India Limited is an India-based company that is engaged in the business of manufacturing and trading of watches and rendering of related after-sales services. The Company also provides information and technology support services to the group of companies. Its range of products spans various categories, from luxurious statement timepieces to practical and functional everyday watches. The Company's portfolio of brands includes Timex, Guess, Gc, Versace, Salvatore Ferragamo, Nautica, Ted Baker, Furla, Adidas Originals, Philipp Plein, Plein Sport, UCB, Helix and TMX. It also operates as the ODM for watches with Lavie and Woodland for their brand of watches and also with Flipkart and Myntra for brands such as Wrogn, Van Heusen, Allen Solly and Peter England. It sells its products on wholesale cash and carry basis through various sales channels and partners including distributors, dealers, franchisee operated exclusive brand outlets, modern trade - chain stores, among others.</v>
    <v>323</v>
    <v>Bombay Stock Exchange</v>
    <v>XBOM</v>
    <v>XBOM</v>
    <v>UNIT NO.303, 3RD FLOOR, TOWER B, WORLD TRADE TOWER (WTT). C-1,, SECTOR-16, NOIDA, UTTAR PRADESH, 201301 IN</v>
    <v>449</v>
    <v>Textiles &amp; Apparel</v>
    <v>Stock</v>
    <v>46176.438796296294</v>
    <v>862</v>
    <v>425.7</v>
    <v>32278760000</v>
    <v>TIMEX GROUP INDIA LIMITED</v>
    <v>TIMEX GROUP INDIA LIMITED</v>
    <v>440.5</v>
    <v>59.73</v>
    <v>435.4</v>
    <v>433.9</v>
    <v>100950000</v>
    <v>500414</v>
    <v>TIMEX GROUP INDIA LIMITED (XBOM:500414)</v>
    <v>84011</v>
    <v>1292200</v>
    <v>1988</v>
  </rv>
  <rv s="2">
    <v>863</v>
  </rv>
  <rv s="0">
    <v>https://www.bing.com/financeapi/forcetrigger?t=ahilc7&amp;q=XNSE%3aKERNEX&amp;form=skydnc</v>
    <v>Learn more on Bing</v>
  </rv>
  <rv s="1">
    <v>en-IN</v>
    <v>ahilc7</v>
    <v>268435456</v>
    <v>1</v>
    <v>Powered by Refinitiv</v>
    <v>0</v>
    <v>KERNEX MICROSYSTEMS (INDIA)LIMITED (XNSE:KERNEX)</v>
    <v>2</v>
    <v>3</v>
    <v>Finance</v>
    <v>4</v>
    <v>1918.4</v>
    <v>850</v>
    <v>1.0757000000000001</v>
    <v>73.2</v>
    <v>4.0561E-2</v>
    <v>INR</v>
    <v>Kernex Microsystems (India) Limited is engaged in the manufacture and sale of safety systems and software services for railways. The Company provides a track record in providing professional electronic systems that can operate under stringent/harsh environmental conditions. Its capabilities include concept, design, validation, manufacture, evaluation, installation and providing technical and maintenance support, on turnkey basis. The Company offers a range of products, including LxGuard, TrainSHIELD, SAFELx, Sentinex, Casry, KMDAX, Automatic Timing (Recording) Device for Railway Wagons (ATRW), and KTPIS. The Company also provides a range of value-added embedded research and development (R&amp;D) services and electronics manufacturing services (EMS/CEM) to its customers. The Company offers services in turnkey product development, electronic product design, embedded software design, electronic manufacturing, ESS testing, offshore development, and quality control.</v>
    <v>363</v>
    <v>National Stock Exchange of India</v>
    <v>XNSE</v>
    <v>XNSE</v>
    <v>PLOT NO38(PART) TO 4SURVEY NO 1/1, KANCHA IMARAT RAVIRYAL VILLAGE,MAHESWARAM MANDAL HYDERABAD, TELANGANA, 500005 IN</v>
    <v>1893.7</v>
    <v>Electronic Equipment &amp; Parts</v>
    <v>Stock</v>
    <v>46176.466863425929</v>
    <v>865</v>
    <v>1745</v>
    <v>18664130000</v>
    <v>KERNEX MICROSYSTEMS (INDIA)LIMITED</v>
    <v>KERNEX MICROSYSTEMS (INDIA)LIMITED</v>
    <v>1827</v>
    <v>35.69</v>
    <v>1804.7</v>
    <v>1877.9</v>
    <v>16802420</v>
    <v>KERNEX</v>
    <v>KERNEX MICROSYSTEMS (INDIA)LIMITED (XNSE:KERNEX)</v>
    <v>535959</v>
    <v>670830</v>
    <v>1991</v>
  </rv>
  <rv s="2">
    <v>866</v>
  </rv>
  <rv s="0">
    <v>https://www.bing.com/financeapi/forcetrigger?t=ahj1u2&amp;q=XNSE%3aMOTHERSON&amp;form=skydnc</v>
    <v>Learn more on Bing</v>
  </rv>
  <rv s="1">
    <v>en-IN</v>
    <v>ahj1u2</v>
    <v>268435456</v>
    <v>1</v>
    <v>Powered by Refinitiv</v>
    <v>0</v>
    <v>SAMVARDHANA MOTHERSON INTERNATIONAL LIMITED (XNSE:MOTHERSON)</v>
    <v>2</v>
    <v>3</v>
    <v>Finance</v>
    <v>4</v>
    <v>151.77000000000001</v>
    <v>89.7</v>
    <v>1.2856000000000001</v>
    <v>0.72</v>
    <v>4.9690000000000003E-3</v>
    <v>INR</v>
    <v>Samvardhana Motherson International Limited is an India-based global design, engineering, manufacturing, assembly and logistics (D.E.M.A.L.) specialist. Its segments include Wiring harness, Modules and polymer products, Vision systems, Integrated assemblies, and Emerging businesses. Wiring harness segment is engaged mainly in the business of manufacturing and trading of wiring harness, its components and rendering of support service function exclusively to wiring harness operations. Modules and polymer products segment is engaged in manufacturing and supply of plastic parts and system modules for vehicle interiors and exteriors. Vision systems segment is engaged in development, manufacture and supply of rear view mirrors and drive assistance systems. Integrated assemblies segment is engaged in integrated module assembly and logistics tailored for the automotive sector. Emerging businesses segment comprises Elastomers, Lighting &amp; Electronics, Precision Metals and Modules, and others.</v>
    <v>91481</v>
    <v>National Stock Exchange of India</v>
    <v>XNSE</v>
    <v>XNSE</v>
    <v>UNIT-705, C WING, ONE BKC, G BLOCK BANDRA KURLA COMPLEX,, BANDRA EAST, MAHARASHTRA, 400051 IN</v>
    <v>146.25</v>
    <v>Automobiles &amp; Auto Parts</v>
    <v>Stock</v>
    <v>46176.466840277775</v>
    <v>868</v>
    <v>141.75</v>
    <v>1213022000000</v>
    <v>SAMVARDHANA MOTHERSON INTERNATIONAL LIMITED</v>
    <v>SAMVARDHANA MOTHERSON INTERNATIONAL LIMITED</v>
    <v>144.68</v>
    <v>41.72</v>
    <v>144.88999999999999</v>
    <v>145.61000000000001</v>
    <v>10531230000</v>
    <v>MOTHERSON</v>
    <v>SAMVARDHANA MOTHERSON INTERNATIONAL LIMITED (XNSE:MOTHERSON)</v>
    <v>19595325</v>
    <v>40825100</v>
    <v>1986</v>
  </rv>
  <rv s="2">
    <v>869</v>
  </rv>
  <rv s="0">
    <v>https://www.bing.com/financeapi/forcetrigger?t=ahiysm&amp;q=XNSE%3aMINDACORP&amp;form=skydnc</v>
    <v>Learn more on Bing</v>
  </rv>
  <rv s="1">
    <v>en-IN</v>
    <v>ahiysm</v>
    <v>268435456</v>
    <v>1</v>
    <v>Powered by Refinitiv</v>
    <v>0</v>
    <v>MINDA CORPORATION LIMITED (XNSE:MINDACORP)</v>
    <v>2</v>
    <v>3</v>
    <v>Finance</v>
    <v>4</v>
    <v>642</v>
    <v>445.05</v>
    <v>0.63759999999999994</v>
    <v>-3.45</v>
    <v>-5.4769999999999992E-3</v>
    <v>INR</v>
    <v>Minda Corporation Limited is an India-based company engaged in manufacturing automotive components and parts thereof. Its division includes Mechatronics, Information and Connected Systems, Plastics and Interiors, Aftermarket solutions, Electronics Manufacturing, and Spark Minda Green Mobility. Its Mechatronics division includes ignition switch cum steering lock, keyless entry, mechatronics handle, immobilizer-fuel tank cap, aluminum die casting, compressor housing, alternator and starter motor. The Information and Connected Systems division includes Wiring Harness, 2W Fully Digital Cluster, Cockpit, and Connectors. Its Aftermarket solution division includes clutch, immobilizer Fuel Tank Cap, starter motorslocks, filters, and alternators. It offers products for auto original equipment manufacturers (OEMs). Its products are designed to cater to a range of vehicle segments, including two-three-wheelers, passenger vehicles, commercial vehicles, and off-road vehicles.</v>
    <v>3387</v>
    <v>National Stock Exchange of India</v>
    <v>XNSE</v>
    <v>XNSE</v>
    <v>D-6-11 SECTOR 59, NOIDA, UTTAR PRADESH, 201301 IN</v>
    <v>642</v>
    <v>Automobiles &amp; Auto Parts</v>
    <v>Stock</v>
    <v>46176.466898148145</v>
    <v>871</v>
    <v>622.04999999999995</v>
    <v>135332500000</v>
    <v>MINDA CORPORATION LIMITED</v>
    <v>MINDA CORPORATION LIMITED</v>
    <v>629.85</v>
    <v>40.909999999999997</v>
    <v>629.85</v>
    <v>626.4</v>
    <v>235360900</v>
    <v>MINDACORP</v>
    <v>MINDA CORPORATION LIMITED (XNSE:MINDACORP)</v>
    <v>679928</v>
    <v>1302570</v>
    <v>1985</v>
  </rv>
  <rv s="2">
    <v>872</v>
  </rv>
  <rv s="0">
    <v>https://www.bing.com/financeapi/forcetrigger?t=c4eqp2&amp;q=XNSE%3aSTARHEALTH&amp;form=skydnc</v>
    <v>Learn more on Bing</v>
  </rv>
  <rv s="1">
    <v>en-IN</v>
    <v>c4eqp2</v>
    <v>268435456</v>
    <v>1</v>
    <v>Powered by Refinitiv</v>
    <v>0</v>
    <v>STAR HEALTH AND ALLIED INSURANCE COMPANY LIMITED (XNSE:STARHEALTH)</v>
    <v>2</v>
    <v>3</v>
    <v>Finance</v>
    <v>4</v>
    <v>586.25</v>
    <v>412.6</v>
    <v>1.3771</v>
    <v>-3.65</v>
    <v>-6.8389999999999996E-3</v>
    <v>INR</v>
    <v>Star Health and Allied Insurance Company Limited is an India-based health insurance company. The Company provides health insurance products to individuals, families and corporates, directly and through various channels, such as agents, brokers, online and digital channels like Web aggregators, fintech, bancassurance partners, point of sale persons (POS), and others. Its product categories include retail health, group health, personal accident, and travel insurance. Its retail products include family health optima insurance plan, star comprehensive insurance policy, medi classic insurance policy (individual), and senior citizens red carpet health insurance policy. Its retail products are offered to individuals, families, students, elderly individuals and those with prior medical conditions. Its group health products provide coverage for corporate employees. It also offers Unit Linked Insurance Plan, Indemnity Health Insurance, and others. It has approximately 913 branch offices.</v>
    <v>15798</v>
    <v>National Stock Exchange of India</v>
    <v>XNSE</v>
    <v>XNSE</v>
    <v>NO.1,NEW TANK STREET VALLUVARKOTTAM HIGH ROAD, NUGAMBAKKAM, TAMIL NADU, 600034 IN</v>
    <v>539.45000000000005</v>
    <v>Insurance</v>
    <v>Stock</v>
    <v>46176.466851851852</v>
    <v>874</v>
    <v>525.79999999999995</v>
    <v>264107100000</v>
    <v>STAR HEALTH AND ALLIED INSURANCE COMPANY LIMITED</v>
    <v>STAR HEALTH AND ALLIED INSURANCE COMPANY LIMITED</v>
    <v>533.95000000000005</v>
    <v>55.97</v>
    <v>533.70000000000005</v>
    <v>530.04999999999995</v>
    <v>588403500</v>
    <v>STARHEALTH</v>
    <v>STAR HEALTH AND ALLIED INSURANCE COMPANY LIMITED (XNSE:STARHEALTH)</v>
    <v>381004</v>
    <v>675570</v>
    <v>2005</v>
  </rv>
  <rv s="2">
    <v>875</v>
  </rv>
  <rv s="0">
    <v>https://www.bing.com/financeapi/forcetrigger?t=ahk9jc&amp;q=XNSE%3aTATACOMM&amp;form=skydnc</v>
    <v>Learn more on Bing</v>
  </rv>
  <rv s="1">
    <v>en-IN</v>
    <v>ahk9jc</v>
    <v>268435456</v>
    <v>1</v>
    <v>Powered by Refinitiv</v>
    <v>0</v>
    <v>TATA COMMUNICATIONS LIMITED (XNSE:TATACOMM)</v>
    <v>2</v>
    <v>3</v>
    <v>Finance</v>
    <v>4</v>
    <v>2049.9</v>
    <v>1322.5</v>
    <v>1.5034000000000001</v>
    <v>27.5</v>
    <v>1.4427000000000001E-2</v>
    <v>INR</v>
    <v>Tata Communications Limited is an India-based communications technology company. The Company enables digital transformation for enterprises globally. It delivers services powered by cloud, mobility, Internet of Things (IoT), collaboration, security, and network services. Its segments include Voice Solutions, Data Services, Transformation Services, Real Estate and Campaign Registry. The Voice Solutions segment includes international and national long-distance voice services. The Data Services segment includes core connectivity services and Digital platforms &amp; connected services. The Transformation Services segment includes the business of providing telecommunication network management and support services. The Real Estate segment includes rentals for premises given on lease. The Campaign Registry segment includes the business of collecting robotically driven campaign information and processing and sharing that information with mobile operators and the messaging ecosystem.</v>
    <v>13047</v>
    <v>National Stock Exchange of India</v>
    <v>XNSE</v>
    <v>XNSE</v>
    <v>Plot No. C21 &amp; C36, 'G' Block, Bandra Kurla Complex,, MUMBAI, MAHARASHTRA, 400098 IN</v>
    <v>1960</v>
    <v>Telecommunications Services</v>
    <v>Stock</v>
    <v>46176.466840277775</v>
    <v>877</v>
    <v>1905.9</v>
    <v>495501000000</v>
    <v>TATA COMMUNICATIONS LIMITED</v>
    <v>TATA COMMUNICATIONS LIMITED</v>
    <v>1906.2</v>
    <v>52.79</v>
    <v>1906.2</v>
    <v>1933.7</v>
    <v>285000000</v>
    <v>TATACOMM</v>
    <v>TATA COMMUNICATIONS LIMITED (XNSE:TATACOMM)</v>
    <v>764419</v>
    <v>1449450</v>
    <v>1986</v>
  </rv>
  <rv s="2">
    <v>878</v>
  </rv>
  <rv s="0">
    <v>https://www.bing.com/financeapi/forcetrigger?t=ahi4fr&amp;q=XNSE%3aHESTERBIO&amp;form=skydnc</v>
    <v>Learn more on Bing</v>
  </rv>
  <rv s="1">
    <v>en-IN</v>
    <v>ahi4fr</v>
    <v>268435456</v>
    <v>1</v>
    <v>Powered by Refinitiv</v>
    <v>0</v>
    <v>HESTER BIOSCIENCES LIMITED (XNSE:HESTERBIO)</v>
    <v>2</v>
    <v>3</v>
    <v>Finance</v>
    <v>4</v>
    <v>2350</v>
    <v>1239.3</v>
    <v>1.2990999999999999</v>
    <v>-58.5</v>
    <v>-2.9026E-2</v>
    <v>INR</v>
    <v>Hester Biosciences Limited is an India-based animal healthcare company. The Company is principally engaged in manufacturing poultry vaccines, large animal vaccines, and trading poultry, large animal, and petcare health products. Its segments include Poultry Healthcare, Animal Healthcare, and Others. The Poultry Healthcare vaccines include Gumboro I, Inactivated Chick ND, Inactivated Coryza, Inactivated EDS, Inactivated FC3, Inactivated FC4, Inactivated IB, Inactivated IBD, among others. The Animal Healthcare vaccines include Goat Pox Vaccine, Live Brucella, PPR Vaccine - Nigerian 75/1, PPR Vaccine - Sungri/96, among others. Its Petcare products include Cefshot Tazo Injection, Hestacef CV, Hestacef DS, Hestaflam Tablet, Pawfresh, Synoton, Petsglow, Vitacoat, WormPeril, Hestaliv, TumOnzym and Safeline Spot. Its manufacturing facility is located at Village Meda-Adraj, Taluka Kadi, Mehsana District, Gujarat.</v>
    <v>562</v>
    <v>National Stock Exchange of India</v>
    <v>XNSE</v>
    <v>XNSE</v>
    <v>Pushpak 1st Floor, Motilal Hirabhai Road, Panchvati Circle, AHMEDABAD, GUJARAT, 380006 IN</v>
    <v>2032.1</v>
    <v>Pharmaceuticals</v>
    <v>Stock</v>
    <v>46176.466851851852</v>
    <v>880</v>
    <v>1925</v>
    <v>12887050000</v>
    <v>HESTER BIOSCIENCES LIMITED</v>
    <v>HESTER BIOSCIENCES LIMITED</v>
    <v>2030.2</v>
    <v>35.08</v>
    <v>2015.4</v>
    <v>1956.9</v>
    <v>8506860</v>
    <v>HESTERBIO</v>
    <v>HESTER BIOSCIENCES LIMITED (XNSE:HESTERBIO)</v>
    <v>8024</v>
    <v>27410</v>
    <v>1987</v>
  </rv>
  <rv s="2">
    <v>881</v>
  </rv>
  <rv s="0">
    <v>https://www.bing.com/financeapi/forcetrigger?t=ahkmfr&amp;q=XNSE%3aVOLTAMP&amp;form=skydnc</v>
    <v>Learn more on Bing</v>
  </rv>
  <rv s="1">
    <v>en-IN</v>
    <v>ahkmfr</v>
    <v>268435456</v>
    <v>1</v>
    <v>Powered by Refinitiv</v>
    <v>0</v>
    <v>VOLTAMP TRANSFORMERS LIMITED (XNSE:VOLTAMP)</v>
    <v>2</v>
    <v>3</v>
    <v>Finance</v>
    <v>4</v>
    <v>12863</v>
    <v>6666</v>
    <v>0.92430000000000001</v>
    <v>248</v>
    <v>2.7172000000000002E-2</v>
    <v>INR</v>
    <v>Voltamp Transformers Limited is an India-based company, which is engaged in the manufacturing of electrical transformers. The Company designs and manufactures power and distribution as well as dry type vacuum pressure impregnated (VPI) and cast resin transformers. It is engaged in the manufacturing and supplying oil filled transformers, cast resin transformers, unitized substation, induction furnace transformers, lighting transformers, ring main unit and also providing sales after service relating to transformers. It has an installed facility to manufacture oil filled power and distribution transformers up to 160 megavolt-amperes (MVA), 220 kilovolt (KV) class. Its cast resin transformer products include VOLTAMP Cast Resin (Dry Type) Transformers and Vacuum Resin Impregnated Dry Type Transformers. The Company serves various industries, including utility, transportation, and infrastructure, data centers, electronics, food and beverage, gas and chemicals, cement and mining and metals.</v>
    <v>386</v>
    <v>National Stock Exchange of India</v>
    <v>XNSE</v>
    <v>XNSE</v>
    <v>Makarpura, GUJARAT, 390019 IN</v>
    <v>9414</v>
    <v>Machinery, Equipment &amp; Components</v>
    <v>Stock</v>
    <v>46176.466863425929</v>
    <v>883</v>
    <v>9101</v>
    <v>72443640000</v>
    <v>VOLTAMP TRANSFORMERS LIMITED</v>
    <v>VOLTAMP TRANSFORMERS LIMITED</v>
    <v>9200</v>
    <v>31.06</v>
    <v>9127</v>
    <v>9375</v>
    <v>10117120</v>
    <v>VOLTAMP</v>
    <v>VOLTAMP TRANSFORMERS LIMITED (XNSE:VOLTAMP)</v>
    <v>39915</v>
    <v>45800</v>
    <v>1967</v>
  </rv>
  <rv s="2">
    <v>884</v>
  </rv>
  <rv s="0">
    <v>https://www.bing.com/financeapi/forcetrigger?t=ahhstc&amp;q=XNSE%3aGAEL&amp;form=skydnc</v>
    <v>Learn more on Bing</v>
  </rv>
  <rv s="1">
    <v>en-IN</v>
    <v>ahhstc</v>
    <v>268435456</v>
    <v>1</v>
    <v>Powered by Refinitiv</v>
    <v>0</v>
    <v>GUJARAT AMBUJA EXPORTS LIMITED (XNSE:GAEL)</v>
    <v>2</v>
    <v>3</v>
    <v>Finance</v>
    <v>4</v>
    <v>177.92</v>
    <v>101.2</v>
    <v>0.3296</v>
    <v>-2.62</v>
    <v>-1.6836E-2</v>
    <v>INR</v>
    <v>Gujarat Ambuja Exports Limited is an India-based manufacturer of corn starch derivatives, soya derivatives, feed ingredients, cotton yarn, and edible oils. The Company's segments include Spinning Division, Maize Processing Division, Other Agro Processing Division and Renewable Power Division. The Company's product profile includes solvent extraction comprising of all types of oil seed processing, edible oil refining, cotton yarn spinning, maize based starch and its derivatives, wheat processing/cattle feed and power generation through windmills, biogas, thermal power and solar plant mainly for internal consumption. Its starch derivates include maize starch, liquid glucose, dextrose monohydrate powder and dextrose anhydrous powder. Its edible oils include refined soyabean oil, filtered groundnut oil and refined cotton seed oil. It has various manufacturing plants at different locations in the states of Gujarat, Maharashtra, Madhya Pradesh, Uttarakhand, Karnataka and West Bengal.</v>
    <v>2561</v>
    <v>National Stock Exchange of India</v>
    <v>XNSE</v>
    <v>XNSE</v>
    <v>AMBUJA TOWER, OPP. SINDHU BHAVAN, SINDHU BHAVAN ROAD, BODAKDEV, PO, THALTEJ, BODAKDEV, GUJARAT, 380054 IN</v>
    <v>157</v>
    <v>Food &amp; Tobacco</v>
    <v>Stock</v>
    <v>46176.466851851852</v>
    <v>886</v>
    <v>151.55000000000001</v>
    <v>63328660000</v>
    <v>GUJARAT AMBUJA EXPORTS LIMITED</v>
    <v>GUJARAT AMBUJA EXPORTS LIMITED</v>
    <v>157</v>
    <v>23.04</v>
    <v>155.62</v>
    <v>153</v>
    <v>458670700</v>
    <v>GAEL</v>
    <v>GUJARAT AMBUJA EXPORTS LIMITED (XNSE:GAEL)</v>
    <v>297411</v>
    <v>803860</v>
    <v>1991</v>
  </rv>
  <rv s="2">
    <v>887</v>
  </rv>
  <rv s="0">
    <v>https://www.bing.com/financeapi/forcetrigger?t=ahhydm&amp;q=XNSE%3aGPIL&amp;form=skydnc</v>
    <v>Learn more on Bing</v>
  </rv>
  <rv s="1">
    <v>en-IN</v>
    <v>ahhydm</v>
    <v>268435456</v>
    <v>1</v>
    <v>Powered by Refinitiv</v>
    <v>0</v>
    <v>GODAWARI POWER AND ISPAT LIMITED (XNSE:GPIL)</v>
    <v>2</v>
    <v>3</v>
    <v>Finance</v>
    <v>4</v>
    <v>320</v>
    <v>175.37</v>
    <v>0.88759999999999994</v>
    <v>-0.1</v>
    <v>-3.4919999999999998E-4</v>
    <v>INR</v>
    <v>Godawari Power and Ispat Limited is an India-based integrated secondary steel manufacturer. The Company’s primary business segment is Iron &amp; Steel Products. The Company is engaged in the business of mining of captive iron ore and manufacturing the iron ore pellets, sponge iron, steel billets, wire rods, HB Wires, ferro alloys &amp; galvanized steel structures with generation of both conventional and non-conventional power for captive consumption. Its manufacturing facility is located at the heart of industrial Chhattisgarh at Raipur. Its associate pellet plant in Orissa is also located at a rich belt of Iron Ore in Keonjhor district. Its subsidiaries include Hira Ferro Alloys Limited, which is engaged in the manufacture of ferro alloys with captive power generation and operates IPP power plant (Biomass &amp; Windmill), and Alok Ferro Alloys Limited, which is engaged in the manufacture of ferro alloys with captive power generation. Its business also includes recycling of non-ferrous metals.</v>
    <v>3708</v>
    <v>National Stock Exchange of India</v>
    <v>XNSE</v>
    <v>XNSE</v>
    <v>PLOT NO.428/2, PHASE- 1 INDUSTRIAL AREA, SILTARA RAIPUR, CHHATTISGARH, 492001 IN</v>
    <v>289</v>
    <v>Metals &amp; Mining</v>
    <v>Stock</v>
    <v>46176.466863425929</v>
    <v>889</v>
    <v>282</v>
    <v>173966700000</v>
    <v>GODAWARI POWER AND ISPAT LIMITED</v>
    <v>GODAWARI POWER AND ISPAT LIMITED</v>
    <v>287.45</v>
    <v>21.95</v>
    <v>286.35000000000002</v>
    <v>286.25</v>
    <v>673097400</v>
    <v>GPIL</v>
    <v>GODAWARI POWER AND ISPAT LIMITED (XNSE:GPIL)</v>
    <v>1199281</v>
    <v>8293760</v>
    <v>1999</v>
  </rv>
  <rv s="2">
    <v>890</v>
  </rv>
  <rv s="0">
    <v>https://www.bing.com/financeapi/forcetrigger?t=ahi59c&amp;q=XNSE%3aHINDALCO&amp;form=skydnc</v>
    <v>Learn more on Bing</v>
  </rv>
  <rv s="1">
    <v>en-IN</v>
    <v>ahi59c</v>
    <v>268435456</v>
    <v>1</v>
    <v>Powered by Refinitiv</v>
    <v>0</v>
    <v>HINDALCO INDUSTRIES LIMITED (XNSE:HINDALCO)</v>
    <v>2</v>
    <v>3</v>
    <v>Finance</v>
    <v>4</v>
    <v>1176</v>
    <v>618</v>
    <v>1.1493</v>
    <v>-7.4</v>
    <v>-6.4559999999999999E-3</v>
    <v>INR</v>
    <v>Hindalco Industries Limited is an India-based metals flagship company. The Company is primarily engaged in the business of manufacturing and distribution of aluminium, copper, and its products across the globe. It operates through four segments: Novelis, Aluminium Upstream, Aluminium Downstream and Copper. The Novelis segment is engaged in producing and selling aluminium sheet and light gauge products and operating in four continents: North America, South America, Europe, and Asia. The Aluminium Upstream segment is engaged in bauxite and coal mining, alumina specials, refineries, metal, and power. The Aluminium Downstream segment includes aluminium value-added products, such as flat rolled products, extrusion, and foils. The Copper segment includes copper cathode, copper rods, precious metals, and di-ammonium phosphate. Its brands include Hindalco PrizTec, Hindalco Ecoedge C, Hindalco Ecoedge G, Hindalco Everlast, Eternia, Freshwrapp, FUSALOX and Totalis.</v>
    <v>22947</v>
    <v>National Stock Exchange of India</v>
    <v>XNSE</v>
    <v>XNSE</v>
    <v>21ST FLOOR, ONE UNITY CENTER,SENAPATI BAPAT MARG, PRABHADEVI, MAHARASHTRA, 400013 IN</v>
    <v>1159.9000000000001</v>
    <v>Metals &amp; Mining</v>
    <v>Stock</v>
    <v>46176.466840277775</v>
    <v>892</v>
    <v>1126.5999999999999</v>
    <v>2092750000000</v>
    <v>HINDALCO INDUSTRIES LIMITED</v>
    <v>HINDALCO INDUSTRIES LIMITED</v>
    <v>1155</v>
    <v>18.88</v>
    <v>1146.3</v>
    <v>1138.9000000000001</v>
    <v>2236153000</v>
    <v>HINDALCO</v>
    <v>HINDALCO INDUSTRIES LIMITED (XNSE:HINDALCO)</v>
    <v>4865978</v>
    <v>6970530</v>
    <v>1958</v>
  </rv>
  <rv s="2">
    <v>893</v>
  </rv>
  <rv s="3">
    <v>en-IN</v>
    <v>cbpa27</v>
    <v>268435456</v>
    <v>1</v>
    <v>Powered by Refinitiv</v>
    <v>5</v>
    <v>TATA TECHNOLOGIES LIMITED (XNSE:TATATECH)</v>
    <v>6</v>
    <v>3</v>
    <v>Finance</v>
    <v>4</v>
    <v>793.46</v>
    <v>507.4</v>
    <v>1.151</v>
    <v>-6.9</v>
    <v>-9.3500000000000007E-3</v>
    <v>INR</v>
    <v>Tata Technologies Limited is an India-based global engineering services company. The Company offers product development and digital solutions, including turnkey solutions, to global original equipment manufacturers (OEMs) and their tier one suppliers. The Company operates through two segments: Services and Technology. Services segment includes outsourced engineering services for manufacturing clients and leveraging digital technology to optimize the way in which a manufacturing company conceives, develops, manufactures and services new products. The Technology Solutions include contains academia upskilling and reskilling solutions and value-added reselling of software applications and solutions. Through its products business, the Company resell third-party software applications, primarily product lifecycle management (PLM) software and solutions and provide value-added services such as consulting, implementation, systems integration and support.</v>
    <v>11921</v>
    <v>National Stock Exchange of India</v>
    <v>XNSE</v>
    <v>XNSE</v>
    <v>Plot No 25, Rajiv Gandhi Infotech Park, Hinjawadi, PUNE, MAHARASHTRA, 411 057 IN</v>
    <v>741</v>
    <v>Integrated Hardware &amp; Software</v>
    <v>Stock</v>
    <v>46176.466874999998</v>
    <v>705.8</v>
    <v>267905900000</v>
    <v>TATA TECHNOLOGIES LIMITED</v>
    <v>TATA TECHNOLOGIES LIMITED</v>
    <v>741</v>
    <v>54.31</v>
    <v>737.95</v>
    <v>731.05</v>
    <v>406051800</v>
    <v>TATATECH</v>
    <v>TATA TECHNOLOGIES LIMITED (XNSE:TATATECH)</v>
    <v>1460058</v>
    <v>2066230</v>
    <v>1994</v>
  </rv>
  <rv s="2">
    <v>895</v>
  </rv>
</rvData>
</file>

<file path=xl/richData/rdrichvaluestructure.xml><?xml version="1.0" encoding="utf-8"?>
<rvStructures xmlns="http://schemas.microsoft.com/office/spreadsheetml/2017/richdata" count="11">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7">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spbArrays>
  <spbData count="20">
    <spb s="0">
      <v>0</v>
      <v>Name</v>
      <v>LearnMoreOnLink</v>
    </spb>
    <spb s="1">
      <v>0</v>
      <v>0</v>
      <v>0</v>
    </spb>
    <spb s="2">
      <v>1</v>
      <v>1</v>
      <v>1</v>
      <v>1</v>
    </spb>
    <spb s="3">
      <v>1</v>
      <v>2</v>
      <v>2</v>
      <v>1</v>
      <v>3</v>
      <v>1</v>
      <v>1</v>
      <v>1</v>
      <v>4</v>
      <v>4</v>
      <v>5</v>
      <v>6</v>
      <v>1</v>
      <v>1</v>
      <v>1</v>
      <v>4</v>
      <v>7</v>
      <v>8</v>
      <v>9</v>
      <v>4</v>
    </spb>
    <spb s="4">
      <v>Delayed 5 minutes</v>
      <v>from previous close</v>
      <v>from previous close</v>
      <v>GMT</v>
    </spb>
    <spb s="5">
      <v>1</v>
      <v>Name</v>
    </spb>
    <spb s="6">
      <v>1</v>
      <v>1</v>
      <v>1</v>
    </spb>
    <spb s="0">
      <v>2</v>
      <v>Name</v>
      <v>LearnMoreOnLink</v>
    </spb>
    <spb s="7">
      <v>0</v>
      <v>0</v>
    </spb>
    <spb s="8">
      <v>8</v>
      <v>1</v>
      <v>1</v>
      <v>1</v>
      <v>1</v>
    </spb>
    <spb s="9">
      <v>1</v>
      <v>2</v>
      <v>2</v>
      <v>1</v>
      <v>3</v>
      <v>1</v>
      <v>10</v>
      <v>1</v>
      <v>1</v>
      <v>4</v>
      <v>4</v>
      <v>5</v>
      <v>6</v>
      <v>1</v>
      <v>1</v>
      <v>1</v>
      <v>4</v>
      <v>7</v>
      <v>8</v>
      <v>9</v>
      <v>4</v>
    </spb>
    <spb s="10">
      <v>Powered by Refinitiv</v>
    </spb>
    <spb s="4">
      <v>Delayed 15 minutes</v>
      <v>from previous close</v>
      <v>from previous close</v>
      <v>GMT</v>
    </spb>
    <spb s="5">
      <v>3</v>
      <v>Name</v>
    </spb>
    <spb s="11">
      <v>1</v>
      <v>2</v>
      <v>1</v>
      <v>3</v>
      <v>1</v>
      <v>1</v>
      <v>1</v>
      <v>4</v>
      <v>4</v>
      <v>5</v>
      <v>6</v>
      <v>1</v>
      <v>1</v>
      <v>1</v>
      <v>4</v>
      <v>7</v>
      <v>8</v>
      <v>9</v>
      <v>4</v>
    </spb>
    <spb s="5">
      <v>4</v>
      <v>Name</v>
    </spb>
    <spb s="12">
      <v>1</v>
      <v>2</v>
      <v>2</v>
      <v>1</v>
      <v>3</v>
      <v>1</v>
      <v>1</v>
      <v>1</v>
      <v>4</v>
      <v>4</v>
      <v>5</v>
      <v>6</v>
      <v>1</v>
      <v>4</v>
      <v>7</v>
      <v>8</v>
      <v>9</v>
      <v>4</v>
    </spb>
    <spb s="0">
      <v>5</v>
      <v>Name</v>
      <v>LearnMoreOnLink</v>
    </spb>
    <spb s="13">
      <v>1</v>
      <v>2</v>
      <v>2</v>
      <v>1</v>
      <v>3</v>
      <v>1</v>
      <v>1</v>
      <v>1</v>
      <v>4</v>
      <v>5</v>
      <v>6</v>
      <v>1</v>
      <v>1</v>
      <v>1</v>
      <v>4</v>
      <v>7</v>
      <v>8</v>
      <v>9</v>
      <v>4</v>
    </spb>
    <spb s="0">
      <v>6</v>
      <v>Name</v>
      <v>LearnMoreOnLink</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ExchangeID" t="spb"/>
    <k n="UniqueName" t="spb"/>
    <k n="`%ProviderInfo" t="spb"/>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3" totalsRowShown="0" headerRowDxfId="41" headerRowBorderDxfId="40" tableBorderDxfId="39" totalsRowBorderDxfId="38">
  <autoFilter ref="A1:D13" xr:uid="{00000000-0009-0000-0100-000001000000}"/>
  <tableColumns count="4">
    <tableColumn id="1" xr3:uid="{00000000-0010-0000-0000-000001000000}" name="S.No" dataDxfId="37"/>
    <tableColumn id="2" xr3:uid="{00000000-0010-0000-0000-000002000000}" name="Details" dataDxfId="36"/>
    <tableColumn id="3" xr3:uid="{00000000-0010-0000-0000-000003000000}" name="Bug/Change" dataDxfId="35"/>
    <tableColumn id="4" xr3:uid="{00000000-0010-0000-0000-000004000000}" name="Status" dataDxfId="3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84E2-6C54-4021-ADB3-9E922CF52F7F}">
  <dimension ref="A1:L101"/>
  <sheetViews>
    <sheetView tabSelected="1" workbookViewId="0">
      <selection sqref="A1:G1"/>
    </sheetView>
  </sheetViews>
  <sheetFormatPr defaultRowHeight="15"/>
  <cols>
    <col min="1" max="1" width="24" customWidth="1"/>
    <col min="2" max="3" width="18" customWidth="1"/>
    <col min="4" max="4" width="24" customWidth="1"/>
    <col min="5" max="7" width="18" customWidth="1"/>
    <col min="8" max="8" width="4" customWidth="1"/>
    <col min="9" max="9" width="24" customWidth="1"/>
    <col min="10" max="12" width="18" customWidth="1"/>
  </cols>
  <sheetData>
    <row r="1" spans="1:12" ht="23.25">
      <c r="A1" s="86" t="s">
        <v>0</v>
      </c>
      <c r="B1" s="87"/>
      <c r="C1" s="87"/>
      <c r="D1" s="87"/>
      <c r="E1" s="87"/>
      <c r="F1" s="87"/>
      <c r="G1" s="87"/>
      <c r="I1" s="88" t="s">
        <v>1073</v>
      </c>
      <c r="J1" s="87"/>
      <c r="K1" s="87"/>
      <c r="L1" s="87"/>
    </row>
    <row r="3" spans="1:12" ht="15.75">
      <c r="A3" s="13" t="s">
        <v>1</v>
      </c>
      <c r="D3" s="13" t="s">
        <v>2</v>
      </c>
      <c r="I3" s="13" t="s">
        <v>3</v>
      </c>
    </row>
    <row r="4" spans="1:12">
      <c r="A4" s="56" t="s">
        <v>4</v>
      </c>
      <c r="B4" s="56" t="s">
        <v>5</v>
      </c>
      <c r="D4" s="56" t="s">
        <v>4</v>
      </c>
      <c r="E4" s="56" t="s">
        <v>6</v>
      </c>
      <c r="F4" s="56" t="s">
        <v>7</v>
      </c>
      <c r="I4" s="56" t="s">
        <v>8</v>
      </c>
      <c r="J4" s="56" t="s">
        <v>9</v>
      </c>
      <c r="K4" s="56" t="s">
        <v>10</v>
      </c>
      <c r="L4" s="56" t="s">
        <v>11</v>
      </c>
    </row>
    <row r="5" spans="1:12">
      <c r="A5" s="14" t="s">
        <v>12</v>
      </c>
      <c r="B5" s="15">
        <f>SUM(Current_Portfolio!$L$2:$L$1000)</f>
        <v>4797975.8000000007</v>
      </c>
      <c r="D5" s="14" t="s">
        <v>13</v>
      </c>
      <c r="E5" s="16">
        <f>COUNTIF(Overall_Portfolio!$P$2:$P$1000, "&gt;0")</f>
        <v>6</v>
      </c>
      <c r="F5" s="16">
        <f ca="1">COUNTIF(Current_Portfolio!$U$2:$U$1000, "&gt;0")</f>
        <v>35</v>
      </c>
      <c r="I5" s="14" t="s">
        <v>14</v>
      </c>
      <c r="J5" s="15">
        <v>24625.05</v>
      </c>
      <c r="K5" s="15">
        <f>IFERROR(INDEX(Price_Update!$F:$F, MATCH(I5, Price_Update!$A:$A, 0)), 23483.55)</f>
        <v>23483.55</v>
      </c>
      <c r="L5" s="17">
        <f>(K5-J5)/J5</f>
        <v>-4.635523582693233E-2</v>
      </c>
    </row>
    <row r="6" spans="1:12">
      <c r="A6" s="14" t="s">
        <v>15</v>
      </c>
      <c r="B6" s="15">
        <f ca="1">SUM(Current_Portfolio!$T$2:$T$1000)</f>
        <v>5334209.8999999994</v>
      </c>
      <c r="D6" s="14" t="s">
        <v>16</v>
      </c>
      <c r="E6" s="16">
        <f>COUNTIF(Overall_Portfolio!$P$2:$P$1000, "&lt;0")</f>
        <v>41</v>
      </c>
      <c r="F6" s="16">
        <f ca="1">COUNTIF(Current_Portfolio!$U$2:$U$1000, "&lt;0")</f>
        <v>25</v>
      </c>
      <c r="I6" s="14" t="s">
        <v>17</v>
      </c>
      <c r="J6" s="15">
        <v>16033.55</v>
      </c>
      <c r="K6" s="15">
        <f>IFERROR(INDEX(Price_Update!$F:$F, MATCH(I6, Price_Update!$A:$A, 0)), 17287.3)</f>
        <v>17287.3</v>
      </c>
      <c r="L6" s="17">
        <f>(K6-J6)/J6</f>
        <v>7.8195409001749455E-2</v>
      </c>
    </row>
    <row r="7" spans="1:12">
      <c r="A7" s="14" t="s">
        <v>18</v>
      </c>
      <c r="B7" s="15">
        <f ca="1">B6-B5</f>
        <v>536234.0999999987</v>
      </c>
      <c r="D7" s="14" t="s">
        <v>19</v>
      </c>
      <c r="E7" s="18">
        <f>IF(E6&gt;0, E5/E6, IF(E5&gt;0, "No Loss", 0))</f>
        <v>0.14634146341463414</v>
      </c>
      <c r="F7" s="18">
        <f ca="1">IF(F6&gt;0, F5/F6, IF(F5&gt;0, "No Loss", 0))</f>
        <v>1.4</v>
      </c>
    </row>
    <row r="8" spans="1:12">
      <c r="A8" s="14" t="s">
        <v>20</v>
      </c>
      <c r="B8" s="15">
        <f>SUM(Overall_Portfolio!$P$2:$P$1000)</f>
        <v>-426233.83000000007</v>
      </c>
      <c r="D8" s="14" t="s">
        <v>21</v>
      </c>
      <c r="E8" s="15">
        <f>IF(E5&gt;0, SUMIF(Overall_Portfolio!$P$2:$P$1000, "&gt;0")/E5, 0)</f>
        <v>2800.56</v>
      </c>
      <c r="F8" s="15">
        <f ca="1">IF(F5&gt;0, SUMIF(Current_Portfolio!$U$2:$U$1000, "&gt;0")/F5, 0)</f>
        <v>16967.158285714286</v>
      </c>
    </row>
    <row r="9" spans="1:12" ht="15.75">
      <c r="A9" s="14" t="s">
        <v>22</v>
      </c>
      <c r="B9" s="15">
        <f ca="1">B7+B8</f>
        <v>110000.26999999862</v>
      </c>
      <c r="D9" s="14" t="s">
        <v>23</v>
      </c>
      <c r="E9" s="15">
        <f>IF(E6&gt;0, SUMIF(Overall_Portfolio!$P$2:$P$1000, "&lt;0")/E6, 0)</f>
        <v>-10805.785121951219</v>
      </c>
      <c r="F9" s="15">
        <f ca="1">IF(F6&gt;0, SUMIF(Current_Portfolio!$U$2:$U$1000, "&lt;0")/F6, 0)</f>
        <v>-2304.6575999999982</v>
      </c>
      <c r="I9" s="13" t="s">
        <v>24</v>
      </c>
    </row>
    <row r="10" spans="1:12">
      <c r="A10" s="14" t="s">
        <v>25</v>
      </c>
      <c r="B10" s="17">
        <f ca="1">IF(B5&gt;0, B9/B5, 0)</f>
        <v>2.2926391166874706E-2</v>
      </c>
      <c r="D10" s="14" t="s">
        <v>26</v>
      </c>
      <c r="E10" s="18">
        <f>IF(E9&lt;0, ABS(E8/E9), 0)</f>
        <v>0.25917228303113787</v>
      </c>
      <c r="F10" s="18">
        <f ca="1">IF(F9&lt;0, ABS(F8/F9), 0)</f>
        <v>7.3621167351342338</v>
      </c>
      <c r="I10" s="56" t="s">
        <v>27</v>
      </c>
      <c r="J10" s="56" t="s">
        <v>28</v>
      </c>
      <c r="K10" s="56" t="s">
        <v>29</v>
      </c>
      <c r="L10" s="56" t="s">
        <v>30</v>
      </c>
    </row>
    <row r="11" spans="1:12">
      <c r="A11" s="14" t="s">
        <v>31</v>
      </c>
      <c r="B11" s="17">
        <f>IF(B5&gt;0, SUMIF(Current_Portfolio!$D$2:$D$1000, "Core", Current_Portfolio!$L$2:$L$1000) / B5, 0)</f>
        <v>0.57352989358554063</v>
      </c>
      <c r="I11" s="14" t="s">
        <v>32</v>
      </c>
      <c r="J11" s="15">
        <f>SUMIF(Current_Portfolio!$B$2:$B$1000, "Small Cap", Current_Portfolio!$L$2:$L$1000)</f>
        <v>2126996.7400000002</v>
      </c>
      <c r="K11" s="17">
        <f>J11/$J$14</f>
        <v>0.44331126888968464</v>
      </c>
      <c r="L11" s="17">
        <f ca="1">(SUMIF(Current_Portfolio!$B$2:$B$1000, "Small Cap", Current_Portfolio!$T$2:$T$1000) - J11) / J11</f>
        <v>0.11581849439035791</v>
      </c>
    </row>
    <row r="12" spans="1:12">
      <c r="A12" s="14" t="s">
        <v>33</v>
      </c>
      <c r="B12" s="17">
        <f>IF(B5&gt;0, SUMIF(Current_Portfolio!$D$2:$D$1000, "Satellite", Current_Portfolio!$L$2:$L$1000) / B5, 0)</f>
        <v>0.42647010641445915</v>
      </c>
      <c r="D12" s="14" t="s">
        <v>1080</v>
      </c>
      <c r="E12" s="89" t="s">
        <v>1081</v>
      </c>
      <c r="F12" s="89" t="s">
        <v>1074</v>
      </c>
      <c r="I12" s="14" t="s">
        <v>34</v>
      </c>
      <c r="J12" s="15">
        <f>SUMIF(Current_Portfolio!$B$2:$B$1000, "Large Cap", Current_Portfolio!$L$2:$L$1000)</f>
        <v>1722033.7</v>
      </c>
      <c r="K12" s="17">
        <f>J12/$J$14</f>
        <v>0.35890837548617893</v>
      </c>
      <c r="L12" s="17">
        <f ca="1">(SUMIF(Current_Portfolio!$B$2:$B$1000, "Large Cap", Current_Portfolio!$T$2:$T$1000) - J12) / J12</f>
        <v>0.15475051388367159</v>
      </c>
    </row>
    <row r="13" spans="1:12">
      <c r="A13" s="14" t="s">
        <v>35</v>
      </c>
      <c r="B13" s="16">
        <f>COUNTA(Current_Portfolio!$A$2:$A$1000)</f>
        <v>60</v>
      </c>
      <c r="D13" s="14" t="s">
        <v>1077</v>
      </c>
      <c r="E13" s="16">
        <f ca="1">SUMPRODUCT((Current_Portfolio!$D$2:$D$1000="Core")*(Current_Portfolio!$M$2:$M$1000&gt;Current_Portfolio!$AA$2:$AA$1000)*(Current_Portfolio!$M$2:$M$1000&gt;0))</f>
        <v>15</v>
      </c>
      <c r="F13" s="16">
        <f ca="1">SUMPRODUCT((Current_Portfolio!$D$2:$D$1000="Core")*(Current_Portfolio!$M$2:$M$1000&lt;=Current_Portfolio!$AA$2:$AA$1000)*(Current_Portfolio!$M$2:$M$1000&gt;0))</f>
        <v>23</v>
      </c>
      <c r="I13" s="14" t="s">
        <v>36</v>
      </c>
      <c r="J13" s="15">
        <f>SUMIF(Current_Portfolio!$B$2:$B$1000, "Mid Cap", Current_Portfolio!$L$2:$L$1000)</f>
        <v>948945.36</v>
      </c>
      <c r="K13" s="17">
        <f>J13/$J$14</f>
        <v>0.19778035562413629</v>
      </c>
      <c r="L13" s="17">
        <f ca="1">(SUMIF(Current_Portfolio!$B$2:$B$1000, "Mid Cap", Current_Portfolio!$T$2:$T$1000) - J13) / J13</f>
        <v>2.4662052196556459E-2</v>
      </c>
    </row>
    <row r="14" spans="1:12">
      <c r="A14" s="14" t="s">
        <v>37</v>
      </c>
      <c r="B14" s="16">
        <f>COUNTA(Overall_Portfolio!$A$2:$A$1000)</f>
        <v>100</v>
      </c>
      <c r="D14" s="14" t="s">
        <v>1078</v>
      </c>
      <c r="E14" s="16">
        <f ca="1">SUMPRODUCT((Current_Portfolio!$D$2:$D$1000="Satellite")*(Current_Portfolio!$M$2:$M$1000&gt;Current_Portfolio!$O$2:$O$1000)*(Current_Portfolio!$M$2:$M$1000&gt;0))</f>
        <v>11</v>
      </c>
      <c r="F14" s="16">
        <f ca="1">SUMPRODUCT((Current_Portfolio!$D$2:$D$1000="Satellite")*(Current_Portfolio!$M$2:$M$1000&lt;=Current_Portfolio!$O$2:$O$1000)*(Current_Portfolio!$M$2:$M$1000&gt;0))</f>
        <v>11</v>
      </c>
      <c r="I14" s="14" t="s">
        <v>38</v>
      </c>
      <c r="J14" s="19">
        <f>SUM(J11:J13)</f>
        <v>4797975.8000000007</v>
      </c>
      <c r="K14" s="20">
        <v>1</v>
      </c>
      <c r="L14" s="17">
        <f ca="1">(SUM(Current_Portfolio!$T$2:$T$1000) - J14) / J14</f>
        <v>0.11176256870657801</v>
      </c>
    </row>
    <row r="15" spans="1:12">
      <c r="D15" s="14" t="s">
        <v>1075</v>
      </c>
      <c r="E15" s="16">
        <f ca="1">SUMPRODUCT((Current_Portfolio!$D$2:$D$1000="Core")*(Current_Portfolio!$M$2:$M$1000&gt;Current_Portfolio!$N$2:$N$1000)*(Current_Portfolio!$M$2:$M$1000&gt;0))</f>
        <v>19</v>
      </c>
      <c r="F15" s="16">
        <f ca="1">SUMPRODUCT((Current_Portfolio!$D$2:$D$1000="Core")*(Current_Portfolio!$M$2:$M$1000&lt;=Current_Portfolio!$N$2:$N$1000)*(Current_Portfolio!$M$2:$M$1000&gt;0))</f>
        <v>19</v>
      </c>
    </row>
    <row r="16" spans="1:12">
      <c r="D16" s="14" t="s">
        <v>1076</v>
      </c>
      <c r="E16" s="16">
        <f ca="1">SUMPRODUCT((Current_Portfolio!$D$2:$D$1000="Satellite")*(Current_Portfolio!$M$2:$M$1000&gt;Current_Portfolio!$N$2:$N$1000)*(Current_Portfolio!$M$2:$M$1000&gt;0))</f>
        <v>6</v>
      </c>
      <c r="F16" s="16">
        <f ca="1">SUMPRODUCT((Current_Portfolio!$D$2:$D$1000="Satellite")*(Current_Portfolio!$M$2:$M$1000&lt;=Current_Portfolio!$N$2:$N$1000)*(Current_Portfolio!$M$2:$M$1000&gt;0))</f>
        <v>16</v>
      </c>
    </row>
    <row r="17" spans="1:11" ht="15.75">
      <c r="A17" s="13" t="s">
        <v>39</v>
      </c>
      <c r="I17" s="13" t="s">
        <v>40</v>
      </c>
    </row>
    <row r="18" spans="1:11">
      <c r="A18" s="56" t="s">
        <v>41</v>
      </c>
      <c r="B18" s="56" t="s">
        <v>42</v>
      </c>
      <c r="C18" s="56" t="s">
        <v>28</v>
      </c>
      <c r="D18" s="56" t="s">
        <v>43</v>
      </c>
      <c r="E18" s="56" t="s">
        <v>44</v>
      </c>
      <c r="F18" s="56" t="s">
        <v>45</v>
      </c>
      <c r="I18" s="56" t="s">
        <v>42</v>
      </c>
      <c r="J18" s="56" t="s">
        <v>28</v>
      </c>
      <c r="K18" s="56" t="s">
        <v>29</v>
      </c>
    </row>
    <row r="19" spans="1:11">
      <c r="A19" s="14" t="s">
        <v>46</v>
      </c>
      <c r="B19" s="21" t="s">
        <v>47</v>
      </c>
      <c r="C19" s="15">
        <f>VLOOKUP(A19, Current_Portfolio!$A$2:$Z$1000, 12, FALSE)</f>
        <v>306836.40000000002</v>
      </c>
      <c r="D19" s="15">
        <f ca="1">VLOOKUP(A19, Current_Portfolio!$A$2:$Z$1000, 20, FALSE)</f>
        <v>387226.00000000006</v>
      </c>
      <c r="E19" s="15">
        <f t="shared" ref="E19:E28" ca="1" si="0">D19-C19</f>
        <v>80389.600000000035</v>
      </c>
      <c r="F19" s="17">
        <f t="shared" ref="F19:F28" ca="1" si="1">IF(C19&gt;0, E19/C19, 0)</f>
        <v>0.261994991467766</v>
      </c>
      <c r="I19" s="14" t="s">
        <v>49</v>
      </c>
      <c r="J19" s="15">
        <f>SUMIF(Current_Portfolio!$D$2:$D$1000, "Core", Current_Portfolio!$L$2:$L$1000)</f>
        <v>2751782.55</v>
      </c>
      <c r="K19" s="17">
        <f>J19/$J$21</f>
        <v>0.57352989358554074</v>
      </c>
    </row>
    <row r="20" spans="1:11">
      <c r="A20" s="57" t="s">
        <v>48</v>
      </c>
      <c r="B20" s="21" t="s">
        <v>47</v>
      </c>
      <c r="C20" s="15">
        <f>VLOOKUP(A20, Current_Portfolio!$A$2:$Z$1000, 12, FALSE)</f>
        <v>178375.5</v>
      </c>
      <c r="D20" s="15">
        <f ca="1">VLOOKUP(A20, Current_Portfolio!$A$2:$Z$1000, 20, FALSE)</f>
        <v>236885.00000000003</v>
      </c>
      <c r="E20" s="15">
        <f t="shared" ca="1" si="0"/>
        <v>58509.500000000029</v>
      </c>
      <c r="F20" s="17">
        <f t="shared" ca="1" si="1"/>
        <v>0.32801309596889722</v>
      </c>
      <c r="I20" s="14" t="s">
        <v>47</v>
      </c>
      <c r="J20" s="15">
        <f>SUMIF(Current_Portfolio!$D$2:$D$1000, "Satellite", Current_Portfolio!$L$2:$L$1000)</f>
        <v>2046193.25</v>
      </c>
      <c r="K20" s="17">
        <f>J20/$J$21</f>
        <v>0.4264701064144592</v>
      </c>
    </row>
    <row r="21" spans="1:11">
      <c r="A21" s="57" t="s">
        <v>50</v>
      </c>
      <c r="B21" s="21" t="s">
        <v>47</v>
      </c>
      <c r="C21" s="15">
        <f>VLOOKUP(A21, Current_Portfolio!$A$2:$Z$1000, 12, FALSE)</f>
        <v>200387.96</v>
      </c>
      <c r="D21" s="15">
        <f ca="1">VLOOKUP(A21, Current_Portfolio!$A$2:$Z$1000, 20, FALSE)</f>
        <v>226597.80000000002</v>
      </c>
      <c r="E21" s="15">
        <f t="shared" ca="1" si="0"/>
        <v>26209.840000000026</v>
      </c>
      <c r="F21" s="17">
        <f t="shared" ca="1" si="1"/>
        <v>0.13079548292222759</v>
      </c>
      <c r="I21" s="14" t="s">
        <v>38</v>
      </c>
      <c r="J21" s="19">
        <f>SUM(J19:J20)</f>
        <v>4797975.8</v>
      </c>
      <c r="K21" s="20">
        <v>1</v>
      </c>
    </row>
    <row r="22" spans="1:11">
      <c r="A22" s="60" t="s">
        <v>51</v>
      </c>
      <c r="B22" s="21" t="s">
        <v>47</v>
      </c>
      <c r="C22" s="15">
        <f>VLOOKUP(A22, Current_Portfolio!$A$2:$Z$1000, 12, FALSE)</f>
        <v>98687.679999999993</v>
      </c>
      <c r="D22" s="15">
        <f ca="1">VLOOKUP(A22, Current_Portfolio!$A$2:$Z$1000, 20, FALSE)</f>
        <v>118843.19999999998</v>
      </c>
      <c r="E22" s="15">
        <f t="shared" ca="1" si="0"/>
        <v>20155.51999999999</v>
      </c>
      <c r="F22" s="17">
        <f t="shared" ca="1" si="1"/>
        <v>0.2042354222938465</v>
      </c>
    </row>
    <row r="23" spans="1:11">
      <c r="A23" s="14" t="s">
        <v>52</v>
      </c>
      <c r="B23" s="21" t="s">
        <v>47</v>
      </c>
      <c r="C23" s="15">
        <f>VLOOKUP(A23, Current_Portfolio!$A$2:$Z$1000, 12, FALSE)</f>
        <v>56862.54</v>
      </c>
      <c r="D23" s="15">
        <f ca="1">VLOOKUP(A23, Current_Portfolio!$A$2:$Z$1000, 20, FALSE)</f>
        <v>67926.599999999991</v>
      </c>
      <c r="E23" s="15">
        <f t="shared" ca="1" si="0"/>
        <v>11064.05999999999</v>
      </c>
      <c r="F23" s="17">
        <f t="shared" ca="1" si="1"/>
        <v>0.19457555008974256</v>
      </c>
    </row>
    <row r="24" spans="1:11" ht="15.75">
      <c r="A24" s="60" t="s">
        <v>92</v>
      </c>
      <c r="B24" s="21" t="s">
        <v>47</v>
      </c>
      <c r="C24" s="15">
        <f>VLOOKUP(A24, Current_Portfolio!$A$2:$Z$1000, 12, FALSE)</f>
        <v>54590.58</v>
      </c>
      <c r="D24" s="15">
        <f ca="1">VLOOKUP(A24, Current_Portfolio!$A$2:$Z$1000, 20, FALSE)</f>
        <v>52629.5</v>
      </c>
      <c r="E24" s="15">
        <f t="shared" ca="1" si="0"/>
        <v>-1961.0800000000017</v>
      </c>
      <c r="F24" s="17">
        <f t="shared" ca="1" si="1"/>
        <v>-3.5923413893019666E-2</v>
      </c>
      <c r="I24" s="13" t="s">
        <v>54</v>
      </c>
    </row>
    <row r="25" spans="1:11">
      <c r="A25" s="14" t="s">
        <v>55</v>
      </c>
      <c r="B25" s="21" t="s">
        <v>47</v>
      </c>
      <c r="C25" s="15">
        <f>VLOOKUP(A25, Current_Portfolio!$A$2:$Z$1000, 12, FALSE)</f>
        <v>49684.800000000003</v>
      </c>
      <c r="D25" s="15">
        <f ca="1">VLOOKUP(A25, Current_Portfolio!$A$2:$Z$1000, 20, FALSE)</f>
        <v>47533.200000000004</v>
      </c>
      <c r="E25" s="15">
        <f t="shared" ca="1" si="0"/>
        <v>-2151.5999999999985</v>
      </c>
      <c r="F25" s="17">
        <f t="shared" ca="1" si="1"/>
        <v>-4.3304994686503687E-2</v>
      </c>
      <c r="I25" s="56" t="s">
        <v>56</v>
      </c>
      <c r="J25" s="56" t="s">
        <v>28</v>
      </c>
      <c r="K25" s="56" t="s">
        <v>29</v>
      </c>
    </row>
    <row r="26" spans="1:11">
      <c r="A26" s="58" t="s">
        <v>59</v>
      </c>
      <c r="B26" s="21" t="s">
        <v>47</v>
      </c>
      <c r="C26" s="15">
        <f>VLOOKUP(A26, Current_Portfolio!$A$2:$Z$1000, 12, FALSE)</f>
        <v>50270.01</v>
      </c>
      <c r="D26" s="15">
        <f ca="1">VLOOKUP(A26, Current_Portfolio!$A$2:$Z$1000, 20, FALSE)</f>
        <v>47527.55</v>
      </c>
      <c r="E26" s="15">
        <f t="shared" ca="1" si="0"/>
        <v>-2742.4599999999991</v>
      </c>
      <c r="F26" s="17">
        <f t="shared" ca="1" si="1"/>
        <v>-5.4554594279969289E-2</v>
      </c>
      <c r="I26" s="14" t="s">
        <v>58</v>
      </c>
      <c r="J26" s="15">
        <f>SUMIF(Current_Portfolio!$C$2:$C$1000, "Industrial", Current_Portfolio!$L$2:$L$1000)</f>
        <v>2356830.67</v>
      </c>
      <c r="K26" s="17">
        <f t="shared" ref="K26:K32" si="2">J26/$J$33</f>
        <v>0.49121353842593368</v>
      </c>
    </row>
    <row r="27" spans="1:11">
      <c r="A27" s="14" t="s">
        <v>61</v>
      </c>
      <c r="B27" s="21" t="s">
        <v>47</v>
      </c>
      <c r="C27" s="15">
        <f>VLOOKUP(A27, Current_Portfolio!$A$2:$Z$1000, 12, FALSE)</f>
        <v>43885.24</v>
      </c>
      <c r="D27" s="15">
        <f ca="1">VLOOKUP(A27, Current_Portfolio!$A$2:$Z$1000, 20, FALSE)</f>
        <v>41008.799999999996</v>
      </c>
      <c r="E27" s="15">
        <f t="shared" ca="1" si="0"/>
        <v>-2876.4400000000023</v>
      </c>
      <c r="F27" s="17">
        <f t="shared" ca="1" si="1"/>
        <v>-6.5544588567819209E-2</v>
      </c>
      <c r="I27" s="14" t="s">
        <v>62</v>
      </c>
      <c r="J27" s="15">
        <f>SUMIF(Current_Portfolio!$C$2:$C$1000, "Health / Pharma / Chem", Current_Portfolio!$L$2:$L$1000)</f>
        <v>760481.96</v>
      </c>
      <c r="K27" s="17">
        <f t="shared" si="2"/>
        <v>0.15850058268322237</v>
      </c>
    </row>
    <row r="28" spans="1:11">
      <c r="A28" s="14" t="s">
        <v>57</v>
      </c>
      <c r="B28" s="21" t="s">
        <v>47</v>
      </c>
      <c r="C28" s="15">
        <f>VLOOKUP(A28, Current_Portfolio!$A$2:$Z$1000, 12, FALSE)</f>
        <v>49379.199999999997</v>
      </c>
      <c r="D28" s="15">
        <f ca="1">VLOOKUP(A28, Current_Portfolio!$A$2:$Z$1000, 20, FALSE)</f>
        <v>46501</v>
      </c>
      <c r="E28" s="15">
        <f t="shared" ca="1" si="0"/>
        <v>-2878.1999999999971</v>
      </c>
      <c r="F28" s="17">
        <f t="shared" ca="1" si="1"/>
        <v>-5.8287700084245941E-2</v>
      </c>
      <c r="I28" s="14" t="s">
        <v>64</v>
      </c>
      <c r="J28" s="15">
        <f>SUMIF(Current_Portfolio!$C$2:$C$1000, "Consumption ", Current_Portfolio!$L$2:$L$1000)</f>
        <v>536000.37</v>
      </c>
      <c r="K28" s="17">
        <f t="shared" si="2"/>
        <v>0.11171385441335491</v>
      </c>
    </row>
    <row r="29" spans="1:11">
      <c r="I29" s="14" t="s">
        <v>60</v>
      </c>
      <c r="J29" s="15">
        <f>SUMIF(Current_Portfolio!$C$2:$C$1000, "Consumption", Current_Portfolio!$L$2:$L$1000)</f>
        <v>533367.59</v>
      </c>
      <c r="K29" s="17">
        <f t="shared" si="2"/>
        <v>0.11116512717717333</v>
      </c>
    </row>
    <row r="30" spans="1:11">
      <c r="I30" s="14" t="s">
        <v>63</v>
      </c>
      <c r="J30" s="15">
        <f>SUMIF(Current_Portfolio!$C$2:$C$1000, "Finance", Current_Portfolio!$L$2:$L$1000)</f>
        <v>401059.84000000003</v>
      </c>
      <c r="K30" s="17">
        <f t="shared" si="2"/>
        <v>8.3589383673006445E-2</v>
      </c>
    </row>
    <row r="31" spans="1:11" ht="15.75">
      <c r="A31" s="13" t="s">
        <v>65</v>
      </c>
      <c r="I31" s="14" t="s">
        <v>66</v>
      </c>
      <c r="J31" s="15">
        <f>SUMIF(Current_Portfolio!$C$2:$C$1000, "Tech / Platform / IT", Current_Portfolio!$L$2:$L$1000)</f>
        <v>150791.12</v>
      </c>
      <c r="K31" s="17">
        <f t="shared" si="2"/>
        <v>3.1428070145747715E-2</v>
      </c>
    </row>
    <row r="32" spans="1:11">
      <c r="A32" s="56" t="s">
        <v>41</v>
      </c>
      <c r="B32" s="56" t="s">
        <v>42</v>
      </c>
      <c r="C32" s="56" t="s">
        <v>28</v>
      </c>
      <c r="D32" s="56" t="s">
        <v>43</v>
      </c>
      <c r="E32" s="56" t="s">
        <v>44</v>
      </c>
      <c r="F32" s="56" t="s">
        <v>45</v>
      </c>
      <c r="I32" s="14" t="s">
        <v>658</v>
      </c>
      <c r="J32" s="15">
        <f>SUMIF(Current_Portfolio!$C$2:$C$1000, "Technology", Current_Portfolio!$L$2:$L$1000)</f>
        <v>59444.25</v>
      </c>
      <c r="K32" s="17">
        <f t="shared" si="2"/>
        <v>1.2389443481561537E-2</v>
      </c>
    </row>
    <row r="33" spans="1:12">
      <c r="A33" s="22" t="s">
        <v>67</v>
      </c>
      <c r="B33" s="21" t="s">
        <v>49</v>
      </c>
      <c r="C33" s="15">
        <f>VLOOKUP(A33, Current_Portfolio!$A$2:$Z$1000, 12, FALSE)</f>
        <v>305010.99</v>
      </c>
      <c r="D33" s="15">
        <f ca="1">VLOOKUP(A33, Current_Portfolio!$A$2:$Z$1000, 20, FALSE)</f>
        <v>412902.3</v>
      </c>
      <c r="E33" s="15">
        <f t="shared" ref="E33:E41" ca="1" si="3">D33-C33</f>
        <v>107891.31</v>
      </c>
      <c r="F33" s="17">
        <f t="shared" ref="F33:F41" ca="1" si="4">IF(C33&gt;0, E33/C33, 0)</f>
        <v>0.35372925414917017</v>
      </c>
      <c r="I33" s="14" t="s">
        <v>38</v>
      </c>
      <c r="J33" s="19">
        <f>SUM(J26:J32)</f>
        <v>4797975.8</v>
      </c>
      <c r="K33" s="20">
        <v>1</v>
      </c>
    </row>
    <row r="34" spans="1:12">
      <c r="A34" s="22" t="s">
        <v>68</v>
      </c>
      <c r="B34" s="21" t="s">
        <v>49</v>
      </c>
      <c r="C34" s="15">
        <f>VLOOKUP(A34, Current_Portfolio!$A$2:$Z$1000, 12, FALSE)</f>
        <v>414743.02</v>
      </c>
      <c r="D34" s="15">
        <f ca="1">VLOOKUP(A34, Current_Portfolio!$A$2:$Z$1000, 20, FALSE)</f>
        <v>507289.5</v>
      </c>
      <c r="E34" s="15">
        <f t="shared" ca="1" si="3"/>
        <v>92546.479999999981</v>
      </c>
      <c r="F34" s="17">
        <f t="shared" ca="1" si="4"/>
        <v>0.22314174208404997</v>
      </c>
    </row>
    <row r="35" spans="1:12">
      <c r="A35" s="23" t="s">
        <v>69</v>
      </c>
      <c r="B35" s="21" t="s">
        <v>49</v>
      </c>
      <c r="C35" s="15">
        <f>VLOOKUP(A35, Current_Portfolio!$A$2:$Z$1000, 12, FALSE)</f>
        <v>300289.84000000003</v>
      </c>
      <c r="D35" s="15">
        <f ca="1">VLOOKUP(A35, Current_Portfolio!$A$2:$Z$1000, 20, FALSE)</f>
        <v>352830.60000000003</v>
      </c>
      <c r="E35" s="15">
        <f t="shared" ca="1" si="3"/>
        <v>52540.760000000009</v>
      </c>
      <c r="F35" s="17">
        <f t="shared" ca="1" si="4"/>
        <v>0.17496682538443525</v>
      </c>
    </row>
    <row r="36" spans="1:12" ht="15.75">
      <c r="A36" s="22" t="s">
        <v>71</v>
      </c>
      <c r="B36" s="21" t="s">
        <v>49</v>
      </c>
      <c r="C36" s="15">
        <f>VLOOKUP(A36, Current_Portfolio!$A$2:$Z$1000, 12, FALSE)</f>
        <v>228571.75</v>
      </c>
      <c r="D36" s="15">
        <f ca="1">VLOOKUP(A36, Current_Portfolio!$A$2:$Z$1000, 20, FALSE)</f>
        <v>273047.5</v>
      </c>
      <c r="E36" s="15">
        <f t="shared" ca="1" si="3"/>
        <v>44475.75</v>
      </c>
      <c r="F36" s="17">
        <f t="shared" ca="1" si="4"/>
        <v>0.19458113262028226</v>
      </c>
      <c r="I36" s="13" t="s">
        <v>70</v>
      </c>
    </row>
    <row r="37" spans="1:12">
      <c r="A37" s="24" t="s">
        <v>75</v>
      </c>
      <c r="B37" s="21" t="s">
        <v>49</v>
      </c>
      <c r="C37" s="15">
        <f>VLOOKUP(A37, Current_Portfolio!$A$2:$Z$1000, 12, FALSE)</f>
        <v>100770</v>
      </c>
      <c r="D37" s="15">
        <f ca="1">VLOOKUP(A37, Current_Portfolio!$A$2:$Z$1000, 20, FALSE)</f>
        <v>118983</v>
      </c>
      <c r="E37" s="15">
        <f t="shared" ca="1" si="3"/>
        <v>18213</v>
      </c>
      <c r="F37" s="17">
        <f t="shared" ca="1" si="4"/>
        <v>0.18073831497469484</v>
      </c>
      <c r="I37" s="56" t="s">
        <v>56</v>
      </c>
      <c r="J37" s="56" t="s">
        <v>72</v>
      </c>
      <c r="K37" s="56" t="s">
        <v>73</v>
      </c>
      <c r="L37" s="56" t="s">
        <v>74</v>
      </c>
    </row>
    <row r="38" spans="1:12">
      <c r="A38" s="23" t="s">
        <v>79</v>
      </c>
      <c r="B38" s="21" t="s">
        <v>49</v>
      </c>
      <c r="C38" s="15">
        <f>VLOOKUP(A38, Current_Portfolio!$A$2:$Z$1000, 12, FALSE)</f>
        <v>50032</v>
      </c>
      <c r="D38" s="15">
        <f ca="1">VLOOKUP(A38, Current_Portfolio!$A$2:$Z$1000, 20, FALSE)</f>
        <v>48177.599999999999</v>
      </c>
      <c r="E38" s="15">
        <f t="shared" ca="1" si="3"/>
        <v>-1854.4000000000015</v>
      </c>
      <c r="F38" s="17">
        <f t="shared" ca="1" si="4"/>
        <v>-3.7064278861528653E-2</v>
      </c>
      <c r="I38" s="14" t="s">
        <v>58</v>
      </c>
      <c r="J38" s="15">
        <f>SUMIFS(Current_Portfolio!$L$2:$L$1000, Current_Portfolio!$C$2:$C$1000, "Industrial", Current_Portfolio!$D$2:$D$1000, "*Core*")</f>
        <v>1108767.6100000001</v>
      </c>
      <c r="K38" s="15">
        <f>SUMIFS(Current_Portfolio!$L$2:$L$1000, Current_Portfolio!$C$2:$C$1000, "Industrial", Current_Portfolio!$D$2:$D$1000, "*Satellite*")</f>
        <v>1248063.06</v>
      </c>
      <c r="L38" s="15">
        <f t="shared" ref="L38:L44" si="5">J38+K38</f>
        <v>2356830.67</v>
      </c>
    </row>
    <row r="39" spans="1:12">
      <c r="A39" s="22" t="s">
        <v>78</v>
      </c>
      <c r="B39" s="21" t="s">
        <v>49</v>
      </c>
      <c r="C39" s="15">
        <f>VLOOKUP(A39, Current_Portfolio!$A$2:$Z$1000, 12, FALSE)</f>
        <v>78698.759999999995</v>
      </c>
      <c r="D39" s="15">
        <f ca="1">VLOOKUP(A39, Current_Portfolio!$A$2:$Z$1000, 20, FALSE)</f>
        <v>76248.900000000009</v>
      </c>
      <c r="E39" s="15">
        <f t="shared" ca="1" si="3"/>
        <v>-2449.859999999986</v>
      </c>
      <c r="F39" s="17">
        <f t="shared" ca="1" si="4"/>
        <v>-3.1129588318799258E-2</v>
      </c>
      <c r="I39" s="14" t="s">
        <v>62</v>
      </c>
      <c r="J39" s="15">
        <f>SUMIFS(Current_Portfolio!$L$2:$L$1000, Current_Portfolio!$C$2:$C$1000, "Health / Pharma / Chem", Current_Portfolio!$D$2:$D$1000, "*Core*")</f>
        <v>367313.89</v>
      </c>
      <c r="K39" s="15">
        <f>SUMIFS(Current_Portfolio!$L$2:$L$1000, Current_Portfolio!$C$2:$C$1000, "Health / Pharma / Chem", Current_Portfolio!$D$2:$D$1000, "*Satellite*")</f>
        <v>393168.07</v>
      </c>
      <c r="L39" s="15">
        <f t="shared" si="5"/>
        <v>760481.96</v>
      </c>
    </row>
    <row r="40" spans="1:12">
      <c r="A40" s="22" t="s">
        <v>248</v>
      </c>
      <c r="B40" s="21" t="s">
        <v>49</v>
      </c>
      <c r="C40" s="15">
        <f>VLOOKUP(A40, Current_Portfolio!$A$2:$Z$1000, 12, FALSE)</f>
        <v>32030.53</v>
      </c>
      <c r="D40" s="15">
        <f ca="1">VLOOKUP(A40, Current_Portfolio!$A$2:$Z$1000, 20, FALSE)</f>
        <v>29091.25</v>
      </c>
      <c r="E40" s="15">
        <f t="shared" ca="1" si="3"/>
        <v>-2939.2799999999988</v>
      </c>
      <c r="F40" s="17">
        <f t="shared" ca="1" si="4"/>
        <v>-9.1764950501911732E-2</v>
      </c>
      <c r="I40" s="14" t="s">
        <v>64</v>
      </c>
      <c r="J40" s="15">
        <f>SUMIFS(Current_Portfolio!$L$2:$L$1000, Current_Portfolio!$C$2:$C$1000, "Consumption ", Current_Portfolio!$D$2:$D$1000, "*Core*")</f>
        <v>536000.37</v>
      </c>
      <c r="K40" s="15">
        <f>SUMIFS(Current_Portfolio!$L$2:$L$1000, Current_Portfolio!$C$2:$C$1000, "Consumption ", Current_Portfolio!$D$2:$D$1000, "*Satellite*")</f>
        <v>0</v>
      </c>
      <c r="L40" s="15">
        <f t="shared" si="5"/>
        <v>536000.37</v>
      </c>
    </row>
    <row r="41" spans="1:12">
      <c r="A41" s="23" t="s">
        <v>80</v>
      </c>
      <c r="B41" s="21" t="s">
        <v>49</v>
      </c>
      <c r="C41" s="15">
        <f>VLOOKUP(A41, Current_Portfolio!$A$2:$Z$1000, 12, FALSE)</f>
        <v>201676.79999999999</v>
      </c>
      <c r="D41" s="15">
        <f ca="1">VLOOKUP(A41, Current_Portfolio!$A$2:$Z$1000, 20, FALSE)</f>
        <v>173318.40000000002</v>
      </c>
      <c r="E41" s="15">
        <f t="shared" ca="1" si="3"/>
        <v>-28358.399999999965</v>
      </c>
      <c r="F41" s="17">
        <f t="shared" ca="1" si="4"/>
        <v>-0.14061309977151545</v>
      </c>
      <c r="I41" s="14" t="s">
        <v>60</v>
      </c>
      <c r="J41" s="15">
        <f>SUMIFS(Current_Portfolio!$L$2:$L$1000, Current_Portfolio!$C$2:$C$1000, "Consumption", Current_Portfolio!$D$2:$D$1000, "*Core*")</f>
        <v>279196.58999999997</v>
      </c>
      <c r="K41" s="15">
        <f>SUMIFS(Current_Portfolio!$L$2:$L$1000, Current_Portfolio!$C$2:$C$1000, "Consumption", Current_Portfolio!$D$2:$D$1000, "*Satellite*")</f>
        <v>254171</v>
      </c>
      <c r="L41" s="15">
        <f t="shared" si="5"/>
        <v>533367.59</v>
      </c>
    </row>
    <row r="42" spans="1:12">
      <c r="I42" s="14" t="s">
        <v>63</v>
      </c>
      <c r="J42" s="15">
        <f>SUMIFS(Current_Portfolio!$L$2:$L$1000, Current_Portfolio!$C$2:$C$1000, "Finance", Current_Portfolio!$D$2:$D$1000, "*Core*")</f>
        <v>401059.84000000003</v>
      </c>
      <c r="K42" s="15">
        <f>SUMIFS(Current_Portfolio!$L$2:$L$1000, Current_Portfolio!$C$2:$C$1000, "Finance", Current_Portfolio!$D$2:$D$1000, "*Satellite*")</f>
        <v>0</v>
      </c>
      <c r="L42" s="15">
        <f t="shared" si="5"/>
        <v>401059.84000000003</v>
      </c>
    </row>
    <row r="43" spans="1:12">
      <c r="I43" s="14" t="s">
        <v>66</v>
      </c>
      <c r="J43" s="15">
        <f>SUMIFS(Current_Portfolio!$L$2:$L$1000, Current_Portfolio!$C$2:$C$1000, "Tech / Platform / IT", Current_Portfolio!$D$2:$D$1000, "*Core*")</f>
        <v>0</v>
      </c>
      <c r="K43" s="15">
        <f>SUMIFS(Current_Portfolio!$L$2:$L$1000, Current_Portfolio!$C$2:$C$1000, "Tech / Platform / IT", Current_Portfolio!$D$2:$D$1000, "*Satellite*")</f>
        <v>150791.12</v>
      </c>
      <c r="L43" s="15">
        <f t="shared" si="5"/>
        <v>150791.12</v>
      </c>
    </row>
    <row r="44" spans="1:12" ht="15.75">
      <c r="A44" s="13" t="s">
        <v>81</v>
      </c>
      <c r="I44" s="14" t="s">
        <v>658</v>
      </c>
      <c r="J44" s="15">
        <f>SUMIFS(Current_Portfolio!$L$2:$L$1000, Current_Portfolio!$C$2:$C$1000, "Technology", Current_Portfolio!$D$2:$D$1000, "*Core*")</f>
        <v>59444.25</v>
      </c>
      <c r="K44" s="15">
        <f>SUMIFS(Current_Portfolio!$L$2:$L$1000, Current_Portfolio!$C$2:$C$1000, "Technology", Current_Portfolio!$D$2:$D$1000, "*Satellite*")</f>
        <v>0</v>
      </c>
      <c r="L44" s="15">
        <f t="shared" si="5"/>
        <v>59444.25</v>
      </c>
    </row>
    <row r="45" spans="1:12">
      <c r="A45" s="56" t="s">
        <v>41</v>
      </c>
      <c r="B45" s="56" t="s">
        <v>42</v>
      </c>
      <c r="C45" s="56" t="s">
        <v>82</v>
      </c>
      <c r="D45" s="56" t="s">
        <v>83</v>
      </c>
      <c r="E45" s="56" t="s">
        <v>84</v>
      </c>
      <c r="F45" s="56" t="s">
        <v>85</v>
      </c>
      <c r="G45" s="56" t="s">
        <v>86</v>
      </c>
      <c r="I45" s="14" t="s">
        <v>38</v>
      </c>
      <c r="J45" s="19">
        <f>SUM(J38:J44)</f>
        <v>2751782.55</v>
      </c>
      <c r="K45" s="19">
        <f>SUM(K38:K44)</f>
        <v>2046193.25</v>
      </c>
      <c r="L45" s="19">
        <f>SUM(L38:L44)</f>
        <v>4797975.8</v>
      </c>
    </row>
    <row r="46" spans="1:12">
      <c r="A46" s="57" t="s">
        <v>88</v>
      </c>
      <c r="B46" s="21" t="s">
        <v>47</v>
      </c>
      <c r="C46" s="15">
        <f ca="1">VLOOKUP(A46, Current_Portfolio!$A$2:$Z$1000, 13, FALSE)</f>
        <v>906.65</v>
      </c>
      <c r="D46" s="15">
        <f>VLOOKUP(A46, Current_Portfolio!$A$2:$Z$1000, 9, FALSE)</f>
        <v>904.76</v>
      </c>
      <c r="E46" s="15">
        <f t="shared" ref="E46:E55" ca="1" si="6">C46-D46</f>
        <v>1.8899999999999864</v>
      </c>
      <c r="F46" s="17">
        <f t="shared" ref="F46:F55" ca="1" si="7">IF(C46&gt;0, E46/C46, 0)</f>
        <v>2.0845971433298255E-3</v>
      </c>
      <c r="G46" s="21" t="str">
        <f>VLOOKUP(A46, Current_Portfolio!$A$2:$Z$1000, 5, FALSE)</f>
        <v>Tranch 2</v>
      </c>
    </row>
    <row r="47" spans="1:12">
      <c r="A47" s="14" t="s">
        <v>61</v>
      </c>
      <c r="B47" s="21" t="s">
        <v>47</v>
      </c>
      <c r="C47" s="15">
        <f ca="1">VLOOKUP(A47, Current_Portfolio!$A$2:$Z$1000, 13, FALSE)</f>
        <v>2929.2</v>
      </c>
      <c r="D47" s="15">
        <f>VLOOKUP(A47, Current_Portfolio!$A$2:$Z$1000, 9, FALSE)</f>
        <v>2821.19</v>
      </c>
      <c r="E47" s="15">
        <f t="shared" ca="1" si="6"/>
        <v>108.00999999999976</v>
      </c>
      <c r="F47" s="17">
        <f t="shared" ca="1" si="7"/>
        <v>3.6873549091902144E-2</v>
      </c>
      <c r="G47" s="21" t="str">
        <f>VLOOKUP(A47, Current_Portfolio!$A$2:$Z$1000, 5, FALSE)</f>
        <v>Cheat 2</v>
      </c>
    </row>
    <row r="48" spans="1:12" ht="15.75">
      <c r="A48" s="59" t="s">
        <v>53</v>
      </c>
      <c r="B48" s="21" t="s">
        <v>47</v>
      </c>
      <c r="C48" s="15">
        <f ca="1">VLOOKUP(A48, Current_Portfolio!$A$2:$Z$1000, 13, FALSE)</f>
        <v>599.35</v>
      </c>
      <c r="D48" s="15">
        <f>VLOOKUP(A48, Current_Portfolio!$A$2:$Z$1000, 9, FALSE)</f>
        <v>575.28</v>
      </c>
      <c r="E48" s="15">
        <f t="shared" ca="1" si="6"/>
        <v>24.07000000000005</v>
      </c>
      <c r="F48" s="17">
        <f t="shared" ca="1" si="7"/>
        <v>4.0160173521314839E-2</v>
      </c>
      <c r="G48" s="21" t="str">
        <f>VLOOKUP(A48, Current_Portfolio!$A$2:$Z$1000, 5, FALSE)</f>
        <v>Cheat 1</v>
      </c>
      <c r="I48" s="13" t="s">
        <v>87</v>
      </c>
    </row>
    <row r="49" spans="1:12">
      <c r="A49" s="14" t="s">
        <v>57</v>
      </c>
      <c r="B49" s="21" t="s">
        <v>47</v>
      </c>
      <c r="C49" s="15">
        <f ca="1">VLOOKUP(A49, Current_Portfolio!$A$2:$Z$1000, 13, FALSE)</f>
        <v>1788.5</v>
      </c>
      <c r="D49" s="15">
        <f>VLOOKUP(A49, Current_Portfolio!$A$2:$Z$1000, 9, FALSE)</f>
        <v>1709.28</v>
      </c>
      <c r="E49" s="15">
        <f t="shared" ca="1" si="6"/>
        <v>79.220000000000027</v>
      </c>
      <c r="F49" s="17">
        <f t="shared" ca="1" si="7"/>
        <v>4.4294101202124701E-2</v>
      </c>
      <c r="G49" s="21" t="str">
        <f>VLOOKUP(A49, Current_Portfolio!$A$2:$Z$1000, 5, FALSE)</f>
        <v>Cheat 1</v>
      </c>
      <c r="I49" s="56" t="s">
        <v>89</v>
      </c>
      <c r="J49" s="56" t="s">
        <v>20</v>
      </c>
      <c r="K49" s="56" t="s">
        <v>18</v>
      </c>
      <c r="L49" s="56" t="s">
        <v>90</v>
      </c>
    </row>
    <row r="50" spans="1:12">
      <c r="A50" s="58" t="s">
        <v>59</v>
      </c>
      <c r="B50" s="21" t="s">
        <v>47</v>
      </c>
      <c r="C50" s="15">
        <f ca="1">VLOOKUP(A50, Current_Portfolio!$A$2:$Z$1000, 13, FALSE)</f>
        <v>357.35</v>
      </c>
      <c r="D50" s="15">
        <f>VLOOKUP(A50, Current_Portfolio!$A$2:$Z$1000, 9, FALSE)</f>
        <v>340.17</v>
      </c>
      <c r="E50" s="15">
        <f t="shared" ca="1" si="6"/>
        <v>17.180000000000007</v>
      </c>
      <c r="F50" s="17">
        <f t="shared" ca="1" si="7"/>
        <v>4.8076115852805391E-2</v>
      </c>
      <c r="G50" s="21" t="str">
        <f>VLOOKUP(A50, Current_Portfolio!$A$2:$Z$1000, 5, FALSE)</f>
        <v>Cheat 2</v>
      </c>
      <c r="I50" s="14"/>
      <c r="J50" s="15">
        <f>SUMIF(Overall_Portfolio!$B$2:$B$1000, "", Overall_Portfolio!$P$2:$P$1000)</f>
        <v>-578.67999999999995</v>
      </c>
      <c r="K50" s="15">
        <f>SUMIF(Current_Portfolio!$B$2:$B$1000, "", Current_Portfolio!$U$2:$U$1000)</f>
        <v>0</v>
      </c>
      <c r="L50" s="15">
        <f>J50+K50</f>
        <v>-578.67999999999995</v>
      </c>
    </row>
    <row r="51" spans="1:12">
      <c r="A51" s="14" t="s">
        <v>55</v>
      </c>
      <c r="B51" s="21" t="s">
        <v>47</v>
      </c>
      <c r="C51" s="15">
        <f ca="1">VLOOKUP(A51, Current_Portfolio!$A$2:$Z$1000, 13, FALSE)</f>
        <v>1440.4</v>
      </c>
      <c r="D51" s="15">
        <f>VLOOKUP(A51, Current_Portfolio!$A$2:$Z$1000, 9, FALSE)</f>
        <v>1355.04</v>
      </c>
      <c r="E51" s="15">
        <f t="shared" ca="1" si="6"/>
        <v>85.360000000000127</v>
      </c>
      <c r="F51" s="17">
        <f t="shared" ca="1" si="7"/>
        <v>5.9261316301027579E-2</v>
      </c>
      <c r="G51" s="21" t="str">
        <f>VLOOKUP(A51, Current_Portfolio!$A$2:$Z$1000, 5, FALSE)</f>
        <v>Cheat 1</v>
      </c>
      <c r="I51" s="14" t="s">
        <v>34</v>
      </c>
      <c r="J51" s="15">
        <f>SUMIF(Overall_Portfolio!$B$2:$B$1000, "Large Cap", Overall_Portfolio!$P$2:$P$1000)</f>
        <v>-137923.30000000002</v>
      </c>
      <c r="K51" s="15">
        <f ca="1">SUMIF(Current_Portfolio!$B$2:$B$1000, "Large Cap", Current_Portfolio!$U$2:$U$1000)</f>
        <v>266485.59999999998</v>
      </c>
      <c r="L51" s="15">
        <f ca="1">J51+K51</f>
        <v>128562.29999999996</v>
      </c>
    </row>
    <row r="52" spans="1:12">
      <c r="A52" s="60" t="s">
        <v>92</v>
      </c>
      <c r="B52" s="21" t="s">
        <v>47</v>
      </c>
      <c r="C52" s="15">
        <f ca="1">VLOOKUP(A52, Current_Portfolio!$A$2:$Z$1000, 13, FALSE)</f>
        <v>4784.5</v>
      </c>
      <c r="D52" s="15">
        <f>VLOOKUP(A52, Current_Portfolio!$A$2:$Z$1000, 9, FALSE)</f>
        <v>4466.5</v>
      </c>
      <c r="E52" s="15">
        <f t="shared" ca="1" si="6"/>
        <v>318</v>
      </c>
      <c r="F52" s="17">
        <f t="shared" ca="1" si="7"/>
        <v>6.6464625352701437E-2</v>
      </c>
      <c r="G52" s="21" t="str">
        <f>VLOOKUP(A52, Current_Portfolio!$A$2:$Z$1000, 5, FALSE)</f>
        <v>Cheat 2</v>
      </c>
      <c r="I52" s="14" t="s">
        <v>36</v>
      </c>
      <c r="J52" s="15">
        <f>SUMIF(Overall_Portfolio!$B$2:$B$1000, "Mid Cap", Overall_Portfolio!$P$2:$P$1000)</f>
        <v>-71719.219999999987</v>
      </c>
      <c r="K52" s="15">
        <f ca="1">SUMIF(Current_Portfolio!$B$2:$B$1000, "Mid Cap", Current_Portfolio!$U$2:$U$1000)</f>
        <v>23402.940000000046</v>
      </c>
      <c r="L52" s="15">
        <f ca="1">J52+K52</f>
        <v>-48316.279999999941</v>
      </c>
    </row>
    <row r="53" spans="1:12">
      <c r="A53" s="57" t="s">
        <v>50</v>
      </c>
      <c r="B53" s="21" t="s">
        <v>47</v>
      </c>
      <c r="C53" s="15">
        <f ca="1">VLOOKUP(A53, Current_Portfolio!$A$2:$Z$1000, 13, FALSE)</f>
        <v>407.55</v>
      </c>
      <c r="D53" s="15">
        <f>VLOOKUP(A53, Current_Portfolio!$A$2:$Z$1000, 9, FALSE)</f>
        <v>376.96</v>
      </c>
      <c r="E53" s="15">
        <f t="shared" ca="1" si="6"/>
        <v>30.590000000000032</v>
      </c>
      <c r="F53" s="17">
        <f t="shared" ca="1" si="7"/>
        <v>7.5058275058275128E-2</v>
      </c>
      <c r="G53" s="21" t="str">
        <f>VLOOKUP(A53, Current_Portfolio!$A$2:$Z$1000, 5, FALSE)</f>
        <v>Tranch 2</v>
      </c>
      <c r="I53" s="14" t="s">
        <v>32</v>
      </c>
      <c r="J53" s="15">
        <f>SUMIF(Overall_Portfolio!$B$2:$B$1000, "Small Cap", Overall_Portfolio!$P$2:$P$1000)</f>
        <v>-216012.63000000003</v>
      </c>
      <c r="K53" s="15">
        <f ca="1">SUMIF(Current_Portfolio!$B$2:$B$1000, "Small Cap", Current_Portfolio!$U$2:$U$1000)</f>
        <v>246345.56000000011</v>
      </c>
      <c r="L53" s="15">
        <f ca="1">J53+K53</f>
        <v>30332.93000000008</v>
      </c>
    </row>
    <row r="54" spans="1:12">
      <c r="A54" s="60" t="s">
        <v>91</v>
      </c>
      <c r="B54" s="21" t="s">
        <v>47</v>
      </c>
      <c r="C54" s="15">
        <f ca="1">VLOOKUP(A54, Current_Portfolio!$A$2:$Z$1000, 13, FALSE)</f>
        <v>1076.5999999999999</v>
      </c>
      <c r="D54" s="15">
        <f>VLOOKUP(A54, Current_Portfolio!$A$2:$Z$1000, 9, FALSE)</f>
        <v>983.16</v>
      </c>
      <c r="E54" s="15">
        <f t="shared" ca="1" si="6"/>
        <v>93.439999999999941</v>
      </c>
      <c r="F54" s="17">
        <f t="shared" ca="1" si="7"/>
        <v>8.6791751811257617E-2</v>
      </c>
      <c r="G54" s="21" t="str">
        <f>VLOOKUP(A54, Current_Portfolio!$A$2:$Z$1000, 5, FALSE)</f>
        <v>Cheat 1</v>
      </c>
      <c r="I54" s="14" t="s">
        <v>38</v>
      </c>
      <c r="J54" s="19">
        <f>SUM(J50:J53)</f>
        <v>-426233.83000000007</v>
      </c>
      <c r="K54" s="19">
        <f ca="1">SUM(K50:K53)</f>
        <v>536234.10000000009</v>
      </c>
      <c r="L54" s="19">
        <f ca="1">SUM(L50:L53)</f>
        <v>110000.27000000011</v>
      </c>
    </row>
    <row r="55" spans="1:12">
      <c r="A55" s="58" t="s">
        <v>130</v>
      </c>
      <c r="B55" s="21" t="s">
        <v>47</v>
      </c>
      <c r="C55" s="15">
        <f ca="1">VLOOKUP(A55, Current_Portfolio!$A$2:$Z$1000, 13, FALSE)</f>
        <v>4705.3</v>
      </c>
      <c r="D55" s="15">
        <f>VLOOKUP(A55, Current_Portfolio!$A$2:$Z$1000, 9, FALSE)</f>
        <v>4139.21</v>
      </c>
      <c r="E55" s="15">
        <f t="shared" ca="1" si="6"/>
        <v>566.09000000000015</v>
      </c>
      <c r="F55" s="17">
        <f t="shared" ca="1" si="7"/>
        <v>0.12030901324038852</v>
      </c>
      <c r="G55" s="21" t="str">
        <f>VLOOKUP(A55, Current_Portfolio!$A$2:$Z$1000, 5, FALSE)</f>
        <v>Cheat 1</v>
      </c>
    </row>
    <row r="57" spans="1:12" ht="15.75">
      <c r="I57" s="13" t="s">
        <v>94</v>
      </c>
    </row>
    <row r="58" spans="1:12" ht="15.75">
      <c r="A58" s="13" t="s">
        <v>100</v>
      </c>
      <c r="I58" s="56" t="s">
        <v>86</v>
      </c>
      <c r="J58" s="56" t="s">
        <v>96</v>
      </c>
      <c r="K58" s="56" t="s">
        <v>97</v>
      </c>
    </row>
    <row r="59" spans="1:12">
      <c r="A59" s="56" t="s">
        <v>41</v>
      </c>
      <c r="B59" s="56" t="s">
        <v>102</v>
      </c>
      <c r="C59" s="56" t="s">
        <v>103</v>
      </c>
      <c r="I59" s="14" t="s">
        <v>98</v>
      </c>
      <c r="J59" s="21">
        <v>35</v>
      </c>
      <c r="K59" s="17">
        <v>0.58333333333333337</v>
      </c>
    </row>
    <row r="60" spans="1:12">
      <c r="A60" s="57" t="s">
        <v>48</v>
      </c>
      <c r="B60" s="21" t="s">
        <v>105</v>
      </c>
      <c r="C60" s="21" t="s">
        <v>106</v>
      </c>
      <c r="I60" s="14" t="s">
        <v>99</v>
      </c>
      <c r="J60" s="21">
        <v>9</v>
      </c>
      <c r="K60" s="17">
        <v>0.15</v>
      </c>
    </row>
    <row r="61" spans="1:12">
      <c r="A61" s="22" t="s">
        <v>260</v>
      </c>
      <c r="B61" s="21" t="s">
        <v>986</v>
      </c>
      <c r="C61" s="21" t="s">
        <v>106</v>
      </c>
      <c r="I61" s="14" t="s">
        <v>101</v>
      </c>
      <c r="J61" s="21">
        <v>1</v>
      </c>
      <c r="K61" s="17">
        <v>1.666666666666667E-2</v>
      </c>
    </row>
    <row r="62" spans="1:12">
      <c r="A62" s="22" t="s">
        <v>260</v>
      </c>
      <c r="B62" s="21" t="s">
        <v>986</v>
      </c>
      <c r="C62" s="21" t="s">
        <v>106</v>
      </c>
      <c r="I62" s="14" t="s">
        <v>104</v>
      </c>
      <c r="J62" s="21">
        <v>6</v>
      </c>
      <c r="K62" s="17">
        <v>0.1</v>
      </c>
    </row>
    <row r="63" spans="1:12">
      <c r="I63" s="14" t="s">
        <v>107</v>
      </c>
      <c r="J63" s="21">
        <v>5</v>
      </c>
      <c r="K63" s="17">
        <v>8.3333333333333329E-2</v>
      </c>
    </row>
    <row r="64" spans="1:12">
      <c r="I64" s="14" t="s">
        <v>108</v>
      </c>
      <c r="J64" s="21">
        <v>2</v>
      </c>
      <c r="K64" s="17">
        <v>3.3333333333333333E-2</v>
      </c>
    </row>
    <row r="65" spans="1:12" ht="15.75">
      <c r="A65" s="13" t="s">
        <v>110</v>
      </c>
      <c r="I65" s="14" t="s">
        <v>109</v>
      </c>
      <c r="J65" s="21">
        <v>2</v>
      </c>
      <c r="K65" s="17">
        <v>3.3333333333333333E-2</v>
      </c>
    </row>
    <row r="66" spans="1:12">
      <c r="A66" s="56" t="s">
        <v>111</v>
      </c>
      <c r="B66" s="56" t="s">
        <v>112</v>
      </c>
      <c r="C66" s="56" t="s">
        <v>113</v>
      </c>
      <c r="D66" s="56" t="s">
        <v>114</v>
      </c>
      <c r="E66" s="56" t="s">
        <v>115</v>
      </c>
      <c r="F66" s="56" t="s">
        <v>11</v>
      </c>
      <c r="G66" s="56" t="s">
        <v>116</v>
      </c>
    </row>
    <row r="67" spans="1:12">
      <c r="A67" s="14" t="s">
        <v>95</v>
      </c>
      <c r="B67" s="25" t="s">
        <v>99</v>
      </c>
      <c r="C67" s="26">
        <v>220</v>
      </c>
      <c r="D67" s="27">
        <v>76932.240000000005</v>
      </c>
      <c r="E67" s="27">
        <v>79005</v>
      </c>
      <c r="F67" s="28">
        <v>2.6942670589079429E-2</v>
      </c>
      <c r="G67" s="28">
        <v>4.5640341315576163E-2</v>
      </c>
    </row>
    <row r="68" spans="1:12" ht="15.75">
      <c r="A68" s="14" t="s">
        <v>118</v>
      </c>
      <c r="B68" s="25" t="s">
        <v>99</v>
      </c>
      <c r="C68" s="26">
        <v>153</v>
      </c>
      <c r="D68" s="27">
        <v>50227.5</v>
      </c>
      <c r="E68" s="27">
        <v>55386</v>
      </c>
      <c r="F68" s="28">
        <v>0.10270270270270269</v>
      </c>
      <c r="G68" s="28">
        <v>0.27679996646268001</v>
      </c>
      <c r="I68" s="13" t="s">
        <v>117</v>
      </c>
    </row>
    <row r="69" spans="1:12">
      <c r="A69" s="14" t="s">
        <v>61</v>
      </c>
      <c r="B69" s="25" t="s">
        <v>99</v>
      </c>
      <c r="C69" s="26">
        <v>150</v>
      </c>
      <c r="D69" s="27">
        <v>43885.24</v>
      </c>
      <c r="E69" s="27">
        <v>41008.800000000003</v>
      </c>
      <c r="F69" s="29">
        <v>-6.5544588567819168E-2</v>
      </c>
      <c r="G69" s="29">
        <v>-0.38839257239524572</v>
      </c>
      <c r="I69" s="56" t="s">
        <v>119</v>
      </c>
      <c r="J69" s="56" t="s">
        <v>96</v>
      </c>
      <c r="K69" s="56" t="s">
        <v>97</v>
      </c>
    </row>
    <row r="70" spans="1:12">
      <c r="A70" s="14" t="s">
        <v>52</v>
      </c>
      <c r="B70" s="25" t="s">
        <v>101</v>
      </c>
      <c r="C70" s="26">
        <v>125</v>
      </c>
      <c r="D70" s="27">
        <v>56862.54</v>
      </c>
      <c r="E70" s="27">
        <v>67926.600000000006</v>
      </c>
      <c r="F70" s="28">
        <v>0.1945755500897427</v>
      </c>
      <c r="G70" s="28">
        <v>0.82543560020440632</v>
      </c>
      <c r="I70" s="14" t="s">
        <v>120</v>
      </c>
      <c r="J70" s="21">
        <v>42</v>
      </c>
      <c r="K70" s="17">
        <v>0.7</v>
      </c>
    </row>
    <row r="71" spans="1:12">
      <c r="A71" s="23" t="s">
        <v>77</v>
      </c>
      <c r="B71" s="25" t="s">
        <v>98</v>
      </c>
      <c r="C71" s="26">
        <v>87</v>
      </c>
      <c r="D71" s="27">
        <v>50624.84</v>
      </c>
      <c r="E71" s="27">
        <v>52831.8</v>
      </c>
      <c r="F71" s="28">
        <v>4.3594409384800033E-2</v>
      </c>
      <c r="G71" s="28">
        <v>0.19607044418698391</v>
      </c>
      <c r="I71" s="14" t="s">
        <v>121</v>
      </c>
      <c r="J71" s="21">
        <v>6</v>
      </c>
      <c r="K71" s="17">
        <v>0.1</v>
      </c>
    </row>
    <row r="72" spans="1:12">
      <c r="I72" s="14" t="s">
        <v>122</v>
      </c>
      <c r="J72" s="21">
        <v>8</v>
      </c>
      <c r="K72" s="17">
        <v>0.1333333333333333</v>
      </c>
    </row>
    <row r="73" spans="1:12">
      <c r="I73" s="14" t="s">
        <v>123</v>
      </c>
      <c r="J73" s="21">
        <v>4</v>
      </c>
      <c r="K73" s="17">
        <v>6.6666666666666666E-2</v>
      </c>
    </row>
    <row r="76" spans="1:12" ht="15.75">
      <c r="I76" s="13" t="s">
        <v>124</v>
      </c>
    </row>
    <row r="77" spans="1:12">
      <c r="I77" s="56" t="s">
        <v>41</v>
      </c>
      <c r="J77" s="56" t="s">
        <v>125</v>
      </c>
      <c r="K77" s="56" t="s">
        <v>82</v>
      </c>
      <c r="L77" s="56" t="s">
        <v>126</v>
      </c>
    </row>
    <row r="78" spans="1:12">
      <c r="I78" s="60" t="s">
        <v>51</v>
      </c>
      <c r="J78" s="15">
        <f>VLOOKUP(I78, Current_Portfolio!$A$2:$Z$1000, 15, FALSE)</f>
        <v>1775.6</v>
      </c>
      <c r="K78" s="15">
        <f ca="1">VLOOKUP(I78, Current_Portfolio!$A$2:$Z$1000, 13, FALSE)</f>
        <v>2122.1999999999998</v>
      </c>
      <c r="L78" s="17">
        <f t="shared" ref="L78:L87" ca="1" si="8">IF(J78&gt;0, (K78-J78)/J78, 0)</f>
        <v>0.19520162198693394</v>
      </c>
    </row>
    <row r="79" spans="1:12">
      <c r="I79" s="60" t="s">
        <v>129</v>
      </c>
      <c r="J79" s="15">
        <f>VLOOKUP(I79, Current_Portfolio!$A$2:$Z$1000, 15, FALSE)</f>
        <v>549.35</v>
      </c>
      <c r="K79" s="15">
        <f ca="1">VLOOKUP(I79, Current_Portfolio!$A$2:$Z$1000, 13, FALSE)</f>
        <v>570.5</v>
      </c>
      <c r="L79" s="17">
        <f t="shared" ca="1" si="8"/>
        <v>3.8500045508327981E-2</v>
      </c>
    </row>
    <row r="80" spans="1:12">
      <c r="I80" s="30" t="s">
        <v>128</v>
      </c>
      <c r="J80" s="15">
        <f>VLOOKUP(I80, Current_Portfolio!$A$2:$Z$1000, 15, FALSE)</f>
        <v>705.3</v>
      </c>
      <c r="K80" s="15">
        <f ca="1">VLOOKUP(I80, Current_Portfolio!$A$2:$Z$1000, 13, FALSE)</f>
        <v>731.05</v>
      </c>
      <c r="L80" s="17">
        <f t="shared" ca="1" si="8"/>
        <v>3.6509286828300014E-2</v>
      </c>
    </row>
    <row r="81" spans="9:12">
      <c r="I81" s="60" t="s">
        <v>127</v>
      </c>
      <c r="J81" s="15">
        <f>VLOOKUP(I81, Current_Portfolio!$A$2:$Z$1000, 15, FALSE)</f>
        <v>386.5</v>
      </c>
      <c r="K81" s="15">
        <f ca="1">VLOOKUP(I81, Current_Portfolio!$A$2:$Z$1000, 13, FALSE)</f>
        <v>398.95</v>
      </c>
      <c r="L81" s="17">
        <f t="shared" ca="1" si="8"/>
        <v>3.2212160413971513E-2</v>
      </c>
    </row>
    <row r="82" spans="9:12">
      <c r="I82" s="57" t="s">
        <v>93</v>
      </c>
      <c r="J82" s="15">
        <f>VLOOKUP(I82, Current_Portfolio!$A$2:$Z$1000, 15, FALSE)</f>
        <v>1362</v>
      </c>
      <c r="K82" s="15">
        <f ca="1">VLOOKUP(I82, Current_Portfolio!$A$2:$Z$1000, 13, FALSE)</f>
        <v>1394.3</v>
      </c>
      <c r="L82" s="17">
        <f t="shared" ca="1" si="8"/>
        <v>2.3715124816446369E-2</v>
      </c>
    </row>
    <row r="83" spans="9:12">
      <c r="I83" s="30" t="s">
        <v>46</v>
      </c>
      <c r="J83" s="15">
        <f>VLOOKUP(I83, Current_Portfolio!$A$2:$Z$1000, 15, FALSE)</f>
        <v>1126.7</v>
      </c>
      <c r="K83" s="15">
        <f ca="1">VLOOKUP(I83, Current_Portfolio!$A$2:$Z$1000, 13, FALSE)</f>
        <v>1138.9000000000001</v>
      </c>
      <c r="L83" s="17">
        <f t="shared" ca="1" si="8"/>
        <v>1.0828082009408045E-2</v>
      </c>
    </row>
    <row r="84" spans="9:12">
      <c r="I84" s="30" t="s">
        <v>55</v>
      </c>
      <c r="J84" s="15">
        <f>VLOOKUP(I84, Current_Portfolio!$A$2:$Z$1000, 15, FALSE)</f>
        <v>1426.4</v>
      </c>
      <c r="K84" s="15">
        <f ca="1">VLOOKUP(I84, Current_Portfolio!$A$2:$Z$1000, 13, FALSE)</f>
        <v>1440.4</v>
      </c>
      <c r="L84" s="17">
        <f t="shared" ca="1" si="8"/>
        <v>9.8149186763881093E-3</v>
      </c>
    </row>
    <row r="85" spans="9:12">
      <c r="I85" s="58" t="s">
        <v>130</v>
      </c>
      <c r="J85" s="15">
        <f>VLOOKUP(I85, Current_Portfolio!$A$2:$Z$1000, 15, FALSE)</f>
        <v>4670.7</v>
      </c>
      <c r="K85" s="15">
        <f ca="1">VLOOKUP(I85, Current_Portfolio!$A$2:$Z$1000, 13, FALSE)</f>
        <v>4705.3</v>
      </c>
      <c r="L85" s="17">
        <f t="shared" ca="1" si="8"/>
        <v>7.4078831866744525E-3</v>
      </c>
    </row>
    <row r="86" spans="9:12">
      <c r="I86" s="57" t="s">
        <v>48</v>
      </c>
      <c r="J86" s="15">
        <f>VLOOKUP(I86, Current_Portfolio!$A$2:$Z$1000, 15, FALSE)</f>
        <v>129.06</v>
      </c>
      <c r="K86" s="15">
        <f ca="1">VLOOKUP(I86, Current_Portfolio!$A$2:$Z$1000, 13, FALSE)</f>
        <v>129.80000000000001</v>
      </c>
      <c r="L86" s="17">
        <f t="shared" ca="1" si="8"/>
        <v>5.7337672400434607E-3</v>
      </c>
    </row>
    <row r="87" spans="9:12">
      <c r="I87" s="30" t="s">
        <v>52</v>
      </c>
      <c r="J87" s="15">
        <f>VLOOKUP(I87, Current_Portfolio!$A$2:$Z$1000, 15, FALSE)</f>
        <v>1614.6</v>
      </c>
      <c r="K87" s="15">
        <f ca="1">VLOOKUP(I87, Current_Portfolio!$A$2:$Z$1000, 13, FALSE)</f>
        <v>1617.3</v>
      </c>
      <c r="L87" s="17">
        <f t="shared" ca="1" si="8"/>
        <v>1.6722408026756134E-3</v>
      </c>
    </row>
    <row r="90" spans="9:12" ht="15.75">
      <c r="I90" s="13" t="s">
        <v>132</v>
      </c>
    </row>
    <row r="91" spans="9:12">
      <c r="I91" s="56" t="s">
        <v>41</v>
      </c>
      <c r="J91" s="56" t="s">
        <v>125</v>
      </c>
      <c r="K91" s="56" t="s">
        <v>133</v>
      </c>
      <c r="L91" s="56" t="s">
        <v>126</v>
      </c>
    </row>
    <row r="92" spans="9:12">
      <c r="I92" s="57" t="s">
        <v>908</v>
      </c>
      <c r="J92" s="15">
        <v>129.06</v>
      </c>
      <c r="K92" s="15">
        <v>5713.5</v>
      </c>
      <c r="L92" s="17">
        <v>43.270106927010687</v>
      </c>
    </row>
    <row r="93" spans="9:12">
      <c r="I93" s="60" t="s">
        <v>207</v>
      </c>
      <c r="J93" s="15">
        <v>265.39999999999998</v>
      </c>
      <c r="K93" s="15">
        <v>7196</v>
      </c>
      <c r="L93" s="17">
        <v>26.113790504898269</v>
      </c>
    </row>
    <row r="94" spans="9:12">
      <c r="I94" s="58" t="s">
        <v>969</v>
      </c>
      <c r="J94" s="15">
        <v>87.99</v>
      </c>
      <c r="K94" s="15">
        <v>1877.9</v>
      </c>
      <c r="L94" s="17">
        <v>20.342197977042851</v>
      </c>
    </row>
    <row r="95" spans="9:12">
      <c r="I95" s="57" t="s">
        <v>907</v>
      </c>
      <c r="J95" s="15">
        <v>246.19</v>
      </c>
      <c r="K95" s="15">
        <v>3070.7</v>
      </c>
      <c r="L95" s="17">
        <v>11.47288679475202</v>
      </c>
    </row>
    <row r="96" spans="9:12">
      <c r="I96" s="60" t="s">
        <v>884</v>
      </c>
      <c r="J96" s="15">
        <v>179.94</v>
      </c>
      <c r="K96" s="15">
        <v>1688.1</v>
      </c>
      <c r="L96" s="17">
        <v>8.3814604868289422</v>
      </c>
    </row>
    <row r="97" spans="9:12">
      <c r="I97" s="57" t="s">
        <v>962</v>
      </c>
      <c r="J97" s="15">
        <v>668.1</v>
      </c>
      <c r="K97" s="15">
        <v>3686.6</v>
      </c>
      <c r="L97" s="17">
        <v>4.5180362221224364</v>
      </c>
    </row>
    <row r="98" spans="9:12">
      <c r="I98" s="60" t="s">
        <v>911</v>
      </c>
      <c r="J98" s="15">
        <v>145.16999999999999</v>
      </c>
      <c r="K98" s="15">
        <v>602.04999999999995</v>
      </c>
      <c r="L98" s="17">
        <v>3.1472067231521672</v>
      </c>
    </row>
    <row r="99" spans="9:12">
      <c r="I99" s="57" t="s">
        <v>889</v>
      </c>
      <c r="J99" s="15">
        <v>370</v>
      </c>
      <c r="K99" s="15">
        <v>1497.7</v>
      </c>
      <c r="L99" s="17">
        <v>3.0478378378378381</v>
      </c>
    </row>
    <row r="100" spans="9:12">
      <c r="I100" s="57" t="s">
        <v>397</v>
      </c>
      <c r="J100" s="15">
        <v>500.5</v>
      </c>
      <c r="K100" s="15">
        <v>1889.5</v>
      </c>
      <c r="L100" s="17">
        <v>2.7752247752247752</v>
      </c>
    </row>
    <row r="101" spans="9:12">
      <c r="I101" s="57" t="s">
        <v>201</v>
      </c>
      <c r="J101" s="15">
        <v>273.36</v>
      </c>
      <c r="K101" s="15">
        <v>900.95</v>
      </c>
      <c r="L101" s="17">
        <v>2.2958369915130228</v>
      </c>
    </row>
  </sheetData>
  <mergeCells count="2">
    <mergeCell ref="A1:G1"/>
    <mergeCell ref="I1:L1"/>
  </mergeCells>
  <conditionalFormatting sqref="B7:B10">
    <cfRule type="cellIs" dxfId="17" priority="1" operator="greaterThan">
      <formula>0</formula>
    </cfRule>
    <cfRule type="cellIs" dxfId="16" priority="2" operator="lessThan">
      <formula>0</formula>
    </cfRule>
  </conditionalFormatting>
  <conditionalFormatting sqref="E19:F28">
    <cfRule type="cellIs" dxfId="15" priority="3" operator="greaterThan">
      <formula>0</formula>
    </cfRule>
    <cfRule type="cellIs" dxfId="14" priority="4" operator="lessThan">
      <formula>0</formula>
    </cfRule>
  </conditionalFormatting>
  <conditionalFormatting sqref="E33:F41">
    <cfRule type="cellIs" dxfId="13" priority="5" operator="greaterThan">
      <formula>0</formula>
    </cfRule>
    <cfRule type="cellIs" dxfId="12" priority="6" operator="lessThan">
      <formula>0</formula>
    </cfRule>
  </conditionalFormatting>
  <conditionalFormatting sqref="F46:F55">
    <cfRule type="cellIs" dxfId="11" priority="7" operator="lessThan">
      <formula>0.05</formula>
    </cfRule>
    <cfRule type="cellIs" dxfId="10" priority="8" operator="greaterThan">
      <formula>0.15</formula>
    </cfRule>
  </conditionalFormatting>
  <conditionalFormatting sqref="J50:L54">
    <cfRule type="cellIs" dxfId="9" priority="13" operator="greaterThan">
      <formula>0</formula>
    </cfRule>
    <cfRule type="cellIs" dxfId="8" priority="14" operator="lessThan">
      <formula>0</formula>
    </cfRule>
  </conditionalFormatting>
  <conditionalFormatting sqref="L5:L6">
    <cfRule type="cellIs" dxfId="7" priority="9" operator="greaterThan">
      <formula>0</formula>
    </cfRule>
    <cfRule type="cellIs" dxfId="6" priority="10" operator="lessThan">
      <formula>0</formula>
    </cfRule>
  </conditionalFormatting>
  <conditionalFormatting sqref="L11:L14">
    <cfRule type="cellIs" dxfId="5" priority="11" operator="greaterThan">
      <formula>0</formula>
    </cfRule>
    <cfRule type="cellIs" dxfId="4" priority="12" operator="lessThan">
      <formula>0</formula>
    </cfRule>
  </conditionalFormatting>
  <conditionalFormatting sqref="L78:L87">
    <cfRule type="cellIs" dxfId="3" priority="15" operator="greaterThan">
      <formula>0</formula>
    </cfRule>
    <cfRule type="cellIs" dxfId="2" priority="16" operator="lessThan">
      <formula>0</formula>
    </cfRule>
  </conditionalFormatting>
  <conditionalFormatting sqref="L92:L101">
    <cfRule type="cellIs" dxfId="1" priority="17" operator="greaterThan">
      <formula>0</formula>
    </cfRule>
    <cfRule type="cellIs" dxfId="0" priority="18" operator="lessThan">
      <formula>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
  <sheetViews>
    <sheetView workbookViewId="0">
      <pane ySplit="1" topLeftCell="A14" activePane="bottomLeft" state="frozen"/>
      <selection pane="bottomLeft" activeCell="D33" sqref="D33"/>
    </sheetView>
  </sheetViews>
  <sheetFormatPr defaultRowHeight="15"/>
  <cols>
    <col min="1" max="1" width="10.42578125" bestFit="1" customWidth="1"/>
    <col min="2" max="2" width="15.85546875" bestFit="1" customWidth="1"/>
    <col min="3" max="3" width="14.42578125" bestFit="1" customWidth="1"/>
    <col min="4" max="4" width="22.5703125" bestFit="1" customWidth="1"/>
    <col min="5" max="5" width="15.7109375" bestFit="1" customWidth="1"/>
    <col min="6" max="6" width="20.7109375" bestFit="1" customWidth="1"/>
    <col min="7" max="7" width="22.85546875" bestFit="1" customWidth="1"/>
    <col min="8" max="8" width="76.7109375" bestFit="1" customWidth="1"/>
    <col min="9" max="9" width="12.85546875" bestFit="1" customWidth="1"/>
    <col min="10" max="10" width="56.85546875" bestFit="1" customWidth="1"/>
  </cols>
  <sheetData>
    <row r="1" spans="1:10">
      <c r="A1" s="61" t="s">
        <v>144</v>
      </c>
      <c r="B1" s="61" t="s">
        <v>145</v>
      </c>
      <c r="C1" s="61" t="s">
        <v>146</v>
      </c>
      <c r="D1" s="61" t="s">
        <v>56</v>
      </c>
      <c r="E1" s="61" t="s">
        <v>147</v>
      </c>
      <c r="F1" s="61" t="s">
        <v>148</v>
      </c>
      <c r="G1" s="61" t="s">
        <v>149</v>
      </c>
      <c r="H1" s="61" t="s">
        <v>150</v>
      </c>
      <c r="I1" s="61" t="s">
        <v>151</v>
      </c>
      <c r="J1" s="61" t="s">
        <v>152</v>
      </c>
    </row>
    <row r="2" spans="1:10">
      <c r="A2" s="62" t="s">
        <v>153</v>
      </c>
      <c r="B2" s="62" t="s">
        <v>47</v>
      </c>
      <c r="C2" s="67" t="s">
        <v>95</v>
      </c>
      <c r="D2" s="64" t="s">
        <v>58</v>
      </c>
      <c r="E2" s="62" t="s">
        <v>47</v>
      </c>
      <c r="F2" s="62" t="s">
        <v>99</v>
      </c>
      <c r="G2" s="66" t="s">
        <v>154</v>
      </c>
      <c r="H2" s="64" t="s">
        <v>155</v>
      </c>
      <c r="I2" s="64" t="s">
        <v>106</v>
      </c>
      <c r="J2" s="64" t="s">
        <v>156</v>
      </c>
    </row>
    <row r="3" spans="1:10">
      <c r="A3" s="62" t="s">
        <v>153</v>
      </c>
      <c r="B3" s="62" t="s">
        <v>47</v>
      </c>
      <c r="C3" s="68" t="s">
        <v>61</v>
      </c>
      <c r="D3" s="64" t="s">
        <v>62</v>
      </c>
      <c r="E3" s="62" t="s">
        <v>47</v>
      </c>
      <c r="F3" s="62" t="s">
        <v>99</v>
      </c>
      <c r="G3" s="66" t="s">
        <v>154</v>
      </c>
      <c r="H3" s="64" t="s">
        <v>157</v>
      </c>
      <c r="I3" s="64" t="s">
        <v>106</v>
      </c>
      <c r="J3" s="64" t="s">
        <v>156</v>
      </c>
    </row>
    <row r="4" spans="1:10">
      <c r="A4" s="62" t="s">
        <v>153</v>
      </c>
      <c r="B4" s="62" t="s">
        <v>47</v>
      </c>
      <c r="C4" s="69" t="s">
        <v>93</v>
      </c>
      <c r="D4" s="64" t="s">
        <v>62</v>
      </c>
      <c r="E4" s="62" t="s">
        <v>47</v>
      </c>
      <c r="F4" s="62" t="s">
        <v>98</v>
      </c>
      <c r="G4" s="66" t="s">
        <v>154</v>
      </c>
      <c r="H4" s="64" t="s">
        <v>158</v>
      </c>
      <c r="I4" s="64" t="s">
        <v>106</v>
      </c>
      <c r="J4" s="64" t="s">
        <v>156</v>
      </c>
    </row>
    <row r="5" spans="1:10">
      <c r="A5" s="62" t="s">
        <v>153</v>
      </c>
      <c r="B5" s="62" t="s">
        <v>47</v>
      </c>
      <c r="C5" s="68" t="s">
        <v>55</v>
      </c>
      <c r="D5" s="64" t="s">
        <v>62</v>
      </c>
      <c r="E5" s="62" t="s">
        <v>47</v>
      </c>
      <c r="F5" s="62" t="s">
        <v>98</v>
      </c>
      <c r="G5" s="66" t="s">
        <v>154</v>
      </c>
      <c r="H5" s="64" t="s">
        <v>159</v>
      </c>
      <c r="I5" s="64" t="s">
        <v>106</v>
      </c>
      <c r="J5" s="64" t="s">
        <v>156</v>
      </c>
    </row>
    <row r="6" spans="1:10">
      <c r="A6" s="62" t="s">
        <v>153</v>
      </c>
      <c r="B6" s="62" t="s">
        <v>47</v>
      </c>
      <c r="C6" s="68" t="s">
        <v>57</v>
      </c>
      <c r="D6" s="64" t="s">
        <v>62</v>
      </c>
      <c r="E6" s="62" t="s">
        <v>47</v>
      </c>
      <c r="F6" s="62" t="s">
        <v>98</v>
      </c>
      <c r="G6" s="66" t="s">
        <v>154</v>
      </c>
      <c r="H6" s="64" t="s">
        <v>160</v>
      </c>
      <c r="I6" s="64" t="s">
        <v>106</v>
      </c>
      <c r="J6" s="64" t="s">
        <v>156</v>
      </c>
    </row>
    <row r="7" spans="1:10">
      <c r="A7" s="62" t="s">
        <v>153</v>
      </c>
      <c r="B7" s="62" t="s">
        <v>47</v>
      </c>
      <c r="C7" s="70" t="s">
        <v>161</v>
      </c>
      <c r="D7" s="64" t="s">
        <v>58</v>
      </c>
      <c r="E7" s="62" t="s">
        <v>47</v>
      </c>
      <c r="F7" s="62" t="s">
        <v>104</v>
      </c>
      <c r="G7" s="66" t="s">
        <v>154</v>
      </c>
      <c r="H7" s="64" t="s">
        <v>162</v>
      </c>
      <c r="I7" s="64" t="s">
        <v>106</v>
      </c>
      <c r="J7" s="64" t="s">
        <v>163</v>
      </c>
    </row>
    <row r="8" spans="1:10" ht="150">
      <c r="A8" s="62" t="s">
        <v>153</v>
      </c>
      <c r="B8" s="62" t="s">
        <v>47</v>
      </c>
      <c r="C8" s="67" t="s">
        <v>118</v>
      </c>
      <c r="D8" s="64" t="s">
        <v>60</v>
      </c>
      <c r="E8" s="62" t="s">
        <v>47</v>
      </c>
      <c r="F8" s="62" t="s">
        <v>99</v>
      </c>
      <c r="G8" s="70" t="s">
        <v>164</v>
      </c>
      <c r="H8" s="64" t="s">
        <v>165</v>
      </c>
      <c r="I8" s="64" t="s">
        <v>106</v>
      </c>
      <c r="J8" s="65" t="s">
        <v>166</v>
      </c>
    </row>
    <row r="9" spans="1:10" ht="60">
      <c r="A9" s="62" t="s">
        <v>153</v>
      </c>
      <c r="B9" s="62" t="s">
        <v>47</v>
      </c>
      <c r="C9" s="70" t="s">
        <v>140</v>
      </c>
      <c r="D9" s="64" t="s">
        <v>58</v>
      </c>
      <c r="E9" s="62" t="s">
        <v>47</v>
      </c>
      <c r="F9" s="62" t="s">
        <v>98</v>
      </c>
      <c r="G9" s="70" t="s">
        <v>164</v>
      </c>
      <c r="H9" s="64" t="s">
        <v>167</v>
      </c>
      <c r="I9" s="64" t="s">
        <v>168</v>
      </c>
      <c r="J9" s="65" t="s">
        <v>169</v>
      </c>
    </row>
    <row r="10" spans="1:10" ht="60">
      <c r="A10" s="62" t="s">
        <v>153</v>
      </c>
      <c r="B10" s="62" t="s">
        <v>47</v>
      </c>
      <c r="C10" s="70" t="s">
        <v>52</v>
      </c>
      <c r="D10" s="64" t="s">
        <v>58</v>
      </c>
      <c r="E10" s="62" t="s">
        <v>47</v>
      </c>
      <c r="F10" s="62" t="s">
        <v>101</v>
      </c>
      <c r="G10" s="70" t="s">
        <v>164</v>
      </c>
      <c r="H10" s="64" t="s">
        <v>170</v>
      </c>
      <c r="I10" s="64" t="s">
        <v>171</v>
      </c>
      <c r="J10" s="65" t="s">
        <v>172</v>
      </c>
    </row>
    <row r="11" spans="1:10">
      <c r="A11" s="62" t="s">
        <v>153</v>
      </c>
      <c r="B11" s="62" t="s">
        <v>47</v>
      </c>
      <c r="C11" s="69" t="s">
        <v>88</v>
      </c>
      <c r="D11" s="64" t="s">
        <v>58</v>
      </c>
      <c r="E11" s="62" t="s">
        <v>47</v>
      </c>
      <c r="F11" s="62" t="s">
        <v>173</v>
      </c>
      <c r="G11" s="70" t="s">
        <v>164</v>
      </c>
      <c r="H11" s="64" t="s">
        <v>174</v>
      </c>
      <c r="I11" s="64" t="s">
        <v>168</v>
      </c>
      <c r="J11" s="64" t="s">
        <v>175</v>
      </c>
    </row>
    <row r="12" spans="1:10">
      <c r="A12" s="62" t="s">
        <v>153</v>
      </c>
      <c r="B12" s="62" t="s">
        <v>47</v>
      </c>
      <c r="C12" s="69" t="s">
        <v>176</v>
      </c>
      <c r="D12" s="64" t="s">
        <v>58</v>
      </c>
      <c r="E12" s="62" t="s">
        <v>47</v>
      </c>
      <c r="F12" s="62" t="s">
        <v>98</v>
      </c>
      <c r="G12" s="70" t="s">
        <v>164</v>
      </c>
      <c r="H12" s="64" t="s">
        <v>177</v>
      </c>
      <c r="I12" s="64" t="s">
        <v>168</v>
      </c>
      <c r="J12" s="64" t="s">
        <v>178</v>
      </c>
    </row>
    <row r="13" spans="1:10">
      <c r="A13" s="62" t="s">
        <v>153</v>
      </c>
      <c r="B13" s="62" t="s">
        <v>47</v>
      </c>
      <c r="C13" s="66" t="s">
        <v>131</v>
      </c>
      <c r="D13" s="64" t="s">
        <v>58</v>
      </c>
      <c r="E13" s="62" t="s">
        <v>47</v>
      </c>
      <c r="F13" s="62" t="s">
        <v>98</v>
      </c>
      <c r="G13" s="70" t="s">
        <v>164</v>
      </c>
      <c r="H13" s="64" t="s">
        <v>179</v>
      </c>
      <c r="I13" s="64" t="s">
        <v>168</v>
      </c>
      <c r="J13" s="64" t="s">
        <v>178</v>
      </c>
    </row>
    <row r="14" spans="1:10">
      <c r="A14" s="62" t="s">
        <v>153</v>
      </c>
      <c r="B14" s="62" t="s">
        <v>47</v>
      </c>
      <c r="C14" s="67" t="s">
        <v>128</v>
      </c>
      <c r="D14" s="64" t="s">
        <v>66</v>
      </c>
      <c r="E14" s="62" t="s">
        <v>47</v>
      </c>
      <c r="F14" s="62" t="s">
        <v>98</v>
      </c>
      <c r="G14" s="70" t="s">
        <v>164</v>
      </c>
      <c r="H14" s="64" t="s">
        <v>180</v>
      </c>
      <c r="I14" s="64" t="s">
        <v>168</v>
      </c>
      <c r="J14" s="64" t="s">
        <v>178</v>
      </c>
    </row>
    <row r="15" spans="1:10">
      <c r="A15" s="62" t="s">
        <v>153</v>
      </c>
      <c r="B15" s="62" t="s">
        <v>47</v>
      </c>
      <c r="C15" s="69" t="s">
        <v>50</v>
      </c>
      <c r="D15" s="64" t="s">
        <v>58</v>
      </c>
      <c r="E15" s="62" t="s">
        <v>47</v>
      </c>
      <c r="F15" s="62" t="s">
        <v>104</v>
      </c>
      <c r="G15" s="70" t="s">
        <v>164</v>
      </c>
      <c r="H15" s="64" t="s">
        <v>181</v>
      </c>
      <c r="I15" s="64" t="s">
        <v>168</v>
      </c>
      <c r="J15" s="64" t="s">
        <v>178</v>
      </c>
    </row>
    <row r="16" spans="1:10">
      <c r="A16" s="62" t="s">
        <v>153</v>
      </c>
      <c r="B16" s="62" t="s">
        <v>47</v>
      </c>
      <c r="C16" s="68" t="s">
        <v>51</v>
      </c>
      <c r="D16" s="64" t="s">
        <v>62</v>
      </c>
      <c r="E16" s="62" t="s">
        <v>47</v>
      </c>
      <c r="F16" s="62" t="s">
        <v>104</v>
      </c>
      <c r="G16" s="70" t="s">
        <v>164</v>
      </c>
      <c r="H16" s="64" t="s">
        <v>182</v>
      </c>
      <c r="I16" s="64" t="s">
        <v>183</v>
      </c>
      <c r="J16" s="64" t="s">
        <v>184</v>
      </c>
    </row>
    <row r="17" spans="1:10">
      <c r="A17" s="62" t="s">
        <v>153</v>
      </c>
      <c r="B17" s="62" t="s">
        <v>47</v>
      </c>
      <c r="C17" s="69" t="s">
        <v>48</v>
      </c>
      <c r="D17" s="64" t="s">
        <v>60</v>
      </c>
      <c r="E17" s="62" t="s">
        <v>47</v>
      </c>
      <c r="F17" s="62" t="s">
        <v>107</v>
      </c>
      <c r="G17" s="70" t="s">
        <v>164</v>
      </c>
      <c r="H17" s="64" t="s">
        <v>185</v>
      </c>
      <c r="I17" s="64"/>
      <c r="J17" s="64"/>
    </row>
    <row r="18" spans="1:10">
      <c r="A18" s="62" t="s">
        <v>153</v>
      </c>
      <c r="B18" s="62" t="s">
        <v>47</v>
      </c>
      <c r="C18" s="67" t="s">
        <v>46</v>
      </c>
      <c r="D18" s="64" t="s">
        <v>58</v>
      </c>
      <c r="E18" s="62" t="s">
        <v>47</v>
      </c>
      <c r="F18" s="62" t="s">
        <v>108</v>
      </c>
      <c r="G18" s="70" t="s">
        <v>164</v>
      </c>
      <c r="H18" s="64" t="s">
        <v>186</v>
      </c>
      <c r="I18" s="64"/>
      <c r="J18" s="64"/>
    </row>
    <row r="19" spans="1:10">
      <c r="A19" s="62" t="s">
        <v>153</v>
      </c>
      <c r="B19" s="62" t="s">
        <v>47</v>
      </c>
      <c r="C19" s="68" t="s">
        <v>187</v>
      </c>
      <c r="D19" s="64"/>
      <c r="E19" s="62" t="s">
        <v>47</v>
      </c>
      <c r="F19" s="62" t="s">
        <v>188</v>
      </c>
      <c r="G19" s="68" t="s">
        <v>189</v>
      </c>
      <c r="H19" s="64" t="s">
        <v>190</v>
      </c>
      <c r="I19" s="64"/>
      <c r="J19" s="64"/>
    </row>
    <row r="20" spans="1:10">
      <c r="A20" s="62" t="s">
        <v>153</v>
      </c>
      <c r="B20" s="62" t="s">
        <v>47</v>
      </c>
      <c r="C20" s="69" t="s">
        <v>191</v>
      </c>
      <c r="D20" s="64"/>
      <c r="E20" s="62" t="s">
        <v>47</v>
      </c>
      <c r="F20" s="62" t="s">
        <v>188</v>
      </c>
      <c r="G20" s="68" t="s">
        <v>189</v>
      </c>
      <c r="H20" s="64" t="s">
        <v>192</v>
      </c>
      <c r="I20" s="64"/>
      <c r="J20" s="64"/>
    </row>
    <row r="21" spans="1:10">
      <c r="A21" s="62" t="s">
        <v>153</v>
      </c>
      <c r="B21" s="62" t="s">
        <v>47</v>
      </c>
      <c r="C21" s="70" t="s">
        <v>193</v>
      </c>
      <c r="D21" s="64"/>
      <c r="E21" s="62" t="s">
        <v>47</v>
      </c>
      <c r="F21" s="62" t="s">
        <v>188</v>
      </c>
      <c r="G21" s="68" t="s">
        <v>189</v>
      </c>
      <c r="H21" s="64" t="s">
        <v>194</v>
      </c>
      <c r="I21" s="64"/>
      <c r="J21" s="64"/>
    </row>
    <row r="22" spans="1:10">
      <c r="A22" s="62" t="s">
        <v>153</v>
      </c>
      <c r="B22" s="62" t="s">
        <v>47</v>
      </c>
      <c r="C22" s="70" t="s">
        <v>195</v>
      </c>
      <c r="D22" s="64"/>
      <c r="E22" s="62" t="s">
        <v>47</v>
      </c>
      <c r="F22" s="62" t="s">
        <v>188</v>
      </c>
      <c r="G22" s="68" t="s">
        <v>189</v>
      </c>
      <c r="H22" s="64" t="s">
        <v>196</v>
      </c>
      <c r="I22" s="64"/>
      <c r="J22" s="64"/>
    </row>
    <row r="23" spans="1:10">
      <c r="A23" s="62" t="s">
        <v>153</v>
      </c>
      <c r="B23" s="62" t="s">
        <v>47</v>
      </c>
      <c r="C23" s="70" t="s">
        <v>197</v>
      </c>
      <c r="D23" s="64"/>
      <c r="E23" s="62" t="s">
        <v>47</v>
      </c>
      <c r="F23" s="62" t="s">
        <v>188</v>
      </c>
      <c r="G23" s="68" t="s">
        <v>189</v>
      </c>
      <c r="H23" s="64" t="s">
        <v>198</v>
      </c>
      <c r="I23" s="64"/>
      <c r="J23" s="64"/>
    </row>
    <row r="24" spans="1:10">
      <c r="A24" s="62" t="s">
        <v>153</v>
      </c>
      <c r="B24" s="62" t="s">
        <v>47</v>
      </c>
      <c r="C24" s="68" t="s">
        <v>199</v>
      </c>
      <c r="D24" s="64"/>
      <c r="E24" s="62" t="s">
        <v>47</v>
      </c>
      <c r="F24" s="62" t="s">
        <v>188</v>
      </c>
      <c r="G24" s="68" t="s">
        <v>189</v>
      </c>
      <c r="H24" s="64" t="s">
        <v>200</v>
      </c>
      <c r="I24" s="64"/>
      <c r="J24" s="64"/>
    </row>
    <row r="25" spans="1:10">
      <c r="A25" s="62" t="s">
        <v>153</v>
      </c>
      <c r="B25" s="62" t="s">
        <v>47</v>
      </c>
      <c r="C25" s="69" t="s">
        <v>201</v>
      </c>
      <c r="D25" s="64"/>
      <c r="E25" s="62" t="s">
        <v>47</v>
      </c>
      <c r="F25" s="62" t="s">
        <v>188</v>
      </c>
      <c r="G25" s="68" t="s">
        <v>189</v>
      </c>
      <c r="H25" s="64" t="s">
        <v>202</v>
      </c>
      <c r="I25" s="64"/>
      <c r="J25" s="64"/>
    </row>
    <row r="26" spans="1:10">
      <c r="A26" s="62" t="s">
        <v>153</v>
      </c>
      <c r="B26" s="62" t="s">
        <v>47</v>
      </c>
      <c r="C26" s="70" t="s">
        <v>203</v>
      </c>
      <c r="D26" s="64"/>
      <c r="E26" s="62" t="s">
        <v>47</v>
      </c>
      <c r="F26" s="62" t="s">
        <v>188</v>
      </c>
      <c r="G26" s="68" t="s">
        <v>189</v>
      </c>
      <c r="H26" s="64" t="s">
        <v>204</v>
      </c>
      <c r="I26" s="64"/>
      <c r="J26" s="64"/>
    </row>
    <row r="27" spans="1:10">
      <c r="A27" s="62" t="s">
        <v>153</v>
      </c>
      <c r="B27" s="62" t="s">
        <v>47</v>
      </c>
      <c r="C27" s="68" t="s">
        <v>92</v>
      </c>
      <c r="D27" s="64"/>
      <c r="E27" s="62" t="s">
        <v>47</v>
      </c>
      <c r="F27" s="62" t="s">
        <v>188</v>
      </c>
      <c r="G27" s="68" t="s">
        <v>189</v>
      </c>
      <c r="H27" s="64" t="s">
        <v>205</v>
      </c>
      <c r="I27" s="64" t="s">
        <v>206</v>
      </c>
      <c r="J27" s="64"/>
    </row>
    <row r="28" spans="1:10">
      <c r="A28" s="63">
        <v>46028</v>
      </c>
      <c r="B28" s="62" t="s">
        <v>47</v>
      </c>
      <c r="C28" s="68" t="s">
        <v>207</v>
      </c>
      <c r="D28" s="64"/>
      <c r="E28" s="62" t="s">
        <v>47</v>
      </c>
      <c r="F28" s="62" t="s">
        <v>188</v>
      </c>
      <c r="G28" s="68" t="s">
        <v>189</v>
      </c>
      <c r="H28" s="64" t="s">
        <v>208</v>
      </c>
      <c r="I28" s="64"/>
      <c r="J28" s="64"/>
    </row>
    <row r="29" spans="1:10">
      <c r="A29" s="63">
        <v>46028</v>
      </c>
      <c r="B29" s="62" t="s">
        <v>47</v>
      </c>
      <c r="C29" s="68" t="s">
        <v>187</v>
      </c>
      <c r="D29" s="64"/>
      <c r="E29" s="62" t="s">
        <v>47</v>
      </c>
      <c r="F29" s="62" t="s">
        <v>188</v>
      </c>
      <c r="G29" s="68" t="s">
        <v>189</v>
      </c>
      <c r="H29" s="64" t="s">
        <v>209</v>
      </c>
      <c r="I29" s="64"/>
      <c r="J29" s="64"/>
    </row>
    <row r="30" spans="1:10">
      <c r="A30" s="63">
        <v>46028</v>
      </c>
      <c r="B30" s="62" t="s">
        <v>47</v>
      </c>
      <c r="C30" s="68" t="s">
        <v>210</v>
      </c>
      <c r="D30" s="64"/>
      <c r="E30" s="62" t="s">
        <v>47</v>
      </c>
      <c r="F30" s="62" t="s">
        <v>188</v>
      </c>
      <c r="G30" s="68" t="s">
        <v>189</v>
      </c>
      <c r="H30" s="64" t="s">
        <v>211</v>
      </c>
      <c r="I30" s="64"/>
      <c r="J30" s="64"/>
    </row>
    <row r="31" spans="1:10">
      <c r="A31" s="63">
        <v>46028</v>
      </c>
      <c r="B31" s="62" t="s">
        <v>47</v>
      </c>
      <c r="C31" s="68" t="s">
        <v>135</v>
      </c>
      <c r="D31" s="64"/>
      <c r="E31" s="62" t="s">
        <v>47</v>
      </c>
      <c r="F31" s="62" t="s">
        <v>188</v>
      </c>
      <c r="G31" s="68" t="s">
        <v>189</v>
      </c>
      <c r="H31" s="64" t="s">
        <v>212</v>
      </c>
      <c r="I31" s="64"/>
      <c r="J31" s="64"/>
    </row>
    <row r="32" spans="1:10">
      <c r="A32" s="63">
        <v>46028</v>
      </c>
      <c r="B32" s="62" t="s">
        <v>47</v>
      </c>
      <c r="C32" s="68" t="s">
        <v>127</v>
      </c>
      <c r="D32" s="64"/>
      <c r="E32" s="62" t="s">
        <v>47</v>
      </c>
      <c r="F32" s="62" t="s">
        <v>188</v>
      </c>
      <c r="G32" s="68" t="s">
        <v>189</v>
      </c>
      <c r="H32" s="64" t="s">
        <v>213</v>
      </c>
      <c r="I32" s="64"/>
      <c r="J32" s="64"/>
    </row>
    <row r="33" spans="1:10">
      <c r="A33" s="63">
        <v>46028</v>
      </c>
      <c r="B33" s="62" t="s">
        <v>47</v>
      </c>
      <c r="C33" s="68" t="s">
        <v>214</v>
      </c>
      <c r="D33" s="64"/>
      <c r="E33" s="62" t="s">
        <v>47</v>
      </c>
      <c r="F33" s="62" t="s">
        <v>188</v>
      </c>
      <c r="G33" s="68" t="s">
        <v>189</v>
      </c>
      <c r="H33" s="64" t="s">
        <v>215</v>
      </c>
      <c r="I33" s="64"/>
      <c r="J33" s="64"/>
    </row>
    <row r="34" spans="1:10">
      <c r="A34" s="63">
        <v>46028</v>
      </c>
      <c r="B34" s="62" t="s">
        <v>47</v>
      </c>
      <c r="C34" s="68" t="s">
        <v>216</v>
      </c>
      <c r="D34" s="64"/>
      <c r="E34" s="62" t="s">
        <v>47</v>
      </c>
      <c r="F34" s="62" t="s">
        <v>188</v>
      </c>
      <c r="G34" s="68" t="s">
        <v>189</v>
      </c>
      <c r="H34" s="64" t="s">
        <v>217</v>
      </c>
      <c r="I34" s="64"/>
      <c r="J34" s="64"/>
    </row>
    <row r="35" spans="1:10">
      <c r="A35" s="63">
        <v>46028</v>
      </c>
      <c r="B35" s="62" t="s">
        <v>47</v>
      </c>
      <c r="C35" s="68" t="s">
        <v>218</v>
      </c>
      <c r="D35" s="64"/>
      <c r="E35" s="62" t="s">
        <v>47</v>
      </c>
      <c r="F35" s="62" t="s">
        <v>188</v>
      </c>
      <c r="G35" s="68" t="s">
        <v>189</v>
      </c>
      <c r="H35" s="64" t="s">
        <v>219</v>
      </c>
      <c r="I35" s="64"/>
      <c r="J35" s="64"/>
    </row>
    <row r="36" spans="1:10">
      <c r="A36" s="63">
        <v>46028</v>
      </c>
      <c r="B36" s="62" t="s">
        <v>47</v>
      </c>
      <c r="C36" s="68" t="s">
        <v>220</v>
      </c>
      <c r="D36" s="64"/>
      <c r="E36" s="62" t="s">
        <v>47</v>
      </c>
      <c r="F36" s="62" t="s">
        <v>188</v>
      </c>
      <c r="G36" s="68" t="s">
        <v>189</v>
      </c>
      <c r="H36" s="64" t="s">
        <v>221</v>
      </c>
      <c r="I36" s="64"/>
      <c r="J36" s="64"/>
    </row>
    <row r="37" spans="1:10">
      <c r="A37" s="63">
        <v>46028</v>
      </c>
      <c r="B37" s="62" t="s">
        <v>47</v>
      </c>
      <c r="C37" s="70" t="s">
        <v>130</v>
      </c>
      <c r="D37" s="64"/>
      <c r="E37" s="62" t="s">
        <v>47</v>
      </c>
      <c r="F37" s="62" t="s">
        <v>188</v>
      </c>
      <c r="G37" s="68" t="s">
        <v>189</v>
      </c>
      <c r="H37" s="64" t="s">
        <v>222</v>
      </c>
      <c r="I37" s="64"/>
      <c r="J37" s="64"/>
    </row>
    <row r="38" spans="1:10">
      <c r="A38" s="63">
        <v>46028</v>
      </c>
      <c r="B38" s="62" t="s">
        <v>47</v>
      </c>
      <c r="C38" s="68" t="s">
        <v>129</v>
      </c>
      <c r="D38" s="64"/>
      <c r="E38" s="62" t="s">
        <v>47</v>
      </c>
      <c r="F38" s="62" t="s">
        <v>188</v>
      </c>
      <c r="G38" s="68" t="s">
        <v>189</v>
      </c>
      <c r="H38" s="64" t="s">
        <v>223</v>
      </c>
      <c r="I38" s="64"/>
      <c r="J38" s="64"/>
    </row>
    <row r="39" spans="1:10">
      <c r="A39" s="63">
        <v>46028</v>
      </c>
      <c r="B39" s="62" t="s">
        <v>47</v>
      </c>
      <c r="C39" s="70" t="s">
        <v>203</v>
      </c>
      <c r="D39" s="64"/>
      <c r="E39" s="62" t="s">
        <v>47</v>
      </c>
      <c r="F39" s="62" t="s">
        <v>188</v>
      </c>
      <c r="G39" s="68" t="s">
        <v>189</v>
      </c>
      <c r="H39" s="64" t="s">
        <v>224</v>
      </c>
      <c r="I39" s="64"/>
      <c r="J39" s="64"/>
    </row>
    <row r="40" spans="1:10">
      <c r="A40" s="63">
        <v>46028</v>
      </c>
      <c r="B40" s="62" t="s">
        <v>47</v>
      </c>
      <c r="C40" s="68" t="s">
        <v>78</v>
      </c>
      <c r="D40" s="64"/>
      <c r="E40" s="62" t="s">
        <v>47</v>
      </c>
      <c r="F40" s="62" t="s">
        <v>188</v>
      </c>
      <c r="G40" s="68" t="s">
        <v>189</v>
      </c>
      <c r="H40" s="64" t="s">
        <v>225</v>
      </c>
      <c r="I40" s="64"/>
      <c r="J40" s="6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6"/>
  <sheetViews>
    <sheetView workbookViewId="0">
      <pane ySplit="1" topLeftCell="A131" activePane="bottomLeft" state="frozen"/>
      <selection pane="bottomLeft" activeCell="O1" sqref="O1"/>
    </sheetView>
  </sheetViews>
  <sheetFormatPr defaultRowHeight="15"/>
  <cols>
    <col min="1" max="1" width="14" customWidth="1"/>
    <col min="2" max="2" width="12" customWidth="1"/>
    <col min="3" max="3" width="14" customWidth="1"/>
    <col min="4" max="4" width="12" customWidth="1"/>
    <col min="5" max="7" width="10" customWidth="1"/>
    <col min="8" max="8" width="12" customWidth="1"/>
    <col min="9" max="10" width="10" customWidth="1"/>
    <col min="11" max="11" width="19" customWidth="1"/>
    <col min="12" max="12" width="11" customWidth="1"/>
    <col min="13" max="13" width="21" customWidth="1"/>
    <col min="14" max="14" width="22" customWidth="1"/>
    <col min="15" max="15" width="12" customWidth="1"/>
  </cols>
  <sheetData>
    <row r="1" spans="1:15">
      <c r="A1" s="51" t="s">
        <v>226</v>
      </c>
      <c r="B1" s="51" t="s">
        <v>41</v>
      </c>
      <c r="C1" s="51" t="s">
        <v>227</v>
      </c>
      <c r="D1" s="51" t="s">
        <v>228</v>
      </c>
      <c r="E1" s="51" t="s">
        <v>229</v>
      </c>
      <c r="F1" s="51" t="s">
        <v>230</v>
      </c>
      <c r="G1" s="51" t="s">
        <v>231</v>
      </c>
      <c r="H1" s="51" t="s">
        <v>232</v>
      </c>
      <c r="I1" s="51" t="s">
        <v>233</v>
      </c>
      <c r="J1" s="51" t="s">
        <v>234</v>
      </c>
      <c r="K1" s="51" t="s">
        <v>133</v>
      </c>
      <c r="L1" s="51" t="s">
        <v>235</v>
      </c>
      <c r="M1" s="51" t="s">
        <v>236</v>
      </c>
      <c r="N1" s="51" t="s">
        <v>237</v>
      </c>
      <c r="O1" s="51" t="s">
        <v>238</v>
      </c>
    </row>
    <row r="2" spans="1:15">
      <c r="A2" s="31"/>
      <c r="B2" s="31" t="s">
        <v>68</v>
      </c>
      <c r="C2" s="31" t="s">
        <v>239</v>
      </c>
      <c r="D2" s="31" t="s">
        <v>240</v>
      </c>
      <c r="E2" s="31" t="s">
        <v>241</v>
      </c>
      <c r="F2" s="31" t="s">
        <v>242</v>
      </c>
      <c r="G2" s="31" t="s">
        <v>242</v>
      </c>
      <c r="H2" s="31" t="s">
        <v>243</v>
      </c>
      <c r="I2" s="31" t="b">
        <v>0</v>
      </c>
      <c r="J2" s="31">
        <v>13</v>
      </c>
      <c r="K2" s="31">
        <v>7343</v>
      </c>
      <c r="L2" s="32">
        <v>405271862</v>
      </c>
      <c r="M2" s="32">
        <v>1200000047930385</v>
      </c>
      <c r="N2" s="31" t="s">
        <v>244</v>
      </c>
      <c r="O2" s="31"/>
    </row>
    <row r="3" spans="1:15">
      <c r="A3" s="31"/>
      <c r="B3" s="31" t="s">
        <v>245</v>
      </c>
      <c r="C3" s="31" t="s">
        <v>246</v>
      </c>
      <c r="D3" s="31" t="s">
        <v>240</v>
      </c>
      <c r="E3" s="31" t="s">
        <v>241</v>
      </c>
      <c r="F3" s="31" t="s">
        <v>242</v>
      </c>
      <c r="G3" s="31" t="s">
        <v>242</v>
      </c>
      <c r="H3" s="31" t="s">
        <v>243</v>
      </c>
      <c r="I3" s="31" t="b">
        <v>0</v>
      </c>
      <c r="J3" s="31">
        <v>64</v>
      </c>
      <c r="K3" s="31">
        <v>1548.9</v>
      </c>
      <c r="L3" s="32">
        <v>3877073</v>
      </c>
      <c r="M3" s="32">
        <v>1000000036265725</v>
      </c>
      <c r="N3" s="31" t="s">
        <v>247</v>
      </c>
      <c r="O3" s="31"/>
    </row>
    <row r="4" spans="1:15">
      <c r="A4" s="31"/>
      <c r="B4" s="31" t="s">
        <v>248</v>
      </c>
      <c r="C4" s="31" t="s">
        <v>249</v>
      </c>
      <c r="D4" s="31" t="s">
        <v>240</v>
      </c>
      <c r="E4" s="31" t="s">
        <v>241</v>
      </c>
      <c r="F4" s="31" t="s">
        <v>242</v>
      </c>
      <c r="G4" s="31" t="s">
        <v>242</v>
      </c>
      <c r="H4" s="31" t="s">
        <v>243</v>
      </c>
      <c r="I4" s="31" t="b">
        <v>0</v>
      </c>
      <c r="J4" s="31">
        <v>7</v>
      </c>
      <c r="K4" s="31">
        <v>844.15</v>
      </c>
      <c r="L4" s="32">
        <v>205329072</v>
      </c>
      <c r="M4" s="32">
        <v>1100000044831951</v>
      </c>
      <c r="N4" s="31" t="s">
        <v>250</v>
      </c>
      <c r="O4" s="31"/>
    </row>
    <row r="5" spans="1:15">
      <c r="A5" s="31"/>
      <c r="B5" s="31" t="s">
        <v>248</v>
      </c>
      <c r="C5" s="31" t="s">
        <v>249</v>
      </c>
      <c r="D5" s="31" t="s">
        <v>240</v>
      </c>
      <c r="E5" s="31" t="s">
        <v>241</v>
      </c>
      <c r="F5" s="31" t="s">
        <v>242</v>
      </c>
      <c r="G5" s="31" t="s">
        <v>242</v>
      </c>
      <c r="H5" s="31" t="s">
        <v>243</v>
      </c>
      <c r="I5" s="31" t="b">
        <v>0</v>
      </c>
      <c r="J5" s="31">
        <v>50</v>
      </c>
      <c r="K5" s="31">
        <v>844.15</v>
      </c>
      <c r="L5" s="32">
        <v>205330804</v>
      </c>
      <c r="M5" s="32">
        <v>1100000044831951</v>
      </c>
      <c r="N5" s="31" t="s">
        <v>250</v>
      </c>
      <c r="O5" s="31"/>
    </row>
    <row r="6" spans="1:15">
      <c r="A6" s="31"/>
      <c r="B6" s="31" t="s">
        <v>248</v>
      </c>
      <c r="C6" s="31" t="s">
        <v>249</v>
      </c>
      <c r="D6" s="31" t="s">
        <v>240</v>
      </c>
      <c r="E6" s="31" t="s">
        <v>241</v>
      </c>
      <c r="F6" s="31" t="s">
        <v>242</v>
      </c>
      <c r="G6" s="31" t="s">
        <v>242</v>
      </c>
      <c r="H6" s="31" t="s">
        <v>243</v>
      </c>
      <c r="I6" s="31" t="b">
        <v>0</v>
      </c>
      <c r="J6" s="31">
        <v>4</v>
      </c>
      <c r="K6" s="31">
        <v>844.15</v>
      </c>
      <c r="L6" s="32">
        <v>205330817</v>
      </c>
      <c r="M6" s="32">
        <v>1100000044831951</v>
      </c>
      <c r="N6" s="31" t="s">
        <v>250</v>
      </c>
      <c r="O6" s="31"/>
    </row>
    <row r="7" spans="1:15">
      <c r="A7" s="31"/>
      <c r="B7" s="31" t="s">
        <v>248</v>
      </c>
      <c r="C7" s="31" t="s">
        <v>249</v>
      </c>
      <c r="D7" s="31" t="s">
        <v>240</v>
      </c>
      <c r="E7" s="31" t="s">
        <v>241</v>
      </c>
      <c r="F7" s="31" t="s">
        <v>242</v>
      </c>
      <c r="G7" s="31" t="s">
        <v>242</v>
      </c>
      <c r="H7" s="31" t="s">
        <v>243</v>
      </c>
      <c r="I7" s="31" t="b">
        <v>0</v>
      </c>
      <c r="J7" s="31">
        <v>55</v>
      </c>
      <c r="K7" s="31">
        <v>844.15</v>
      </c>
      <c r="L7" s="32">
        <v>205331314</v>
      </c>
      <c r="M7" s="32">
        <v>1100000044831951</v>
      </c>
      <c r="N7" s="31" t="s">
        <v>250</v>
      </c>
      <c r="O7" s="31"/>
    </row>
    <row r="8" spans="1:15">
      <c r="A8" s="31"/>
      <c r="B8" s="31" t="s">
        <v>251</v>
      </c>
      <c r="C8" s="31" t="s">
        <v>252</v>
      </c>
      <c r="D8" s="31" t="s">
        <v>240</v>
      </c>
      <c r="E8" s="31" t="s">
        <v>241</v>
      </c>
      <c r="F8" s="31" t="s">
        <v>242</v>
      </c>
      <c r="G8" s="31" t="s">
        <v>242</v>
      </c>
      <c r="H8" s="31" t="s">
        <v>243</v>
      </c>
      <c r="I8" s="31" t="b">
        <v>0</v>
      </c>
      <c r="J8" s="31">
        <v>20</v>
      </c>
      <c r="K8" s="31">
        <v>4509</v>
      </c>
      <c r="L8" s="32">
        <v>605415434</v>
      </c>
      <c r="M8" s="32">
        <v>1300000045456483</v>
      </c>
      <c r="N8" s="31" t="s">
        <v>253</v>
      </c>
      <c r="O8" s="31"/>
    </row>
    <row r="9" spans="1:15">
      <c r="A9" s="31"/>
      <c r="B9" s="31" t="s">
        <v>254</v>
      </c>
      <c r="C9" s="31" t="s">
        <v>255</v>
      </c>
      <c r="D9" s="31" t="s">
        <v>240</v>
      </c>
      <c r="E9" s="31" t="s">
        <v>241</v>
      </c>
      <c r="F9" s="31" t="s">
        <v>242</v>
      </c>
      <c r="G9" s="31" t="s">
        <v>242</v>
      </c>
      <c r="H9" s="31" t="s">
        <v>243</v>
      </c>
      <c r="I9" s="31" t="b">
        <v>0</v>
      </c>
      <c r="J9" s="31">
        <v>11</v>
      </c>
      <c r="K9" s="31">
        <v>3662.7</v>
      </c>
      <c r="L9" s="32">
        <v>605630531</v>
      </c>
      <c r="M9" s="32">
        <v>1300000047488914</v>
      </c>
      <c r="N9" s="31" t="s">
        <v>256</v>
      </c>
      <c r="O9" s="31"/>
    </row>
    <row r="10" spans="1:15">
      <c r="A10" s="31"/>
      <c r="B10" s="31" t="s">
        <v>254</v>
      </c>
      <c r="C10" s="31" t="s">
        <v>255</v>
      </c>
      <c r="D10" s="31" t="s">
        <v>240</v>
      </c>
      <c r="E10" s="31" t="s">
        <v>241</v>
      </c>
      <c r="F10" s="31" t="s">
        <v>242</v>
      </c>
      <c r="G10" s="31" t="s">
        <v>242</v>
      </c>
      <c r="H10" s="31" t="s">
        <v>243</v>
      </c>
      <c r="I10" s="31" t="b">
        <v>0</v>
      </c>
      <c r="J10" s="31">
        <v>14</v>
      </c>
      <c r="K10" s="31">
        <v>3662.7</v>
      </c>
      <c r="L10" s="32">
        <v>605630530</v>
      </c>
      <c r="M10" s="32">
        <v>1300000047488914</v>
      </c>
      <c r="N10" s="31" t="s">
        <v>256</v>
      </c>
      <c r="O10" s="31"/>
    </row>
    <row r="11" spans="1:15">
      <c r="A11" s="31"/>
      <c r="B11" s="31" t="s">
        <v>257</v>
      </c>
      <c r="C11" s="31" t="s">
        <v>258</v>
      </c>
      <c r="D11" s="31" t="s">
        <v>240</v>
      </c>
      <c r="E11" s="31" t="s">
        <v>241</v>
      </c>
      <c r="F11" s="31" t="s">
        <v>242</v>
      </c>
      <c r="G11" s="31" t="s">
        <v>242</v>
      </c>
      <c r="H11" s="31" t="s">
        <v>243</v>
      </c>
      <c r="I11" s="31" t="b">
        <v>0</v>
      </c>
      <c r="J11" s="31">
        <v>5</v>
      </c>
      <c r="K11" s="31">
        <v>4724.1000999999997</v>
      </c>
      <c r="L11" s="32">
        <v>205904922</v>
      </c>
      <c r="M11" s="32">
        <v>1100000049703254</v>
      </c>
      <c r="N11" s="31" t="s">
        <v>259</v>
      </c>
      <c r="O11" s="31"/>
    </row>
    <row r="12" spans="1:15">
      <c r="A12" s="31"/>
      <c r="B12" s="31" t="s">
        <v>257</v>
      </c>
      <c r="C12" s="31" t="s">
        <v>258</v>
      </c>
      <c r="D12" s="31" t="s">
        <v>240</v>
      </c>
      <c r="E12" s="31" t="s">
        <v>241</v>
      </c>
      <c r="F12" s="31" t="s">
        <v>242</v>
      </c>
      <c r="G12" s="31" t="s">
        <v>242</v>
      </c>
      <c r="H12" s="31" t="s">
        <v>243</v>
      </c>
      <c r="I12" s="31" t="b">
        <v>0</v>
      </c>
      <c r="J12" s="31">
        <v>1</v>
      </c>
      <c r="K12" s="31">
        <v>4724.1000999999997</v>
      </c>
      <c r="L12" s="32">
        <v>205904923</v>
      </c>
      <c r="M12" s="32">
        <v>1100000049703254</v>
      </c>
      <c r="N12" s="31" t="s">
        <v>259</v>
      </c>
      <c r="O12" s="31"/>
    </row>
    <row r="13" spans="1:15">
      <c r="A13" s="31"/>
      <c r="B13" s="31" t="s">
        <v>257</v>
      </c>
      <c r="C13" s="31" t="s">
        <v>258</v>
      </c>
      <c r="D13" s="31" t="s">
        <v>240</v>
      </c>
      <c r="E13" s="31" t="s">
        <v>241</v>
      </c>
      <c r="F13" s="31" t="s">
        <v>242</v>
      </c>
      <c r="G13" s="31" t="s">
        <v>242</v>
      </c>
      <c r="H13" s="31" t="s">
        <v>243</v>
      </c>
      <c r="I13" s="31" t="b">
        <v>0</v>
      </c>
      <c r="J13" s="31">
        <v>1</v>
      </c>
      <c r="K13" s="31">
        <v>4724</v>
      </c>
      <c r="L13" s="32">
        <v>205904921</v>
      </c>
      <c r="M13" s="32">
        <v>1100000049703254</v>
      </c>
      <c r="N13" s="31" t="s">
        <v>259</v>
      </c>
      <c r="O13" s="31"/>
    </row>
    <row r="14" spans="1:15">
      <c r="A14" s="31"/>
      <c r="B14" s="31" t="s">
        <v>257</v>
      </c>
      <c r="C14" s="31" t="s">
        <v>258</v>
      </c>
      <c r="D14" s="31" t="s">
        <v>240</v>
      </c>
      <c r="E14" s="31" t="s">
        <v>241</v>
      </c>
      <c r="F14" s="31" t="s">
        <v>242</v>
      </c>
      <c r="G14" s="31" t="s">
        <v>242</v>
      </c>
      <c r="H14" s="31" t="s">
        <v>243</v>
      </c>
      <c r="I14" s="31" t="b">
        <v>0</v>
      </c>
      <c r="J14" s="31">
        <v>12</v>
      </c>
      <c r="K14" s="31">
        <v>4724</v>
      </c>
      <c r="L14" s="32">
        <v>205904920</v>
      </c>
      <c r="M14" s="32">
        <v>1100000049703254</v>
      </c>
      <c r="N14" s="31" t="s">
        <v>259</v>
      </c>
      <c r="O14" s="31"/>
    </row>
    <row r="15" spans="1:15">
      <c r="A15" s="31"/>
      <c r="B15" s="31" t="s">
        <v>260</v>
      </c>
      <c r="C15" s="31" t="s">
        <v>261</v>
      </c>
      <c r="D15" s="31" t="s">
        <v>240</v>
      </c>
      <c r="E15" s="31" t="s">
        <v>241</v>
      </c>
      <c r="F15" s="31" t="s">
        <v>242</v>
      </c>
      <c r="G15" s="31" t="s">
        <v>242</v>
      </c>
      <c r="H15" s="31" t="s">
        <v>243</v>
      </c>
      <c r="I15" s="31" t="b">
        <v>0</v>
      </c>
      <c r="J15" s="31">
        <v>168</v>
      </c>
      <c r="K15" s="31">
        <v>543</v>
      </c>
      <c r="L15" s="32">
        <v>406172265</v>
      </c>
      <c r="M15" s="32">
        <v>1200000056506188</v>
      </c>
      <c r="N15" s="31" t="s">
        <v>262</v>
      </c>
      <c r="O15" s="31"/>
    </row>
    <row r="16" spans="1:15">
      <c r="A16" s="31"/>
      <c r="B16" s="31" t="s">
        <v>263</v>
      </c>
      <c r="C16" s="31" t="s">
        <v>264</v>
      </c>
      <c r="D16" s="31" t="s">
        <v>265</v>
      </c>
      <c r="E16" s="31" t="s">
        <v>241</v>
      </c>
      <c r="F16" s="31" t="s">
        <v>242</v>
      </c>
      <c r="G16" s="31" t="s">
        <v>242</v>
      </c>
      <c r="H16" s="31" t="s">
        <v>243</v>
      </c>
      <c r="I16" s="31" t="b">
        <v>0</v>
      </c>
      <c r="J16" s="31">
        <v>48</v>
      </c>
      <c r="K16" s="31">
        <v>175.36</v>
      </c>
      <c r="L16" s="32">
        <v>2344605</v>
      </c>
      <c r="M16" s="32">
        <v>1000000022356020</v>
      </c>
      <c r="N16" s="31" t="s">
        <v>266</v>
      </c>
      <c r="O16" s="31"/>
    </row>
    <row r="17" spans="1:15">
      <c r="A17" s="31"/>
      <c r="B17" s="31" t="s">
        <v>263</v>
      </c>
      <c r="C17" s="31" t="s">
        <v>264</v>
      </c>
      <c r="D17" s="31" t="s">
        <v>265</v>
      </c>
      <c r="E17" s="31" t="s">
        <v>241</v>
      </c>
      <c r="F17" s="31" t="s">
        <v>242</v>
      </c>
      <c r="G17" s="31" t="s">
        <v>242</v>
      </c>
      <c r="H17" s="31" t="s">
        <v>243</v>
      </c>
      <c r="I17" s="31" t="b">
        <v>0</v>
      </c>
      <c r="J17" s="31">
        <v>6</v>
      </c>
      <c r="K17" s="31">
        <v>175.36</v>
      </c>
      <c r="L17" s="32">
        <v>2344520</v>
      </c>
      <c r="M17" s="32">
        <v>1000000022356020</v>
      </c>
      <c r="N17" s="31" t="s">
        <v>266</v>
      </c>
      <c r="O17" s="31"/>
    </row>
    <row r="18" spans="1:15">
      <c r="A18" s="31"/>
      <c r="B18" s="31" t="s">
        <v>263</v>
      </c>
      <c r="C18" s="31" t="s">
        <v>264</v>
      </c>
      <c r="D18" s="31" t="s">
        <v>265</v>
      </c>
      <c r="E18" s="31" t="s">
        <v>241</v>
      </c>
      <c r="F18" s="31" t="s">
        <v>242</v>
      </c>
      <c r="G18" s="31" t="s">
        <v>242</v>
      </c>
      <c r="H18" s="31" t="s">
        <v>243</v>
      </c>
      <c r="I18" s="31" t="b">
        <v>0</v>
      </c>
      <c r="J18" s="31">
        <v>86</v>
      </c>
      <c r="K18" s="31">
        <v>175.36</v>
      </c>
      <c r="L18" s="32">
        <v>2342640</v>
      </c>
      <c r="M18" s="32">
        <v>1000000022356020</v>
      </c>
      <c r="N18" s="31" t="s">
        <v>266</v>
      </c>
      <c r="O18" s="31"/>
    </row>
    <row r="19" spans="1:15">
      <c r="A19" s="31"/>
      <c r="B19" s="31" t="s">
        <v>267</v>
      </c>
      <c r="C19" s="31" t="s">
        <v>268</v>
      </c>
      <c r="D19" s="31" t="s">
        <v>265</v>
      </c>
      <c r="E19" s="31" t="s">
        <v>241</v>
      </c>
      <c r="F19" s="31" t="s">
        <v>242</v>
      </c>
      <c r="G19" s="31" t="s">
        <v>242</v>
      </c>
      <c r="H19" s="31" t="s">
        <v>243</v>
      </c>
      <c r="I19" s="31" t="b">
        <v>0</v>
      </c>
      <c r="J19" s="31">
        <v>28</v>
      </c>
      <c r="K19" s="31">
        <v>517.1</v>
      </c>
      <c r="L19" s="32">
        <v>203621195</v>
      </c>
      <c r="M19" s="32">
        <v>1100000031435771</v>
      </c>
      <c r="N19" s="31" t="s">
        <v>269</v>
      </c>
      <c r="O19" s="31"/>
    </row>
    <row r="20" spans="1:15">
      <c r="A20" s="31"/>
      <c r="B20" s="31" t="s">
        <v>267</v>
      </c>
      <c r="C20" s="31" t="s">
        <v>268</v>
      </c>
      <c r="D20" s="31" t="s">
        <v>265</v>
      </c>
      <c r="E20" s="31" t="s">
        <v>241</v>
      </c>
      <c r="F20" s="31" t="s">
        <v>242</v>
      </c>
      <c r="G20" s="31" t="s">
        <v>242</v>
      </c>
      <c r="H20" s="31" t="s">
        <v>243</v>
      </c>
      <c r="I20" s="31" t="b">
        <v>0</v>
      </c>
      <c r="J20" s="31">
        <v>5</v>
      </c>
      <c r="K20" s="31">
        <v>517.1</v>
      </c>
      <c r="L20" s="32">
        <v>203618990</v>
      </c>
      <c r="M20" s="32">
        <v>1100000031435771</v>
      </c>
      <c r="N20" s="31" t="s">
        <v>269</v>
      </c>
      <c r="O20" s="31"/>
    </row>
    <row r="21" spans="1:15">
      <c r="A21" s="31"/>
      <c r="B21" s="31" t="s">
        <v>267</v>
      </c>
      <c r="C21" s="31" t="s">
        <v>268</v>
      </c>
      <c r="D21" s="31" t="s">
        <v>265</v>
      </c>
      <c r="E21" s="31" t="s">
        <v>241</v>
      </c>
      <c r="F21" s="31" t="s">
        <v>242</v>
      </c>
      <c r="G21" s="31" t="s">
        <v>242</v>
      </c>
      <c r="H21" s="31" t="s">
        <v>243</v>
      </c>
      <c r="I21" s="31" t="b">
        <v>0</v>
      </c>
      <c r="J21" s="31">
        <v>14</v>
      </c>
      <c r="K21" s="31">
        <v>517.1</v>
      </c>
      <c r="L21" s="32">
        <v>203667601</v>
      </c>
      <c r="M21" s="32">
        <v>1100000031435771</v>
      </c>
      <c r="N21" s="31" t="s">
        <v>269</v>
      </c>
      <c r="O21" s="31"/>
    </row>
    <row r="22" spans="1:15">
      <c r="A22" s="31"/>
      <c r="B22" s="31" t="s">
        <v>267</v>
      </c>
      <c r="C22" s="31" t="s">
        <v>268</v>
      </c>
      <c r="D22" s="31" t="s">
        <v>265</v>
      </c>
      <c r="E22" s="31" t="s">
        <v>241</v>
      </c>
      <c r="F22" s="31" t="s">
        <v>242</v>
      </c>
      <c r="G22" s="31" t="s">
        <v>242</v>
      </c>
      <c r="H22" s="31" t="s">
        <v>243</v>
      </c>
      <c r="I22" s="31" t="b">
        <v>0</v>
      </c>
      <c r="J22" s="31">
        <v>1</v>
      </c>
      <c r="K22" s="31">
        <v>517.1</v>
      </c>
      <c r="L22" s="32">
        <v>203621030</v>
      </c>
      <c r="M22" s="32">
        <v>1100000031435771</v>
      </c>
      <c r="N22" s="31" t="s">
        <v>269</v>
      </c>
      <c r="O22" s="31"/>
    </row>
    <row r="23" spans="1:15">
      <c r="A23" s="31"/>
      <c r="B23" s="31" t="s">
        <v>270</v>
      </c>
      <c r="C23" s="31" t="s">
        <v>271</v>
      </c>
      <c r="D23" s="31" t="s">
        <v>265</v>
      </c>
      <c r="E23" s="31" t="s">
        <v>241</v>
      </c>
      <c r="F23" s="31" t="s">
        <v>242</v>
      </c>
      <c r="G23" s="31" t="s">
        <v>242</v>
      </c>
      <c r="H23" s="31" t="s">
        <v>243</v>
      </c>
      <c r="I23" s="31" t="b">
        <v>0</v>
      </c>
      <c r="J23" s="31">
        <v>13</v>
      </c>
      <c r="K23" s="31">
        <v>1289.2</v>
      </c>
      <c r="L23" s="32">
        <v>603829142</v>
      </c>
      <c r="M23" s="32">
        <v>1300000030742059</v>
      </c>
      <c r="N23" s="31" t="s">
        <v>272</v>
      </c>
      <c r="O23" s="31"/>
    </row>
    <row r="24" spans="1:15">
      <c r="A24" s="31"/>
      <c r="B24" s="31" t="s">
        <v>270</v>
      </c>
      <c r="C24" s="31" t="s">
        <v>271</v>
      </c>
      <c r="D24" s="31" t="s">
        <v>265</v>
      </c>
      <c r="E24" s="31" t="s">
        <v>241</v>
      </c>
      <c r="F24" s="31" t="s">
        <v>242</v>
      </c>
      <c r="G24" s="31" t="s">
        <v>242</v>
      </c>
      <c r="H24" s="31" t="s">
        <v>243</v>
      </c>
      <c r="I24" s="31" t="b">
        <v>0</v>
      </c>
      <c r="J24" s="31">
        <v>11</v>
      </c>
      <c r="K24" s="31">
        <v>1289.2</v>
      </c>
      <c r="L24" s="32">
        <v>603829143</v>
      </c>
      <c r="M24" s="32">
        <v>1300000030742059</v>
      </c>
      <c r="N24" s="31" t="s">
        <v>272</v>
      </c>
      <c r="O24" s="31"/>
    </row>
    <row r="25" spans="1:15">
      <c r="A25" s="31"/>
      <c r="B25" s="31" t="s">
        <v>270</v>
      </c>
      <c r="C25" s="31" t="s">
        <v>271</v>
      </c>
      <c r="D25" s="31" t="s">
        <v>265</v>
      </c>
      <c r="E25" s="31" t="s">
        <v>241</v>
      </c>
      <c r="F25" s="31" t="s">
        <v>242</v>
      </c>
      <c r="G25" s="31" t="s">
        <v>242</v>
      </c>
      <c r="H25" s="31" t="s">
        <v>243</v>
      </c>
      <c r="I25" s="31" t="b">
        <v>0</v>
      </c>
      <c r="J25" s="31">
        <v>10</v>
      </c>
      <c r="K25" s="31">
        <v>1289.2</v>
      </c>
      <c r="L25" s="32">
        <v>603825496</v>
      </c>
      <c r="M25" s="32">
        <v>1300000030742059</v>
      </c>
      <c r="N25" s="31" t="s">
        <v>272</v>
      </c>
      <c r="O25" s="31"/>
    </row>
    <row r="26" spans="1:15">
      <c r="A26" s="31"/>
      <c r="B26" s="31" t="s">
        <v>270</v>
      </c>
      <c r="C26" s="31" t="s">
        <v>271</v>
      </c>
      <c r="D26" s="31" t="s">
        <v>265</v>
      </c>
      <c r="E26" s="31" t="s">
        <v>241</v>
      </c>
      <c r="F26" s="31" t="s">
        <v>242</v>
      </c>
      <c r="G26" s="31" t="s">
        <v>242</v>
      </c>
      <c r="H26" s="31" t="s">
        <v>243</v>
      </c>
      <c r="I26" s="31" t="b">
        <v>0</v>
      </c>
      <c r="J26" s="31">
        <v>3</v>
      </c>
      <c r="K26" s="31">
        <v>1289.2</v>
      </c>
      <c r="L26" s="32">
        <v>603832890</v>
      </c>
      <c r="M26" s="32">
        <v>1300000030742059</v>
      </c>
      <c r="N26" s="31" t="s">
        <v>272</v>
      </c>
      <c r="O26" s="31"/>
    </row>
    <row r="27" spans="1:15">
      <c r="A27" s="31"/>
      <c r="B27" s="31" t="s">
        <v>273</v>
      </c>
      <c r="C27" s="31" t="s">
        <v>274</v>
      </c>
      <c r="D27" s="31" t="s">
        <v>265</v>
      </c>
      <c r="E27" s="31" t="s">
        <v>241</v>
      </c>
      <c r="F27" s="31" t="s">
        <v>242</v>
      </c>
      <c r="G27" s="31" t="s">
        <v>242</v>
      </c>
      <c r="H27" s="31" t="s">
        <v>243</v>
      </c>
      <c r="I27" s="31" t="b">
        <v>0</v>
      </c>
      <c r="J27" s="31">
        <v>60</v>
      </c>
      <c r="K27" s="31">
        <v>1562.4</v>
      </c>
      <c r="L27" s="32">
        <v>403366394</v>
      </c>
      <c r="M27" s="32">
        <v>1200000033081200</v>
      </c>
      <c r="N27" s="31" t="s">
        <v>275</v>
      </c>
      <c r="O27" s="31"/>
    </row>
    <row r="28" spans="1:15">
      <c r="A28" s="31"/>
      <c r="B28" s="31" t="s">
        <v>88</v>
      </c>
      <c r="C28" s="31" t="s">
        <v>276</v>
      </c>
      <c r="D28" s="31" t="s">
        <v>277</v>
      </c>
      <c r="E28" s="31" t="s">
        <v>241</v>
      </c>
      <c r="F28" s="31" t="s">
        <v>242</v>
      </c>
      <c r="G28" s="31" t="s">
        <v>242</v>
      </c>
      <c r="H28" s="31" t="s">
        <v>243</v>
      </c>
      <c r="I28" s="31" t="b">
        <v>0</v>
      </c>
      <c r="J28" s="31">
        <v>17</v>
      </c>
      <c r="K28" s="31">
        <v>785.35</v>
      </c>
      <c r="L28" s="32">
        <v>1789285</v>
      </c>
      <c r="M28" s="32">
        <v>1000000016049556</v>
      </c>
      <c r="N28" s="31" t="s">
        <v>278</v>
      </c>
      <c r="O28" s="31"/>
    </row>
    <row r="29" spans="1:15">
      <c r="A29" s="31"/>
      <c r="B29" s="31" t="s">
        <v>88</v>
      </c>
      <c r="C29" s="31" t="s">
        <v>276</v>
      </c>
      <c r="D29" s="31" t="s">
        <v>277</v>
      </c>
      <c r="E29" s="31" t="s">
        <v>241</v>
      </c>
      <c r="F29" s="31" t="s">
        <v>242</v>
      </c>
      <c r="G29" s="31" t="s">
        <v>242</v>
      </c>
      <c r="H29" s="31" t="s">
        <v>243</v>
      </c>
      <c r="I29" s="31" t="b">
        <v>0</v>
      </c>
      <c r="J29" s="31">
        <v>16</v>
      </c>
      <c r="K29" s="31">
        <v>785.35</v>
      </c>
      <c r="L29" s="32">
        <v>1789286</v>
      </c>
      <c r="M29" s="32">
        <v>1000000016049556</v>
      </c>
      <c r="N29" s="31" t="s">
        <v>278</v>
      </c>
      <c r="O29" s="31"/>
    </row>
    <row r="30" spans="1:15">
      <c r="A30" s="31"/>
      <c r="B30" s="31" t="s">
        <v>279</v>
      </c>
      <c r="C30" s="31" t="s">
        <v>280</v>
      </c>
      <c r="D30" s="31" t="s">
        <v>281</v>
      </c>
      <c r="E30" s="31" t="s">
        <v>241</v>
      </c>
      <c r="F30" s="31" t="s">
        <v>242</v>
      </c>
      <c r="G30" s="31" t="s">
        <v>242</v>
      </c>
      <c r="H30" s="31" t="s">
        <v>243</v>
      </c>
      <c r="I30" s="31" t="b">
        <v>0</v>
      </c>
      <c r="J30" s="31">
        <v>35</v>
      </c>
      <c r="K30" s="31">
        <v>716.85</v>
      </c>
      <c r="L30" s="32">
        <v>208118057</v>
      </c>
      <c r="M30" s="32">
        <v>1100000062670206</v>
      </c>
      <c r="N30" s="31" t="s">
        <v>282</v>
      </c>
      <c r="O30" s="31"/>
    </row>
    <row r="31" spans="1:15">
      <c r="A31" s="31"/>
      <c r="B31" s="31" t="s">
        <v>283</v>
      </c>
      <c r="C31" s="31" t="s">
        <v>284</v>
      </c>
      <c r="D31" s="31" t="s">
        <v>285</v>
      </c>
      <c r="E31" s="31" t="s">
        <v>241</v>
      </c>
      <c r="F31" s="31" t="s">
        <v>242</v>
      </c>
      <c r="G31" s="31" t="s">
        <v>242</v>
      </c>
      <c r="H31" s="31" t="s">
        <v>243</v>
      </c>
      <c r="I31" s="31" t="b">
        <v>0</v>
      </c>
      <c r="J31" s="31">
        <v>43</v>
      </c>
      <c r="K31" s="31">
        <v>119.3</v>
      </c>
      <c r="L31" s="32">
        <v>5959861</v>
      </c>
      <c r="M31" s="32">
        <v>1000000060868317</v>
      </c>
      <c r="N31" s="31" t="s">
        <v>286</v>
      </c>
      <c r="O31" s="31"/>
    </row>
    <row r="32" spans="1:15">
      <c r="A32" s="31"/>
      <c r="B32" s="31" t="s">
        <v>283</v>
      </c>
      <c r="C32" s="31" t="s">
        <v>284</v>
      </c>
      <c r="D32" s="31" t="s">
        <v>285</v>
      </c>
      <c r="E32" s="31" t="s">
        <v>241</v>
      </c>
      <c r="F32" s="31" t="s">
        <v>242</v>
      </c>
      <c r="G32" s="31" t="s">
        <v>242</v>
      </c>
      <c r="H32" s="31" t="s">
        <v>243</v>
      </c>
      <c r="I32" s="31" t="b">
        <v>0</v>
      </c>
      <c r="J32" s="31">
        <v>77</v>
      </c>
      <c r="K32" s="31">
        <v>119.3</v>
      </c>
      <c r="L32" s="32">
        <v>5959859</v>
      </c>
      <c r="M32" s="32">
        <v>1000000060868317</v>
      </c>
      <c r="N32" s="31" t="s">
        <v>286</v>
      </c>
      <c r="O32" s="31"/>
    </row>
    <row r="33" spans="1:15">
      <c r="A33" s="31"/>
      <c r="B33" s="31" t="s">
        <v>283</v>
      </c>
      <c r="C33" s="31" t="s">
        <v>284</v>
      </c>
      <c r="D33" s="31" t="s">
        <v>285</v>
      </c>
      <c r="E33" s="31" t="s">
        <v>241</v>
      </c>
      <c r="F33" s="31" t="s">
        <v>242</v>
      </c>
      <c r="G33" s="31" t="s">
        <v>242</v>
      </c>
      <c r="H33" s="31" t="s">
        <v>243</v>
      </c>
      <c r="I33" s="31" t="b">
        <v>0</v>
      </c>
      <c r="J33" s="31">
        <v>100</v>
      </c>
      <c r="K33" s="31">
        <v>119.3</v>
      </c>
      <c r="L33" s="32">
        <v>5959860</v>
      </c>
      <c r="M33" s="32">
        <v>1000000060868317</v>
      </c>
      <c r="N33" s="31" t="s">
        <v>286</v>
      </c>
      <c r="O33" s="31"/>
    </row>
    <row r="34" spans="1:15">
      <c r="A34" s="31"/>
      <c r="B34" s="31" t="s">
        <v>263</v>
      </c>
      <c r="C34" s="31" t="s">
        <v>264</v>
      </c>
      <c r="D34" s="31" t="s">
        <v>285</v>
      </c>
      <c r="E34" s="31" t="s">
        <v>241</v>
      </c>
      <c r="F34" s="31" t="s">
        <v>242</v>
      </c>
      <c r="G34" s="31" t="s">
        <v>242</v>
      </c>
      <c r="H34" s="31" t="s">
        <v>243</v>
      </c>
      <c r="I34" s="31" t="b">
        <v>0</v>
      </c>
      <c r="J34" s="31">
        <v>55</v>
      </c>
      <c r="K34" s="31">
        <v>189</v>
      </c>
      <c r="L34" s="32">
        <v>6217725</v>
      </c>
      <c r="M34" s="32">
        <v>1000000063494426</v>
      </c>
      <c r="N34" s="31" t="s">
        <v>287</v>
      </c>
      <c r="O34" s="31"/>
    </row>
    <row r="35" spans="1:15">
      <c r="A35" s="31"/>
      <c r="B35" s="31" t="s">
        <v>263</v>
      </c>
      <c r="C35" s="31" t="s">
        <v>264</v>
      </c>
      <c r="D35" s="31" t="s">
        <v>285</v>
      </c>
      <c r="E35" s="31" t="s">
        <v>241</v>
      </c>
      <c r="F35" s="31" t="s">
        <v>242</v>
      </c>
      <c r="G35" s="31" t="s">
        <v>242</v>
      </c>
      <c r="H35" s="31" t="s">
        <v>243</v>
      </c>
      <c r="I35" s="31" t="b">
        <v>0</v>
      </c>
      <c r="J35" s="31">
        <v>62</v>
      </c>
      <c r="K35" s="31">
        <v>188.99</v>
      </c>
      <c r="L35" s="32">
        <v>6217724</v>
      </c>
      <c r="M35" s="32">
        <v>1000000063494426</v>
      </c>
      <c r="N35" s="31" t="s">
        <v>287</v>
      </c>
      <c r="O35" s="31"/>
    </row>
    <row r="36" spans="1:15">
      <c r="A36" s="31"/>
      <c r="B36" s="31" t="s">
        <v>263</v>
      </c>
      <c r="C36" s="31" t="s">
        <v>264</v>
      </c>
      <c r="D36" s="31" t="s">
        <v>285</v>
      </c>
      <c r="E36" s="31" t="s">
        <v>241</v>
      </c>
      <c r="F36" s="31" t="s">
        <v>242</v>
      </c>
      <c r="G36" s="31" t="s">
        <v>242</v>
      </c>
      <c r="H36" s="31" t="s">
        <v>243</v>
      </c>
      <c r="I36" s="31" t="b">
        <v>0</v>
      </c>
      <c r="J36" s="31">
        <v>14</v>
      </c>
      <c r="K36" s="31">
        <v>188.94</v>
      </c>
      <c r="L36" s="32">
        <v>6217723</v>
      </c>
      <c r="M36" s="32">
        <v>1000000063494426</v>
      </c>
      <c r="N36" s="31" t="s">
        <v>287</v>
      </c>
      <c r="O36" s="31"/>
    </row>
    <row r="37" spans="1:15">
      <c r="A37" s="31"/>
      <c r="B37" s="31" t="s">
        <v>267</v>
      </c>
      <c r="C37" s="31" t="s">
        <v>268</v>
      </c>
      <c r="D37" s="31" t="s">
        <v>285</v>
      </c>
      <c r="E37" s="31" t="s">
        <v>241</v>
      </c>
      <c r="F37" s="31" t="s">
        <v>242</v>
      </c>
      <c r="G37" s="31" t="s">
        <v>242</v>
      </c>
      <c r="H37" s="31" t="s">
        <v>243</v>
      </c>
      <c r="I37" s="31" t="b">
        <v>0</v>
      </c>
      <c r="J37" s="31">
        <v>54</v>
      </c>
      <c r="K37" s="31">
        <v>577.79999999999995</v>
      </c>
      <c r="L37" s="32">
        <v>206567205</v>
      </c>
      <c r="M37" s="32">
        <v>1100000055164659</v>
      </c>
      <c r="N37" s="31" t="s">
        <v>288</v>
      </c>
      <c r="O37" s="31"/>
    </row>
    <row r="38" spans="1:15">
      <c r="A38" s="31"/>
      <c r="B38" s="31" t="s">
        <v>267</v>
      </c>
      <c r="C38" s="31" t="s">
        <v>268</v>
      </c>
      <c r="D38" s="31" t="s">
        <v>285</v>
      </c>
      <c r="E38" s="31" t="s">
        <v>241</v>
      </c>
      <c r="F38" s="31" t="s">
        <v>242</v>
      </c>
      <c r="G38" s="31" t="s">
        <v>242</v>
      </c>
      <c r="H38" s="31" t="s">
        <v>243</v>
      </c>
      <c r="I38" s="31" t="b">
        <v>0</v>
      </c>
      <c r="J38" s="31">
        <v>33</v>
      </c>
      <c r="K38" s="31">
        <v>577.85</v>
      </c>
      <c r="L38" s="32">
        <v>206567206</v>
      </c>
      <c r="M38" s="32">
        <v>1100000055164659</v>
      </c>
      <c r="N38" s="31" t="s">
        <v>288</v>
      </c>
      <c r="O38" s="31"/>
    </row>
    <row r="39" spans="1:15">
      <c r="A39" s="31"/>
      <c r="B39" s="31" t="s">
        <v>289</v>
      </c>
      <c r="C39" s="31" t="s">
        <v>290</v>
      </c>
      <c r="D39" s="31" t="s">
        <v>291</v>
      </c>
      <c r="E39" s="31" t="s">
        <v>241</v>
      </c>
      <c r="F39" s="31" t="s">
        <v>242</v>
      </c>
      <c r="G39" s="31" t="s">
        <v>242</v>
      </c>
      <c r="H39" s="31" t="s">
        <v>243</v>
      </c>
      <c r="I39" s="31" t="b">
        <v>0</v>
      </c>
      <c r="J39" s="31">
        <v>16</v>
      </c>
      <c r="K39" s="31">
        <v>880</v>
      </c>
      <c r="L39" s="32">
        <v>606877843</v>
      </c>
      <c r="M39" s="32">
        <v>1300000066618858</v>
      </c>
      <c r="N39" s="31" t="s">
        <v>292</v>
      </c>
      <c r="O39" s="31"/>
    </row>
    <row r="40" spans="1:15">
      <c r="A40" s="31"/>
      <c r="B40" s="31" t="s">
        <v>289</v>
      </c>
      <c r="C40" s="31" t="s">
        <v>290</v>
      </c>
      <c r="D40" s="31" t="s">
        <v>291</v>
      </c>
      <c r="E40" s="31" t="s">
        <v>241</v>
      </c>
      <c r="F40" s="31" t="s">
        <v>242</v>
      </c>
      <c r="G40" s="31" t="s">
        <v>242</v>
      </c>
      <c r="H40" s="31" t="s">
        <v>243</v>
      </c>
      <c r="I40" s="31" t="b">
        <v>0</v>
      </c>
      <c r="J40" s="31">
        <v>40</v>
      </c>
      <c r="K40" s="31">
        <v>880</v>
      </c>
      <c r="L40" s="32">
        <v>606877841</v>
      </c>
      <c r="M40" s="32">
        <v>1300000066618858</v>
      </c>
      <c r="N40" s="31" t="s">
        <v>292</v>
      </c>
      <c r="O40" s="31"/>
    </row>
    <row r="41" spans="1:15">
      <c r="A41" s="31"/>
      <c r="B41" s="31" t="s">
        <v>289</v>
      </c>
      <c r="C41" s="31" t="s">
        <v>290</v>
      </c>
      <c r="D41" s="31" t="s">
        <v>291</v>
      </c>
      <c r="E41" s="31" t="s">
        <v>241</v>
      </c>
      <c r="F41" s="31" t="s">
        <v>242</v>
      </c>
      <c r="G41" s="31" t="s">
        <v>242</v>
      </c>
      <c r="H41" s="31" t="s">
        <v>243</v>
      </c>
      <c r="I41" s="31" t="b">
        <v>0</v>
      </c>
      <c r="J41" s="31">
        <v>1</v>
      </c>
      <c r="K41" s="31">
        <v>880</v>
      </c>
      <c r="L41" s="32">
        <v>606877842</v>
      </c>
      <c r="M41" s="32">
        <v>1300000066618858</v>
      </c>
      <c r="N41" s="31" t="s">
        <v>292</v>
      </c>
      <c r="O41" s="31"/>
    </row>
    <row r="42" spans="1:15">
      <c r="A42" s="31"/>
      <c r="B42" s="31" t="s">
        <v>254</v>
      </c>
      <c r="C42" s="31" t="s">
        <v>255</v>
      </c>
      <c r="D42" s="31" t="s">
        <v>293</v>
      </c>
      <c r="E42" s="31" t="s">
        <v>241</v>
      </c>
      <c r="F42" s="31" t="s">
        <v>242</v>
      </c>
      <c r="G42" s="31" t="s">
        <v>242</v>
      </c>
      <c r="H42" s="31" t="s">
        <v>294</v>
      </c>
      <c r="I42" s="31" t="b">
        <v>0</v>
      </c>
      <c r="J42" s="31">
        <v>7</v>
      </c>
      <c r="K42" s="31">
        <v>3390.5</v>
      </c>
      <c r="L42" s="32">
        <v>602384371</v>
      </c>
      <c r="M42" s="32">
        <v>1300000019285280</v>
      </c>
      <c r="N42" s="31" t="s">
        <v>295</v>
      </c>
      <c r="O42" s="31"/>
    </row>
    <row r="43" spans="1:15">
      <c r="A43" s="31"/>
      <c r="B43" s="31" t="s">
        <v>254</v>
      </c>
      <c r="C43" s="31" t="s">
        <v>255</v>
      </c>
      <c r="D43" s="31" t="s">
        <v>293</v>
      </c>
      <c r="E43" s="31" t="s">
        <v>241</v>
      </c>
      <c r="F43" s="31" t="s">
        <v>242</v>
      </c>
      <c r="G43" s="31" t="s">
        <v>242</v>
      </c>
      <c r="H43" s="31" t="s">
        <v>294</v>
      </c>
      <c r="I43" s="31" t="b">
        <v>0</v>
      </c>
      <c r="J43" s="31">
        <v>8</v>
      </c>
      <c r="K43" s="31">
        <v>3390.5</v>
      </c>
      <c r="L43" s="32">
        <v>602384370</v>
      </c>
      <c r="M43" s="32">
        <v>1300000019285280</v>
      </c>
      <c r="N43" s="31" t="s">
        <v>295</v>
      </c>
      <c r="O43" s="31"/>
    </row>
    <row r="44" spans="1:15">
      <c r="A44" s="31"/>
      <c r="B44" s="31" t="s">
        <v>254</v>
      </c>
      <c r="C44" s="31" t="s">
        <v>255</v>
      </c>
      <c r="D44" s="31" t="s">
        <v>293</v>
      </c>
      <c r="E44" s="31" t="s">
        <v>241</v>
      </c>
      <c r="F44" s="31" t="s">
        <v>242</v>
      </c>
      <c r="G44" s="31" t="s">
        <v>242</v>
      </c>
      <c r="H44" s="31" t="s">
        <v>294</v>
      </c>
      <c r="I44" s="31" t="b">
        <v>0</v>
      </c>
      <c r="J44" s="31">
        <v>1</v>
      </c>
      <c r="K44" s="31">
        <v>3390.5</v>
      </c>
      <c r="L44" s="32">
        <v>602384368</v>
      </c>
      <c r="M44" s="32">
        <v>1300000019285280</v>
      </c>
      <c r="N44" s="31" t="s">
        <v>295</v>
      </c>
      <c r="O44" s="31"/>
    </row>
    <row r="45" spans="1:15">
      <c r="A45" s="31"/>
      <c r="B45" s="31" t="s">
        <v>254</v>
      </c>
      <c r="C45" s="31" t="s">
        <v>255</v>
      </c>
      <c r="D45" s="31" t="s">
        <v>293</v>
      </c>
      <c r="E45" s="31" t="s">
        <v>241</v>
      </c>
      <c r="F45" s="31" t="s">
        <v>242</v>
      </c>
      <c r="G45" s="31" t="s">
        <v>242</v>
      </c>
      <c r="H45" s="31" t="s">
        <v>294</v>
      </c>
      <c r="I45" s="31" t="b">
        <v>0</v>
      </c>
      <c r="J45" s="31">
        <v>9</v>
      </c>
      <c r="K45" s="31">
        <v>3390.5</v>
      </c>
      <c r="L45" s="32">
        <v>602384369</v>
      </c>
      <c r="M45" s="32">
        <v>1300000019285280</v>
      </c>
      <c r="N45" s="31" t="s">
        <v>295</v>
      </c>
      <c r="O45" s="31"/>
    </row>
    <row r="46" spans="1:15">
      <c r="A46" s="31"/>
      <c r="B46" s="31" t="s">
        <v>251</v>
      </c>
      <c r="C46" s="31" t="s">
        <v>252</v>
      </c>
      <c r="D46" s="31" t="s">
        <v>293</v>
      </c>
      <c r="E46" s="31" t="s">
        <v>241</v>
      </c>
      <c r="F46" s="31" t="s">
        <v>242</v>
      </c>
      <c r="G46" s="31" t="s">
        <v>242</v>
      </c>
      <c r="H46" s="31" t="s">
        <v>294</v>
      </c>
      <c r="I46" s="31" t="b">
        <v>0</v>
      </c>
      <c r="J46" s="31">
        <v>2</v>
      </c>
      <c r="K46" s="31">
        <v>4180.2002000000002</v>
      </c>
      <c r="L46" s="32">
        <v>602393098</v>
      </c>
      <c r="M46" s="32">
        <v>1300000019368715</v>
      </c>
      <c r="N46" s="31" t="s">
        <v>296</v>
      </c>
      <c r="O46" s="31"/>
    </row>
    <row r="47" spans="1:15">
      <c r="A47" s="31"/>
      <c r="B47" s="31" t="s">
        <v>251</v>
      </c>
      <c r="C47" s="31" t="s">
        <v>252</v>
      </c>
      <c r="D47" s="31" t="s">
        <v>293</v>
      </c>
      <c r="E47" s="31" t="s">
        <v>241</v>
      </c>
      <c r="F47" s="31" t="s">
        <v>242</v>
      </c>
      <c r="G47" s="31" t="s">
        <v>242</v>
      </c>
      <c r="H47" s="31" t="s">
        <v>294</v>
      </c>
      <c r="I47" s="31" t="b">
        <v>0</v>
      </c>
      <c r="J47" s="31">
        <v>4</v>
      </c>
      <c r="K47" s="31">
        <v>4180.2997999999998</v>
      </c>
      <c r="L47" s="32">
        <v>602393093</v>
      </c>
      <c r="M47" s="32">
        <v>1300000019368715</v>
      </c>
      <c r="N47" s="31" t="s">
        <v>296</v>
      </c>
      <c r="O47" s="31"/>
    </row>
    <row r="48" spans="1:15">
      <c r="A48" s="31"/>
      <c r="B48" s="31" t="s">
        <v>251</v>
      </c>
      <c r="C48" s="31" t="s">
        <v>252</v>
      </c>
      <c r="D48" s="31" t="s">
        <v>293</v>
      </c>
      <c r="E48" s="31" t="s">
        <v>241</v>
      </c>
      <c r="F48" s="31" t="s">
        <v>242</v>
      </c>
      <c r="G48" s="31" t="s">
        <v>242</v>
      </c>
      <c r="H48" s="31" t="s">
        <v>294</v>
      </c>
      <c r="I48" s="31" t="b">
        <v>0</v>
      </c>
      <c r="J48" s="31">
        <v>1</v>
      </c>
      <c r="K48" s="31">
        <v>4180.2002000000002</v>
      </c>
      <c r="L48" s="32">
        <v>602393095</v>
      </c>
      <c r="M48" s="32">
        <v>1300000019368715</v>
      </c>
      <c r="N48" s="31" t="s">
        <v>296</v>
      </c>
      <c r="O48" s="31"/>
    </row>
    <row r="49" spans="1:15">
      <c r="A49" s="31"/>
      <c r="B49" s="31" t="s">
        <v>251</v>
      </c>
      <c r="C49" s="31" t="s">
        <v>252</v>
      </c>
      <c r="D49" s="31" t="s">
        <v>293</v>
      </c>
      <c r="E49" s="31" t="s">
        <v>241</v>
      </c>
      <c r="F49" s="31" t="s">
        <v>242</v>
      </c>
      <c r="G49" s="31" t="s">
        <v>242</v>
      </c>
      <c r="H49" s="31" t="s">
        <v>294</v>
      </c>
      <c r="I49" s="31" t="b">
        <v>0</v>
      </c>
      <c r="J49" s="31">
        <v>1</v>
      </c>
      <c r="K49" s="31">
        <v>4180.2997999999998</v>
      </c>
      <c r="L49" s="32">
        <v>602393092</v>
      </c>
      <c r="M49" s="32">
        <v>1300000019368715</v>
      </c>
      <c r="N49" s="31" t="s">
        <v>296</v>
      </c>
      <c r="O49" s="31"/>
    </row>
    <row r="50" spans="1:15">
      <c r="A50" s="31"/>
      <c r="B50" s="31" t="s">
        <v>251</v>
      </c>
      <c r="C50" s="31" t="s">
        <v>252</v>
      </c>
      <c r="D50" s="31" t="s">
        <v>293</v>
      </c>
      <c r="E50" s="31" t="s">
        <v>241</v>
      </c>
      <c r="F50" s="31" t="s">
        <v>242</v>
      </c>
      <c r="G50" s="31" t="s">
        <v>242</v>
      </c>
      <c r="H50" s="31" t="s">
        <v>294</v>
      </c>
      <c r="I50" s="31" t="b">
        <v>0</v>
      </c>
      <c r="J50" s="31">
        <v>8</v>
      </c>
      <c r="K50" s="31">
        <v>4180</v>
      </c>
      <c r="L50" s="32">
        <v>602393099</v>
      </c>
      <c r="M50" s="32">
        <v>1300000019368715</v>
      </c>
      <c r="N50" s="31" t="s">
        <v>296</v>
      </c>
      <c r="O50" s="31"/>
    </row>
    <row r="51" spans="1:15">
      <c r="A51" s="31"/>
      <c r="B51" s="31" t="s">
        <v>273</v>
      </c>
      <c r="C51" s="31" t="s">
        <v>274</v>
      </c>
      <c r="D51" s="31" t="s">
        <v>293</v>
      </c>
      <c r="E51" s="31" t="s">
        <v>241</v>
      </c>
      <c r="F51" s="31" t="s">
        <v>242</v>
      </c>
      <c r="G51" s="31" t="s">
        <v>242</v>
      </c>
      <c r="H51" s="31" t="s">
        <v>294</v>
      </c>
      <c r="I51" s="31" t="b">
        <v>0</v>
      </c>
      <c r="J51" s="31">
        <v>8</v>
      </c>
      <c r="K51" s="31">
        <v>1476.9</v>
      </c>
      <c r="L51" s="32">
        <v>402017002</v>
      </c>
      <c r="M51" s="32">
        <v>1200000018561473</v>
      </c>
      <c r="N51" s="31" t="s">
        <v>297</v>
      </c>
      <c r="O51" s="31"/>
    </row>
    <row r="52" spans="1:15">
      <c r="A52" s="31"/>
      <c r="B52" s="31" t="s">
        <v>273</v>
      </c>
      <c r="C52" s="31" t="s">
        <v>274</v>
      </c>
      <c r="D52" s="31" t="s">
        <v>293</v>
      </c>
      <c r="E52" s="31" t="s">
        <v>241</v>
      </c>
      <c r="F52" s="31" t="s">
        <v>242</v>
      </c>
      <c r="G52" s="31" t="s">
        <v>242</v>
      </c>
      <c r="H52" s="31" t="s">
        <v>294</v>
      </c>
      <c r="I52" s="31" t="b">
        <v>0</v>
      </c>
      <c r="J52" s="31">
        <v>7</v>
      </c>
      <c r="K52" s="31">
        <v>1476.9</v>
      </c>
      <c r="L52" s="32">
        <v>402017003</v>
      </c>
      <c r="M52" s="32">
        <v>1200000018561473</v>
      </c>
      <c r="N52" s="31" t="s">
        <v>297</v>
      </c>
      <c r="O52" s="31"/>
    </row>
    <row r="53" spans="1:15">
      <c r="A53" s="31"/>
      <c r="B53" s="31" t="s">
        <v>273</v>
      </c>
      <c r="C53" s="31" t="s">
        <v>274</v>
      </c>
      <c r="D53" s="31" t="s">
        <v>293</v>
      </c>
      <c r="E53" s="31" t="s">
        <v>241</v>
      </c>
      <c r="F53" s="31" t="s">
        <v>242</v>
      </c>
      <c r="G53" s="31" t="s">
        <v>242</v>
      </c>
      <c r="H53" s="31" t="s">
        <v>294</v>
      </c>
      <c r="I53" s="31" t="b">
        <v>0</v>
      </c>
      <c r="J53" s="31">
        <v>4</v>
      </c>
      <c r="K53" s="31">
        <v>1477.1</v>
      </c>
      <c r="L53" s="32">
        <v>402016996</v>
      </c>
      <c r="M53" s="32">
        <v>1200000018561473</v>
      </c>
      <c r="N53" s="31" t="s">
        <v>297</v>
      </c>
      <c r="O53" s="31"/>
    </row>
    <row r="54" spans="1:15">
      <c r="A54" s="31"/>
      <c r="B54" s="31" t="s">
        <v>273</v>
      </c>
      <c r="C54" s="31" t="s">
        <v>274</v>
      </c>
      <c r="D54" s="31" t="s">
        <v>293</v>
      </c>
      <c r="E54" s="31" t="s">
        <v>241</v>
      </c>
      <c r="F54" s="31" t="s">
        <v>242</v>
      </c>
      <c r="G54" s="31" t="s">
        <v>242</v>
      </c>
      <c r="H54" s="31" t="s">
        <v>294</v>
      </c>
      <c r="I54" s="31" t="b">
        <v>0</v>
      </c>
      <c r="J54" s="31">
        <v>2</v>
      </c>
      <c r="K54" s="31">
        <v>1477.1</v>
      </c>
      <c r="L54" s="32">
        <v>402016994</v>
      </c>
      <c r="M54" s="32">
        <v>1200000018561473</v>
      </c>
      <c r="N54" s="31" t="s">
        <v>297</v>
      </c>
      <c r="O54" s="31"/>
    </row>
    <row r="55" spans="1:15">
      <c r="A55" s="31"/>
      <c r="B55" s="31" t="s">
        <v>273</v>
      </c>
      <c r="C55" s="31" t="s">
        <v>274</v>
      </c>
      <c r="D55" s="31" t="s">
        <v>293</v>
      </c>
      <c r="E55" s="31" t="s">
        <v>241</v>
      </c>
      <c r="F55" s="31" t="s">
        <v>242</v>
      </c>
      <c r="G55" s="31" t="s">
        <v>242</v>
      </c>
      <c r="H55" s="31" t="s">
        <v>294</v>
      </c>
      <c r="I55" s="31" t="b">
        <v>0</v>
      </c>
      <c r="J55" s="31">
        <v>1</v>
      </c>
      <c r="K55" s="31">
        <v>1477</v>
      </c>
      <c r="L55" s="32">
        <v>402017000</v>
      </c>
      <c r="M55" s="32">
        <v>1200000018561473</v>
      </c>
      <c r="N55" s="31" t="s">
        <v>297</v>
      </c>
      <c r="O55" s="31"/>
    </row>
    <row r="56" spans="1:15">
      <c r="A56" s="31"/>
      <c r="B56" s="31" t="s">
        <v>273</v>
      </c>
      <c r="C56" s="31" t="s">
        <v>274</v>
      </c>
      <c r="D56" s="31" t="s">
        <v>293</v>
      </c>
      <c r="E56" s="31" t="s">
        <v>241</v>
      </c>
      <c r="F56" s="31" t="s">
        <v>242</v>
      </c>
      <c r="G56" s="31" t="s">
        <v>242</v>
      </c>
      <c r="H56" s="31" t="s">
        <v>294</v>
      </c>
      <c r="I56" s="31" t="b">
        <v>0</v>
      </c>
      <c r="J56" s="31">
        <v>1</v>
      </c>
      <c r="K56" s="31">
        <v>1477.1</v>
      </c>
      <c r="L56" s="32">
        <v>402016997</v>
      </c>
      <c r="M56" s="32">
        <v>1200000018561473</v>
      </c>
      <c r="N56" s="31" t="s">
        <v>297</v>
      </c>
      <c r="O56" s="31"/>
    </row>
    <row r="57" spans="1:15">
      <c r="A57" s="31"/>
      <c r="B57" s="31" t="s">
        <v>273</v>
      </c>
      <c r="C57" s="31" t="s">
        <v>274</v>
      </c>
      <c r="D57" s="31" t="s">
        <v>293</v>
      </c>
      <c r="E57" s="31" t="s">
        <v>241</v>
      </c>
      <c r="F57" s="31" t="s">
        <v>242</v>
      </c>
      <c r="G57" s="31" t="s">
        <v>242</v>
      </c>
      <c r="H57" s="31" t="s">
        <v>294</v>
      </c>
      <c r="I57" s="31" t="b">
        <v>0</v>
      </c>
      <c r="J57" s="31">
        <v>14</v>
      </c>
      <c r="K57" s="31">
        <v>1477</v>
      </c>
      <c r="L57" s="32">
        <v>402017001</v>
      </c>
      <c r="M57" s="32">
        <v>1200000018561473</v>
      </c>
      <c r="N57" s="31" t="s">
        <v>297</v>
      </c>
      <c r="O57" s="31"/>
    </row>
    <row r="58" spans="1:15">
      <c r="A58" s="31"/>
      <c r="B58" s="31" t="s">
        <v>273</v>
      </c>
      <c r="C58" s="31" t="s">
        <v>274</v>
      </c>
      <c r="D58" s="31" t="s">
        <v>293</v>
      </c>
      <c r="E58" s="31" t="s">
        <v>241</v>
      </c>
      <c r="F58" s="31" t="s">
        <v>242</v>
      </c>
      <c r="G58" s="31" t="s">
        <v>242</v>
      </c>
      <c r="H58" s="31" t="s">
        <v>294</v>
      </c>
      <c r="I58" s="31" t="b">
        <v>0</v>
      </c>
      <c r="J58" s="31">
        <v>5</v>
      </c>
      <c r="K58" s="31">
        <v>1477.1</v>
      </c>
      <c r="L58" s="32">
        <v>402016998</v>
      </c>
      <c r="M58" s="32">
        <v>1200000018561473</v>
      </c>
      <c r="N58" s="31" t="s">
        <v>297</v>
      </c>
      <c r="O58" s="31"/>
    </row>
    <row r="59" spans="1:15">
      <c r="A59" s="31"/>
      <c r="B59" s="31" t="s">
        <v>273</v>
      </c>
      <c r="C59" s="31" t="s">
        <v>274</v>
      </c>
      <c r="D59" s="31" t="s">
        <v>293</v>
      </c>
      <c r="E59" s="31" t="s">
        <v>241</v>
      </c>
      <c r="F59" s="31" t="s">
        <v>242</v>
      </c>
      <c r="G59" s="31" t="s">
        <v>242</v>
      </c>
      <c r="H59" s="31" t="s">
        <v>294</v>
      </c>
      <c r="I59" s="31" t="b">
        <v>0</v>
      </c>
      <c r="J59" s="31">
        <v>10</v>
      </c>
      <c r="K59" s="31">
        <v>1477.1</v>
      </c>
      <c r="L59" s="32">
        <v>402016999</v>
      </c>
      <c r="M59" s="32">
        <v>1200000018561473</v>
      </c>
      <c r="N59" s="31" t="s">
        <v>297</v>
      </c>
      <c r="O59" s="31"/>
    </row>
    <row r="60" spans="1:15">
      <c r="A60" s="31"/>
      <c r="B60" s="31" t="s">
        <v>283</v>
      </c>
      <c r="C60" s="31" t="s">
        <v>284</v>
      </c>
      <c r="D60" s="31" t="s">
        <v>298</v>
      </c>
      <c r="E60" s="31" t="s">
        <v>241</v>
      </c>
      <c r="F60" s="31" t="s">
        <v>242</v>
      </c>
      <c r="G60" s="31" t="s">
        <v>242</v>
      </c>
      <c r="H60" s="31" t="s">
        <v>243</v>
      </c>
      <c r="I60" s="31" t="b">
        <v>0</v>
      </c>
      <c r="J60" s="31">
        <v>1</v>
      </c>
      <c r="K60" s="31">
        <v>126.69</v>
      </c>
      <c r="L60" s="32">
        <v>5171536</v>
      </c>
      <c r="M60" s="32">
        <v>1000000056548613</v>
      </c>
      <c r="N60" s="31" t="s">
        <v>299</v>
      </c>
      <c r="O60" s="31"/>
    </row>
    <row r="61" spans="1:15">
      <c r="A61" s="31"/>
      <c r="B61" s="31" t="s">
        <v>283</v>
      </c>
      <c r="C61" s="31" t="s">
        <v>284</v>
      </c>
      <c r="D61" s="31" t="s">
        <v>298</v>
      </c>
      <c r="E61" s="31" t="s">
        <v>241</v>
      </c>
      <c r="F61" s="31" t="s">
        <v>242</v>
      </c>
      <c r="G61" s="31" t="s">
        <v>242</v>
      </c>
      <c r="H61" s="31" t="s">
        <v>243</v>
      </c>
      <c r="I61" s="31" t="b">
        <v>0</v>
      </c>
      <c r="J61" s="31">
        <v>2</v>
      </c>
      <c r="K61" s="31">
        <v>126.67</v>
      </c>
      <c r="L61" s="32">
        <v>5171523</v>
      </c>
      <c r="M61" s="32">
        <v>1000000056548613</v>
      </c>
      <c r="N61" s="31" t="s">
        <v>299</v>
      </c>
      <c r="O61" s="31"/>
    </row>
    <row r="62" spans="1:15">
      <c r="A62" s="31"/>
      <c r="B62" s="31" t="s">
        <v>283</v>
      </c>
      <c r="C62" s="31" t="s">
        <v>284</v>
      </c>
      <c r="D62" s="31" t="s">
        <v>298</v>
      </c>
      <c r="E62" s="31" t="s">
        <v>241</v>
      </c>
      <c r="F62" s="31" t="s">
        <v>242</v>
      </c>
      <c r="G62" s="31" t="s">
        <v>242</v>
      </c>
      <c r="H62" s="31" t="s">
        <v>243</v>
      </c>
      <c r="I62" s="31" t="b">
        <v>0</v>
      </c>
      <c r="J62" s="31">
        <v>1</v>
      </c>
      <c r="K62" s="31">
        <v>126.67</v>
      </c>
      <c r="L62" s="32">
        <v>5171524</v>
      </c>
      <c r="M62" s="32">
        <v>1000000056548613</v>
      </c>
      <c r="N62" s="31" t="s">
        <v>299</v>
      </c>
      <c r="O62" s="31"/>
    </row>
    <row r="63" spans="1:15">
      <c r="A63" s="31"/>
      <c r="B63" s="31" t="s">
        <v>283</v>
      </c>
      <c r="C63" s="31" t="s">
        <v>284</v>
      </c>
      <c r="D63" s="31" t="s">
        <v>298</v>
      </c>
      <c r="E63" s="31" t="s">
        <v>241</v>
      </c>
      <c r="F63" s="31" t="s">
        <v>242</v>
      </c>
      <c r="G63" s="31" t="s">
        <v>242</v>
      </c>
      <c r="H63" s="31" t="s">
        <v>243</v>
      </c>
      <c r="I63" s="31" t="b">
        <v>0</v>
      </c>
      <c r="J63" s="31">
        <v>369</v>
      </c>
      <c r="K63" s="31">
        <v>126.7</v>
      </c>
      <c r="L63" s="32">
        <v>5171538</v>
      </c>
      <c r="M63" s="32">
        <v>1000000056548613</v>
      </c>
      <c r="N63" s="31" t="s">
        <v>299</v>
      </c>
      <c r="O63" s="31"/>
    </row>
    <row r="64" spans="1:15">
      <c r="A64" s="31"/>
      <c r="B64" s="31" t="s">
        <v>283</v>
      </c>
      <c r="C64" s="31" t="s">
        <v>284</v>
      </c>
      <c r="D64" s="31" t="s">
        <v>298</v>
      </c>
      <c r="E64" s="31" t="s">
        <v>241</v>
      </c>
      <c r="F64" s="31" t="s">
        <v>242</v>
      </c>
      <c r="G64" s="31" t="s">
        <v>242</v>
      </c>
      <c r="H64" s="31" t="s">
        <v>243</v>
      </c>
      <c r="I64" s="31" t="b">
        <v>0</v>
      </c>
      <c r="J64" s="31">
        <v>60</v>
      </c>
      <c r="K64" s="31">
        <v>126.7</v>
      </c>
      <c r="L64" s="32">
        <v>5171540</v>
      </c>
      <c r="M64" s="32">
        <v>1000000056548613</v>
      </c>
      <c r="N64" s="31" t="s">
        <v>299</v>
      </c>
      <c r="O64" s="31"/>
    </row>
    <row r="65" spans="1:15">
      <c r="A65" s="31"/>
      <c r="B65" s="31" t="s">
        <v>283</v>
      </c>
      <c r="C65" s="31" t="s">
        <v>284</v>
      </c>
      <c r="D65" s="31" t="s">
        <v>298</v>
      </c>
      <c r="E65" s="31" t="s">
        <v>241</v>
      </c>
      <c r="F65" s="31" t="s">
        <v>242</v>
      </c>
      <c r="G65" s="31" t="s">
        <v>242</v>
      </c>
      <c r="H65" s="31" t="s">
        <v>243</v>
      </c>
      <c r="I65" s="31" t="b">
        <v>0</v>
      </c>
      <c r="J65" s="31">
        <v>125</v>
      </c>
      <c r="K65" s="31">
        <v>126.69</v>
      </c>
      <c r="L65" s="32">
        <v>5171535</v>
      </c>
      <c r="M65" s="32">
        <v>1000000056548613</v>
      </c>
      <c r="N65" s="31" t="s">
        <v>299</v>
      </c>
      <c r="O65" s="31"/>
    </row>
    <row r="66" spans="1:15">
      <c r="A66" s="31"/>
      <c r="B66" s="31" t="s">
        <v>283</v>
      </c>
      <c r="C66" s="31" t="s">
        <v>284</v>
      </c>
      <c r="D66" s="31" t="s">
        <v>298</v>
      </c>
      <c r="E66" s="31" t="s">
        <v>241</v>
      </c>
      <c r="F66" s="31" t="s">
        <v>242</v>
      </c>
      <c r="G66" s="31" t="s">
        <v>242</v>
      </c>
      <c r="H66" s="31" t="s">
        <v>243</v>
      </c>
      <c r="I66" s="31" t="b">
        <v>0</v>
      </c>
      <c r="J66" s="31">
        <v>110</v>
      </c>
      <c r="K66" s="31">
        <v>126.7</v>
      </c>
      <c r="L66" s="32">
        <v>5171539</v>
      </c>
      <c r="M66" s="32">
        <v>1000000056548613</v>
      </c>
      <c r="N66" s="31" t="s">
        <v>299</v>
      </c>
      <c r="O66" s="31"/>
    </row>
    <row r="67" spans="1:15">
      <c r="A67" s="31"/>
      <c r="B67" s="31" t="s">
        <v>283</v>
      </c>
      <c r="C67" s="31" t="s">
        <v>284</v>
      </c>
      <c r="D67" s="31" t="s">
        <v>298</v>
      </c>
      <c r="E67" s="31" t="s">
        <v>241</v>
      </c>
      <c r="F67" s="31" t="s">
        <v>242</v>
      </c>
      <c r="G67" s="31" t="s">
        <v>242</v>
      </c>
      <c r="H67" s="31" t="s">
        <v>243</v>
      </c>
      <c r="I67" s="31" t="b">
        <v>0</v>
      </c>
      <c r="J67" s="31">
        <v>59</v>
      </c>
      <c r="K67" s="31">
        <v>126.69</v>
      </c>
      <c r="L67" s="32">
        <v>5171537</v>
      </c>
      <c r="M67" s="32">
        <v>1000000056548613</v>
      </c>
      <c r="N67" s="31" t="s">
        <v>299</v>
      </c>
      <c r="O67" s="31"/>
    </row>
    <row r="68" spans="1:15">
      <c r="A68" s="31"/>
      <c r="B68" s="31" t="s">
        <v>283</v>
      </c>
      <c r="C68" s="31" t="s">
        <v>284</v>
      </c>
      <c r="D68" s="31" t="s">
        <v>298</v>
      </c>
      <c r="E68" s="31" t="s">
        <v>241</v>
      </c>
      <c r="F68" s="31" t="s">
        <v>242</v>
      </c>
      <c r="G68" s="31" t="s">
        <v>242</v>
      </c>
      <c r="H68" s="31" t="s">
        <v>243</v>
      </c>
      <c r="I68" s="31" t="b">
        <v>0</v>
      </c>
      <c r="J68" s="31">
        <v>7</v>
      </c>
      <c r="K68" s="31">
        <v>126.7</v>
      </c>
      <c r="L68" s="32">
        <v>5171541</v>
      </c>
      <c r="M68" s="32">
        <v>1000000056548613</v>
      </c>
      <c r="N68" s="31" t="s">
        <v>299</v>
      </c>
      <c r="O68" s="31"/>
    </row>
    <row r="69" spans="1:15">
      <c r="A69" s="31"/>
      <c r="B69" s="31" t="s">
        <v>263</v>
      </c>
      <c r="C69" s="31" t="s">
        <v>264</v>
      </c>
      <c r="D69" s="31" t="s">
        <v>298</v>
      </c>
      <c r="E69" s="31" t="s">
        <v>75</v>
      </c>
      <c r="F69" s="31" t="s">
        <v>242</v>
      </c>
      <c r="G69" s="31" t="s">
        <v>300</v>
      </c>
      <c r="H69" s="31" t="s">
        <v>243</v>
      </c>
      <c r="I69" s="31" t="b">
        <v>0</v>
      </c>
      <c r="J69" s="31">
        <v>250</v>
      </c>
      <c r="K69" s="31">
        <v>207</v>
      </c>
      <c r="L69" s="32">
        <v>8112900</v>
      </c>
      <c r="M69" s="32">
        <v>1.7597414366261729E+18</v>
      </c>
      <c r="N69" s="31" t="s">
        <v>301</v>
      </c>
      <c r="O69" s="31"/>
    </row>
    <row r="70" spans="1:15">
      <c r="A70" s="31"/>
      <c r="B70" s="31" t="s">
        <v>302</v>
      </c>
      <c r="C70" s="31" t="s">
        <v>303</v>
      </c>
      <c r="D70" s="31" t="s">
        <v>298</v>
      </c>
      <c r="E70" s="31" t="s">
        <v>241</v>
      </c>
      <c r="F70" s="31" t="s">
        <v>242</v>
      </c>
      <c r="G70" s="31" t="s">
        <v>242</v>
      </c>
      <c r="H70" s="31" t="s">
        <v>243</v>
      </c>
      <c r="I70" s="31" t="b">
        <v>0</v>
      </c>
      <c r="J70" s="31">
        <v>154</v>
      </c>
      <c r="K70" s="31">
        <v>531.35</v>
      </c>
      <c r="L70" s="32">
        <v>406721086</v>
      </c>
      <c r="M70" s="32">
        <v>1200000079369794</v>
      </c>
      <c r="N70" s="31" t="s">
        <v>304</v>
      </c>
      <c r="O70" s="31"/>
    </row>
    <row r="71" spans="1:15">
      <c r="A71" s="31"/>
      <c r="B71" s="31" t="s">
        <v>302</v>
      </c>
      <c r="C71" s="31" t="s">
        <v>303</v>
      </c>
      <c r="D71" s="31" t="s">
        <v>298</v>
      </c>
      <c r="E71" s="31" t="s">
        <v>241</v>
      </c>
      <c r="F71" s="31" t="s">
        <v>242</v>
      </c>
      <c r="G71" s="31" t="s">
        <v>242</v>
      </c>
      <c r="H71" s="31" t="s">
        <v>243</v>
      </c>
      <c r="I71" s="31" t="b">
        <v>0</v>
      </c>
      <c r="J71" s="31">
        <v>23</v>
      </c>
      <c r="K71" s="31">
        <v>531.29999999999995</v>
      </c>
      <c r="L71" s="32">
        <v>406721085</v>
      </c>
      <c r="M71" s="32">
        <v>1200000079369794</v>
      </c>
      <c r="N71" s="31" t="s">
        <v>304</v>
      </c>
      <c r="O71" s="31"/>
    </row>
    <row r="72" spans="1:15">
      <c r="A72" s="31"/>
      <c r="B72" s="31" t="s">
        <v>302</v>
      </c>
      <c r="C72" s="31" t="s">
        <v>303</v>
      </c>
      <c r="D72" s="31" t="s">
        <v>298</v>
      </c>
      <c r="E72" s="31" t="s">
        <v>241</v>
      </c>
      <c r="F72" s="31" t="s">
        <v>242</v>
      </c>
      <c r="G72" s="31" t="s">
        <v>242</v>
      </c>
      <c r="H72" s="31" t="s">
        <v>243</v>
      </c>
      <c r="I72" s="31" t="b">
        <v>0</v>
      </c>
      <c r="J72" s="31">
        <v>11</v>
      </c>
      <c r="K72" s="31">
        <v>531.35</v>
      </c>
      <c r="L72" s="32">
        <v>406721087</v>
      </c>
      <c r="M72" s="32">
        <v>1200000079369794</v>
      </c>
      <c r="N72" s="31" t="s">
        <v>304</v>
      </c>
      <c r="O72" s="31"/>
    </row>
    <row r="73" spans="1:15">
      <c r="A73" s="31"/>
      <c r="B73" s="31" t="s">
        <v>305</v>
      </c>
      <c r="C73" s="31" t="s">
        <v>306</v>
      </c>
      <c r="D73" s="31" t="s">
        <v>298</v>
      </c>
      <c r="E73" s="31" t="s">
        <v>241</v>
      </c>
      <c r="F73" s="31" t="s">
        <v>242</v>
      </c>
      <c r="G73" s="31" t="s">
        <v>242</v>
      </c>
      <c r="H73" s="31" t="s">
        <v>243</v>
      </c>
      <c r="I73" s="31" t="b">
        <v>0</v>
      </c>
      <c r="J73" s="31">
        <v>5</v>
      </c>
      <c r="K73" s="31">
        <v>210.48</v>
      </c>
      <c r="L73" s="32">
        <v>406814089</v>
      </c>
      <c r="M73" s="32">
        <v>1200000080227979</v>
      </c>
      <c r="N73" s="31" t="s">
        <v>307</v>
      </c>
      <c r="O73" s="31"/>
    </row>
    <row r="74" spans="1:15">
      <c r="A74" s="31"/>
      <c r="B74" s="31" t="s">
        <v>305</v>
      </c>
      <c r="C74" s="31" t="s">
        <v>306</v>
      </c>
      <c r="D74" s="31" t="s">
        <v>298</v>
      </c>
      <c r="E74" s="31" t="s">
        <v>241</v>
      </c>
      <c r="F74" s="31" t="s">
        <v>242</v>
      </c>
      <c r="G74" s="31" t="s">
        <v>242</v>
      </c>
      <c r="H74" s="31" t="s">
        <v>243</v>
      </c>
      <c r="I74" s="31" t="b">
        <v>0</v>
      </c>
      <c r="J74" s="31">
        <v>19</v>
      </c>
      <c r="K74" s="31">
        <v>210.48</v>
      </c>
      <c r="L74" s="32">
        <v>406814086</v>
      </c>
      <c r="M74" s="32">
        <v>1200000080227979</v>
      </c>
      <c r="N74" s="31" t="s">
        <v>307</v>
      </c>
      <c r="O74" s="31"/>
    </row>
    <row r="75" spans="1:15">
      <c r="A75" s="31"/>
      <c r="B75" s="31" t="s">
        <v>305</v>
      </c>
      <c r="C75" s="31" t="s">
        <v>306</v>
      </c>
      <c r="D75" s="31" t="s">
        <v>298</v>
      </c>
      <c r="E75" s="31" t="s">
        <v>241</v>
      </c>
      <c r="F75" s="31" t="s">
        <v>242</v>
      </c>
      <c r="G75" s="31" t="s">
        <v>242</v>
      </c>
      <c r="H75" s="31" t="s">
        <v>243</v>
      </c>
      <c r="I75" s="31" t="b">
        <v>0</v>
      </c>
      <c r="J75" s="31">
        <v>2</v>
      </c>
      <c r="K75" s="31">
        <v>210.49</v>
      </c>
      <c r="L75" s="32">
        <v>406814099</v>
      </c>
      <c r="M75" s="32">
        <v>1200000080227979</v>
      </c>
      <c r="N75" s="31" t="s">
        <v>307</v>
      </c>
      <c r="O75" s="31"/>
    </row>
    <row r="76" spans="1:15">
      <c r="A76" s="31"/>
      <c r="B76" s="31" t="s">
        <v>305</v>
      </c>
      <c r="C76" s="31" t="s">
        <v>306</v>
      </c>
      <c r="D76" s="31" t="s">
        <v>298</v>
      </c>
      <c r="E76" s="31" t="s">
        <v>241</v>
      </c>
      <c r="F76" s="31" t="s">
        <v>242</v>
      </c>
      <c r="G76" s="31" t="s">
        <v>242</v>
      </c>
      <c r="H76" s="31" t="s">
        <v>243</v>
      </c>
      <c r="I76" s="31" t="b">
        <v>0</v>
      </c>
      <c r="J76" s="31">
        <v>1</v>
      </c>
      <c r="K76" s="31">
        <v>210.48</v>
      </c>
      <c r="L76" s="32">
        <v>406814087</v>
      </c>
      <c r="M76" s="32">
        <v>1200000080227979</v>
      </c>
      <c r="N76" s="31" t="s">
        <v>307</v>
      </c>
      <c r="O76" s="31"/>
    </row>
    <row r="77" spans="1:15">
      <c r="A77" s="31"/>
      <c r="B77" s="31" t="s">
        <v>305</v>
      </c>
      <c r="C77" s="31" t="s">
        <v>306</v>
      </c>
      <c r="D77" s="31" t="s">
        <v>298</v>
      </c>
      <c r="E77" s="31" t="s">
        <v>241</v>
      </c>
      <c r="F77" s="31" t="s">
        <v>242</v>
      </c>
      <c r="G77" s="31" t="s">
        <v>242</v>
      </c>
      <c r="H77" s="31" t="s">
        <v>243</v>
      </c>
      <c r="I77" s="31" t="b">
        <v>0</v>
      </c>
      <c r="J77" s="31">
        <v>17</v>
      </c>
      <c r="K77" s="31">
        <v>210.49</v>
      </c>
      <c r="L77" s="32">
        <v>406814090</v>
      </c>
      <c r="M77" s="32">
        <v>1200000080227979</v>
      </c>
      <c r="N77" s="31" t="s">
        <v>307</v>
      </c>
      <c r="O77" s="31"/>
    </row>
    <row r="78" spans="1:15">
      <c r="A78" s="31"/>
      <c r="B78" s="31" t="s">
        <v>305</v>
      </c>
      <c r="C78" s="31" t="s">
        <v>306</v>
      </c>
      <c r="D78" s="31" t="s">
        <v>298</v>
      </c>
      <c r="E78" s="31" t="s">
        <v>241</v>
      </c>
      <c r="F78" s="31" t="s">
        <v>242</v>
      </c>
      <c r="G78" s="31" t="s">
        <v>242</v>
      </c>
      <c r="H78" s="31" t="s">
        <v>243</v>
      </c>
      <c r="I78" s="31" t="b">
        <v>0</v>
      </c>
      <c r="J78" s="31">
        <v>23</v>
      </c>
      <c r="K78" s="31">
        <v>210.5</v>
      </c>
      <c r="L78" s="32">
        <v>406814105</v>
      </c>
      <c r="M78" s="32">
        <v>1200000080227979</v>
      </c>
      <c r="N78" s="31" t="s">
        <v>307</v>
      </c>
      <c r="O78" s="31"/>
    </row>
    <row r="79" spans="1:15">
      <c r="A79" s="31"/>
      <c r="B79" s="31" t="s">
        <v>305</v>
      </c>
      <c r="C79" s="31" t="s">
        <v>306</v>
      </c>
      <c r="D79" s="31" t="s">
        <v>298</v>
      </c>
      <c r="E79" s="31" t="s">
        <v>241</v>
      </c>
      <c r="F79" s="31" t="s">
        <v>242</v>
      </c>
      <c r="G79" s="31" t="s">
        <v>242</v>
      </c>
      <c r="H79" s="31" t="s">
        <v>243</v>
      </c>
      <c r="I79" s="31" t="b">
        <v>0</v>
      </c>
      <c r="J79" s="31">
        <v>1</v>
      </c>
      <c r="K79" s="31">
        <v>210.49</v>
      </c>
      <c r="L79" s="32">
        <v>406814092</v>
      </c>
      <c r="M79" s="32">
        <v>1200000080227979</v>
      </c>
      <c r="N79" s="31" t="s">
        <v>307</v>
      </c>
      <c r="O79" s="31"/>
    </row>
    <row r="80" spans="1:15">
      <c r="A80" s="31"/>
      <c r="B80" s="31" t="s">
        <v>305</v>
      </c>
      <c r="C80" s="31" t="s">
        <v>306</v>
      </c>
      <c r="D80" s="31" t="s">
        <v>298</v>
      </c>
      <c r="E80" s="31" t="s">
        <v>241</v>
      </c>
      <c r="F80" s="31" t="s">
        <v>242</v>
      </c>
      <c r="G80" s="31" t="s">
        <v>242</v>
      </c>
      <c r="H80" s="31" t="s">
        <v>243</v>
      </c>
      <c r="I80" s="31" t="b">
        <v>0</v>
      </c>
      <c r="J80" s="31">
        <v>17</v>
      </c>
      <c r="K80" s="31">
        <v>210.48</v>
      </c>
      <c r="L80" s="32">
        <v>406814083</v>
      </c>
      <c r="M80" s="32">
        <v>1200000080227979</v>
      </c>
      <c r="N80" s="31" t="s">
        <v>307</v>
      </c>
      <c r="O80" s="31"/>
    </row>
    <row r="81" spans="1:15">
      <c r="A81" s="31"/>
      <c r="B81" s="31" t="s">
        <v>305</v>
      </c>
      <c r="C81" s="31" t="s">
        <v>306</v>
      </c>
      <c r="D81" s="31" t="s">
        <v>298</v>
      </c>
      <c r="E81" s="31" t="s">
        <v>241</v>
      </c>
      <c r="F81" s="31" t="s">
        <v>242</v>
      </c>
      <c r="G81" s="31" t="s">
        <v>242</v>
      </c>
      <c r="H81" s="31" t="s">
        <v>243</v>
      </c>
      <c r="I81" s="31" t="b">
        <v>0</v>
      </c>
      <c r="J81" s="31">
        <v>8</v>
      </c>
      <c r="K81" s="31">
        <v>210.48</v>
      </c>
      <c r="L81" s="32">
        <v>406814085</v>
      </c>
      <c r="M81" s="32">
        <v>1200000080227979</v>
      </c>
      <c r="N81" s="31" t="s">
        <v>307</v>
      </c>
      <c r="O81" s="31"/>
    </row>
    <row r="82" spans="1:15">
      <c r="A82" s="31"/>
      <c r="B82" s="31" t="s">
        <v>305</v>
      </c>
      <c r="C82" s="31" t="s">
        <v>306</v>
      </c>
      <c r="D82" s="31" t="s">
        <v>298</v>
      </c>
      <c r="E82" s="31" t="s">
        <v>241</v>
      </c>
      <c r="F82" s="31" t="s">
        <v>242</v>
      </c>
      <c r="G82" s="31" t="s">
        <v>242</v>
      </c>
      <c r="H82" s="31" t="s">
        <v>243</v>
      </c>
      <c r="I82" s="31" t="b">
        <v>0</v>
      </c>
      <c r="J82" s="31">
        <v>2</v>
      </c>
      <c r="K82" s="31">
        <v>210.5</v>
      </c>
      <c r="L82" s="32">
        <v>406814104</v>
      </c>
      <c r="M82" s="32">
        <v>1200000080227979</v>
      </c>
      <c r="N82" s="31" t="s">
        <v>307</v>
      </c>
      <c r="O82" s="31"/>
    </row>
    <row r="83" spans="1:15">
      <c r="A83" s="31"/>
      <c r="B83" s="31" t="s">
        <v>305</v>
      </c>
      <c r="C83" s="31" t="s">
        <v>306</v>
      </c>
      <c r="D83" s="31" t="s">
        <v>298</v>
      </c>
      <c r="E83" s="31" t="s">
        <v>241</v>
      </c>
      <c r="F83" s="31" t="s">
        <v>242</v>
      </c>
      <c r="G83" s="31" t="s">
        <v>242</v>
      </c>
      <c r="H83" s="31" t="s">
        <v>243</v>
      </c>
      <c r="I83" s="31" t="b">
        <v>0</v>
      </c>
      <c r="J83" s="31">
        <v>2</v>
      </c>
      <c r="K83" s="31">
        <v>210.48</v>
      </c>
      <c r="L83" s="32">
        <v>406814088</v>
      </c>
      <c r="M83" s="32">
        <v>1200000080227979</v>
      </c>
      <c r="N83" s="31" t="s">
        <v>307</v>
      </c>
      <c r="O83" s="31"/>
    </row>
    <row r="84" spans="1:15">
      <c r="A84" s="31"/>
      <c r="B84" s="31" t="s">
        <v>305</v>
      </c>
      <c r="C84" s="31" t="s">
        <v>306</v>
      </c>
      <c r="D84" s="31" t="s">
        <v>298</v>
      </c>
      <c r="E84" s="31" t="s">
        <v>241</v>
      </c>
      <c r="F84" s="31" t="s">
        <v>242</v>
      </c>
      <c r="G84" s="31" t="s">
        <v>242</v>
      </c>
      <c r="H84" s="31" t="s">
        <v>243</v>
      </c>
      <c r="I84" s="31" t="b">
        <v>0</v>
      </c>
      <c r="J84" s="31">
        <v>7</v>
      </c>
      <c r="K84" s="31">
        <v>210.49</v>
      </c>
      <c r="L84" s="32">
        <v>406814103</v>
      </c>
      <c r="M84" s="32">
        <v>1200000080227979</v>
      </c>
      <c r="N84" s="31" t="s">
        <v>307</v>
      </c>
      <c r="O84" s="31"/>
    </row>
    <row r="85" spans="1:15">
      <c r="A85" s="31"/>
      <c r="B85" s="31" t="s">
        <v>267</v>
      </c>
      <c r="C85" s="31" t="s">
        <v>268</v>
      </c>
      <c r="D85" s="31" t="s">
        <v>298</v>
      </c>
      <c r="E85" s="31" t="s">
        <v>75</v>
      </c>
      <c r="F85" s="31" t="s">
        <v>242</v>
      </c>
      <c r="G85" s="31" t="s">
        <v>300</v>
      </c>
      <c r="H85" s="31" t="s">
        <v>243</v>
      </c>
      <c r="I85" s="31" t="b">
        <v>0</v>
      </c>
      <c r="J85" s="31">
        <v>163</v>
      </c>
      <c r="K85" s="31">
        <v>612.20000000000005</v>
      </c>
      <c r="L85" s="32">
        <v>7270300</v>
      </c>
      <c r="M85" s="32">
        <v>1.7597411099705011E+18</v>
      </c>
      <c r="N85" s="31" t="s">
        <v>308</v>
      </c>
      <c r="O85" s="31"/>
    </row>
    <row r="86" spans="1:15">
      <c r="A86" s="31"/>
      <c r="B86" s="31" t="s">
        <v>46</v>
      </c>
      <c r="C86" s="31" t="s">
        <v>309</v>
      </c>
      <c r="D86" s="31" t="s">
        <v>298</v>
      </c>
      <c r="E86" s="31" t="s">
        <v>241</v>
      </c>
      <c r="F86" s="31" t="s">
        <v>242</v>
      </c>
      <c r="G86" s="31" t="s">
        <v>242</v>
      </c>
      <c r="H86" s="31" t="s">
        <v>243</v>
      </c>
      <c r="I86" s="31" t="b">
        <v>0</v>
      </c>
      <c r="J86" s="31">
        <v>87</v>
      </c>
      <c r="K86" s="31">
        <v>775.7</v>
      </c>
      <c r="L86" s="32">
        <v>208032320</v>
      </c>
      <c r="M86" s="32">
        <v>1100000078423165</v>
      </c>
      <c r="N86" s="31" t="s">
        <v>310</v>
      </c>
      <c r="O86" s="31"/>
    </row>
    <row r="87" spans="1:15">
      <c r="A87" s="31"/>
      <c r="B87" s="31" t="s">
        <v>46</v>
      </c>
      <c r="C87" s="31" t="s">
        <v>309</v>
      </c>
      <c r="D87" s="31" t="s">
        <v>298</v>
      </c>
      <c r="E87" s="31" t="s">
        <v>241</v>
      </c>
      <c r="F87" s="31" t="s">
        <v>242</v>
      </c>
      <c r="G87" s="31" t="s">
        <v>242</v>
      </c>
      <c r="H87" s="31" t="s">
        <v>243</v>
      </c>
      <c r="I87" s="31" t="b">
        <v>0</v>
      </c>
      <c r="J87" s="31">
        <v>42</v>
      </c>
      <c r="K87" s="31">
        <v>775.7</v>
      </c>
      <c r="L87" s="32">
        <v>208032319</v>
      </c>
      <c r="M87" s="32">
        <v>1100000078423165</v>
      </c>
      <c r="N87" s="31" t="s">
        <v>310</v>
      </c>
      <c r="O87" s="31"/>
    </row>
    <row r="88" spans="1:15">
      <c r="A88" s="31"/>
      <c r="B88" s="31" t="s">
        <v>289</v>
      </c>
      <c r="C88" s="31" t="s">
        <v>290</v>
      </c>
      <c r="D88" s="31" t="s">
        <v>311</v>
      </c>
      <c r="E88" s="31" t="s">
        <v>241</v>
      </c>
      <c r="F88" s="31" t="s">
        <v>242</v>
      </c>
      <c r="G88" s="31" t="s">
        <v>242</v>
      </c>
      <c r="H88" s="31" t="s">
        <v>294</v>
      </c>
      <c r="I88" s="31" t="b">
        <v>0</v>
      </c>
      <c r="J88" s="31">
        <v>8</v>
      </c>
      <c r="K88" s="31">
        <v>786.7</v>
      </c>
      <c r="L88" s="32">
        <v>605515333</v>
      </c>
      <c r="M88" s="32">
        <v>1300000051006281</v>
      </c>
      <c r="N88" s="31" t="s">
        <v>312</v>
      </c>
      <c r="O88" s="31"/>
    </row>
    <row r="89" spans="1:15">
      <c r="A89" s="31"/>
      <c r="B89" s="31" t="s">
        <v>289</v>
      </c>
      <c r="C89" s="31" t="s">
        <v>290</v>
      </c>
      <c r="D89" s="31" t="s">
        <v>311</v>
      </c>
      <c r="E89" s="31" t="s">
        <v>241</v>
      </c>
      <c r="F89" s="31" t="s">
        <v>242</v>
      </c>
      <c r="G89" s="31" t="s">
        <v>242</v>
      </c>
      <c r="H89" s="31" t="s">
        <v>294</v>
      </c>
      <c r="I89" s="31" t="b">
        <v>0</v>
      </c>
      <c r="J89" s="31">
        <v>1</v>
      </c>
      <c r="K89" s="31">
        <v>786.85</v>
      </c>
      <c r="L89" s="32">
        <v>605515329</v>
      </c>
      <c r="M89" s="32">
        <v>1300000051006281</v>
      </c>
      <c r="N89" s="31" t="s">
        <v>312</v>
      </c>
      <c r="O89" s="31"/>
    </row>
    <row r="90" spans="1:15">
      <c r="A90" s="31"/>
      <c r="B90" s="31" t="s">
        <v>289</v>
      </c>
      <c r="C90" s="31" t="s">
        <v>290</v>
      </c>
      <c r="D90" s="31" t="s">
        <v>311</v>
      </c>
      <c r="E90" s="31" t="s">
        <v>241</v>
      </c>
      <c r="F90" s="31" t="s">
        <v>242</v>
      </c>
      <c r="G90" s="31" t="s">
        <v>242</v>
      </c>
      <c r="H90" s="31" t="s">
        <v>294</v>
      </c>
      <c r="I90" s="31" t="b">
        <v>0</v>
      </c>
      <c r="J90" s="31">
        <v>9</v>
      </c>
      <c r="K90" s="31">
        <v>786.75</v>
      </c>
      <c r="L90" s="32">
        <v>605515330</v>
      </c>
      <c r="M90" s="32">
        <v>1300000051006281</v>
      </c>
      <c r="N90" s="31" t="s">
        <v>312</v>
      </c>
      <c r="O90" s="31"/>
    </row>
    <row r="91" spans="1:15">
      <c r="A91" s="31"/>
      <c r="B91" s="31" t="s">
        <v>289</v>
      </c>
      <c r="C91" s="31" t="s">
        <v>290</v>
      </c>
      <c r="D91" s="31" t="s">
        <v>311</v>
      </c>
      <c r="E91" s="31" t="s">
        <v>241</v>
      </c>
      <c r="F91" s="31" t="s">
        <v>242</v>
      </c>
      <c r="G91" s="31" t="s">
        <v>242</v>
      </c>
      <c r="H91" s="31" t="s">
        <v>294</v>
      </c>
      <c r="I91" s="31" t="b">
        <v>0</v>
      </c>
      <c r="J91" s="31">
        <v>3</v>
      </c>
      <c r="K91" s="31">
        <v>786.7</v>
      </c>
      <c r="L91" s="32">
        <v>605515331</v>
      </c>
      <c r="M91" s="32">
        <v>1300000051006281</v>
      </c>
      <c r="N91" s="31" t="s">
        <v>312</v>
      </c>
      <c r="O91" s="31"/>
    </row>
    <row r="92" spans="1:15">
      <c r="A92" s="31"/>
      <c r="B92" s="31" t="s">
        <v>289</v>
      </c>
      <c r="C92" s="31" t="s">
        <v>290</v>
      </c>
      <c r="D92" s="31" t="s">
        <v>311</v>
      </c>
      <c r="E92" s="31" t="s">
        <v>241</v>
      </c>
      <c r="F92" s="31" t="s">
        <v>242</v>
      </c>
      <c r="G92" s="31" t="s">
        <v>242</v>
      </c>
      <c r="H92" s="31" t="s">
        <v>294</v>
      </c>
      <c r="I92" s="31" t="b">
        <v>0</v>
      </c>
      <c r="J92" s="31">
        <v>16</v>
      </c>
      <c r="K92" s="31">
        <v>786.9</v>
      </c>
      <c r="L92" s="32">
        <v>605515328</v>
      </c>
      <c r="M92" s="32">
        <v>1300000051006281</v>
      </c>
      <c r="N92" s="31" t="s">
        <v>312</v>
      </c>
      <c r="O92" s="31"/>
    </row>
    <row r="93" spans="1:15">
      <c r="A93" s="31"/>
      <c r="B93" s="31" t="s">
        <v>289</v>
      </c>
      <c r="C93" s="31" t="s">
        <v>290</v>
      </c>
      <c r="D93" s="31" t="s">
        <v>311</v>
      </c>
      <c r="E93" s="31" t="s">
        <v>241</v>
      </c>
      <c r="F93" s="31" t="s">
        <v>242</v>
      </c>
      <c r="G93" s="31" t="s">
        <v>242</v>
      </c>
      <c r="H93" s="31" t="s">
        <v>294</v>
      </c>
      <c r="I93" s="31" t="b">
        <v>0</v>
      </c>
      <c r="J93" s="31">
        <v>1</v>
      </c>
      <c r="K93" s="31">
        <v>786.95</v>
      </c>
      <c r="L93" s="32">
        <v>605515326</v>
      </c>
      <c r="M93" s="32">
        <v>1300000051006281</v>
      </c>
      <c r="N93" s="31" t="s">
        <v>312</v>
      </c>
      <c r="O93" s="31"/>
    </row>
    <row r="94" spans="1:15">
      <c r="A94" s="31"/>
      <c r="B94" s="31" t="s">
        <v>289</v>
      </c>
      <c r="C94" s="31" t="s">
        <v>290</v>
      </c>
      <c r="D94" s="31" t="s">
        <v>311</v>
      </c>
      <c r="E94" s="31" t="s">
        <v>241</v>
      </c>
      <c r="F94" s="31" t="s">
        <v>242</v>
      </c>
      <c r="G94" s="31" t="s">
        <v>242</v>
      </c>
      <c r="H94" s="31" t="s">
        <v>294</v>
      </c>
      <c r="I94" s="31" t="b">
        <v>0</v>
      </c>
      <c r="J94" s="31">
        <v>15</v>
      </c>
      <c r="K94" s="31">
        <v>786.95</v>
      </c>
      <c r="L94" s="32">
        <v>605515327</v>
      </c>
      <c r="M94" s="32">
        <v>1300000051006281</v>
      </c>
      <c r="N94" s="31" t="s">
        <v>312</v>
      </c>
      <c r="O94" s="31"/>
    </row>
    <row r="95" spans="1:15">
      <c r="A95" s="31"/>
      <c r="B95" s="31" t="s">
        <v>289</v>
      </c>
      <c r="C95" s="31" t="s">
        <v>290</v>
      </c>
      <c r="D95" s="31" t="s">
        <v>311</v>
      </c>
      <c r="E95" s="31" t="s">
        <v>241</v>
      </c>
      <c r="F95" s="31" t="s">
        <v>242</v>
      </c>
      <c r="G95" s="31" t="s">
        <v>242</v>
      </c>
      <c r="H95" s="31" t="s">
        <v>294</v>
      </c>
      <c r="I95" s="31" t="b">
        <v>0</v>
      </c>
      <c r="J95" s="31">
        <v>1</v>
      </c>
      <c r="K95" s="31">
        <v>786.7</v>
      </c>
      <c r="L95" s="32">
        <v>605515332</v>
      </c>
      <c r="M95" s="32">
        <v>1300000051006281</v>
      </c>
      <c r="N95" s="31" t="s">
        <v>312</v>
      </c>
      <c r="O95" s="31"/>
    </row>
    <row r="96" spans="1:15">
      <c r="A96" s="31"/>
      <c r="B96" s="31" t="s">
        <v>289</v>
      </c>
      <c r="C96" s="31" t="s">
        <v>290</v>
      </c>
      <c r="D96" s="31" t="s">
        <v>311</v>
      </c>
      <c r="E96" s="31" t="s">
        <v>241</v>
      </c>
      <c r="F96" s="31" t="s">
        <v>242</v>
      </c>
      <c r="G96" s="31" t="s">
        <v>242</v>
      </c>
      <c r="H96" s="31" t="s">
        <v>294</v>
      </c>
      <c r="I96" s="31" t="b">
        <v>0</v>
      </c>
      <c r="J96" s="31">
        <v>3</v>
      </c>
      <c r="K96" s="31">
        <v>787</v>
      </c>
      <c r="L96" s="32">
        <v>605515325</v>
      </c>
      <c r="M96" s="32">
        <v>1300000051006281</v>
      </c>
      <c r="N96" s="31" t="s">
        <v>312</v>
      </c>
      <c r="O96" s="31"/>
    </row>
    <row r="97" spans="1:15">
      <c r="A97" s="31"/>
      <c r="B97" s="31" t="s">
        <v>68</v>
      </c>
      <c r="C97" s="31" t="s">
        <v>239</v>
      </c>
      <c r="D97" s="31" t="s">
        <v>313</v>
      </c>
      <c r="E97" s="31" t="s">
        <v>241</v>
      </c>
      <c r="F97" s="31" t="s">
        <v>242</v>
      </c>
      <c r="G97" s="31" t="s">
        <v>242</v>
      </c>
      <c r="H97" s="31" t="s">
        <v>243</v>
      </c>
      <c r="I97" s="31" t="b">
        <v>0</v>
      </c>
      <c r="J97" s="31">
        <v>13</v>
      </c>
      <c r="K97" s="31">
        <v>7609</v>
      </c>
      <c r="L97" s="32">
        <v>402573640</v>
      </c>
      <c r="M97" s="32">
        <v>1200000029961011</v>
      </c>
      <c r="N97" s="31" t="s">
        <v>314</v>
      </c>
      <c r="O97" s="31"/>
    </row>
    <row r="98" spans="1:15">
      <c r="A98" s="31"/>
      <c r="B98" s="31" t="s">
        <v>283</v>
      </c>
      <c r="C98" s="31" t="s">
        <v>284</v>
      </c>
      <c r="D98" s="31" t="s">
        <v>315</v>
      </c>
      <c r="E98" s="31" t="s">
        <v>241</v>
      </c>
      <c r="F98" s="31" t="s">
        <v>242</v>
      </c>
      <c r="G98" s="31" t="s">
        <v>242</v>
      </c>
      <c r="H98" s="31" t="s">
        <v>243</v>
      </c>
      <c r="I98" s="31" t="b">
        <v>0</v>
      </c>
      <c r="J98" s="31">
        <v>356</v>
      </c>
      <c r="K98" s="31">
        <v>127.49</v>
      </c>
      <c r="L98" s="32">
        <v>4798495</v>
      </c>
      <c r="M98" s="32">
        <v>1000000054465625</v>
      </c>
      <c r="N98" s="31" t="s">
        <v>316</v>
      </c>
      <c r="O98" s="31"/>
    </row>
    <row r="99" spans="1:15">
      <c r="A99" s="31"/>
      <c r="B99" s="31" t="s">
        <v>283</v>
      </c>
      <c r="C99" s="31" t="s">
        <v>284</v>
      </c>
      <c r="D99" s="31" t="s">
        <v>315</v>
      </c>
      <c r="E99" s="31" t="s">
        <v>241</v>
      </c>
      <c r="F99" s="31" t="s">
        <v>242</v>
      </c>
      <c r="G99" s="31" t="s">
        <v>242</v>
      </c>
      <c r="H99" s="31" t="s">
        <v>243</v>
      </c>
      <c r="I99" s="31" t="b">
        <v>0</v>
      </c>
      <c r="J99" s="31">
        <v>428</v>
      </c>
      <c r="K99" s="31">
        <v>127.5</v>
      </c>
      <c r="L99" s="32">
        <v>4798496</v>
      </c>
      <c r="M99" s="32">
        <v>1000000054465625</v>
      </c>
      <c r="N99" s="31" t="s">
        <v>316</v>
      </c>
      <c r="O99" s="31"/>
    </row>
    <row r="100" spans="1:15">
      <c r="A100" s="31"/>
      <c r="B100" s="31" t="s">
        <v>263</v>
      </c>
      <c r="C100" s="31" t="s">
        <v>264</v>
      </c>
      <c r="D100" s="31" t="s">
        <v>315</v>
      </c>
      <c r="E100" s="31" t="s">
        <v>241</v>
      </c>
      <c r="F100" s="31" t="s">
        <v>242</v>
      </c>
      <c r="G100" s="31" t="s">
        <v>242</v>
      </c>
      <c r="H100" s="31" t="s">
        <v>243</v>
      </c>
      <c r="I100" s="31" t="b">
        <v>0</v>
      </c>
      <c r="J100" s="31">
        <v>28</v>
      </c>
      <c r="K100" s="31">
        <v>190.93</v>
      </c>
      <c r="L100" s="32">
        <v>5398744</v>
      </c>
      <c r="M100" s="32">
        <v>1000000058915517</v>
      </c>
      <c r="N100" s="31" t="s">
        <v>317</v>
      </c>
      <c r="O100" s="31"/>
    </row>
    <row r="101" spans="1:15">
      <c r="A101" s="31"/>
      <c r="B101" s="31" t="s">
        <v>263</v>
      </c>
      <c r="C101" s="31" t="s">
        <v>264</v>
      </c>
      <c r="D101" s="31" t="s">
        <v>315</v>
      </c>
      <c r="E101" s="31" t="s">
        <v>241</v>
      </c>
      <c r="F101" s="31" t="s">
        <v>242</v>
      </c>
      <c r="G101" s="31" t="s">
        <v>242</v>
      </c>
      <c r="H101" s="31" t="s">
        <v>243</v>
      </c>
      <c r="I101" s="31" t="b">
        <v>0</v>
      </c>
      <c r="J101" s="31">
        <v>122</v>
      </c>
      <c r="K101" s="31">
        <v>190.9</v>
      </c>
      <c r="L101" s="32">
        <v>5398743</v>
      </c>
      <c r="M101" s="32">
        <v>1000000058915517</v>
      </c>
      <c r="N101" s="31" t="s">
        <v>317</v>
      </c>
      <c r="O101" s="31"/>
    </row>
    <row r="102" spans="1:15">
      <c r="A102" s="31"/>
      <c r="B102" s="31" t="s">
        <v>318</v>
      </c>
      <c r="C102" s="31" t="s">
        <v>319</v>
      </c>
      <c r="D102" s="31" t="s">
        <v>320</v>
      </c>
      <c r="E102" s="31" t="s">
        <v>241</v>
      </c>
      <c r="F102" s="31" t="s">
        <v>242</v>
      </c>
      <c r="G102" s="31" t="s">
        <v>242</v>
      </c>
      <c r="H102" s="31" t="s">
        <v>243</v>
      </c>
      <c r="I102" s="31" t="b">
        <v>0</v>
      </c>
      <c r="J102" s="31">
        <v>7</v>
      </c>
      <c r="K102" s="31">
        <v>1064.5999999999999</v>
      </c>
      <c r="L102" s="32">
        <v>5528442</v>
      </c>
      <c r="M102" s="32">
        <v>1000000054803594</v>
      </c>
      <c r="N102" s="31" t="s">
        <v>321</v>
      </c>
      <c r="O102" s="31"/>
    </row>
    <row r="103" spans="1:15">
      <c r="A103" s="31"/>
      <c r="B103" s="31" t="s">
        <v>318</v>
      </c>
      <c r="C103" s="31" t="s">
        <v>319</v>
      </c>
      <c r="D103" s="31" t="s">
        <v>320</v>
      </c>
      <c r="E103" s="31" t="s">
        <v>241</v>
      </c>
      <c r="F103" s="31" t="s">
        <v>242</v>
      </c>
      <c r="G103" s="31" t="s">
        <v>242</v>
      </c>
      <c r="H103" s="31" t="s">
        <v>243</v>
      </c>
      <c r="I103" s="31" t="b">
        <v>0</v>
      </c>
      <c r="J103" s="31">
        <v>41</v>
      </c>
      <c r="K103" s="31">
        <v>1064.5999999999999</v>
      </c>
      <c r="L103" s="32">
        <v>5528440</v>
      </c>
      <c r="M103" s="32">
        <v>1000000054803594</v>
      </c>
      <c r="N103" s="31" t="s">
        <v>321</v>
      </c>
      <c r="O103" s="31"/>
    </row>
    <row r="104" spans="1:15">
      <c r="A104" s="31"/>
      <c r="B104" s="31" t="s">
        <v>318</v>
      </c>
      <c r="C104" s="31" t="s">
        <v>319</v>
      </c>
      <c r="D104" s="31" t="s">
        <v>320</v>
      </c>
      <c r="E104" s="31" t="s">
        <v>241</v>
      </c>
      <c r="F104" s="31" t="s">
        <v>242</v>
      </c>
      <c r="G104" s="31" t="s">
        <v>242</v>
      </c>
      <c r="H104" s="31" t="s">
        <v>243</v>
      </c>
      <c r="I104" s="31" t="b">
        <v>0</v>
      </c>
      <c r="J104" s="31">
        <v>16</v>
      </c>
      <c r="K104" s="31">
        <v>1064.5999999999999</v>
      </c>
      <c r="L104" s="32">
        <v>5528441</v>
      </c>
      <c r="M104" s="32">
        <v>1000000054803594</v>
      </c>
      <c r="N104" s="31" t="s">
        <v>321</v>
      </c>
      <c r="O104" s="31"/>
    </row>
    <row r="105" spans="1:15">
      <c r="A105" s="31"/>
      <c r="B105" s="31" t="s">
        <v>318</v>
      </c>
      <c r="C105" s="31" t="s">
        <v>319</v>
      </c>
      <c r="D105" s="31" t="s">
        <v>320</v>
      </c>
      <c r="E105" s="31" t="s">
        <v>241</v>
      </c>
      <c r="F105" s="31" t="s">
        <v>242</v>
      </c>
      <c r="G105" s="31" t="s">
        <v>242</v>
      </c>
      <c r="H105" s="31" t="s">
        <v>243</v>
      </c>
      <c r="I105" s="31" t="b">
        <v>0</v>
      </c>
      <c r="J105" s="31">
        <v>30</v>
      </c>
      <c r="K105" s="31">
        <v>1064.5999999999999</v>
      </c>
      <c r="L105" s="32">
        <v>5528443</v>
      </c>
      <c r="M105" s="32">
        <v>1000000054803594</v>
      </c>
      <c r="N105" s="31" t="s">
        <v>321</v>
      </c>
      <c r="O105" s="31"/>
    </row>
    <row r="106" spans="1:15">
      <c r="A106" s="31"/>
      <c r="B106" s="31" t="s">
        <v>248</v>
      </c>
      <c r="C106" s="31" t="s">
        <v>249</v>
      </c>
      <c r="D106" s="31" t="s">
        <v>320</v>
      </c>
      <c r="E106" s="31" t="s">
        <v>241</v>
      </c>
      <c r="F106" s="31" t="s">
        <v>242</v>
      </c>
      <c r="G106" s="31" t="s">
        <v>242</v>
      </c>
      <c r="H106" s="31" t="s">
        <v>243</v>
      </c>
      <c r="I106" s="31" t="b">
        <v>0</v>
      </c>
      <c r="J106" s="31">
        <v>110</v>
      </c>
      <c r="K106" s="31">
        <v>914.55</v>
      </c>
      <c r="L106" s="32">
        <v>206824794</v>
      </c>
      <c r="M106" s="32">
        <v>1100000060857644</v>
      </c>
      <c r="N106" s="31" t="s">
        <v>322</v>
      </c>
      <c r="O106" s="31"/>
    </row>
    <row r="107" spans="1:15">
      <c r="A107" s="31"/>
      <c r="B107" s="31" t="s">
        <v>88</v>
      </c>
      <c r="C107" s="31" t="s">
        <v>276</v>
      </c>
      <c r="D107" s="31" t="s">
        <v>323</v>
      </c>
      <c r="E107" s="31" t="s">
        <v>241</v>
      </c>
      <c r="F107" s="31" t="s">
        <v>242</v>
      </c>
      <c r="G107" s="31" t="s">
        <v>242</v>
      </c>
      <c r="H107" s="31" t="s">
        <v>294</v>
      </c>
      <c r="I107" s="31" t="b">
        <v>0</v>
      </c>
      <c r="J107" s="31">
        <v>24</v>
      </c>
      <c r="K107" s="31">
        <v>757.6</v>
      </c>
      <c r="L107" s="32">
        <v>5988450</v>
      </c>
      <c r="M107" s="32">
        <v>1000000067422485</v>
      </c>
      <c r="N107" s="31" t="s">
        <v>324</v>
      </c>
      <c r="O107" s="31"/>
    </row>
    <row r="108" spans="1:15">
      <c r="A108" s="31"/>
      <c r="B108" s="31" t="s">
        <v>88</v>
      </c>
      <c r="C108" s="31" t="s">
        <v>276</v>
      </c>
      <c r="D108" s="31" t="s">
        <v>323</v>
      </c>
      <c r="E108" s="31" t="s">
        <v>241</v>
      </c>
      <c r="F108" s="31" t="s">
        <v>242</v>
      </c>
      <c r="G108" s="31" t="s">
        <v>242</v>
      </c>
      <c r="H108" s="31" t="s">
        <v>294</v>
      </c>
      <c r="I108" s="31" t="b">
        <v>0</v>
      </c>
      <c r="J108" s="31">
        <v>9</v>
      </c>
      <c r="K108" s="31">
        <v>757.6</v>
      </c>
      <c r="L108" s="32">
        <v>5988451</v>
      </c>
      <c r="M108" s="32">
        <v>1000000067422485</v>
      </c>
      <c r="N108" s="31" t="s">
        <v>324</v>
      </c>
      <c r="O108" s="31"/>
    </row>
    <row r="109" spans="1:15">
      <c r="A109" s="31"/>
      <c r="B109" s="31" t="s">
        <v>279</v>
      </c>
      <c r="C109" s="31" t="s">
        <v>280</v>
      </c>
      <c r="D109" s="31" t="s">
        <v>323</v>
      </c>
      <c r="E109" s="31" t="s">
        <v>75</v>
      </c>
      <c r="F109" s="31" t="s">
        <v>242</v>
      </c>
      <c r="G109" s="31" t="s">
        <v>300</v>
      </c>
      <c r="H109" s="31" t="s">
        <v>294</v>
      </c>
      <c r="I109" s="31" t="b">
        <v>0</v>
      </c>
      <c r="J109" s="31">
        <v>5</v>
      </c>
      <c r="K109" s="31">
        <v>647.15</v>
      </c>
      <c r="L109" s="32">
        <v>7351500</v>
      </c>
      <c r="M109" s="32">
        <v>1.760690323268599E+18</v>
      </c>
      <c r="N109" s="31" t="s">
        <v>325</v>
      </c>
      <c r="O109" s="31"/>
    </row>
    <row r="110" spans="1:15">
      <c r="A110" s="31"/>
      <c r="B110" s="31" t="s">
        <v>279</v>
      </c>
      <c r="C110" s="31" t="s">
        <v>280</v>
      </c>
      <c r="D110" s="31" t="s">
        <v>323</v>
      </c>
      <c r="E110" s="31" t="s">
        <v>75</v>
      </c>
      <c r="F110" s="31" t="s">
        <v>242</v>
      </c>
      <c r="G110" s="31" t="s">
        <v>300</v>
      </c>
      <c r="H110" s="31" t="s">
        <v>294</v>
      </c>
      <c r="I110" s="31" t="b">
        <v>0</v>
      </c>
      <c r="J110" s="31">
        <v>30</v>
      </c>
      <c r="K110" s="31">
        <v>647.20000000000005</v>
      </c>
      <c r="L110" s="32">
        <v>7351300</v>
      </c>
      <c r="M110" s="32">
        <v>1.760690323268599E+18</v>
      </c>
      <c r="N110" s="31" t="s">
        <v>325</v>
      </c>
      <c r="O110" s="31"/>
    </row>
    <row r="111" spans="1:15">
      <c r="A111" s="31"/>
      <c r="B111" s="31" t="s">
        <v>263</v>
      </c>
      <c r="C111" s="31" t="s">
        <v>264</v>
      </c>
      <c r="D111" s="31" t="s">
        <v>326</v>
      </c>
      <c r="E111" s="31" t="s">
        <v>241</v>
      </c>
      <c r="F111" s="31" t="s">
        <v>242</v>
      </c>
      <c r="G111" s="31" t="s">
        <v>242</v>
      </c>
      <c r="H111" s="31" t="s">
        <v>294</v>
      </c>
      <c r="I111" s="31" t="b">
        <v>0</v>
      </c>
      <c r="J111" s="31">
        <v>100</v>
      </c>
      <c r="K111" s="31">
        <v>179.34</v>
      </c>
      <c r="L111" s="32">
        <v>29470</v>
      </c>
      <c r="M111" s="32">
        <v>1000000000031386</v>
      </c>
      <c r="N111" s="31" t="s">
        <v>327</v>
      </c>
      <c r="O111" s="31"/>
    </row>
    <row r="112" spans="1:15">
      <c r="A112" s="31"/>
      <c r="B112" s="31" t="s">
        <v>263</v>
      </c>
      <c r="C112" s="31" t="s">
        <v>264</v>
      </c>
      <c r="D112" s="31" t="s">
        <v>326</v>
      </c>
      <c r="E112" s="31" t="s">
        <v>241</v>
      </c>
      <c r="F112" s="31" t="s">
        <v>242</v>
      </c>
      <c r="G112" s="31" t="s">
        <v>242</v>
      </c>
      <c r="H112" s="31" t="s">
        <v>294</v>
      </c>
      <c r="I112" s="31" t="b">
        <v>0</v>
      </c>
      <c r="J112" s="31">
        <v>556</v>
      </c>
      <c r="K112" s="31">
        <v>179.34</v>
      </c>
      <c r="L112" s="32">
        <v>29471</v>
      </c>
      <c r="M112" s="32">
        <v>1000000000031386</v>
      </c>
      <c r="N112" s="31" t="s">
        <v>327</v>
      </c>
      <c r="O112" s="31"/>
    </row>
    <row r="113" spans="1:15">
      <c r="A113" s="31"/>
      <c r="B113" s="31" t="s">
        <v>263</v>
      </c>
      <c r="C113" s="31" t="s">
        <v>264</v>
      </c>
      <c r="D113" s="31" t="s">
        <v>326</v>
      </c>
      <c r="E113" s="31" t="s">
        <v>241</v>
      </c>
      <c r="F113" s="31" t="s">
        <v>242</v>
      </c>
      <c r="G113" s="31" t="s">
        <v>242</v>
      </c>
      <c r="H113" s="31" t="s">
        <v>294</v>
      </c>
      <c r="I113" s="31" t="b">
        <v>0</v>
      </c>
      <c r="J113" s="31">
        <v>15</v>
      </c>
      <c r="K113" s="31">
        <v>179.34</v>
      </c>
      <c r="L113" s="32">
        <v>29469</v>
      </c>
      <c r="M113" s="32">
        <v>1000000000031386</v>
      </c>
      <c r="N113" s="31" t="s">
        <v>327</v>
      </c>
      <c r="O113" s="31"/>
    </row>
    <row r="114" spans="1:15">
      <c r="A114" s="31"/>
      <c r="B114" s="31" t="s">
        <v>328</v>
      </c>
      <c r="C114" s="31" t="s">
        <v>329</v>
      </c>
      <c r="D114" s="31" t="s">
        <v>330</v>
      </c>
      <c r="E114" s="31" t="s">
        <v>241</v>
      </c>
      <c r="F114" s="31" t="s">
        <v>242</v>
      </c>
      <c r="G114" s="31" t="s">
        <v>242</v>
      </c>
      <c r="H114" s="31" t="s">
        <v>243</v>
      </c>
      <c r="I114" s="31" t="b">
        <v>0</v>
      </c>
      <c r="J114" s="31">
        <v>75</v>
      </c>
      <c r="K114" s="31">
        <v>339.2</v>
      </c>
      <c r="L114" s="32">
        <v>201509326</v>
      </c>
      <c r="M114" s="32">
        <v>1100000006516881</v>
      </c>
      <c r="N114" s="31" t="s">
        <v>331</v>
      </c>
      <c r="O114" s="31"/>
    </row>
    <row r="115" spans="1:15">
      <c r="A115" s="31"/>
      <c r="B115" s="31" t="s">
        <v>283</v>
      </c>
      <c r="C115" s="31" t="s">
        <v>284</v>
      </c>
      <c r="D115" s="31" t="s">
        <v>330</v>
      </c>
      <c r="E115" s="31" t="s">
        <v>75</v>
      </c>
      <c r="F115" s="31" t="s">
        <v>242</v>
      </c>
      <c r="G115" s="31" t="s">
        <v>300</v>
      </c>
      <c r="H115" s="31" t="s">
        <v>294</v>
      </c>
      <c r="I115" s="31" t="b">
        <v>0</v>
      </c>
      <c r="J115" s="31">
        <v>1754</v>
      </c>
      <c r="K115" s="31">
        <v>126.6</v>
      </c>
      <c r="L115" s="32">
        <v>3510100</v>
      </c>
      <c r="M115" s="32">
        <v>1.7610376559070579E+18</v>
      </c>
      <c r="N115" s="31" t="s">
        <v>332</v>
      </c>
      <c r="O115" s="31"/>
    </row>
    <row r="116" spans="1:15">
      <c r="A116" s="31"/>
      <c r="B116" s="31" t="s">
        <v>267</v>
      </c>
      <c r="C116" s="31" t="s">
        <v>268</v>
      </c>
      <c r="D116" s="31" t="s">
        <v>333</v>
      </c>
      <c r="E116" s="31" t="s">
        <v>241</v>
      </c>
      <c r="F116" s="31" t="s">
        <v>242</v>
      </c>
      <c r="G116" s="31" t="s">
        <v>242</v>
      </c>
      <c r="H116" s="31" t="s">
        <v>294</v>
      </c>
      <c r="I116" s="31" t="b">
        <v>0</v>
      </c>
      <c r="J116" s="31">
        <v>43</v>
      </c>
      <c r="K116" s="31">
        <v>589.95000000000005</v>
      </c>
      <c r="L116" s="32">
        <v>205345110</v>
      </c>
      <c r="M116" s="32">
        <v>1100000056341252</v>
      </c>
      <c r="N116" s="31" t="s">
        <v>334</v>
      </c>
      <c r="O116" s="31"/>
    </row>
    <row r="117" spans="1:15">
      <c r="A117" s="31"/>
      <c r="B117" s="31" t="s">
        <v>267</v>
      </c>
      <c r="C117" s="31" t="s">
        <v>268</v>
      </c>
      <c r="D117" s="31" t="s">
        <v>333</v>
      </c>
      <c r="E117" s="31" t="s">
        <v>241</v>
      </c>
      <c r="F117" s="31" t="s">
        <v>242</v>
      </c>
      <c r="G117" s="31" t="s">
        <v>242</v>
      </c>
      <c r="H117" s="31" t="s">
        <v>294</v>
      </c>
      <c r="I117" s="31" t="b">
        <v>0</v>
      </c>
      <c r="J117" s="31">
        <v>85</v>
      </c>
      <c r="K117" s="31">
        <v>589.9</v>
      </c>
      <c r="L117" s="32">
        <v>205345111</v>
      </c>
      <c r="M117" s="32">
        <v>1100000056341252</v>
      </c>
      <c r="N117" s="31" t="s">
        <v>334</v>
      </c>
      <c r="O117" s="31"/>
    </row>
    <row r="118" spans="1:15">
      <c r="A118" s="31"/>
      <c r="B118" s="31" t="s">
        <v>267</v>
      </c>
      <c r="C118" s="31" t="s">
        <v>268</v>
      </c>
      <c r="D118" s="31" t="s">
        <v>333</v>
      </c>
      <c r="E118" s="31" t="s">
        <v>241</v>
      </c>
      <c r="F118" s="31" t="s">
        <v>242</v>
      </c>
      <c r="G118" s="31" t="s">
        <v>242</v>
      </c>
      <c r="H118" s="31" t="s">
        <v>294</v>
      </c>
      <c r="I118" s="31" t="b">
        <v>0</v>
      </c>
      <c r="J118" s="31">
        <v>1</v>
      </c>
      <c r="K118" s="31">
        <v>589.95000000000005</v>
      </c>
      <c r="L118" s="32">
        <v>205345108</v>
      </c>
      <c r="M118" s="32">
        <v>1100000056341252</v>
      </c>
      <c r="N118" s="31" t="s">
        <v>334</v>
      </c>
      <c r="O118" s="31"/>
    </row>
    <row r="119" spans="1:15">
      <c r="A119" s="31"/>
      <c r="B119" s="31" t="s">
        <v>267</v>
      </c>
      <c r="C119" s="31" t="s">
        <v>268</v>
      </c>
      <c r="D119" s="31" t="s">
        <v>333</v>
      </c>
      <c r="E119" s="31" t="s">
        <v>241</v>
      </c>
      <c r="F119" s="31" t="s">
        <v>242</v>
      </c>
      <c r="G119" s="31" t="s">
        <v>242</v>
      </c>
      <c r="H119" s="31" t="s">
        <v>294</v>
      </c>
      <c r="I119" s="31" t="b">
        <v>0</v>
      </c>
      <c r="J119" s="31">
        <v>16</v>
      </c>
      <c r="K119" s="31">
        <v>589.9</v>
      </c>
      <c r="L119" s="32">
        <v>205345113</v>
      </c>
      <c r="M119" s="32">
        <v>1100000056341252</v>
      </c>
      <c r="N119" s="31" t="s">
        <v>334</v>
      </c>
      <c r="O119" s="31"/>
    </row>
    <row r="120" spans="1:15">
      <c r="A120" s="31"/>
      <c r="B120" s="31" t="s">
        <v>267</v>
      </c>
      <c r="C120" s="31" t="s">
        <v>268</v>
      </c>
      <c r="D120" s="31" t="s">
        <v>333</v>
      </c>
      <c r="E120" s="31" t="s">
        <v>241</v>
      </c>
      <c r="F120" s="31" t="s">
        <v>242</v>
      </c>
      <c r="G120" s="31" t="s">
        <v>242</v>
      </c>
      <c r="H120" s="31" t="s">
        <v>294</v>
      </c>
      <c r="I120" s="31" t="b">
        <v>0</v>
      </c>
      <c r="J120" s="31">
        <v>25</v>
      </c>
      <c r="K120" s="31">
        <v>590.20000000000005</v>
      </c>
      <c r="L120" s="32">
        <v>205345107</v>
      </c>
      <c r="M120" s="32">
        <v>1100000056341252</v>
      </c>
      <c r="N120" s="31" t="s">
        <v>334</v>
      </c>
      <c r="O120" s="31"/>
    </row>
    <row r="121" spans="1:15">
      <c r="A121" s="31"/>
      <c r="B121" s="31" t="s">
        <v>267</v>
      </c>
      <c r="C121" s="31" t="s">
        <v>268</v>
      </c>
      <c r="D121" s="31" t="s">
        <v>333</v>
      </c>
      <c r="E121" s="31" t="s">
        <v>241</v>
      </c>
      <c r="F121" s="31" t="s">
        <v>242</v>
      </c>
      <c r="G121" s="31" t="s">
        <v>242</v>
      </c>
      <c r="H121" s="31" t="s">
        <v>294</v>
      </c>
      <c r="I121" s="31" t="b">
        <v>0</v>
      </c>
      <c r="J121" s="31">
        <v>43</v>
      </c>
      <c r="K121" s="31">
        <v>589.9</v>
      </c>
      <c r="L121" s="32">
        <v>205345112</v>
      </c>
      <c r="M121" s="32">
        <v>1100000056341252</v>
      </c>
      <c r="N121" s="31" t="s">
        <v>334</v>
      </c>
      <c r="O121" s="31"/>
    </row>
    <row r="122" spans="1:15">
      <c r="A122" s="31"/>
      <c r="B122" s="31" t="s">
        <v>267</v>
      </c>
      <c r="C122" s="31" t="s">
        <v>268</v>
      </c>
      <c r="D122" s="31" t="s">
        <v>333</v>
      </c>
      <c r="E122" s="31" t="s">
        <v>241</v>
      </c>
      <c r="F122" s="31" t="s">
        <v>242</v>
      </c>
      <c r="G122" s="31" t="s">
        <v>242</v>
      </c>
      <c r="H122" s="31" t="s">
        <v>294</v>
      </c>
      <c r="I122" s="31" t="b">
        <v>0</v>
      </c>
      <c r="J122" s="31">
        <v>85</v>
      </c>
      <c r="K122" s="31">
        <v>589.95000000000005</v>
      </c>
      <c r="L122" s="32">
        <v>205345109</v>
      </c>
      <c r="M122" s="32">
        <v>1100000056341252</v>
      </c>
      <c r="N122" s="31" t="s">
        <v>334</v>
      </c>
      <c r="O122" s="31"/>
    </row>
    <row r="123" spans="1:15">
      <c r="A123" s="31"/>
      <c r="B123" s="31" t="s">
        <v>302</v>
      </c>
      <c r="C123" s="31" t="s">
        <v>303</v>
      </c>
      <c r="D123" s="31" t="s">
        <v>335</v>
      </c>
      <c r="E123" s="31" t="s">
        <v>241</v>
      </c>
      <c r="F123" s="31" t="s">
        <v>242</v>
      </c>
      <c r="G123" s="31" t="s">
        <v>242</v>
      </c>
      <c r="H123" s="31" t="s">
        <v>294</v>
      </c>
      <c r="I123" s="31" t="b">
        <v>0</v>
      </c>
      <c r="J123" s="31">
        <v>14</v>
      </c>
      <c r="K123" s="31">
        <v>482.05</v>
      </c>
      <c r="L123" s="32">
        <v>400073759</v>
      </c>
      <c r="M123" s="32">
        <v>1200000000472402</v>
      </c>
      <c r="N123" s="31" t="s">
        <v>336</v>
      </c>
      <c r="O123" s="31"/>
    </row>
    <row r="124" spans="1:15">
      <c r="A124" s="31"/>
      <c r="B124" s="31" t="s">
        <v>302</v>
      </c>
      <c r="C124" s="31" t="s">
        <v>303</v>
      </c>
      <c r="D124" s="31" t="s">
        <v>335</v>
      </c>
      <c r="E124" s="31" t="s">
        <v>241</v>
      </c>
      <c r="F124" s="31" t="s">
        <v>242</v>
      </c>
      <c r="G124" s="31" t="s">
        <v>242</v>
      </c>
      <c r="H124" s="31" t="s">
        <v>294</v>
      </c>
      <c r="I124" s="31" t="b">
        <v>0</v>
      </c>
      <c r="J124" s="31">
        <v>10</v>
      </c>
      <c r="K124" s="31">
        <v>482</v>
      </c>
      <c r="L124" s="32">
        <v>400073762</v>
      </c>
      <c r="M124" s="32">
        <v>1200000000472402</v>
      </c>
      <c r="N124" s="31" t="s">
        <v>336</v>
      </c>
      <c r="O124" s="31"/>
    </row>
    <row r="125" spans="1:15">
      <c r="A125" s="31"/>
      <c r="B125" s="31" t="s">
        <v>302</v>
      </c>
      <c r="C125" s="31" t="s">
        <v>303</v>
      </c>
      <c r="D125" s="31" t="s">
        <v>335</v>
      </c>
      <c r="E125" s="31" t="s">
        <v>241</v>
      </c>
      <c r="F125" s="31" t="s">
        <v>242</v>
      </c>
      <c r="G125" s="31" t="s">
        <v>242</v>
      </c>
      <c r="H125" s="31" t="s">
        <v>294</v>
      </c>
      <c r="I125" s="31" t="b">
        <v>0</v>
      </c>
      <c r="J125" s="31">
        <v>17</v>
      </c>
      <c r="K125" s="31">
        <v>482.05</v>
      </c>
      <c r="L125" s="32">
        <v>400073755</v>
      </c>
      <c r="M125" s="32">
        <v>1200000000472402</v>
      </c>
      <c r="N125" s="31" t="s">
        <v>336</v>
      </c>
      <c r="O125" s="31"/>
    </row>
    <row r="126" spans="1:15">
      <c r="A126" s="31"/>
      <c r="B126" s="31" t="s">
        <v>302</v>
      </c>
      <c r="C126" s="31" t="s">
        <v>303</v>
      </c>
      <c r="D126" s="31" t="s">
        <v>335</v>
      </c>
      <c r="E126" s="31" t="s">
        <v>241</v>
      </c>
      <c r="F126" s="31" t="s">
        <v>242</v>
      </c>
      <c r="G126" s="31" t="s">
        <v>242</v>
      </c>
      <c r="H126" s="31" t="s">
        <v>294</v>
      </c>
      <c r="I126" s="31" t="b">
        <v>0</v>
      </c>
      <c r="J126" s="31">
        <v>2</v>
      </c>
      <c r="K126" s="31">
        <v>482.05</v>
      </c>
      <c r="L126" s="32">
        <v>400073756</v>
      </c>
      <c r="M126" s="32">
        <v>1200000000472402</v>
      </c>
      <c r="N126" s="31" t="s">
        <v>336</v>
      </c>
      <c r="O126" s="31"/>
    </row>
    <row r="127" spans="1:15">
      <c r="A127" s="31"/>
      <c r="B127" s="31" t="s">
        <v>302</v>
      </c>
      <c r="C127" s="31" t="s">
        <v>303</v>
      </c>
      <c r="D127" s="31" t="s">
        <v>335</v>
      </c>
      <c r="E127" s="31" t="s">
        <v>241</v>
      </c>
      <c r="F127" s="31" t="s">
        <v>242</v>
      </c>
      <c r="G127" s="31" t="s">
        <v>242</v>
      </c>
      <c r="H127" s="31" t="s">
        <v>294</v>
      </c>
      <c r="I127" s="31" t="b">
        <v>0</v>
      </c>
      <c r="J127" s="31">
        <v>2</v>
      </c>
      <c r="K127" s="31">
        <v>482</v>
      </c>
      <c r="L127" s="32">
        <v>400073761</v>
      </c>
      <c r="M127" s="32">
        <v>1200000000472402</v>
      </c>
      <c r="N127" s="31" t="s">
        <v>336</v>
      </c>
      <c r="O127" s="31"/>
    </row>
    <row r="128" spans="1:15">
      <c r="A128" s="31"/>
      <c r="B128" s="31" t="s">
        <v>302</v>
      </c>
      <c r="C128" s="31" t="s">
        <v>303</v>
      </c>
      <c r="D128" s="31" t="s">
        <v>335</v>
      </c>
      <c r="E128" s="31" t="s">
        <v>241</v>
      </c>
      <c r="F128" s="31" t="s">
        <v>242</v>
      </c>
      <c r="G128" s="31" t="s">
        <v>242</v>
      </c>
      <c r="H128" s="31" t="s">
        <v>294</v>
      </c>
      <c r="I128" s="31" t="b">
        <v>0</v>
      </c>
      <c r="J128" s="31">
        <v>1</v>
      </c>
      <c r="K128" s="31">
        <v>482</v>
      </c>
      <c r="L128" s="32">
        <v>400073764</v>
      </c>
      <c r="M128" s="32">
        <v>1200000000472402</v>
      </c>
      <c r="N128" s="31" t="s">
        <v>336</v>
      </c>
      <c r="O128" s="31"/>
    </row>
    <row r="129" spans="1:15">
      <c r="A129" s="31"/>
      <c r="B129" s="31" t="s">
        <v>302</v>
      </c>
      <c r="C129" s="31" t="s">
        <v>303</v>
      </c>
      <c r="D129" s="31" t="s">
        <v>335</v>
      </c>
      <c r="E129" s="31" t="s">
        <v>241</v>
      </c>
      <c r="F129" s="31" t="s">
        <v>242</v>
      </c>
      <c r="G129" s="31" t="s">
        <v>242</v>
      </c>
      <c r="H129" s="31" t="s">
        <v>294</v>
      </c>
      <c r="I129" s="31" t="b">
        <v>0</v>
      </c>
      <c r="J129" s="31">
        <v>50</v>
      </c>
      <c r="K129" s="31">
        <v>482</v>
      </c>
      <c r="L129" s="32">
        <v>400073763</v>
      </c>
      <c r="M129" s="32">
        <v>1200000000472402</v>
      </c>
      <c r="N129" s="31" t="s">
        <v>336</v>
      </c>
      <c r="O129" s="31"/>
    </row>
    <row r="130" spans="1:15">
      <c r="A130" s="31"/>
      <c r="B130" s="31" t="s">
        <v>302</v>
      </c>
      <c r="C130" s="31" t="s">
        <v>303</v>
      </c>
      <c r="D130" s="31" t="s">
        <v>335</v>
      </c>
      <c r="E130" s="31" t="s">
        <v>241</v>
      </c>
      <c r="F130" s="31" t="s">
        <v>242</v>
      </c>
      <c r="G130" s="31" t="s">
        <v>242</v>
      </c>
      <c r="H130" s="31" t="s">
        <v>294</v>
      </c>
      <c r="I130" s="31" t="b">
        <v>0</v>
      </c>
      <c r="J130" s="31">
        <v>5</v>
      </c>
      <c r="K130" s="31">
        <v>481.9</v>
      </c>
      <c r="L130" s="32">
        <v>400073768</v>
      </c>
      <c r="M130" s="32">
        <v>1200000000472402</v>
      </c>
      <c r="N130" s="31" t="s">
        <v>336</v>
      </c>
      <c r="O130" s="31"/>
    </row>
    <row r="131" spans="1:15">
      <c r="A131" s="31"/>
      <c r="B131" s="31" t="s">
        <v>302</v>
      </c>
      <c r="C131" s="31" t="s">
        <v>303</v>
      </c>
      <c r="D131" s="31" t="s">
        <v>335</v>
      </c>
      <c r="E131" s="31" t="s">
        <v>241</v>
      </c>
      <c r="F131" s="31" t="s">
        <v>242</v>
      </c>
      <c r="G131" s="31" t="s">
        <v>242</v>
      </c>
      <c r="H131" s="31" t="s">
        <v>294</v>
      </c>
      <c r="I131" s="31" t="b">
        <v>0</v>
      </c>
      <c r="J131" s="31">
        <v>16</v>
      </c>
      <c r="K131" s="31">
        <v>482.05</v>
      </c>
      <c r="L131" s="32">
        <v>400073753</v>
      </c>
      <c r="M131" s="32">
        <v>1200000000472402</v>
      </c>
      <c r="N131" s="31" t="s">
        <v>336</v>
      </c>
      <c r="O131" s="31"/>
    </row>
    <row r="132" spans="1:15">
      <c r="A132" s="31"/>
      <c r="B132" s="31" t="s">
        <v>302</v>
      </c>
      <c r="C132" s="31" t="s">
        <v>303</v>
      </c>
      <c r="D132" s="31" t="s">
        <v>335</v>
      </c>
      <c r="E132" s="31" t="s">
        <v>241</v>
      </c>
      <c r="F132" s="31" t="s">
        <v>242</v>
      </c>
      <c r="G132" s="31" t="s">
        <v>242</v>
      </c>
      <c r="H132" s="31" t="s">
        <v>294</v>
      </c>
      <c r="I132" s="31" t="b">
        <v>0</v>
      </c>
      <c r="J132" s="31">
        <v>42</v>
      </c>
      <c r="K132" s="31">
        <v>482</v>
      </c>
      <c r="L132" s="32">
        <v>400073766</v>
      </c>
      <c r="M132" s="32">
        <v>1200000000472402</v>
      </c>
      <c r="N132" s="31" t="s">
        <v>336</v>
      </c>
      <c r="O132" s="31"/>
    </row>
    <row r="133" spans="1:15">
      <c r="A133" s="31"/>
      <c r="B133" s="31" t="s">
        <v>302</v>
      </c>
      <c r="C133" s="31" t="s">
        <v>303</v>
      </c>
      <c r="D133" s="31" t="s">
        <v>335</v>
      </c>
      <c r="E133" s="31" t="s">
        <v>241</v>
      </c>
      <c r="F133" s="31" t="s">
        <v>242</v>
      </c>
      <c r="G133" s="31" t="s">
        <v>242</v>
      </c>
      <c r="H133" s="31" t="s">
        <v>294</v>
      </c>
      <c r="I133" s="31" t="b">
        <v>0</v>
      </c>
      <c r="J133" s="31">
        <v>4</v>
      </c>
      <c r="K133" s="31">
        <v>482</v>
      </c>
      <c r="L133" s="32">
        <v>400073767</v>
      </c>
      <c r="M133" s="32">
        <v>1200000000472402</v>
      </c>
      <c r="N133" s="31" t="s">
        <v>336</v>
      </c>
      <c r="O133" s="31"/>
    </row>
    <row r="134" spans="1:15">
      <c r="A134" s="31"/>
      <c r="B134" s="31" t="s">
        <v>46</v>
      </c>
      <c r="C134" s="31" t="s">
        <v>309</v>
      </c>
      <c r="D134" s="31" t="s">
        <v>335</v>
      </c>
      <c r="E134" s="31" t="s">
        <v>241</v>
      </c>
      <c r="F134" s="31" t="s">
        <v>242</v>
      </c>
      <c r="G134" s="31" t="s">
        <v>242</v>
      </c>
      <c r="H134" s="31" t="s">
        <v>243</v>
      </c>
      <c r="I134" s="31" t="b">
        <v>0</v>
      </c>
      <c r="J134" s="31">
        <v>84</v>
      </c>
      <c r="K134" s="31">
        <v>841.1</v>
      </c>
      <c r="L134" s="32">
        <v>208603870</v>
      </c>
      <c r="M134" s="32">
        <v>1100000076303650</v>
      </c>
      <c r="N134" s="31" t="s">
        <v>337</v>
      </c>
      <c r="O134" s="31"/>
    </row>
    <row r="135" spans="1:15">
      <c r="A135" s="31"/>
      <c r="B135" s="31" t="s">
        <v>46</v>
      </c>
      <c r="C135" s="31" t="s">
        <v>309</v>
      </c>
      <c r="D135" s="31" t="s">
        <v>335</v>
      </c>
      <c r="E135" s="31" t="s">
        <v>241</v>
      </c>
      <c r="F135" s="31" t="s">
        <v>242</v>
      </c>
      <c r="G135" s="31" t="s">
        <v>242</v>
      </c>
      <c r="H135" s="31" t="s">
        <v>243</v>
      </c>
      <c r="I135" s="31" t="b">
        <v>0</v>
      </c>
      <c r="J135" s="31">
        <v>35</v>
      </c>
      <c r="K135" s="31">
        <v>841.1</v>
      </c>
      <c r="L135" s="32">
        <v>208603871</v>
      </c>
      <c r="M135" s="32">
        <v>1100000076303650</v>
      </c>
      <c r="N135" s="31" t="s">
        <v>337</v>
      </c>
      <c r="O135" s="31"/>
    </row>
    <row r="136" spans="1:15">
      <c r="A136" s="31"/>
      <c r="B136" s="31" t="s">
        <v>95</v>
      </c>
      <c r="C136" s="31" t="s">
        <v>338</v>
      </c>
      <c r="D136" s="31" t="s">
        <v>335</v>
      </c>
      <c r="E136" s="31" t="s">
        <v>241</v>
      </c>
      <c r="F136" s="31" t="s">
        <v>242</v>
      </c>
      <c r="G136" s="31" t="s">
        <v>242</v>
      </c>
      <c r="H136" s="31" t="s">
        <v>243</v>
      </c>
      <c r="I136" s="31" t="b">
        <v>0</v>
      </c>
      <c r="J136" s="31">
        <v>49</v>
      </c>
      <c r="K136" s="31">
        <v>269.69</v>
      </c>
      <c r="L136" s="32">
        <v>208693336</v>
      </c>
      <c r="M136" s="32">
        <v>1100000077091561</v>
      </c>
      <c r="N136" s="31" t="s">
        <v>339</v>
      </c>
      <c r="O136" s="31"/>
    </row>
    <row r="137" spans="1:15">
      <c r="A137" s="31"/>
      <c r="B137" s="31" t="s">
        <v>95</v>
      </c>
      <c r="C137" s="31" t="s">
        <v>338</v>
      </c>
      <c r="D137" s="31" t="s">
        <v>335</v>
      </c>
      <c r="E137" s="31" t="s">
        <v>241</v>
      </c>
      <c r="F137" s="31" t="s">
        <v>242</v>
      </c>
      <c r="G137" s="31" t="s">
        <v>242</v>
      </c>
      <c r="H137" s="31" t="s">
        <v>243</v>
      </c>
      <c r="I137" s="31" t="b">
        <v>0</v>
      </c>
      <c r="J137" s="31">
        <v>51</v>
      </c>
      <c r="K137" s="31">
        <v>269.68</v>
      </c>
      <c r="L137" s="32">
        <v>208693335</v>
      </c>
      <c r="M137" s="32">
        <v>1100000077091561</v>
      </c>
      <c r="N137" s="31" t="s">
        <v>339</v>
      </c>
      <c r="O137" s="31"/>
    </row>
    <row r="138" spans="1:15">
      <c r="A138" s="31"/>
      <c r="B138" s="31" t="s">
        <v>95</v>
      </c>
      <c r="C138" s="31" t="s">
        <v>338</v>
      </c>
      <c r="D138" s="31" t="s">
        <v>340</v>
      </c>
      <c r="E138" s="31" t="s">
        <v>241</v>
      </c>
      <c r="F138" s="31" t="s">
        <v>242</v>
      </c>
      <c r="G138" s="31" t="s">
        <v>242</v>
      </c>
      <c r="H138" s="31" t="s">
        <v>243</v>
      </c>
      <c r="I138" s="31" t="b">
        <v>0</v>
      </c>
      <c r="J138" s="31">
        <v>30</v>
      </c>
      <c r="K138" s="31">
        <v>283.87</v>
      </c>
      <c r="L138" s="32">
        <v>208482585</v>
      </c>
      <c r="M138" s="32">
        <v>1100000073723147</v>
      </c>
      <c r="N138" s="31" t="s">
        <v>341</v>
      </c>
      <c r="O138" s="31"/>
    </row>
    <row r="139" spans="1:15">
      <c r="A139" s="31"/>
      <c r="B139" s="31" t="s">
        <v>95</v>
      </c>
      <c r="C139" s="31" t="s">
        <v>338</v>
      </c>
      <c r="D139" s="31" t="s">
        <v>340</v>
      </c>
      <c r="E139" s="31" t="s">
        <v>241</v>
      </c>
      <c r="F139" s="31" t="s">
        <v>242</v>
      </c>
      <c r="G139" s="31" t="s">
        <v>242</v>
      </c>
      <c r="H139" s="31" t="s">
        <v>243</v>
      </c>
      <c r="I139" s="31" t="b">
        <v>0</v>
      </c>
      <c r="J139" s="31">
        <v>146</v>
      </c>
      <c r="K139" s="31">
        <v>283.89</v>
      </c>
      <c r="L139" s="32">
        <v>208482586</v>
      </c>
      <c r="M139" s="32">
        <v>1100000073723147</v>
      </c>
      <c r="N139" s="31" t="s">
        <v>341</v>
      </c>
      <c r="O139" s="31"/>
    </row>
    <row r="140" spans="1:15">
      <c r="A140" s="31"/>
      <c r="B140" s="31" t="s">
        <v>342</v>
      </c>
      <c r="C140" s="31" t="s">
        <v>343</v>
      </c>
      <c r="D140" s="31" t="s">
        <v>344</v>
      </c>
      <c r="E140" s="31" t="s">
        <v>241</v>
      </c>
      <c r="F140" s="31" t="s">
        <v>242</v>
      </c>
      <c r="G140" s="31" t="s">
        <v>242</v>
      </c>
      <c r="H140" s="31" t="s">
        <v>243</v>
      </c>
      <c r="I140" s="31" t="b">
        <v>0</v>
      </c>
      <c r="J140" s="31">
        <v>7</v>
      </c>
      <c r="K140" s="31">
        <v>483.35</v>
      </c>
      <c r="L140" s="32">
        <v>207124675</v>
      </c>
      <c r="M140" s="32">
        <v>1100000062113123</v>
      </c>
      <c r="N140" s="31" t="s">
        <v>345</v>
      </c>
      <c r="O140" s="31"/>
    </row>
    <row r="141" spans="1:15">
      <c r="A141" s="31"/>
      <c r="B141" s="31" t="s">
        <v>342</v>
      </c>
      <c r="C141" s="31" t="s">
        <v>343</v>
      </c>
      <c r="D141" s="31" t="s">
        <v>344</v>
      </c>
      <c r="E141" s="31" t="s">
        <v>241</v>
      </c>
      <c r="F141" s="31" t="s">
        <v>242</v>
      </c>
      <c r="G141" s="31" t="s">
        <v>242</v>
      </c>
      <c r="H141" s="31" t="s">
        <v>243</v>
      </c>
      <c r="I141" s="31" t="b">
        <v>0</v>
      </c>
      <c r="J141" s="31">
        <v>153</v>
      </c>
      <c r="K141" s="31">
        <v>483.35</v>
      </c>
      <c r="L141" s="32">
        <v>207124677</v>
      </c>
      <c r="M141" s="32">
        <v>1100000062113123</v>
      </c>
      <c r="N141" s="31" t="s">
        <v>345</v>
      </c>
      <c r="O141" s="31"/>
    </row>
    <row r="142" spans="1:15">
      <c r="A142" s="31"/>
      <c r="B142" s="31" t="s">
        <v>342</v>
      </c>
      <c r="C142" s="31" t="s">
        <v>343</v>
      </c>
      <c r="D142" s="31" t="s">
        <v>344</v>
      </c>
      <c r="E142" s="31" t="s">
        <v>241</v>
      </c>
      <c r="F142" s="31" t="s">
        <v>242</v>
      </c>
      <c r="G142" s="31" t="s">
        <v>242</v>
      </c>
      <c r="H142" s="31" t="s">
        <v>243</v>
      </c>
      <c r="I142" s="31" t="b">
        <v>0</v>
      </c>
      <c r="J142" s="31">
        <v>45</v>
      </c>
      <c r="K142" s="31">
        <v>483.35</v>
      </c>
      <c r="L142" s="32">
        <v>207124676</v>
      </c>
      <c r="M142" s="32">
        <v>1100000062113123</v>
      </c>
      <c r="N142" s="31" t="s">
        <v>345</v>
      </c>
      <c r="O142" s="31"/>
    </row>
    <row r="143" spans="1:15">
      <c r="A143" s="31"/>
      <c r="B143" s="31" t="s">
        <v>346</v>
      </c>
      <c r="C143" s="31" t="s">
        <v>347</v>
      </c>
      <c r="D143" s="31" t="s">
        <v>344</v>
      </c>
      <c r="E143" s="31" t="s">
        <v>241</v>
      </c>
      <c r="F143" s="31" t="s">
        <v>242</v>
      </c>
      <c r="G143" s="31" t="s">
        <v>242</v>
      </c>
      <c r="H143" s="31" t="s">
        <v>243</v>
      </c>
      <c r="I143" s="31" t="b">
        <v>0</v>
      </c>
      <c r="J143" s="31">
        <v>10</v>
      </c>
      <c r="K143" s="31">
        <v>955.9</v>
      </c>
      <c r="L143" s="32">
        <v>5432380</v>
      </c>
      <c r="M143" s="32">
        <v>1000000052812081</v>
      </c>
      <c r="N143" s="31" t="s">
        <v>348</v>
      </c>
      <c r="O143" s="31"/>
    </row>
    <row r="144" spans="1:15">
      <c r="A144" s="31"/>
      <c r="B144" s="31" t="s">
        <v>346</v>
      </c>
      <c r="C144" s="31" t="s">
        <v>347</v>
      </c>
      <c r="D144" s="31" t="s">
        <v>344</v>
      </c>
      <c r="E144" s="31" t="s">
        <v>241</v>
      </c>
      <c r="F144" s="31" t="s">
        <v>242</v>
      </c>
      <c r="G144" s="31" t="s">
        <v>242</v>
      </c>
      <c r="H144" s="31" t="s">
        <v>243</v>
      </c>
      <c r="I144" s="31" t="b">
        <v>0</v>
      </c>
      <c r="J144" s="31">
        <v>9</v>
      </c>
      <c r="K144" s="31">
        <v>955.9</v>
      </c>
      <c r="L144" s="32">
        <v>5432379</v>
      </c>
      <c r="M144" s="32">
        <v>1000000052812081</v>
      </c>
      <c r="N144" s="31" t="s">
        <v>348</v>
      </c>
      <c r="O144" s="31"/>
    </row>
    <row r="145" spans="1:15">
      <c r="A145" s="31"/>
      <c r="B145" s="31" t="s">
        <v>346</v>
      </c>
      <c r="C145" s="31" t="s">
        <v>347</v>
      </c>
      <c r="D145" s="31" t="s">
        <v>344</v>
      </c>
      <c r="E145" s="31" t="s">
        <v>241</v>
      </c>
      <c r="F145" s="31" t="s">
        <v>242</v>
      </c>
      <c r="G145" s="31" t="s">
        <v>242</v>
      </c>
      <c r="H145" s="31" t="s">
        <v>243</v>
      </c>
      <c r="I145" s="31" t="b">
        <v>0</v>
      </c>
      <c r="J145" s="31">
        <v>8</v>
      </c>
      <c r="K145" s="31">
        <v>955.9</v>
      </c>
      <c r="L145" s="32">
        <v>5432381</v>
      </c>
      <c r="M145" s="32">
        <v>1000000052812081</v>
      </c>
      <c r="N145" s="31" t="s">
        <v>348</v>
      </c>
      <c r="O145" s="31"/>
    </row>
    <row r="146" spans="1:15">
      <c r="A146" s="31"/>
      <c r="B146" s="31" t="s">
        <v>346</v>
      </c>
      <c r="C146" s="31" t="s">
        <v>347</v>
      </c>
      <c r="D146" s="31" t="s">
        <v>344</v>
      </c>
      <c r="E146" s="31" t="s">
        <v>241</v>
      </c>
      <c r="F146" s="31" t="s">
        <v>242</v>
      </c>
      <c r="G146" s="31" t="s">
        <v>242</v>
      </c>
      <c r="H146" s="31" t="s">
        <v>243</v>
      </c>
      <c r="I146" s="31" t="b">
        <v>0</v>
      </c>
      <c r="J146" s="31">
        <v>5</v>
      </c>
      <c r="K146" s="31">
        <v>955.85</v>
      </c>
      <c r="L146" s="32">
        <v>5432376</v>
      </c>
      <c r="M146" s="32">
        <v>1000000052812081</v>
      </c>
      <c r="N146" s="31" t="s">
        <v>348</v>
      </c>
      <c r="O146" s="31"/>
    </row>
    <row r="147" spans="1:15">
      <c r="A147" s="31"/>
      <c r="B147" s="31" t="s">
        <v>346</v>
      </c>
      <c r="C147" s="31" t="s">
        <v>347</v>
      </c>
      <c r="D147" s="31" t="s">
        <v>344</v>
      </c>
      <c r="E147" s="31" t="s">
        <v>241</v>
      </c>
      <c r="F147" s="31" t="s">
        <v>242</v>
      </c>
      <c r="G147" s="31" t="s">
        <v>242</v>
      </c>
      <c r="H147" s="31" t="s">
        <v>243</v>
      </c>
      <c r="I147" s="31" t="b">
        <v>0</v>
      </c>
      <c r="J147" s="31">
        <v>10</v>
      </c>
      <c r="K147" s="31">
        <v>955.85</v>
      </c>
      <c r="L147" s="32">
        <v>5432378</v>
      </c>
      <c r="M147" s="32">
        <v>1000000052812081</v>
      </c>
      <c r="N147" s="31" t="s">
        <v>348</v>
      </c>
      <c r="O147" s="31"/>
    </row>
    <row r="148" spans="1:15">
      <c r="A148" s="31"/>
      <c r="B148" s="31" t="s">
        <v>349</v>
      </c>
      <c r="C148" s="31" t="s">
        <v>350</v>
      </c>
      <c r="D148" s="31" t="s">
        <v>344</v>
      </c>
      <c r="E148" s="31" t="s">
        <v>241</v>
      </c>
      <c r="F148" s="31" t="s">
        <v>242</v>
      </c>
      <c r="G148" s="31" t="s">
        <v>242</v>
      </c>
      <c r="H148" s="31" t="s">
        <v>243</v>
      </c>
      <c r="I148" s="31" t="b">
        <v>0</v>
      </c>
      <c r="J148" s="31">
        <v>82</v>
      </c>
      <c r="K148" s="31">
        <v>367.7</v>
      </c>
      <c r="L148" s="32">
        <v>5441880</v>
      </c>
      <c r="M148" s="32">
        <v>1000000052895910</v>
      </c>
      <c r="N148" s="31" t="s">
        <v>351</v>
      </c>
      <c r="O148" s="31"/>
    </row>
    <row r="149" spans="1:15">
      <c r="A149" s="31"/>
      <c r="B149" s="31" t="s">
        <v>352</v>
      </c>
      <c r="C149" s="31" t="s">
        <v>353</v>
      </c>
      <c r="D149" s="31" t="s">
        <v>344</v>
      </c>
      <c r="E149" s="31" t="s">
        <v>241</v>
      </c>
      <c r="F149" s="31" t="s">
        <v>242</v>
      </c>
      <c r="G149" s="31" t="s">
        <v>242</v>
      </c>
      <c r="H149" s="31" t="s">
        <v>243</v>
      </c>
      <c r="I149" s="31" t="b">
        <v>0</v>
      </c>
      <c r="J149" s="31">
        <v>70</v>
      </c>
      <c r="K149" s="31">
        <v>167.82</v>
      </c>
      <c r="L149" s="32">
        <v>207164289</v>
      </c>
      <c r="M149" s="32">
        <v>1100000062440946</v>
      </c>
      <c r="N149" s="31" t="s">
        <v>354</v>
      </c>
      <c r="O149" s="31"/>
    </row>
    <row r="150" spans="1:15">
      <c r="A150" s="31"/>
      <c r="B150" s="31" t="s">
        <v>352</v>
      </c>
      <c r="C150" s="31" t="s">
        <v>353</v>
      </c>
      <c r="D150" s="31" t="s">
        <v>344</v>
      </c>
      <c r="E150" s="31" t="s">
        <v>241</v>
      </c>
      <c r="F150" s="31" t="s">
        <v>242</v>
      </c>
      <c r="G150" s="31" t="s">
        <v>242</v>
      </c>
      <c r="H150" s="31" t="s">
        <v>243</v>
      </c>
      <c r="I150" s="31" t="b">
        <v>0</v>
      </c>
      <c r="J150" s="31">
        <v>50</v>
      </c>
      <c r="K150" s="31">
        <v>167.82</v>
      </c>
      <c r="L150" s="32">
        <v>207164288</v>
      </c>
      <c r="M150" s="32">
        <v>1100000062440946</v>
      </c>
      <c r="N150" s="31" t="s">
        <v>354</v>
      </c>
      <c r="O150" s="31"/>
    </row>
    <row r="151" spans="1:15">
      <c r="A151" s="31"/>
      <c r="B151" s="31" t="s">
        <v>355</v>
      </c>
      <c r="C151" s="31" t="s">
        <v>356</v>
      </c>
      <c r="D151" s="31" t="s">
        <v>344</v>
      </c>
      <c r="E151" s="31" t="s">
        <v>241</v>
      </c>
      <c r="F151" s="31" t="s">
        <v>242</v>
      </c>
      <c r="G151" s="31" t="s">
        <v>242</v>
      </c>
      <c r="H151" s="31" t="s">
        <v>243</v>
      </c>
      <c r="I151" s="31" t="b">
        <v>0</v>
      </c>
      <c r="J151" s="31">
        <v>3</v>
      </c>
      <c r="K151" s="31">
        <v>950.5</v>
      </c>
      <c r="L151" s="32">
        <v>607883603</v>
      </c>
      <c r="M151" s="32">
        <v>1300000067038500</v>
      </c>
      <c r="N151" s="31" t="s">
        <v>357</v>
      </c>
      <c r="O151" s="31"/>
    </row>
    <row r="152" spans="1:15">
      <c r="A152" s="31"/>
      <c r="B152" s="31" t="s">
        <v>355</v>
      </c>
      <c r="C152" s="31" t="s">
        <v>356</v>
      </c>
      <c r="D152" s="31" t="s">
        <v>344</v>
      </c>
      <c r="E152" s="31" t="s">
        <v>241</v>
      </c>
      <c r="F152" s="31" t="s">
        <v>242</v>
      </c>
      <c r="G152" s="31" t="s">
        <v>242</v>
      </c>
      <c r="H152" s="31" t="s">
        <v>243</v>
      </c>
      <c r="I152" s="31" t="b">
        <v>0</v>
      </c>
      <c r="J152" s="31">
        <v>1</v>
      </c>
      <c r="K152" s="31">
        <v>950.5</v>
      </c>
      <c r="L152" s="32">
        <v>607883614</v>
      </c>
      <c r="M152" s="32">
        <v>1300000067038500</v>
      </c>
      <c r="N152" s="31" t="s">
        <v>357</v>
      </c>
      <c r="O152" s="31"/>
    </row>
    <row r="153" spans="1:15">
      <c r="A153" s="31"/>
      <c r="B153" s="31" t="s">
        <v>355</v>
      </c>
      <c r="C153" s="31" t="s">
        <v>356</v>
      </c>
      <c r="D153" s="31" t="s">
        <v>344</v>
      </c>
      <c r="E153" s="31" t="s">
        <v>241</v>
      </c>
      <c r="F153" s="31" t="s">
        <v>242</v>
      </c>
      <c r="G153" s="31" t="s">
        <v>242</v>
      </c>
      <c r="H153" s="31" t="s">
        <v>243</v>
      </c>
      <c r="I153" s="31" t="b">
        <v>0</v>
      </c>
      <c r="J153" s="31">
        <v>5</v>
      </c>
      <c r="K153" s="31">
        <v>950.5</v>
      </c>
      <c r="L153" s="32">
        <v>607883619</v>
      </c>
      <c r="M153" s="32">
        <v>1300000067038500</v>
      </c>
      <c r="N153" s="31" t="s">
        <v>357</v>
      </c>
      <c r="O153" s="31"/>
    </row>
    <row r="154" spans="1:15">
      <c r="A154" s="31"/>
      <c r="B154" s="31" t="s">
        <v>358</v>
      </c>
      <c r="C154" s="31" t="s">
        <v>359</v>
      </c>
      <c r="D154" s="31" t="s">
        <v>344</v>
      </c>
      <c r="E154" s="31" t="s">
        <v>241</v>
      </c>
      <c r="F154" s="31" t="s">
        <v>242</v>
      </c>
      <c r="G154" s="31" t="s">
        <v>242</v>
      </c>
      <c r="H154" s="31" t="s">
        <v>243</v>
      </c>
      <c r="I154" s="31" t="b">
        <v>0</v>
      </c>
      <c r="J154" s="31">
        <v>260</v>
      </c>
      <c r="K154" s="31">
        <v>292.10000000000002</v>
      </c>
      <c r="L154" s="32">
        <v>5467966</v>
      </c>
      <c r="M154" s="32">
        <v>1000000053096238</v>
      </c>
      <c r="N154" s="31" t="s">
        <v>360</v>
      </c>
      <c r="O154" s="31"/>
    </row>
    <row r="155" spans="1:15">
      <c r="A155" s="31"/>
      <c r="B155" s="31" t="s">
        <v>69</v>
      </c>
      <c r="C155" s="31" t="s">
        <v>361</v>
      </c>
      <c r="D155" s="31" t="s">
        <v>344</v>
      </c>
      <c r="E155" s="31" t="s">
        <v>241</v>
      </c>
      <c r="F155" s="31" t="s">
        <v>242</v>
      </c>
      <c r="G155" s="31" t="s">
        <v>242</v>
      </c>
      <c r="H155" s="31" t="s">
        <v>243</v>
      </c>
      <c r="I155" s="31" t="b">
        <v>0</v>
      </c>
      <c r="J155" s="31">
        <v>121</v>
      </c>
      <c r="K155" s="31">
        <v>238.41</v>
      </c>
      <c r="L155" s="32">
        <v>207221970</v>
      </c>
      <c r="M155" s="32">
        <v>1100000062851302</v>
      </c>
      <c r="N155" s="31" t="s">
        <v>362</v>
      </c>
      <c r="O155" s="31"/>
    </row>
    <row r="156" spans="1:15">
      <c r="A156" s="31"/>
      <c r="B156" s="31" t="s">
        <v>69</v>
      </c>
      <c r="C156" s="31" t="s">
        <v>361</v>
      </c>
      <c r="D156" s="31" t="s">
        <v>344</v>
      </c>
      <c r="E156" s="31" t="s">
        <v>241</v>
      </c>
      <c r="F156" s="31" t="s">
        <v>242</v>
      </c>
      <c r="G156" s="31" t="s">
        <v>242</v>
      </c>
      <c r="H156" s="31" t="s">
        <v>243</v>
      </c>
      <c r="I156" s="31" t="b">
        <v>0</v>
      </c>
      <c r="J156" s="31">
        <v>11</v>
      </c>
      <c r="K156" s="31">
        <v>238.41</v>
      </c>
      <c r="L156" s="32">
        <v>207221969</v>
      </c>
      <c r="M156" s="32">
        <v>1100000062851302</v>
      </c>
      <c r="N156" s="31" t="s">
        <v>362</v>
      </c>
      <c r="O156" s="31"/>
    </row>
    <row r="157" spans="1:15">
      <c r="A157" s="31"/>
      <c r="B157" s="31" t="s">
        <v>69</v>
      </c>
      <c r="C157" s="31" t="s">
        <v>361</v>
      </c>
      <c r="D157" s="31" t="s">
        <v>344</v>
      </c>
      <c r="E157" s="31" t="s">
        <v>241</v>
      </c>
      <c r="F157" s="31" t="s">
        <v>242</v>
      </c>
      <c r="G157" s="31" t="s">
        <v>242</v>
      </c>
      <c r="H157" s="31" t="s">
        <v>243</v>
      </c>
      <c r="I157" s="31" t="b">
        <v>0</v>
      </c>
      <c r="J157" s="31">
        <v>78</v>
      </c>
      <c r="K157" s="31">
        <v>238.41</v>
      </c>
      <c r="L157" s="32">
        <v>207221971</v>
      </c>
      <c r="M157" s="32">
        <v>1100000062851302</v>
      </c>
      <c r="N157" s="31" t="s">
        <v>362</v>
      </c>
      <c r="O157" s="31"/>
    </row>
    <row r="158" spans="1:15">
      <c r="A158" s="31"/>
      <c r="B158" s="31" t="s">
        <v>328</v>
      </c>
      <c r="C158" s="31" t="s">
        <v>329</v>
      </c>
      <c r="D158" s="31" t="s">
        <v>363</v>
      </c>
      <c r="E158" s="31" t="s">
        <v>241</v>
      </c>
      <c r="F158" s="31" t="s">
        <v>242</v>
      </c>
      <c r="G158" s="31" t="s">
        <v>242</v>
      </c>
      <c r="H158" s="31" t="s">
        <v>294</v>
      </c>
      <c r="I158" s="31" t="b">
        <v>0</v>
      </c>
      <c r="J158" s="31">
        <v>16</v>
      </c>
      <c r="K158" s="31">
        <v>304.75</v>
      </c>
      <c r="L158" s="32">
        <v>200847283</v>
      </c>
      <c r="M158" s="32">
        <v>1100000006789695</v>
      </c>
      <c r="N158" s="31" t="s">
        <v>364</v>
      </c>
      <c r="O158" s="31"/>
    </row>
    <row r="159" spans="1:15">
      <c r="A159" s="31"/>
      <c r="B159" s="31" t="s">
        <v>328</v>
      </c>
      <c r="C159" s="31" t="s">
        <v>329</v>
      </c>
      <c r="D159" s="31" t="s">
        <v>363</v>
      </c>
      <c r="E159" s="31" t="s">
        <v>241</v>
      </c>
      <c r="F159" s="31" t="s">
        <v>242</v>
      </c>
      <c r="G159" s="31" t="s">
        <v>242</v>
      </c>
      <c r="H159" s="31" t="s">
        <v>294</v>
      </c>
      <c r="I159" s="31" t="b">
        <v>0</v>
      </c>
      <c r="J159" s="31">
        <v>56</v>
      </c>
      <c r="K159" s="31">
        <v>304.75</v>
      </c>
      <c r="L159" s="32">
        <v>200847285</v>
      </c>
      <c r="M159" s="32">
        <v>1100000006789695</v>
      </c>
      <c r="N159" s="31" t="s">
        <v>364</v>
      </c>
      <c r="O159" s="31"/>
    </row>
    <row r="160" spans="1:15">
      <c r="A160" s="31"/>
      <c r="B160" s="31" t="s">
        <v>328</v>
      </c>
      <c r="C160" s="31" t="s">
        <v>329</v>
      </c>
      <c r="D160" s="31" t="s">
        <v>363</v>
      </c>
      <c r="E160" s="31" t="s">
        <v>241</v>
      </c>
      <c r="F160" s="31" t="s">
        <v>242</v>
      </c>
      <c r="G160" s="31" t="s">
        <v>242</v>
      </c>
      <c r="H160" s="31" t="s">
        <v>294</v>
      </c>
      <c r="I160" s="31" t="b">
        <v>0</v>
      </c>
      <c r="J160" s="31">
        <v>3</v>
      </c>
      <c r="K160" s="31">
        <v>304.75</v>
      </c>
      <c r="L160" s="32">
        <v>200847284</v>
      </c>
      <c r="M160" s="32">
        <v>1100000006789695</v>
      </c>
      <c r="N160" s="31" t="s">
        <v>364</v>
      </c>
      <c r="O160" s="31"/>
    </row>
    <row r="161" spans="1:15">
      <c r="A161" s="31"/>
      <c r="B161" s="31" t="s">
        <v>257</v>
      </c>
      <c r="C161" s="31" t="s">
        <v>258</v>
      </c>
      <c r="D161" s="31" t="s">
        <v>365</v>
      </c>
      <c r="E161" s="31" t="s">
        <v>241</v>
      </c>
      <c r="F161" s="31" t="s">
        <v>242</v>
      </c>
      <c r="G161" s="31" t="s">
        <v>242</v>
      </c>
      <c r="H161" s="31" t="s">
        <v>294</v>
      </c>
      <c r="I161" s="31" t="b">
        <v>0</v>
      </c>
      <c r="J161" s="31">
        <v>19</v>
      </c>
      <c r="K161" s="31">
        <v>4056.8</v>
      </c>
      <c r="L161" s="32">
        <v>206418034</v>
      </c>
      <c r="M161" s="32">
        <v>1100000055343086</v>
      </c>
      <c r="N161" s="31" t="s">
        <v>366</v>
      </c>
      <c r="O161" s="31"/>
    </row>
    <row r="162" spans="1:15">
      <c r="A162" s="31"/>
      <c r="B162" s="31" t="s">
        <v>260</v>
      </c>
      <c r="C162" s="31"/>
      <c r="D162" s="31" t="s">
        <v>365</v>
      </c>
      <c r="E162" s="31" t="s">
        <v>75</v>
      </c>
      <c r="F162" s="31" t="s">
        <v>242</v>
      </c>
      <c r="G162" s="31" t="s">
        <v>300</v>
      </c>
      <c r="H162" s="31" t="s">
        <v>294</v>
      </c>
      <c r="I162" s="31" t="b">
        <v>0</v>
      </c>
      <c r="J162" s="31">
        <v>160</v>
      </c>
      <c r="K162" s="31">
        <v>482.77499999999998</v>
      </c>
      <c r="L162" s="32">
        <v>6267600</v>
      </c>
      <c r="M162" s="32">
        <v>1.762844334102753E+18</v>
      </c>
      <c r="N162" s="31" t="s">
        <v>367</v>
      </c>
      <c r="O162" s="31"/>
    </row>
    <row r="163" spans="1:15">
      <c r="A163" s="31"/>
      <c r="B163" s="31" t="s">
        <v>260</v>
      </c>
      <c r="C163" s="31"/>
      <c r="D163" s="31" t="s">
        <v>365</v>
      </c>
      <c r="E163" s="31" t="s">
        <v>75</v>
      </c>
      <c r="F163" s="31" t="s">
        <v>242</v>
      </c>
      <c r="G163" s="31" t="s">
        <v>300</v>
      </c>
      <c r="H163" s="31" t="s">
        <v>294</v>
      </c>
      <c r="I163" s="31" t="b">
        <v>0</v>
      </c>
      <c r="J163" s="31">
        <v>8</v>
      </c>
      <c r="K163" s="31">
        <v>482.3125</v>
      </c>
      <c r="L163" s="32">
        <v>6267800</v>
      </c>
      <c r="M163" s="32">
        <v>1.762844334102753E+18</v>
      </c>
      <c r="N163" s="31" t="s">
        <v>367</v>
      </c>
      <c r="O163" s="31"/>
    </row>
    <row r="164" spans="1:15">
      <c r="A164" s="31"/>
      <c r="B164" s="31" t="s">
        <v>68</v>
      </c>
      <c r="C164" s="31" t="s">
        <v>239</v>
      </c>
      <c r="D164" s="31" t="s">
        <v>368</v>
      </c>
      <c r="E164" s="31" t="s">
        <v>241</v>
      </c>
      <c r="F164" s="31" t="s">
        <v>242</v>
      </c>
      <c r="G164" s="31" t="s">
        <v>242</v>
      </c>
      <c r="H164" s="31" t="s">
        <v>243</v>
      </c>
      <c r="I164" s="31" t="b">
        <v>0</v>
      </c>
      <c r="J164" s="31">
        <v>5</v>
      </c>
      <c r="K164" s="31">
        <v>7775.5</v>
      </c>
      <c r="L164" s="32">
        <v>402401951</v>
      </c>
      <c r="M164" s="32">
        <v>1200000022006382</v>
      </c>
      <c r="N164" s="31" t="s">
        <v>369</v>
      </c>
      <c r="O164" s="31"/>
    </row>
    <row r="165" spans="1:15">
      <c r="A165" s="31"/>
      <c r="B165" s="31" t="s">
        <v>68</v>
      </c>
      <c r="C165" s="31" t="s">
        <v>239</v>
      </c>
      <c r="D165" s="31" t="s">
        <v>368</v>
      </c>
      <c r="E165" s="31" t="s">
        <v>241</v>
      </c>
      <c r="F165" s="31" t="s">
        <v>242</v>
      </c>
      <c r="G165" s="31" t="s">
        <v>242</v>
      </c>
      <c r="H165" s="31" t="s">
        <v>243</v>
      </c>
      <c r="I165" s="31" t="b">
        <v>0</v>
      </c>
      <c r="J165" s="31">
        <v>1</v>
      </c>
      <c r="K165" s="31">
        <v>7773.5</v>
      </c>
      <c r="L165" s="32">
        <v>402401948</v>
      </c>
      <c r="M165" s="32">
        <v>1200000022006382</v>
      </c>
      <c r="N165" s="31" t="s">
        <v>369</v>
      </c>
      <c r="O165" s="31"/>
    </row>
    <row r="166" spans="1:15">
      <c r="A166" s="31"/>
      <c r="B166" s="31" t="s">
        <v>68</v>
      </c>
      <c r="C166" s="31" t="s">
        <v>239</v>
      </c>
      <c r="D166" s="31" t="s">
        <v>368</v>
      </c>
      <c r="E166" s="31" t="s">
        <v>241</v>
      </c>
      <c r="F166" s="31" t="s">
        <v>242</v>
      </c>
      <c r="G166" s="31" t="s">
        <v>242</v>
      </c>
      <c r="H166" s="31" t="s">
        <v>243</v>
      </c>
      <c r="I166" s="31" t="b">
        <v>0</v>
      </c>
      <c r="J166" s="31">
        <v>1</v>
      </c>
      <c r="K166" s="31">
        <v>7775.5</v>
      </c>
      <c r="L166" s="32">
        <v>402401949</v>
      </c>
      <c r="M166" s="32">
        <v>1200000022006382</v>
      </c>
      <c r="N166" s="31" t="s">
        <v>369</v>
      </c>
      <c r="O166" s="31"/>
    </row>
    <row r="167" spans="1:15">
      <c r="A167" s="31"/>
      <c r="B167" s="31" t="s">
        <v>68</v>
      </c>
      <c r="C167" s="31" t="s">
        <v>239</v>
      </c>
      <c r="D167" s="31" t="s">
        <v>368</v>
      </c>
      <c r="E167" s="31" t="s">
        <v>241</v>
      </c>
      <c r="F167" s="31" t="s">
        <v>242</v>
      </c>
      <c r="G167" s="31" t="s">
        <v>242</v>
      </c>
      <c r="H167" s="31" t="s">
        <v>243</v>
      </c>
      <c r="I167" s="31" t="b">
        <v>0</v>
      </c>
      <c r="J167" s="31">
        <v>3</v>
      </c>
      <c r="K167" s="31">
        <v>7775.5</v>
      </c>
      <c r="L167" s="32">
        <v>402401950</v>
      </c>
      <c r="M167" s="32">
        <v>1200000022006382</v>
      </c>
      <c r="N167" s="31" t="s">
        <v>369</v>
      </c>
      <c r="O167" s="31"/>
    </row>
    <row r="168" spans="1:15">
      <c r="A168" s="31"/>
      <c r="B168" s="31" t="s">
        <v>68</v>
      </c>
      <c r="C168" s="31" t="s">
        <v>239</v>
      </c>
      <c r="D168" s="31" t="s">
        <v>368</v>
      </c>
      <c r="E168" s="31" t="s">
        <v>241</v>
      </c>
      <c r="F168" s="31" t="s">
        <v>242</v>
      </c>
      <c r="G168" s="31" t="s">
        <v>242</v>
      </c>
      <c r="H168" s="31" t="s">
        <v>243</v>
      </c>
      <c r="I168" s="31" t="b">
        <v>0</v>
      </c>
      <c r="J168" s="31">
        <v>2</v>
      </c>
      <c r="K168" s="31">
        <v>7776</v>
      </c>
      <c r="L168" s="32">
        <v>402401953</v>
      </c>
      <c r="M168" s="32">
        <v>1200000022006382</v>
      </c>
      <c r="N168" s="31" t="s">
        <v>369</v>
      </c>
      <c r="O168" s="31"/>
    </row>
    <row r="169" spans="1:15">
      <c r="A169" s="31"/>
      <c r="B169" s="31" t="s">
        <v>305</v>
      </c>
      <c r="C169" s="31" t="s">
        <v>306</v>
      </c>
      <c r="D169" s="31" t="s">
        <v>370</v>
      </c>
      <c r="E169" s="31" t="s">
        <v>241</v>
      </c>
      <c r="F169" s="31" t="s">
        <v>242</v>
      </c>
      <c r="G169" s="31" t="s">
        <v>242</v>
      </c>
      <c r="H169" s="31" t="s">
        <v>243</v>
      </c>
      <c r="I169" s="31" t="b">
        <v>0</v>
      </c>
      <c r="J169" s="31">
        <v>1</v>
      </c>
      <c r="K169" s="31">
        <v>268.67</v>
      </c>
      <c r="L169" s="32">
        <v>406381643</v>
      </c>
      <c r="M169" s="32">
        <v>1200000064459364</v>
      </c>
      <c r="N169" s="31" t="s">
        <v>371</v>
      </c>
      <c r="O169" s="31"/>
    </row>
    <row r="170" spans="1:15">
      <c r="A170" s="31"/>
      <c r="B170" s="31" t="s">
        <v>305</v>
      </c>
      <c r="C170" s="31" t="s">
        <v>306</v>
      </c>
      <c r="D170" s="31" t="s">
        <v>370</v>
      </c>
      <c r="E170" s="31" t="s">
        <v>241</v>
      </c>
      <c r="F170" s="31" t="s">
        <v>242</v>
      </c>
      <c r="G170" s="31" t="s">
        <v>242</v>
      </c>
      <c r="H170" s="31" t="s">
        <v>243</v>
      </c>
      <c r="I170" s="31" t="b">
        <v>0</v>
      </c>
      <c r="J170" s="31">
        <v>99</v>
      </c>
      <c r="K170" s="31">
        <v>268.67</v>
      </c>
      <c r="L170" s="32">
        <v>406381642</v>
      </c>
      <c r="M170" s="32">
        <v>1200000064459364</v>
      </c>
      <c r="N170" s="31" t="s">
        <v>371</v>
      </c>
      <c r="O170" s="31"/>
    </row>
    <row r="171" spans="1:15">
      <c r="A171" s="31"/>
      <c r="B171" s="31" t="s">
        <v>372</v>
      </c>
      <c r="C171" s="31"/>
      <c r="D171" s="31" t="s">
        <v>373</v>
      </c>
      <c r="E171" s="31" t="s">
        <v>241</v>
      </c>
      <c r="F171" s="31" t="s">
        <v>242</v>
      </c>
      <c r="G171" s="31" t="s">
        <v>242</v>
      </c>
      <c r="H171" s="31" t="s">
        <v>243</v>
      </c>
      <c r="I171" s="31" t="b">
        <v>0</v>
      </c>
      <c r="J171" s="31">
        <v>13</v>
      </c>
      <c r="K171" s="31">
        <v>1393.8</v>
      </c>
      <c r="L171" s="32">
        <v>2834568</v>
      </c>
      <c r="M171" s="32">
        <v>1000000026298057</v>
      </c>
      <c r="N171" s="31" t="s">
        <v>374</v>
      </c>
      <c r="O171" s="31"/>
    </row>
    <row r="172" spans="1:15">
      <c r="A172" s="31"/>
      <c r="B172" s="31" t="s">
        <v>372</v>
      </c>
      <c r="C172" s="31"/>
      <c r="D172" s="31" t="s">
        <v>373</v>
      </c>
      <c r="E172" s="31" t="s">
        <v>241</v>
      </c>
      <c r="F172" s="31" t="s">
        <v>242</v>
      </c>
      <c r="G172" s="31" t="s">
        <v>242</v>
      </c>
      <c r="H172" s="31" t="s">
        <v>243</v>
      </c>
      <c r="I172" s="31" t="b">
        <v>0</v>
      </c>
      <c r="J172" s="31">
        <v>23</v>
      </c>
      <c r="K172" s="31">
        <v>1393.8</v>
      </c>
      <c r="L172" s="32">
        <v>2834567</v>
      </c>
      <c r="M172" s="32">
        <v>1000000026298057</v>
      </c>
      <c r="N172" s="31" t="s">
        <v>374</v>
      </c>
      <c r="O172" s="31"/>
    </row>
    <row r="173" spans="1:15">
      <c r="A173" s="31"/>
      <c r="B173" s="31" t="s">
        <v>375</v>
      </c>
      <c r="C173" s="31"/>
      <c r="D173" s="31" t="s">
        <v>373</v>
      </c>
      <c r="E173" s="31" t="s">
        <v>241</v>
      </c>
      <c r="F173" s="31" t="s">
        <v>242</v>
      </c>
      <c r="G173" s="31" t="s">
        <v>242</v>
      </c>
      <c r="H173" s="31" t="s">
        <v>243</v>
      </c>
      <c r="I173" s="31" t="b">
        <v>0</v>
      </c>
      <c r="J173" s="31">
        <v>2</v>
      </c>
      <c r="K173" s="31">
        <v>4514.2997999999998</v>
      </c>
      <c r="L173" s="32">
        <v>604224003</v>
      </c>
      <c r="M173" s="32">
        <v>1300000032610706</v>
      </c>
      <c r="N173" s="31" t="s">
        <v>376</v>
      </c>
      <c r="O173" s="31"/>
    </row>
    <row r="174" spans="1:15">
      <c r="A174" s="31"/>
      <c r="B174" s="31" t="s">
        <v>375</v>
      </c>
      <c r="C174" s="31"/>
      <c r="D174" s="31" t="s">
        <v>373</v>
      </c>
      <c r="E174" s="31" t="s">
        <v>241</v>
      </c>
      <c r="F174" s="31" t="s">
        <v>242</v>
      </c>
      <c r="G174" s="31" t="s">
        <v>242</v>
      </c>
      <c r="H174" s="31" t="s">
        <v>243</v>
      </c>
      <c r="I174" s="31" t="b">
        <v>0</v>
      </c>
      <c r="J174" s="31">
        <v>2</v>
      </c>
      <c r="K174" s="31">
        <v>4514.7002000000002</v>
      </c>
      <c r="L174" s="32">
        <v>604224005</v>
      </c>
      <c r="M174" s="32">
        <v>1300000032610706</v>
      </c>
      <c r="N174" s="31" t="s">
        <v>376</v>
      </c>
      <c r="O174" s="31"/>
    </row>
    <row r="175" spans="1:15">
      <c r="A175" s="31"/>
      <c r="B175" s="31" t="s">
        <v>375</v>
      </c>
      <c r="C175" s="31"/>
      <c r="D175" s="31" t="s">
        <v>373</v>
      </c>
      <c r="E175" s="31" t="s">
        <v>241</v>
      </c>
      <c r="F175" s="31" t="s">
        <v>242</v>
      </c>
      <c r="G175" s="31" t="s">
        <v>242</v>
      </c>
      <c r="H175" s="31" t="s">
        <v>243</v>
      </c>
      <c r="I175" s="31" t="b">
        <v>0</v>
      </c>
      <c r="J175" s="31">
        <v>4</v>
      </c>
      <c r="K175" s="31">
        <v>4512.5</v>
      </c>
      <c r="L175" s="32">
        <v>604224002</v>
      </c>
      <c r="M175" s="32">
        <v>1300000032610706</v>
      </c>
      <c r="N175" s="31" t="s">
        <v>376</v>
      </c>
      <c r="O175" s="31"/>
    </row>
    <row r="176" spans="1:15">
      <c r="A176" s="31"/>
      <c r="B176" s="31" t="s">
        <v>375</v>
      </c>
      <c r="C176" s="31"/>
      <c r="D176" s="31" t="s">
        <v>373</v>
      </c>
      <c r="E176" s="31" t="s">
        <v>241</v>
      </c>
      <c r="F176" s="31" t="s">
        <v>242</v>
      </c>
      <c r="G176" s="31" t="s">
        <v>242</v>
      </c>
      <c r="H176" s="31" t="s">
        <v>243</v>
      </c>
      <c r="I176" s="31" t="b">
        <v>0</v>
      </c>
      <c r="J176" s="31">
        <v>3</v>
      </c>
      <c r="K176" s="31">
        <v>4514.3999000000003</v>
      </c>
      <c r="L176" s="32">
        <v>604224004</v>
      </c>
      <c r="M176" s="32">
        <v>1300000032610706</v>
      </c>
      <c r="N176" s="31" t="s">
        <v>376</v>
      </c>
      <c r="O176" s="31"/>
    </row>
    <row r="177" spans="1:15">
      <c r="A177" s="31"/>
      <c r="B177" s="31" t="s">
        <v>375</v>
      </c>
      <c r="C177" s="31" t="s">
        <v>377</v>
      </c>
      <c r="D177" s="31" t="s">
        <v>378</v>
      </c>
      <c r="E177" s="31" t="s">
        <v>241</v>
      </c>
      <c r="F177" s="31" t="s">
        <v>242</v>
      </c>
      <c r="G177" s="31" t="s">
        <v>242</v>
      </c>
      <c r="H177" s="31" t="s">
        <v>243</v>
      </c>
      <c r="I177" s="31" t="b">
        <v>0</v>
      </c>
      <c r="J177" s="31">
        <v>3</v>
      </c>
      <c r="K177" s="31">
        <v>4712.1000999999997</v>
      </c>
      <c r="L177" s="32">
        <v>605255054</v>
      </c>
      <c r="M177" s="32">
        <v>1300000045811742</v>
      </c>
      <c r="N177" s="31" t="s">
        <v>379</v>
      </c>
      <c r="O177" s="31"/>
    </row>
    <row r="178" spans="1:15">
      <c r="A178" s="31"/>
      <c r="B178" s="31" t="s">
        <v>375</v>
      </c>
      <c r="C178" s="31" t="s">
        <v>377</v>
      </c>
      <c r="D178" s="31" t="s">
        <v>378</v>
      </c>
      <c r="E178" s="31" t="s">
        <v>241</v>
      </c>
      <c r="F178" s="31" t="s">
        <v>242</v>
      </c>
      <c r="G178" s="31" t="s">
        <v>242</v>
      </c>
      <c r="H178" s="31" t="s">
        <v>243</v>
      </c>
      <c r="I178" s="31" t="b">
        <v>0</v>
      </c>
      <c r="J178" s="31">
        <v>4</v>
      </c>
      <c r="K178" s="31">
        <v>4712</v>
      </c>
      <c r="L178" s="32">
        <v>605255052</v>
      </c>
      <c r="M178" s="32">
        <v>1300000045811742</v>
      </c>
      <c r="N178" s="31" t="s">
        <v>379</v>
      </c>
      <c r="O178" s="31"/>
    </row>
    <row r="179" spans="1:15">
      <c r="A179" s="31"/>
      <c r="B179" s="31" t="s">
        <v>375</v>
      </c>
      <c r="C179" s="31" t="s">
        <v>377</v>
      </c>
      <c r="D179" s="31" t="s">
        <v>378</v>
      </c>
      <c r="E179" s="31" t="s">
        <v>241</v>
      </c>
      <c r="F179" s="31" t="s">
        <v>242</v>
      </c>
      <c r="G179" s="31" t="s">
        <v>242</v>
      </c>
      <c r="H179" s="31" t="s">
        <v>243</v>
      </c>
      <c r="I179" s="31" t="b">
        <v>0</v>
      </c>
      <c r="J179" s="31">
        <v>2</v>
      </c>
      <c r="K179" s="31">
        <v>4712.1000999999997</v>
      </c>
      <c r="L179" s="32">
        <v>605255053</v>
      </c>
      <c r="M179" s="32">
        <v>1300000045811742</v>
      </c>
      <c r="N179" s="31" t="s">
        <v>379</v>
      </c>
      <c r="O179" s="31"/>
    </row>
    <row r="180" spans="1:15">
      <c r="A180" s="31"/>
      <c r="B180" s="31" t="s">
        <v>375</v>
      </c>
      <c r="C180" s="31" t="s">
        <v>377</v>
      </c>
      <c r="D180" s="31" t="s">
        <v>378</v>
      </c>
      <c r="E180" s="31" t="s">
        <v>241</v>
      </c>
      <c r="F180" s="31" t="s">
        <v>242</v>
      </c>
      <c r="G180" s="31" t="s">
        <v>242</v>
      </c>
      <c r="H180" s="31" t="s">
        <v>243</v>
      </c>
      <c r="I180" s="31" t="b">
        <v>0</v>
      </c>
      <c r="J180" s="31">
        <v>2</v>
      </c>
      <c r="K180" s="31">
        <v>4711.8999000000003</v>
      </c>
      <c r="L180" s="32">
        <v>605255051</v>
      </c>
      <c r="M180" s="32">
        <v>1300000045811742</v>
      </c>
      <c r="N180" s="31" t="s">
        <v>379</v>
      </c>
      <c r="O180" s="31"/>
    </row>
    <row r="181" spans="1:15">
      <c r="A181" s="31"/>
      <c r="B181" s="31" t="s">
        <v>69</v>
      </c>
      <c r="C181" s="31" t="s">
        <v>361</v>
      </c>
      <c r="D181" s="31" t="s">
        <v>378</v>
      </c>
      <c r="E181" s="31" t="s">
        <v>241</v>
      </c>
      <c r="F181" s="31" t="s">
        <v>242</v>
      </c>
      <c r="G181" s="31" t="s">
        <v>242</v>
      </c>
      <c r="H181" s="31" t="s">
        <v>243</v>
      </c>
      <c r="I181" s="31" t="b">
        <v>0</v>
      </c>
      <c r="J181" s="31">
        <v>108</v>
      </c>
      <c r="K181" s="31">
        <v>246.27</v>
      </c>
      <c r="L181" s="32">
        <v>206412972</v>
      </c>
      <c r="M181" s="32">
        <v>1100000054184602</v>
      </c>
      <c r="N181" s="31" t="s">
        <v>380</v>
      </c>
      <c r="O181" s="31"/>
    </row>
    <row r="182" spans="1:15">
      <c r="A182" s="31"/>
      <c r="B182" s="31" t="s">
        <v>69</v>
      </c>
      <c r="C182" s="31" t="s">
        <v>361</v>
      </c>
      <c r="D182" s="31" t="s">
        <v>378</v>
      </c>
      <c r="E182" s="31" t="s">
        <v>241</v>
      </c>
      <c r="F182" s="31" t="s">
        <v>242</v>
      </c>
      <c r="G182" s="31" t="s">
        <v>242</v>
      </c>
      <c r="H182" s="31" t="s">
        <v>243</v>
      </c>
      <c r="I182" s="31" t="b">
        <v>0</v>
      </c>
      <c r="J182" s="31">
        <v>96</v>
      </c>
      <c r="K182" s="31">
        <v>246.28</v>
      </c>
      <c r="L182" s="32">
        <v>206412973</v>
      </c>
      <c r="M182" s="32">
        <v>1100000054184602</v>
      </c>
      <c r="N182" s="31" t="s">
        <v>380</v>
      </c>
      <c r="O182" s="31"/>
    </row>
    <row r="183" spans="1:15">
      <c r="A183" s="31"/>
      <c r="B183" s="31" t="s">
        <v>69</v>
      </c>
      <c r="C183" s="31" t="s">
        <v>361</v>
      </c>
      <c r="D183" s="31" t="s">
        <v>381</v>
      </c>
      <c r="E183" s="31" t="s">
        <v>241</v>
      </c>
      <c r="F183" s="31" t="s">
        <v>242</v>
      </c>
      <c r="G183" s="31" t="s">
        <v>242</v>
      </c>
      <c r="H183" s="31" t="s">
        <v>243</v>
      </c>
      <c r="I183" s="31" t="b">
        <v>0</v>
      </c>
      <c r="J183" s="31">
        <v>14</v>
      </c>
      <c r="K183" s="31">
        <v>257.70999999999998</v>
      </c>
      <c r="L183" s="32">
        <v>205976622</v>
      </c>
      <c r="M183" s="32">
        <v>1100000056648477</v>
      </c>
      <c r="N183" s="31" t="s">
        <v>382</v>
      </c>
      <c r="O183" s="31"/>
    </row>
    <row r="184" spans="1:15">
      <c r="A184" s="31"/>
      <c r="B184" s="31" t="s">
        <v>69</v>
      </c>
      <c r="C184" s="31" t="s">
        <v>361</v>
      </c>
      <c r="D184" s="31" t="s">
        <v>381</v>
      </c>
      <c r="E184" s="31" t="s">
        <v>241</v>
      </c>
      <c r="F184" s="31" t="s">
        <v>242</v>
      </c>
      <c r="G184" s="31" t="s">
        <v>242</v>
      </c>
      <c r="H184" s="31" t="s">
        <v>243</v>
      </c>
      <c r="I184" s="31" t="b">
        <v>0</v>
      </c>
      <c r="J184" s="31">
        <v>250</v>
      </c>
      <c r="K184" s="31">
        <v>257.7</v>
      </c>
      <c r="L184" s="32">
        <v>205976620</v>
      </c>
      <c r="M184" s="32">
        <v>1100000056648477</v>
      </c>
      <c r="N184" s="31" t="s">
        <v>382</v>
      </c>
      <c r="O184" s="31"/>
    </row>
    <row r="185" spans="1:15">
      <c r="A185" s="31"/>
      <c r="B185" s="31" t="s">
        <v>69</v>
      </c>
      <c r="C185" s="31" t="s">
        <v>361</v>
      </c>
      <c r="D185" s="31" t="s">
        <v>381</v>
      </c>
      <c r="E185" s="31" t="s">
        <v>241</v>
      </c>
      <c r="F185" s="31" t="s">
        <v>242</v>
      </c>
      <c r="G185" s="31" t="s">
        <v>242</v>
      </c>
      <c r="H185" s="31" t="s">
        <v>243</v>
      </c>
      <c r="I185" s="31" t="b">
        <v>0</v>
      </c>
      <c r="J185" s="31">
        <v>92</v>
      </c>
      <c r="K185" s="31">
        <v>257.7</v>
      </c>
      <c r="L185" s="32">
        <v>205976621</v>
      </c>
      <c r="M185" s="32">
        <v>1100000056648477</v>
      </c>
      <c r="N185" s="31" t="s">
        <v>382</v>
      </c>
      <c r="O185" s="31"/>
    </row>
    <row r="186" spans="1:15">
      <c r="A186" s="31"/>
      <c r="B186" s="31" t="s">
        <v>69</v>
      </c>
      <c r="C186" s="31" t="s">
        <v>361</v>
      </c>
      <c r="D186" s="31" t="s">
        <v>381</v>
      </c>
      <c r="E186" s="31" t="s">
        <v>241</v>
      </c>
      <c r="F186" s="31" t="s">
        <v>242</v>
      </c>
      <c r="G186" s="31" t="s">
        <v>242</v>
      </c>
      <c r="H186" s="31" t="s">
        <v>243</v>
      </c>
      <c r="I186" s="31" t="b">
        <v>0</v>
      </c>
      <c r="J186" s="31">
        <v>32</v>
      </c>
      <c r="K186" s="31">
        <v>257.7</v>
      </c>
      <c r="L186" s="32">
        <v>205976619</v>
      </c>
      <c r="M186" s="32">
        <v>1100000056648477</v>
      </c>
      <c r="N186" s="31" t="s">
        <v>382</v>
      </c>
      <c r="O186" s="31"/>
    </row>
    <row r="187" spans="1:15">
      <c r="A187" s="31"/>
      <c r="B187" s="31" t="s">
        <v>383</v>
      </c>
      <c r="C187" s="31" t="s">
        <v>384</v>
      </c>
      <c r="D187" s="31" t="s">
        <v>381</v>
      </c>
      <c r="E187" s="31" t="s">
        <v>241</v>
      </c>
      <c r="F187" s="31" t="s">
        <v>242</v>
      </c>
      <c r="G187" s="31" t="s">
        <v>242</v>
      </c>
      <c r="H187" s="31" t="s">
        <v>243</v>
      </c>
      <c r="I187" s="31" t="b">
        <v>0</v>
      </c>
      <c r="J187" s="31">
        <v>677</v>
      </c>
      <c r="K187" s="31">
        <v>108.48</v>
      </c>
      <c r="L187" s="32">
        <v>206027992</v>
      </c>
      <c r="M187" s="32">
        <v>1100000057056789</v>
      </c>
      <c r="N187" s="31" t="s">
        <v>385</v>
      </c>
      <c r="O187" s="31"/>
    </row>
    <row r="188" spans="1:15">
      <c r="A188" s="31"/>
      <c r="B188" s="31" t="s">
        <v>383</v>
      </c>
      <c r="C188" s="31" t="s">
        <v>384</v>
      </c>
      <c r="D188" s="31" t="s">
        <v>381</v>
      </c>
      <c r="E188" s="31" t="s">
        <v>241</v>
      </c>
      <c r="F188" s="31" t="s">
        <v>242</v>
      </c>
      <c r="G188" s="31" t="s">
        <v>242</v>
      </c>
      <c r="H188" s="31" t="s">
        <v>243</v>
      </c>
      <c r="I188" s="31" t="b">
        <v>0</v>
      </c>
      <c r="J188" s="31">
        <v>243</v>
      </c>
      <c r="K188" s="31">
        <v>108.48</v>
      </c>
      <c r="L188" s="32">
        <v>206027993</v>
      </c>
      <c r="M188" s="32">
        <v>1100000057056789</v>
      </c>
      <c r="N188" s="31" t="s">
        <v>385</v>
      </c>
      <c r="O188" s="31"/>
    </row>
    <row r="189" spans="1:15">
      <c r="A189" s="31"/>
      <c r="B189" s="31" t="s">
        <v>386</v>
      </c>
      <c r="C189" s="31" t="s">
        <v>387</v>
      </c>
      <c r="D189" s="31" t="s">
        <v>388</v>
      </c>
      <c r="E189" s="31" t="s">
        <v>241</v>
      </c>
      <c r="F189" s="31" t="s">
        <v>242</v>
      </c>
      <c r="G189" s="31" t="s">
        <v>242</v>
      </c>
      <c r="H189" s="31" t="s">
        <v>243</v>
      </c>
      <c r="I189" s="31" t="b">
        <v>0</v>
      </c>
      <c r="J189" s="31">
        <v>36</v>
      </c>
      <c r="K189" s="31">
        <v>426.6</v>
      </c>
      <c r="L189" s="32">
        <v>4769488</v>
      </c>
      <c r="M189" s="32">
        <v>1000000042386900</v>
      </c>
      <c r="N189" s="31" t="s">
        <v>389</v>
      </c>
      <c r="O189" s="31"/>
    </row>
    <row r="190" spans="1:15">
      <c r="A190" s="31"/>
      <c r="B190" s="31" t="s">
        <v>386</v>
      </c>
      <c r="C190" s="31" t="s">
        <v>387</v>
      </c>
      <c r="D190" s="31" t="s">
        <v>388</v>
      </c>
      <c r="E190" s="31" t="s">
        <v>241</v>
      </c>
      <c r="F190" s="31" t="s">
        <v>242</v>
      </c>
      <c r="G190" s="31" t="s">
        <v>242</v>
      </c>
      <c r="H190" s="31" t="s">
        <v>243</v>
      </c>
      <c r="I190" s="31" t="b">
        <v>0</v>
      </c>
      <c r="J190" s="31">
        <v>81</v>
      </c>
      <c r="K190" s="31">
        <v>426.6</v>
      </c>
      <c r="L190" s="32">
        <v>4769042</v>
      </c>
      <c r="M190" s="32">
        <v>1000000042386900</v>
      </c>
      <c r="N190" s="31" t="s">
        <v>389</v>
      </c>
      <c r="O190" s="31"/>
    </row>
    <row r="191" spans="1:15">
      <c r="A191" s="31"/>
      <c r="B191" s="31" t="s">
        <v>75</v>
      </c>
      <c r="C191" s="31" t="s">
        <v>390</v>
      </c>
      <c r="D191" s="31" t="s">
        <v>388</v>
      </c>
      <c r="E191" s="31" t="s">
        <v>241</v>
      </c>
      <c r="F191" s="31" t="s">
        <v>242</v>
      </c>
      <c r="G191" s="31" t="s">
        <v>242</v>
      </c>
      <c r="H191" s="31" t="s">
        <v>243</v>
      </c>
      <c r="I191" s="31" t="b">
        <v>0</v>
      </c>
      <c r="J191" s="31">
        <v>18</v>
      </c>
      <c r="K191" s="31">
        <v>2801.6001000000001</v>
      </c>
      <c r="L191" s="32">
        <v>4787082</v>
      </c>
      <c r="M191" s="32">
        <v>1000000042553870</v>
      </c>
      <c r="N191" s="31" t="s">
        <v>391</v>
      </c>
      <c r="O191" s="31"/>
    </row>
    <row r="192" spans="1:15">
      <c r="A192" s="31"/>
      <c r="B192" s="31" t="s">
        <v>392</v>
      </c>
      <c r="C192" s="31" t="s">
        <v>393</v>
      </c>
      <c r="D192" s="31" t="s">
        <v>394</v>
      </c>
      <c r="E192" s="31" t="s">
        <v>241</v>
      </c>
      <c r="F192" s="31" t="s">
        <v>242</v>
      </c>
      <c r="G192" s="31" t="s">
        <v>242</v>
      </c>
      <c r="H192" s="31" t="s">
        <v>243</v>
      </c>
      <c r="I192" s="31" t="b">
        <v>0</v>
      </c>
      <c r="J192" s="31">
        <v>26</v>
      </c>
      <c r="K192" s="31">
        <v>485.05</v>
      </c>
      <c r="L192" s="32">
        <v>202333156</v>
      </c>
      <c r="M192" s="32">
        <v>1100000017290156</v>
      </c>
      <c r="N192" s="31" t="s">
        <v>395</v>
      </c>
      <c r="O192" s="31"/>
    </row>
    <row r="193" spans="1:15">
      <c r="A193" s="31"/>
      <c r="B193" s="31" t="s">
        <v>392</v>
      </c>
      <c r="C193" s="31" t="s">
        <v>393</v>
      </c>
      <c r="D193" s="31" t="s">
        <v>394</v>
      </c>
      <c r="E193" s="31" t="s">
        <v>241</v>
      </c>
      <c r="F193" s="31" t="s">
        <v>242</v>
      </c>
      <c r="G193" s="31" t="s">
        <v>242</v>
      </c>
      <c r="H193" s="31" t="s">
        <v>243</v>
      </c>
      <c r="I193" s="31" t="b">
        <v>0</v>
      </c>
      <c r="J193" s="31">
        <v>77</v>
      </c>
      <c r="K193" s="31">
        <v>485.05</v>
      </c>
      <c r="L193" s="32">
        <v>202333157</v>
      </c>
      <c r="M193" s="32">
        <v>1100000017290156</v>
      </c>
      <c r="N193" s="31" t="s">
        <v>395</v>
      </c>
      <c r="O193" s="31"/>
    </row>
    <row r="194" spans="1:15">
      <c r="A194" s="31"/>
      <c r="B194" s="31" t="s">
        <v>386</v>
      </c>
      <c r="C194" s="31" t="s">
        <v>387</v>
      </c>
      <c r="D194" s="31" t="s">
        <v>394</v>
      </c>
      <c r="E194" s="31" t="s">
        <v>241</v>
      </c>
      <c r="F194" s="31" t="s">
        <v>242</v>
      </c>
      <c r="G194" s="31" t="s">
        <v>242</v>
      </c>
      <c r="H194" s="31" t="s">
        <v>243</v>
      </c>
      <c r="I194" s="31" t="b">
        <v>0</v>
      </c>
      <c r="J194" s="31">
        <v>100</v>
      </c>
      <c r="K194" s="31">
        <v>450.45</v>
      </c>
      <c r="L194" s="32">
        <v>1534655</v>
      </c>
      <c r="M194" s="32">
        <v>1000000015384872</v>
      </c>
      <c r="N194" s="31" t="s">
        <v>396</v>
      </c>
      <c r="O194" s="31"/>
    </row>
    <row r="195" spans="1:15">
      <c r="A195" s="31"/>
      <c r="B195" s="31" t="s">
        <v>386</v>
      </c>
      <c r="C195" s="31" t="s">
        <v>387</v>
      </c>
      <c r="D195" s="31" t="s">
        <v>394</v>
      </c>
      <c r="E195" s="31" t="s">
        <v>241</v>
      </c>
      <c r="F195" s="31" t="s">
        <v>242</v>
      </c>
      <c r="G195" s="31" t="s">
        <v>242</v>
      </c>
      <c r="H195" s="31" t="s">
        <v>243</v>
      </c>
      <c r="I195" s="31" t="b">
        <v>0</v>
      </c>
      <c r="J195" s="31">
        <v>11</v>
      </c>
      <c r="K195" s="31">
        <v>450.45</v>
      </c>
      <c r="L195" s="32">
        <v>1534656</v>
      </c>
      <c r="M195" s="32">
        <v>1000000015384872</v>
      </c>
      <c r="N195" s="31" t="s">
        <v>396</v>
      </c>
      <c r="O195" s="31"/>
    </row>
    <row r="196" spans="1:15">
      <c r="A196" s="31"/>
      <c r="B196" s="31" t="s">
        <v>397</v>
      </c>
      <c r="C196" s="31" t="s">
        <v>398</v>
      </c>
      <c r="D196" s="31" t="s">
        <v>399</v>
      </c>
      <c r="E196" s="31" t="s">
        <v>241</v>
      </c>
      <c r="F196" s="31" t="s">
        <v>242</v>
      </c>
      <c r="G196" s="31" t="s">
        <v>242</v>
      </c>
      <c r="H196" s="31" t="s">
        <v>243</v>
      </c>
      <c r="I196" s="31" t="b">
        <v>0</v>
      </c>
      <c r="J196" s="31">
        <v>19</v>
      </c>
      <c r="K196" s="31">
        <v>1314.6</v>
      </c>
      <c r="L196" s="32">
        <v>402017427</v>
      </c>
      <c r="M196" s="32">
        <v>1200000019575555</v>
      </c>
      <c r="N196" s="31" t="s">
        <v>400</v>
      </c>
      <c r="O196" s="31"/>
    </row>
    <row r="197" spans="1:15">
      <c r="A197" s="31"/>
      <c r="B197" s="31" t="s">
        <v>305</v>
      </c>
      <c r="C197" s="31" t="s">
        <v>306</v>
      </c>
      <c r="D197" s="31" t="s">
        <v>401</v>
      </c>
      <c r="E197" s="31" t="s">
        <v>241</v>
      </c>
      <c r="F197" s="31" t="s">
        <v>242</v>
      </c>
      <c r="G197" s="31" t="s">
        <v>242</v>
      </c>
      <c r="H197" s="31" t="s">
        <v>294</v>
      </c>
      <c r="I197" s="31" t="b">
        <v>0</v>
      </c>
      <c r="J197" s="31">
        <v>220</v>
      </c>
      <c r="K197" s="31">
        <v>245.9</v>
      </c>
      <c r="L197" s="32">
        <v>401382540</v>
      </c>
      <c r="M197" s="32">
        <v>1200000014901459</v>
      </c>
      <c r="N197" s="31" t="s">
        <v>402</v>
      </c>
      <c r="O197" s="31"/>
    </row>
    <row r="198" spans="1:15">
      <c r="A198" s="31"/>
      <c r="B198" s="31" t="s">
        <v>46</v>
      </c>
      <c r="C198" s="31" t="s">
        <v>309</v>
      </c>
      <c r="D198" s="31" t="s">
        <v>403</v>
      </c>
      <c r="E198" s="31" t="s">
        <v>75</v>
      </c>
      <c r="F198" s="31" t="s">
        <v>242</v>
      </c>
      <c r="G198" s="31" t="s">
        <v>300</v>
      </c>
      <c r="H198" s="31" t="s">
        <v>243</v>
      </c>
      <c r="I198" s="31" t="b">
        <v>0</v>
      </c>
      <c r="J198" s="31">
        <v>11</v>
      </c>
      <c r="K198" s="31">
        <v>926.6</v>
      </c>
      <c r="L198" s="32">
        <v>8895500</v>
      </c>
      <c r="M198" s="32">
        <v>1.7673437114127171E+18</v>
      </c>
      <c r="N198" s="31" t="s">
        <v>404</v>
      </c>
      <c r="O198" s="31"/>
    </row>
    <row r="199" spans="1:15">
      <c r="A199" s="31"/>
      <c r="B199" s="31" t="s">
        <v>46</v>
      </c>
      <c r="C199" s="31" t="s">
        <v>309</v>
      </c>
      <c r="D199" s="31" t="s">
        <v>403</v>
      </c>
      <c r="E199" s="31" t="s">
        <v>75</v>
      </c>
      <c r="F199" s="31" t="s">
        <v>242</v>
      </c>
      <c r="G199" s="31" t="s">
        <v>300</v>
      </c>
      <c r="H199" s="31" t="s">
        <v>243</v>
      </c>
      <c r="I199" s="31" t="b">
        <v>0</v>
      </c>
      <c r="J199" s="31">
        <v>97</v>
      </c>
      <c r="K199" s="31">
        <v>926.5</v>
      </c>
      <c r="L199" s="32">
        <v>8895300</v>
      </c>
      <c r="M199" s="32">
        <v>1.7673437114127171E+18</v>
      </c>
      <c r="N199" s="31" t="s">
        <v>404</v>
      </c>
      <c r="O199" s="31"/>
    </row>
    <row r="200" spans="1:15">
      <c r="A200" s="31"/>
      <c r="B200" s="31" t="s">
        <v>140</v>
      </c>
      <c r="C200" s="31" t="s">
        <v>405</v>
      </c>
      <c r="D200" s="31" t="s">
        <v>403</v>
      </c>
      <c r="E200" s="31" t="s">
        <v>241</v>
      </c>
      <c r="F200" s="31" t="s">
        <v>242</v>
      </c>
      <c r="G200" s="31" t="s">
        <v>242</v>
      </c>
      <c r="H200" s="31" t="s">
        <v>243</v>
      </c>
      <c r="I200" s="31" t="b">
        <v>0</v>
      </c>
      <c r="J200" s="31">
        <v>300</v>
      </c>
      <c r="K200" s="31">
        <v>84.49</v>
      </c>
      <c r="L200" s="32">
        <v>406243588</v>
      </c>
      <c r="M200" s="32">
        <v>1200000058479057</v>
      </c>
      <c r="N200" s="31" t="s">
        <v>406</v>
      </c>
      <c r="O200" s="31"/>
    </row>
    <row r="201" spans="1:15">
      <c r="A201" s="31"/>
      <c r="B201" s="31" t="s">
        <v>118</v>
      </c>
      <c r="C201" s="31" t="s">
        <v>407</v>
      </c>
      <c r="D201" s="31" t="s">
        <v>403</v>
      </c>
      <c r="E201" s="31" t="s">
        <v>241</v>
      </c>
      <c r="F201" s="31" t="s">
        <v>242</v>
      </c>
      <c r="G201" s="31" t="s">
        <v>242</v>
      </c>
      <c r="H201" s="31" t="s">
        <v>243</v>
      </c>
      <c r="I201" s="31" t="b">
        <v>0</v>
      </c>
      <c r="J201" s="31">
        <v>182</v>
      </c>
      <c r="K201" s="31">
        <v>137.25</v>
      </c>
      <c r="L201" s="32">
        <v>208912626</v>
      </c>
      <c r="M201" s="32">
        <v>1100000068739066</v>
      </c>
      <c r="N201" s="31" t="s">
        <v>408</v>
      </c>
      <c r="O201" s="31"/>
    </row>
    <row r="202" spans="1:15">
      <c r="A202" s="31"/>
      <c r="B202" s="31" t="s">
        <v>48</v>
      </c>
      <c r="C202" s="31" t="s">
        <v>409</v>
      </c>
      <c r="D202" s="31" t="s">
        <v>410</v>
      </c>
      <c r="E202" s="31" t="s">
        <v>241</v>
      </c>
      <c r="F202" s="31" t="s">
        <v>242</v>
      </c>
      <c r="G202" s="31" t="s">
        <v>242</v>
      </c>
      <c r="H202" s="31" t="s">
        <v>243</v>
      </c>
      <c r="I202" s="31" t="b">
        <v>0</v>
      </c>
      <c r="J202" s="31">
        <v>665</v>
      </c>
      <c r="K202" s="31">
        <v>75.5</v>
      </c>
      <c r="L202" s="32">
        <v>3525224</v>
      </c>
      <c r="M202" s="32">
        <v>1000000030563951</v>
      </c>
      <c r="N202" s="31" t="s">
        <v>411</v>
      </c>
      <c r="O202" s="31"/>
    </row>
    <row r="203" spans="1:15">
      <c r="A203" s="31"/>
      <c r="B203" s="31" t="s">
        <v>346</v>
      </c>
      <c r="C203" s="31" t="s">
        <v>347</v>
      </c>
      <c r="D203" s="31" t="s">
        <v>410</v>
      </c>
      <c r="E203" s="31" t="s">
        <v>241</v>
      </c>
      <c r="F203" s="31" t="s">
        <v>242</v>
      </c>
      <c r="G203" s="31" t="s">
        <v>242</v>
      </c>
      <c r="H203" s="31" t="s">
        <v>294</v>
      </c>
      <c r="I203" s="31" t="b">
        <v>0</v>
      </c>
      <c r="J203" s="31">
        <v>11</v>
      </c>
      <c r="K203" s="31">
        <v>814.95</v>
      </c>
      <c r="L203" s="32">
        <v>4105206</v>
      </c>
      <c r="M203" s="32">
        <v>1000000035841343</v>
      </c>
      <c r="N203" s="31" t="s">
        <v>412</v>
      </c>
      <c r="O203" s="31"/>
    </row>
    <row r="204" spans="1:15">
      <c r="A204" s="31"/>
      <c r="B204" s="31" t="s">
        <v>346</v>
      </c>
      <c r="C204" s="31" t="s">
        <v>347</v>
      </c>
      <c r="D204" s="31" t="s">
        <v>410</v>
      </c>
      <c r="E204" s="31" t="s">
        <v>241</v>
      </c>
      <c r="F204" s="31" t="s">
        <v>242</v>
      </c>
      <c r="G204" s="31" t="s">
        <v>242</v>
      </c>
      <c r="H204" s="31" t="s">
        <v>294</v>
      </c>
      <c r="I204" s="31" t="b">
        <v>0</v>
      </c>
      <c r="J204" s="31">
        <v>1</v>
      </c>
      <c r="K204" s="31">
        <v>814.95</v>
      </c>
      <c r="L204" s="32">
        <v>4105207</v>
      </c>
      <c r="M204" s="32">
        <v>1000000035841343</v>
      </c>
      <c r="N204" s="31" t="s">
        <v>412</v>
      </c>
      <c r="O204" s="31"/>
    </row>
    <row r="205" spans="1:15">
      <c r="A205" s="31"/>
      <c r="B205" s="31" t="s">
        <v>346</v>
      </c>
      <c r="C205" s="31" t="s">
        <v>347</v>
      </c>
      <c r="D205" s="31" t="s">
        <v>410</v>
      </c>
      <c r="E205" s="31" t="s">
        <v>241</v>
      </c>
      <c r="F205" s="31" t="s">
        <v>242</v>
      </c>
      <c r="G205" s="31" t="s">
        <v>242</v>
      </c>
      <c r="H205" s="31" t="s">
        <v>294</v>
      </c>
      <c r="I205" s="31" t="b">
        <v>0</v>
      </c>
      <c r="J205" s="31">
        <v>2</v>
      </c>
      <c r="K205" s="31">
        <v>814.9</v>
      </c>
      <c r="L205" s="32">
        <v>4105209</v>
      </c>
      <c r="M205" s="32">
        <v>1000000035841343</v>
      </c>
      <c r="N205" s="31" t="s">
        <v>412</v>
      </c>
      <c r="O205" s="31"/>
    </row>
    <row r="206" spans="1:15">
      <c r="A206" s="31"/>
      <c r="B206" s="31" t="s">
        <v>346</v>
      </c>
      <c r="C206" s="31" t="s">
        <v>347</v>
      </c>
      <c r="D206" s="31" t="s">
        <v>410</v>
      </c>
      <c r="E206" s="31" t="s">
        <v>241</v>
      </c>
      <c r="F206" s="31" t="s">
        <v>242</v>
      </c>
      <c r="G206" s="31" t="s">
        <v>242</v>
      </c>
      <c r="H206" s="31" t="s">
        <v>294</v>
      </c>
      <c r="I206" s="31" t="b">
        <v>0</v>
      </c>
      <c r="J206" s="31">
        <v>38</v>
      </c>
      <c r="K206" s="31">
        <v>814.95</v>
      </c>
      <c r="L206" s="32">
        <v>4105208</v>
      </c>
      <c r="M206" s="32">
        <v>1000000035841343</v>
      </c>
      <c r="N206" s="31" t="s">
        <v>412</v>
      </c>
      <c r="O206" s="31"/>
    </row>
    <row r="207" spans="1:15">
      <c r="A207" s="31"/>
      <c r="B207" s="31" t="s">
        <v>48</v>
      </c>
      <c r="C207" s="31" t="s">
        <v>409</v>
      </c>
      <c r="D207" s="31" t="s">
        <v>410</v>
      </c>
      <c r="E207" s="31" t="s">
        <v>241</v>
      </c>
      <c r="F207" s="31" t="s">
        <v>242</v>
      </c>
      <c r="G207" s="31" t="s">
        <v>242</v>
      </c>
      <c r="H207" s="31" t="s">
        <v>294</v>
      </c>
      <c r="I207" s="31" t="b">
        <v>0</v>
      </c>
      <c r="J207" s="31">
        <v>50</v>
      </c>
      <c r="K207" s="31">
        <v>72.97999999999999</v>
      </c>
      <c r="L207" s="32">
        <v>4343004</v>
      </c>
      <c r="M207" s="32">
        <v>1000000038012849</v>
      </c>
      <c r="N207" s="31" t="s">
        <v>413</v>
      </c>
      <c r="O207" s="31"/>
    </row>
    <row r="208" spans="1:15">
      <c r="A208" s="31"/>
      <c r="B208" s="31" t="s">
        <v>48</v>
      </c>
      <c r="C208" s="31" t="s">
        <v>409</v>
      </c>
      <c r="D208" s="31" t="s">
        <v>410</v>
      </c>
      <c r="E208" s="31" t="s">
        <v>241</v>
      </c>
      <c r="F208" s="31" t="s">
        <v>242</v>
      </c>
      <c r="G208" s="31" t="s">
        <v>242</v>
      </c>
      <c r="H208" s="31" t="s">
        <v>294</v>
      </c>
      <c r="I208" s="31" t="b">
        <v>0</v>
      </c>
      <c r="J208" s="31">
        <v>590</v>
      </c>
      <c r="K208" s="31">
        <v>72.97999999999999</v>
      </c>
      <c r="L208" s="32">
        <v>4343005</v>
      </c>
      <c r="M208" s="32">
        <v>1000000038012849</v>
      </c>
      <c r="N208" s="31" t="s">
        <v>413</v>
      </c>
      <c r="O208" s="31"/>
    </row>
    <row r="209" spans="1:15">
      <c r="A209" s="31"/>
      <c r="B209" s="31" t="s">
        <v>48</v>
      </c>
      <c r="C209" s="31" t="s">
        <v>409</v>
      </c>
      <c r="D209" s="31" t="s">
        <v>410</v>
      </c>
      <c r="E209" s="31" t="s">
        <v>241</v>
      </c>
      <c r="F209" s="31" t="s">
        <v>242</v>
      </c>
      <c r="G209" s="31" t="s">
        <v>242</v>
      </c>
      <c r="H209" s="31" t="s">
        <v>294</v>
      </c>
      <c r="I209" s="31" t="b">
        <v>0</v>
      </c>
      <c r="J209" s="31">
        <v>25</v>
      </c>
      <c r="K209" s="31">
        <v>72.97999999999999</v>
      </c>
      <c r="L209" s="32">
        <v>4343006</v>
      </c>
      <c r="M209" s="32">
        <v>1000000038012849</v>
      </c>
      <c r="N209" s="31" t="s">
        <v>413</v>
      </c>
      <c r="O209" s="31"/>
    </row>
    <row r="210" spans="1:15">
      <c r="A210" s="31"/>
      <c r="B210" s="31" t="s">
        <v>283</v>
      </c>
      <c r="C210" s="31" t="s">
        <v>284</v>
      </c>
      <c r="D210" s="31" t="s">
        <v>410</v>
      </c>
      <c r="E210" s="31" t="s">
        <v>241</v>
      </c>
      <c r="F210" s="31" t="s">
        <v>242</v>
      </c>
      <c r="G210" s="31" t="s">
        <v>242</v>
      </c>
      <c r="H210" s="31" t="s">
        <v>243</v>
      </c>
      <c r="I210" s="31" t="b">
        <v>0</v>
      </c>
      <c r="J210" s="31">
        <v>125</v>
      </c>
      <c r="K210" s="31">
        <v>154.59</v>
      </c>
      <c r="L210" s="32">
        <v>5678235</v>
      </c>
      <c r="M210" s="32">
        <v>1000000049175784</v>
      </c>
      <c r="N210" s="31" t="s">
        <v>414</v>
      </c>
      <c r="O210" s="31"/>
    </row>
    <row r="211" spans="1:15">
      <c r="A211" s="31"/>
      <c r="B211" s="31" t="s">
        <v>283</v>
      </c>
      <c r="C211" s="31" t="s">
        <v>284</v>
      </c>
      <c r="D211" s="31" t="s">
        <v>410</v>
      </c>
      <c r="E211" s="31" t="s">
        <v>241</v>
      </c>
      <c r="F211" s="31" t="s">
        <v>242</v>
      </c>
      <c r="G211" s="31" t="s">
        <v>242</v>
      </c>
      <c r="H211" s="31" t="s">
        <v>243</v>
      </c>
      <c r="I211" s="31" t="b">
        <v>0</v>
      </c>
      <c r="J211" s="31">
        <v>136</v>
      </c>
      <c r="K211" s="31">
        <v>154.59</v>
      </c>
      <c r="L211" s="32">
        <v>5678236</v>
      </c>
      <c r="M211" s="32">
        <v>1000000049175784</v>
      </c>
      <c r="N211" s="31" t="s">
        <v>414</v>
      </c>
      <c r="O211" s="31"/>
    </row>
    <row r="212" spans="1:15">
      <c r="A212" s="31"/>
      <c r="B212" s="31" t="s">
        <v>283</v>
      </c>
      <c r="C212" s="31" t="s">
        <v>284</v>
      </c>
      <c r="D212" s="31" t="s">
        <v>410</v>
      </c>
      <c r="E212" s="31" t="s">
        <v>241</v>
      </c>
      <c r="F212" s="31" t="s">
        <v>242</v>
      </c>
      <c r="G212" s="31" t="s">
        <v>242</v>
      </c>
      <c r="H212" s="31" t="s">
        <v>243</v>
      </c>
      <c r="I212" s="31" t="b">
        <v>0</v>
      </c>
      <c r="J212" s="31">
        <v>19</v>
      </c>
      <c r="K212" s="31">
        <v>154.59</v>
      </c>
      <c r="L212" s="32">
        <v>5678237</v>
      </c>
      <c r="M212" s="32">
        <v>1000000049175784</v>
      </c>
      <c r="N212" s="31" t="s">
        <v>414</v>
      </c>
      <c r="O212" s="31"/>
    </row>
    <row r="213" spans="1:15">
      <c r="A213" s="31"/>
      <c r="B213" s="31" t="s">
        <v>283</v>
      </c>
      <c r="C213" s="31" t="s">
        <v>284</v>
      </c>
      <c r="D213" s="31" t="s">
        <v>410</v>
      </c>
      <c r="E213" s="31" t="s">
        <v>241</v>
      </c>
      <c r="F213" s="31" t="s">
        <v>242</v>
      </c>
      <c r="G213" s="31" t="s">
        <v>242</v>
      </c>
      <c r="H213" s="31" t="s">
        <v>243</v>
      </c>
      <c r="I213" s="31" t="b">
        <v>0</v>
      </c>
      <c r="J213" s="31">
        <v>44</v>
      </c>
      <c r="K213" s="31">
        <v>154.6</v>
      </c>
      <c r="L213" s="32">
        <v>5678238</v>
      </c>
      <c r="M213" s="32">
        <v>1000000049175784</v>
      </c>
      <c r="N213" s="31" t="s">
        <v>414</v>
      </c>
      <c r="O213" s="31"/>
    </row>
    <row r="214" spans="1:15">
      <c r="A214" s="31"/>
      <c r="B214" s="31" t="s">
        <v>267</v>
      </c>
      <c r="C214" s="31" t="s">
        <v>268</v>
      </c>
      <c r="D214" s="31" t="s">
        <v>410</v>
      </c>
      <c r="E214" s="31" t="s">
        <v>241</v>
      </c>
      <c r="F214" s="31" t="s">
        <v>242</v>
      </c>
      <c r="G214" s="31" t="s">
        <v>242</v>
      </c>
      <c r="H214" s="31" t="s">
        <v>243</v>
      </c>
      <c r="I214" s="31" t="b">
        <v>0</v>
      </c>
      <c r="J214" s="31">
        <v>41</v>
      </c>
      <c r="K214" s="31">
        <v>612</v>
      </c>
      <c r="L214" s="32">
        <v>208704403</v>
      </c>
      <c r="M214" s="32">
        <v>1100000068344678</v>
      </c>
      <c r="N214" s="31" t="s">
        <v>415</v>
      </c>
      <c r="O214" s="31"/>
    </row>
    <row r="215" spans="1:15">
      <c r="A215" s="31"/>
      <c r="B215" s="31" t="s">
        <v>61</v>
      </c>
      <c r="C215" s="31" t="s">
        <v>416</v>
      </c>
      <c r="D215" s="31" t="s">
        <v>410</v>
      </c>
      <c r="E215" s="31" t="s">
        <v>241</v>
      </c>
      <c r="F215" s="31" t="s">
        <v>242</v>
      </c>
      <c r="G215" s="31" t="s">
        <v>242</v>
      </c>
      <c r="H215" s="31" t="s">
        <v>243</v>
      </c>
      <c r="I215" s="31" t="b">
        <v>0</v>
      </c>
      <c r="J215" s="31">
        <v>1</v>
      </c>
      <c r="K215" s="31">
        <v>2936.3</v>
      </c>
      <c r="L215" s="32">
        <v>5735291</v>
      </c>
      <c r="M215" s="32">
        <v>1000000049547677</v>
      </c>
      <c r="N215" s="31" t="s">
        <v>417</v>
      </c>
      <c r="O215" s="31"/>
    </row>
    <row r="216" spans="1:15">
      <c r="A216" s="31"/>
      <c r="B216" s="31" t="s">
        <v>61</v>
      </c>
      <c r="C216" s="31" t="s">
        <v>416</v>
      </c>
      <c r="D216" s="31" t="s">
        <v>410</v>
      </c>
      <c r="E216" s="31" t="s">
        <v>241</v>
      </c>
      <c r="F216" s="31" t="s">
        <v>242</v>
      </c>
      <c r="G216" s="31" t="s">
        <v>242</v>
      </c>
      <c r="H216" s="31" t="s">
        <v>243</v>
      </c>
      <c r="I216" s="31" t="b">
        <v>0</v>
      </c>
      <c r="J216" s="31">
        <v>3</v>
      </c>
      <c r="K216" s="31">
        <v>2936.3</v>
      </c>
      <c r="L216" s="32">
        <v>5735290</v>
      </c>
      <c r="M216" s="32">
        <v>1000000049547677</v>
      </c>
      <c r="N216" s="31" t="s">
        <v>417</v>
      </c>
      <c r="O216" s="31"/>
    </row>
    <row r="217" spans="1:15">
      <c r="A217" s="31"/>
      <c r="B217" s="31" t="s">
        <v>48</v>
      </c>
      <c r="C217" s="31" t="s">
        <v>409</v>
      </c>
      <c r="D217" s="31" t="s">
        <v>418</v>
      </c>
      <c r="E217" s="31" t="s">
        <v>241</v>
      </c>
      <c r="F217" s="31" t="s">
        <v>242</v>
      </c>
      <c r="G217" s="31" t="s">
        <v>242</v>
      </c>
      <c r="H217" s="31" t="s">
        <v>243</v>
      </c>
      <c r="I217" s="31" t="b">
        <v>0</v>
      </c>
      <c r="J217" s="31">
        <v>500</v>
      </c>
      <c r="K217" s="31">
        <v>84.92</v>
      </c>
      <c r="L217" s="32">
        <v>277975</v>
      </c>
      <c r="M217" s="32">
        <v>1000000002320226</v>
      </c>
      <c r="N217" s="31" t="s">
        <v>419</v>
      </c>
      <c r="O217" s="31"/>
    </row>
    <row r="218" spans="1:15">
      <c r="A218" s="31"/>
      <c r="B218" s="31" t="s">
        <v>375</v>
      </c>
      <c r="C218" s="31" t="s">
        <v>377</v>
      </c>
      <c r="D218" s="31" t="s">
        <v>420</v>
      </c>
      <c r="E218" s="31" t="s">
        <v>241</v>
      </c>
      <c r="F218" s="31" t="s">
        <v>242</v>
      </c>
      <c r="G218" s="31" t="s">
        <v>242</v>
      </c>
      <c r="H218" s="31" t="s">
        <v>294</v>
      </c>
      <c r="I218" s="31" t="b">
        <v>0</v>
      </c>
      <c r="J218" s="31">
        <v>1</v>
      </c>
      <c r="K218" s="31">
        <v>4030.5</v>
      </c>
      <c r="L218" s="32">
        <v>606190475</v>
      </c>
      <c r="M218" s="32">
        <v>1300000047221509</v>
      </c>
      <c r="N218" s="31" t="s">
        <v>421</v>
      </c>
      <c r="O218" s="31"/>
    </row>
    <row r="219" spans="1:15">
      <c r="A219" s="31"/>
      <c r="B219" s="31" t="s">
        <v>375</v>
      </c>
      <c r="C219" s="31" t="s">
        <v>377</v>
      </c>
      <c r="D219" s="31" t="s">
        <v>420</v>
      </c>
      <c r="E219" s="31" t="s">
        <v>241</v>
      </c>
      <c r="F219" s="31" t="s">
        <v>242</v>
      </c>
      <c r="G219" s="31" t="s">
        <v>242</v>
      </c>
      <c r="H219" s="31" t="s">
        <v>294</v>
      </c>
      <c r="I219" s="31" t="b">
        <v>0</v>
      </c>
      <c r="J219" s="31">
        <v>1</v>
      </c>
      <c r="K219" s="31">
        <v>4030.7</v>
      </c>
      <c r="L219" s="32">
        <v>606190474</v>
      </c>
      <c r="M219" s="32">
        <v>1300000047221509</v>
      </c>
      <c r="N219" s="31" t="s">
        <v>421</v>
      </c>
      <c r="O219" s="31"/>
    </row>
    <row r="220" spans="1:15">
      <c r="A220" s="31"/>
      <c r="B220" s="31" t="s">
        <v>375</v>
      </c>
      <c r="C220" s="31" t="s">
        <v>377</v>
      </c>
      <c r="D220" s="31" t="s">
        <v>420</v>
      </c>
      <c r="E220" s="31" t="s">
        <v>241</v>
      </c>
      <c r="F220" s="31" t="s">
        <v>242</v>
      </c>
      <c r="G220" s="31" t="s">
        <v>242</v>
      </c>
      <c r="H220" s="31" t="s">
        <v>294</v>
      </c>
      <c r="I220" s="31" t="b">
        <v>0</v>
      </c>
      <c r="J220" s="31">
        <v>20</v>
      </c>
      <c r="K220" s="31">
        <v>4030.3998999999999</v>
      </c>
      <c r="L220" s="32">
        <v>606190476</v>
      </c>
      <c r="M220" s="32">
        <v>1300000047221509</v>
      </c>
      <c r="N220" s="31" t="s">
        <v>421</v>
      </c>
      <c r="O220" s="31"/>
    </row>
    <row r="221" spans="1:15">
      <c r="A221" s="31"/>
      <c r="B221" s="31" t="s">
        <v>118</v>
      </c>
      <c r="C221" s="31" t="s">
        <v>407</v>
      </c>
      <c r="D221" s="31" t="s">
        <v>420</v>
      </c>
      <c r="E221" s="31" t="s">
        <v>241</v>
      </c>
      <c r="F221" s="31" t="s">
        <v>242</v>
      </c>
      <c r="G221" s="31" t="s">
        <v>242</v>
      </c>
      <c r="H221" s="31" t="s">
        <v>243</v>
      </c>
      <c r="I221" s="31" t="b">
        <v>0</v>
      </c>
      <c r="J221" s="31">
        <v>20</v>
      </c>
      <c r="K221" s="31">
        <v>140.28</v>
      </c>
      <c r="L221" s="32">
        <v>208258801</v>
      </c>
      <c r="M221" s="32">
        <v>1100000062498088</v>
      </c>
      <c r="N221" s="31" t="s">
        <v>422</v>
      </c>
      <c r="O221" s="31"/>
    </row>
    <row r="222" spans="1:15">
      <c r="A222" s="31"/>
      <c r="B222" s="31" t="s">
        <v>118</v>
      </c>
      <c r="C222" s="31" t="s">
        <v>407</v>
      </c>
      <c r="D222" s="31" t="s">
        <v>420</v>
      </c>
      <c r="E222" s="31" t="s">
        <v>241</v>
      </c>
      <c r="F222" s="31" t="s">
        <v>242</v>
      </c>
      <c r="G222" s="31" t="s">
        <v>242</v>
      </c>
      <c r="H222" s="31" t="s">
        <v>243</v>
      </c>
      <c r="I222" s="31" t="b">
        <v>0</v>
      </c>
      <c r="J222" s="31">
        <v>40</v>
      </c>
      <c r="K222" s="31">
        <v>140.28</v>
      </c>
      <c r="L222" s="32">
        <v>208258799</v>
      </c>
      <c r="M222" s="32">
        <v>1100000062498088</v>
      </c>
      <c r="N222" s="31" t="s">
        <v>422</v>
      </c>
      <c r="O222" s="31"/>
    </row>
    <row r="223" spans="1:15">
      <c r="A223" s="31"/>
      <c r="B223" s="31" t="s">
        <v>118</v>
      </c>
      <c r="C223" s="31" t="s">
        <v>407</v>
      </c>
      <c r="D223" s="31" t="s">
        <v>420</v>
      </c>
      <c r="E223" s="31" t="s">
        <v>241</v>
      </c>
      <c r="F223" s="31" t="s">
        <v>242</v>
      </c>
      <c r="G223" s="31" t="s">
        <v>242</v>
      </c>
      <c r="H223" s="31" t="s">
        <v>243</v>
      </c>
      <c r="I223" s="31" t="b">
        <v>0</v>
      </c>
      <c r="J223" s="31">
        <v>50</v>
      </c>
      <c r="K223" s="31">
        <v>140.28</v>
      </c>
      <c r="L223" s="32">
        <v>208258800</v>
      </c>
      <c r="M223" s="32">
        <v>1100000062498088</v>
      </c>
      <c r="N223" s="31" t="s">
        <v>422</v>
      </c>
      <c r="O223" s="31"/>
    </row>
    <row r="224" spans="1:15">
      <c r="A224" s="31"/>
      <c r="B224" s="31" t="s">
        <v>118</v>
      </c>
      <c r="C224" s="31" t="s">
        <v>407</v>
      </c>
      <c r="D224" s="31" t="s">
        <v>420</v>
      </c>
      <c r="E224" s="31" t="s">
        <v>241</v>
      </c>
      <c r="F224" s="31" t="s">
        <v>242</v>
      </c>
      <c r="G224" s="31" t="s">
        <v>242</v>
      </c>
      <c r="H224" s="31" t="s">
        <v>243</v>
      </c>
      <c r="I224" s="31" t="b">
        <v>0</v>
      </c>
      <c r="J224" s="31">
        <v>61</v>
      </c>
      <c r="K224" s="31">
        <v>140.27000000000001</v>
      </c>
      <c r="L224" s="32">
        <v>208258798</v>
      </c>
      <c r="M224" s="32">
        <v>1100000062498088</v>
      </c>
      <c r="N224" s="31" t="s">
        <v>422</v>
      </c>
      <c r="O224" s="31"/>
    </row>
    <row r="225" spans="1:15">
      <c r="A225" s="31"/>
      <c r="B225" s="31" t="s">
        <v>118</v>
      </c>
      <c r="C225" s="31" t="s">
        <v>407</v>
      </c>
      <c r="D225" s="31" t="s">
        <v>420</v>
      </c>
      <c r="E225" s="31" t="s">
        <v>241</v>
      </c>
      <c r="F225" s="31" t="s">
        <v>242</v>
      </c>
      <c r="G225" s="31" t="s">
        <v>242</v>
      </c>
      <c r="H225" s="31" t="s">
        <v>243</v>
      </c>
      <c r="I225" s="31" t="b">
        <v>0</v>
      </c>
      <c r="J225" s="31">
        <v>9</v>
      </c>
      <c r="K225" s="31">
        <v>140.28</v>
      </c>
      <c r="L225" s="32">
        <v>208258802</v>
      </c>
      <c r="M225" s="32">
        <v>1100000062498088</v>
      </c>
      <c r="N225" s="31" t="s">
        <v>422</v>
      </c>
      <c r="O225" s="31"/>
    </row>
    <row r="226" spans="1:15">
      <c r="A226" s="31"/>
      <c r="B226" s="31" t="s">
        <v>48</v>
      </c>
      <c r="C226" s="31" t="s">
        <v>409</v>
      </c>
      <c r="D226" s="31" t="s">
        <v>420</v>
      </c>
      <c r="E226" s="31" t="s">
        <v>75</v>
      </c>
      <c r="F226" s="31" t="s">
        <v>242</v>
      </c>
      <c r="G226" s="31" t="s">
        <v>423</v>
      </c>
      <c r="H226" s="31" t="s">
        <v>243</v>
      </c>
      <c r="I226" s="31" t="b">
        <v>0</v>
      </c>
      <c r="J226" s="31">
        <v>525</v>
      </c>
      <c r="K226" s="31">
        <v>96.34</v>
      </c>
      <c r="L226" s="32">
        <v>6999200</v>
      </c>
      <c r="M226" s="32">
        <v>1.768553083055275E+18</v>
      </c>
      <c r="N226" s="31" t="s">
        <v>424</v>
      </c>
      <c r="O226" s="31"/>
    </row>
    <row r="227" spans="1:15">
      <c r="A227" s="31"/>
      <c r="B227" s="31" t="s">
        <v>425</v>
      </c>
      <c r="C227" s="31" t="s">
        <v>426</v>
      </c>
      <c r="D227" s="31" t="s">
        <v>420</v>
      </c>
      <c r="E227" s="31" t="s">
        <v>241</v>
      </c>
      <c r="F227" s="31" t="s">
        <v>242</v>
      </c>
      <c r="G227" s="31" t="s">
        <v>242</v>
      </c>
      <c r="H227" s="31" t="s">
        <v>243</v>
      </c>
      <c r="I227" s="31" t="b">
        <v>0</v>
      </c>
      <c r="J227" s="31">
        <v>600</v>
      </c>
      <c r="K227" s="31">
        <v>44.47</v>
      </c>
      <c r="L227" s="32">
        <v>608076103</v>
      </c>
      <c r="M227" s="32">
        <v>1300000063866786</v>
      </c>
      <c r="N227" s="31" t="s">
        <v>427</v>
      </c>
      <c r="O227" s="31"/>
    </row>
    <row r="228" spans="1:15">
      <c r="A228" s="31"/>
      <c r="B228" s="31" t="s">
        <v>428</v>
      </c>
      <c r="C228" s="31" t="s">
        <v>429</v>
      </c>
      <c r="D228" s="31" t="s">
        <v>420</v>
      </c>
      <c r="E228" s="31" t="s">
        <v>241</v>
      </c>
      <c r="F228" s="31" t="s">
        <v>242</v>
      </c>
      <c r="G228" s="31" t="s">
        <v>242</v>
      </c>
      <c r="H228" s="31" t="s">
        <v>243</v>
      </c>
      <c r="I228" s="31" t="b">
        <v>0</v>
      </c>
      <c r="J228" s="31">
        <v>1</v>
      </c>
      <c r="K228" s="31">
        <v>131.88999999999999</v>
      </c>
      <c r="L228" s="32">
        <v>406128904</v>
      </c>
      <c r="M228" s="32">
        <v>1200000061891005</v>
      </c>
      <c r="N228" s="31" t="s">
        <v>430</v>
      </c>
      <c r="O228" s="31"/>
    </row>
    <row r="229" spans="1:15">
      <c r="A229" s="31"/>
      <c r="B229" s="31" t="s">
        <v>428</v>
      </c>
      <c r="C229" s="31" t="s">
        <v>429</v>
      </c>
      <c r="D229" s="31" t="s">
        <v>420</v>
      </c>
      <c r="E229" s="31" t="s">
        <v>241</v>
      </c>
      <c r="F229" s="31" t="s">
        <v>242</v>
      </c>
      <c r="G229" s="31" t="s">
        <v>242</v>
      </c>
      <c r="H229" s="31" t="s">
        <v>243</v>
      </c>
      <c r="I229" s="31" t="b">
        <v>0</v>
      </c>
      <c r="J229" s="31">
        <v>9</v>
      </c>
      <c r="K229" s="31">
        <v>131.88999999999999</v>
      </c>
      <c r="L229" s="32">
        <v>406128905</v>
      </c>
      <c r="M229" s="32">
        <v>1200000061891005</v>
      </c>
      <c r="N229" s="31" t="s">
        <v>430</v>
      </c>
      <c r="O229" s="31"/>
    </row>
    <row r="230" spans="1:15">
      <c r="A230" s="31"/>
      <c r="B230" s="31" t="s">
        <v>431</v>
      </c>
      <c r="C230" s="31" t="s">
        <v>432</v>
      </c>
      <c r="D230" s="31" t="s">
        <v>420</v>
      </c>
      <c r="E230" s="31" t="s">
        <v>241</v>
      </c>
      <c r="F230" s="31" t="s">
        <v>242</v>
      </c>
      <c r="G230" s="31" t="s">
        <v>242</v>
      </c>
      <c r="H230" s="31" t="s">
        <v>243</v>
      </c>
      <c r="I230" s="31" t="b">
        <v>0</v>
      </c>
      <c r="J230" s="31">
        <v>10</v>
      </c>
      <c r="K230" s="31">
        <v>156.75</v>
      </c>
      <c r="L230" s="32">
        <v>5688654</v>
      </c>
      <c r="M230" s="32">
        <v>1000000056015274</v>
      </c>
      <c r="N230" s="31" t="s">
        <v>433</v>
      </c>
      <c r="O230" s="31"/>
    </row>
    <row r="231" spans="1:15">
      <c r="A231" s="31"/>
      <c r="B231" s="31" t="s">
        <v>434</v>
      </c>
      <c r="C231" s="31" t="s">
        <v>435</v>
      </c>
      <c r="D231" s="31" t="s">
        <v>420</v>
      </c>
      <c r="E231" s="31" t="s">
        <v>241</v>
      </c>
      <c r="F231" s="31" t="s">
        <v>242</v>
      </c>
      <c r="G231" s="31" t="s">
        <v>242</v>
      </c>
      <c r="H231" s="31" t="s">
        <v>243</v>
      </c>
      <c r="I231" s="31" t="b">
        <v>0</v>
      </c>
      <c r="J231" s="31">
        <v>20</v>
      </c>
      <c r="K231" s="31">
        <v>66.849999999999994</v>
      </c>
      <c r="L231" s="32">
        <v>406134247</v>
      </c>
      <c r="M231" s="32">
        <v>1200000061948522</v>
      </c>
      <c r="N231" s="31" t="s">
        <v>436</v>
      </c>
      <c r="O231" s="31"/>
    </row>
    <row r="232" spans="1:15">
      <c r="A232" s="31"/>
      <c r="B232" s="31" t="s">
        <v>69</v>
      </c>
      <c r="C232" s="31" t="s">
        <v>361</v>
      </c>
      <c r="D232" s="31" t="s">
        <v>420</v>
      </c>
      <c r="E232" s="31" t="s">
        <v>75</v>
      </c>
      <c r="F232" s="31" t="s">
        <v>242</v>
      </c>
      <c r="G232" s="31" t="s">
        <v>300</v>
      </c>
      <c r="H232" s="31" t="s">
        <v>243</v>
      </c>
      <c r="I232" s="31" t="b">
        <v>0</v>
      </c>
      <c r="J232" s="31">
        <v>11</v>
      </c>
      <c r="K232" s="31">
        <v>270.14999999999998</v>
      </c>
      <c r="L232" s="32">
        <v>15720900</v>
      </c>
      <c r="M232" s="32">
        <v>1.768554517040546E+18</v>
      </c>
      <c r="N232" s="31" t="s">
        <v>437</v>
      </c>
      <c r="O232" s="31"/>
    </row>
    <row r="233" spans="1:15">
      <c r="A233" s="31"/>
      <c r="B233" s="31" t="s">
        <v>69</v>
      </c>
      <c r="C233" s="31" t="s">
        <v>361</v>
      </c>
      <c r="D233" s="31" t="s">
        <v>420</v>
      </c>
      <c r="E233" s="31" t="s">
        <v>75</v>
      </c>
      <c r="F233" s="31" t="s">
        <v>242</v>
      </c>
      <c r="G233" s="31" t="s">
        <v>300</v>
      </c>
      <c r="H233" s="31" t="s">
        <v>243</v>
      </c>
      <c r="I233" s="31" t="b">
        <v>0</v>
      </c>
      <c r="J233" s="31">
        <v>359</v>
      </c>
      <c r="K233" s="31">
        <v>270.25</v>
      </c>
      <c r="L233" s="32">
        <v>15721600</v>
      </c>
      <c r="M233" s="32">
        <v>1.768554517040546E+18</v>
      </c>
      <c r="N233" s="31" t="s">
        <v>437</v>
      </c>
      <c r="O233" s="31"/>
    </row>
    <row r="234" spans="1:15">
      <c r="A234" s="31"/>
      <c r="B234" s="31" t="s">
        <v>431</v>
      </c>
      <c r="C234" s="31" t="s">
        <v>432</v>
      </c>
      <c r="D234" s="31" t="s">
        <v>420</v>
      </c>
      <c r="E234" s="31" t="s">
        <v>241</v>
      </c>
      <c r="F234" s="31" t="s">
        <v>242</v>
      </c>
      <c r="G234" s="31" t="s">
        <v>242</v>
      </c>
      <c r="H234" s="31" t="s">
        <v>243</v>
      </c>
      <c r="I234" s="31" t="b">
        <v>0</v>
      </c>
      <c r="J234" s="31">
        <v>1</v>
      </c>
      <c r="K234" s="31">
        <v>157.28</v>
      </c>
      <c r="L234" s="32">
        <v>6113555</v>
      </c>
      <c r="M234" s="32">
        <v>1000000059176836</v>
      </c>
      <c r="N234" s="31" t="s">
        <v>438</v>
      </c>
      <c r="O234" s="31"/>
    </row>
    <row r="235" spans="1:15">
      <c r="A235" s="31"/>
      <c r="B235" s="31" t="s">
        <v>431</v>
      </c>
      <c r="C235" s="31" t="s">
        <v>432</v>
      </c>
      <c r="D235" s="31" t="s">
        <v>420</v>
      </c>
      <c r="E235" s="31" t="s">
        <v>241</v>
      </c>
      <c r="F235" s="31" t="s">
        <v>242</v>
      </c>
      <c r="G235" s="31" t="s">
        <v>242</v>
      </c>
      <c r="H235" s="31" t="s">
        <v>243</v>
      </c>
      <c r="I235" s="31" t="b">
        <v>0</v>
      </c>
      <c r="J235" s="31">
        <v>149</v>
      </c>
      <c r="K235" s="31">
        <v>157.30000000000001</v>
      </c>
      <c r="L235" s="32">
        <v>6113556</v>
      </c>
      <c r="M235" s="32">
        <v>1000000059176836</v>
      </c>
      <c r="N235" s="31" t="s">
        <v>438</v>
      </c>
      <c r="O235" s="31"/>
    </row>
    <row r="236" spans="1:15">
      <c r="A236" s="31"/>
      <c r="B236" s="31" t="s">
        <v>355</v>
      </c>
      <c r="C236" s="31" t="s">
        <v>356</v>
      </c>
      <c r="D236" s="31" t="s">
        <v>420</v>
      </c>
      <c r="E236" s="31" t="s">
        <v>241</v>
      </c>
      <c r="F236" s="31" t="s">
        <v>242</v>
      </c>
      <c r="G236" s="31" t="s">
        <v>242</v>
      </c>
      <c r="H236" s="31" t="s">
        <v>243</v>
      </c>
      <c r="I236" s="31" t="b">
        <v>0</v>
      </c>
      <c r="J236" s="31">
        <v>24</v>
      </c>
      <c r="K236" s="31">
        <v>1043.0999999999999</v>
      </c>
      <c r="L236" s="32">
        <v>608736445</v>
      </c>
      <c r="M236" s="32">
        <v>1300000068849574</v>
      </c>
      <c r="N236" s="31" t="s">
        <v>439</v>
      </c>
      <c r="O236" s="31"/>
    </row>
    <row r="237" spans="1:15">
      <c r="A237" s="31"/>
      <c r="B237" s="31" t="s">
        <v>428</v>
      </c>
      <c r="C237" s="31" t="s">
        <v>429</v>
      </c>
      <c r="D237" s="31" t="s">
        <v>440</v>
      </c>
      <c r="E237" s="31" t="s">
        <v>241</v>
      </c>
      <c r="F237" s="31" t="s">
        <v>242</v>
      </c>
      <c r="G237" s="31" t="s">
        <v>242</v>
      </c>
      <c r="H237" s="31" t="s">
        <v>243</v>
      </c>
      <c r="I237" s="31" t="b">
        <v>0</v>
      </c>
      <c r="J237" s="31">
        <v>190</v>
      </c>
      <c r="K237" s="31">
        <v>127.48</v>
      </c>
      <c r="L237" s="32">
        <v>405751563</v>
      </c>
      <c r="M237" s="32">
        <v>1200000067042159</v>
      </c>
      <c r="N237" s="31" t="s">
        <v>441</v>
      </c>
      <c r="O237" s="31"/>
    </row>
    <row r="238" spans="1:15">
      <c r="A238" s="31"/>
      <c r="B238" s="31" t="s">
        <v>434</v>
      </c>
      <c r="C238" s="31" t="s">
        <v>435</v>
      </c>
      <c r="D238" s="31" t="s">
        <v>440</v>
      </c>
      <c r="E238" s="31" t="s">
        <v>75</v>
      </c>
      <c r="F238" s="31" t="s">
        <v>242</v>
      </c>
      <c r="G238" s="31" t="s">
        <v>300</v>
      </c>
      <c r="H238" s="31" t="s">
        <v>243</v>
      </c>
      <c r="I238" s="31" t="b">
        <v>0</v>
      </c>
      <c r="J238" s="31">
        <v>29</v>
      </c>
      <c r="K238" s="31">
        <v>66.849999999999994</v>
      </c>
      <c r="L238" s="32">
        <v>10398800</v>
      </c>
      <c r="M238" s="32">
        <v>1.7688136933173701E+18</v>
      </c>
      <c r="N238" s="31" t="s">
        <v>442</v>
      </c>
      <c r="O238" s="31"/>
    </row>
    <row r="239" spans="1:15">
      <c r="A239" s="31"/>
      <c r="B239" s="31" t="s">
        <v>434</v>
      </c>
      <c r="C239" s="31" t="s">
        <v>435</v>
      </c>
      <c r="D239" s="31" t="s">
        <v>440</v>
      </c>
      <c r="E239" s="31" t="s">
        <v>75</v>
      </c>
      <c r="F239" s="31" t="s">
        <v>242</v>
      </c>
      <c r="G239" s="31" t="s">
        <v>300</v>
      </c>
      <c r="H239" s="31" t="s">
        <v>243</v>
      </c>
      <c r="I239" s="31" t="b">
        <v>0</v>
      </c>
      <c r="J239" s="31">
        <v>331</v>
      </c>
      <c r="K239" s="31">
        <v>66.84</v>
      </c>
      <c r="L239" s="32">
        <v>10398600</v>
      </c>
      <c r="M239" s="32">
        <v>1.7688136933173701E+18</v>
      </c>
      <c r="N239" s="31" t="s">
        <v>442</v>
      </c>
      <c r="O239" s="31"/>
    </row>
    <row r="240" spans="1:15">
      <c r="A240" s="31"/>
      <c r="B240" s="31" t="s">
        <v>397</v>
      </c>
      <c r="C240" s="31" t="s">
        <v>398</v>
      </c>
      <c r="D240" s="31" t="s">
        <v>440</v>
      </c>
      <c r="E240" s="31" t="s">
        <v>75</v>
      </c>
      <c r="F240" s="31" t="s">
        <v>242</v>
      </c>
      <c r="G240" s="31" t="s">
        <v>300</v>
      </c>
      <c r="H240" s="31" t="s">
        <v>294</v>
      </c>
      <c r="I240" s="31" t="b">
        <v>0</v>
      </c>
      <c r="J240" s="31">
        <v>19</v>
      </c>
      <c r="K240" s="31">
        <v>1130.3</v>
      </c>
      <c r="L240" s="32">
        <v>11141700</v>
      </c>
      <c r="M240" s="32">
        <v>1.7688142602535319E+18</v>
      </c>
      <c r="N240" s="31" t="s">
        <v>443</v>
      </c>
      <c r="O240" s="31"/>
    </row>
    <row r="241" spans="1:15">
      <c r="A241" s="31"/>
      <c r="B241" s="31" t="s">
        <v>383</v>
      </c>
      <c r="C241" s="31" t="s">
        <v>384</v>
      </c>
      <c r="D241" s="31" t="s">
        <v>444</v>
      </c>
      <c r="E241" s="31" t="s">
        <v>241</v>
      </c>
      <c r="F241" s="31" t="s">
        <v>242</v>
      </c>
      <c r="G241" s="31" t="s">
        <v>242</v>
      </c>
      <c r="H241" s="31" t="s">
        <v>294</v>
      </c>
      <c r="I241" s="31" t="b">
        <v>0</v>
      </c>
      <c r="J241" s="31">
        <v>920</v>
      </c>
      <c r="K241" s="31">
        <v>89.75</v>
      </c>
      <c r="L241" s="32">
        <v>206689184</v>
      </c>
      <c r="M241" s="32">
        <v>1100000059613610</v>
      </c>
      <c r="N241" s="31" t="s">
        <v>445</v>
      </c>
      <c r="O241" s="31"/>
    </row>
    <row r="242" spans="1:15">
      <c r="A242" s="31"/>
      <c r="B242" s="31" t="s">
        <v>386</v>
      </c>
      <c r="C242" s="31" t="s">
        <v>387</v>
      </c>
      <c r="D242" s="31" t="s">
        <v>444</v>
      </c>
      <c r="E242" s="31" t="s">
        <v>75</v>
      </c>
      <c r="F242" s="31" t="s">
        <v>242</v>
      </c>
      <c r="G242" s="31" t="s">
        <v>300</v>
      </c>
      <c r="H242" s="31" t="s">
        <v>294</v>
      </c>
      <c r="I242" s="31" t="b">
        <v>0</v>
      </c>
      <c r="J242" s="31">
        <v>51</v>
      </c>
      <c r="K242" s="31">
        <v>395.35</v>
      </c>
      <c r="L242" s="32">
        <v>8397700</v>
      </c>
      <c r="M242" s="32">
        <v>1.769493701763714E+18</v>
      </c>
      <c r="N242" s="31" t="s">
        <v>446</v>
      </c>
      <c r="O242" s="31"/>
    </row>
    <row r="243" spans="1:15">
      <c r="A243" s="31"/>
      <c r="B243" s="31" t="s">
        <v>386</v>
      </c>
      <c r="C243" s="31" t="s">
        <v>387</v>
      </c>
      <c r="D243" s="31" t="s">
        <v>444</v>
      </c>
      <c r="E243" s="31" t="s">
        <v>75</v>
      </c>
      <c r="F243" s="31" t="s">
        <v>242</v>
      </c>
      <c r="G243" s="31" t="s">
        <v>300</v>
      </c>
      <c r="H243" s="31" t="s">
        <v>294</v>
      </c>
      <c r="I243" s="31" t="b">
        <v>0</v>
      </c>
      <c r="J243" s="31">
        <v>53</v>
      </c>
      <c r="K243" s="31">
        <v>395.55</v>
      </c>
      <c r="L243" s="32">
        <v>8397200</v>
      </c>
      <c r="M243" s="32">
        <v>1.769493701763714E+18</v>
      </c>
      <c r="N243" s="31" t="s">
        <v>446</v>
      </c>
      <c r="O243" s="31"/>
    </row>
    <row r="244" spans="1:15">
      <c r="A244" s="31"/>
      <c r="B244" s="31" t="s">
        <v>386</v>
      </c>
      <c r="C244" s="31" t="s">
        <v>387</v>
      </c>
      <c r="D244" s="31" t="s">
        <v>444</v>
      </c>
      <c r="E244" s="31" t="s">
        <v>75</v>
      </c>
      <c r="F244" s="31" t="s">
        <v>242</v>
      </c>
      <c r="G244" s="31" t="s">
        <v>300</v>
      </c>
      <c r="H244" s="31" t="s">
        <v>294</v>
      </c>
      <c r="I244" s="31" t="b">
        <v>0</v>
      </c>
      <c r="J244" s="31">
        <v>56</v>
      </c>
      <c r="K244" s="31">
        <v>395.5</v>
      </c>
      <c r="L244" s="32">
        <v>8397400</v>
      </c>
      <c r="M244" s="32">
        <v>1.769493701763714E+18</v>
      </c>
      <c r="N244" s="31" t="s">
        <v>446</v>
      </c>
      <c r="O244" s="31"/>
    </row>
    <row r="245" spans="1:15">
      <c r="A245" s="31"/>
      <c r="B245" s="31" t="s">
        <v>386</v>
      </c>
      <c r="C245" s="31" t="s">
        <v>387</v>
      </c>
      <c r="D245" s="31" t="s">
        <v>444</v>
      </c>
      <c r="E245" s="31" t="s">
        <v>75</v>
      </c>
      <c r="F245" s="31" t="s">
        <v>242</v>
      </c>
      <c r="G245" s="31" t="s">
        <v>300</v>
      </c>
      <c r="H245" s="31" t="s">
        <v>294</v>
      </c>
      <c r="I245" s="31" t="b">
        <v>0</v>
      </c>
      <c r="J245" s="31">
        <v>68</v>
      </c>
      <c r="K245" s="31">
        <v>395.3</v>
      </c>
      <c r="L245" s="32">
        <v>8397900</v>
      </c>
      <c r="M245" s="32">
        <v>1.769493701763714E+18</v>
      </c>
      <c r="N245" s="31" t="s">
        <v>446</v>
      </c>
      <c r="O245" s="31"/>
    </row>
    <row r="246" spans="1:15">
      <c r="A246" s="31"/>
      <c r="B246" s="31" t="s">
        <v>46</v>
      </c>
      <c r="C246" s="31" t="s">
        <v>309</v>
      </c>
      <c r="D246" s="31" t="s">
        <v>447</v>
      </c>
      <c r="E246" s="31" t="s">
        <v>75</v>
      </c>
      <c r="F246" s="31" t="s">
        <v>242</v>
      </c>
      <c r="G246" s="31" t="s">
        <v>300</v>
      </c>
      <c r="H246" s="31" t="s">
        <v>294</v>
      </c>
      <c r="I246" s="31" t="b">
        <v>0</v>
      </c>
      <c r="J246" s="31">
        <v>102</v>
      </c>
      <c r="K246" s="31">
        <v>968.1</v>
      </c>
      <c r="L246" s="32">
        <v>10133500</v>
      </c>
      <c r="M246" s="32">
        <v>1.7697610541504599E+18</v>
      </c>
      <c r="N246" s="31" t="s">
        <v>448</v>
      </c>
      <c r="O246" s="31"/>
    </row>
    <row r="247" spans="1:15">
      <c r="A247" s="31"/>
      <c r="B247" s="31" t="s">
        <v>46</v>
      </c>
      <c r="C247" s="31" t="s">
        <v>309</v>
      </c>
      <c r="D247" s="31" t="s">
        <v>447</v>
      </c>
      <c r="E247" s="31" t="s">
        <v>75</v>
      </c>
      <c r="F247" s="31" t="s">
        <v>242</v>
      </c>
      <c r="G247" s="31" t="s">
        <v>300</v>
      </c>
      <c r="H247" s="31" t="s">
        <v>294</v>
      </c>
      <c r="I247" s="31" t="b">
        <v>0</v>
      </c>
      <c r="J247" s="31">
        <v>1</v>
      </c>
      <c r="K247" s="31">
        <v>968.15</v>
      </c>
      <c r="L247" s="32">
        <v>10132800</v>
      </c>
      <c r="M247" s="32">
        <v>1.7697610541504599E+18</v>
      </c>
      <c r="N247" s="31" t="s">
        <v>448</v>
      </c>
      <c r="O247" s="31"/>
    </row>
    <row r="248" spans="1:15">
      <c r="A248" s="31"/>
      <c r="B248" s="31" t="s">
        <v>355</v>
      </c>
      <c r="C248" s="31" t="s">
        <v>356</v>
      </c>
      <c r="D248" s="31" t="s">
        <v>447</v>
      </c>
      <c r="E248" s="31" t="s">
        <v>241</v>
      </c>
      <c r="F248" s="31" t="s">
        <v>242</v>
      </c>
      <c r="G248" s="31" t="s">
        <v>242</v>
      </c>
      <c r="H248" s="31" t="s">
        <v>243</v>
      </c>
      <c r="I248" s="31" t="b">
        <v>0</v>
      </c>
      <c r="J248" s="31">
        <v>1</v>
      </c>
      <c r="K248" s="31">
        <v>1078</v>
      </c>
      <c r="L248" s="32">
        <v>613155382</v>
      </c>
      <c r="M248" s="32">
        <v>1300000114057798</v>
      </c>
      <c r="N248" s="31" t="s">
        <v>449</v>
      </c>
      <c r="O248" s="31"/>
    </row>
    <row r="249" spans="1:15">
      <c r="A249" s="31"/>
      <c r="B249" s="31" t="s">
        <v>355</v>
      </c>
      <c r="C249" s="31" t="s">
        <v>356</v>
      </c>
      <c r="D249" s="31" t="s">
        <v>447</v>
      </c>
      <c r="E249" s="31" t="s">
        <v>241</v>
      </c>
      <c r="F249" s="31" t="s">
        <v>242</v>
      </c>
      <c r="G249" s="31" t="s">
        <v>242</v>
      </c>
      <c r="H249" s="31" t="s">
        <v>243</v>
      </c>
      <c r="I249" s="31" t="b">
        <v>0</v>
      </c>
      <c r="J249" s="31">
        <v>18</v>
      </c>
      <c r="K249" s="31">
        <v>1078</v>
      </c>
      <c r="L249" s="32">
        <v>613155383</v>
      </c>
      <c r="M249" s="32">
        <v>1300000114057798</v>
      </c>
      <c r="N249" s="31" t="s">
        <v>449</v>
      </c>
      <c r="O249" s="31"/>
    </row>
    <row r="250" spans="1:15">
      <c r="A250" s="31"/>
      <c r="B250" s="31" t="s">
        <v>355</v>
      </c>
      <c r="C250" s="31" t="s">
        <v>356</v>
      </c>
      <c r="D250" s="31" t="s">
        <v>447</v>
      </c>
      <c r="E250" s="31" t="s">
        <v>241</v>
      </c>
      <c r="F250" s="31" t="s">
        <v>242</v>
      </c>
      <c r="G250" s="31" t="s">
        <v>242</v>
      </c>
      <c r="H250" s="31" t="s">
        <v>243</v>
      </c>
      <c r="I250" s="31" t="b">
        <v>0</v>
      </c>
      <c r="J250" s="31">
        <v>74</v>
      </c>
      <c r="K250" s="31">
        <v>1078</v>
      </c>
      <c r="L250" s="32">
        <v>613155384</v>
      </c>
      <c r="M250" s="32">
        <v>1300000114057798</v>
      </c>
      <c r="N250" s="31" t="s">
        <v>449</v>
      </c>
      <c r="O250" s="31"/>
    </row>
    <row r="251" spans="1:15">
      <c r="A251" s="31"/>
      <c r="B251" s="31" t="s">
        <v>450</v>
      </c>
      <c r="C251" s="31" t="s">
        <v>451</v>
      </c>
      <c r="D251" s="31" t="s">
        <v>447</v>
      </c>
      <c r="E251" s="31" t="s">
        <v>241</v>
      </c>
      <c r="F251" s="31" t="s">
        <v>242</v>
      </c>
      <c r="G251" s="31" t="s">
        <v>242</v>
      </c>
      <c r="H251" s="31" t="s">
        <v>243</v>
      </c>
      <c r="I251" s="31" t="b">
        <v>0</v>
      </c>
      <c r="J251" s="31">
        <v>41</v>
      </c>
      <c r="K251" s="31">
        <v>449.45</v>
      </c>
      <c r="L251" s="32">
        <v>7205709</v>
      </c>
      <c r="M251" s="32">
        <v>1000000070570871</v>
      </c>
      <c r="N251" s="31" t="s">
        <v>452</v>
      </c>
      <c r="O251" s="31"/>
    </row>
    <row r="252" spans="1:15">
      <c r="A252" s="31"/>
      <c r="B252" s="31" t="s">
        <v>450</v>
      </c>
      <c r="C252" s="31" t="s">
        <v>451</v>
      </c>
      <c r="D252" s="31" t="s">
        <v>447</v>
      </c>
      <c r="E252" s="31" t="s">
        <v>241</v>
      </c>
      <c r="F252" s="31" t="s">
        <v>242</v>
      </c>
      <c r="G252" s="31" t="s">
        <v>242</v>
      </c>
      <c r="H252" s="31" t="s">
        <v>243</v>
      </c>
      <c r="I252" s="31" t="b">
        <v>0</v>
      </c>
      <c r="J252" s="31">
        <v>71</v>
      </c>
      <c r="K252" s="31">
        <v>449.4</v>
      </c>
      <c r="L252" s="32">
        <v>7205708</v>
      </c>
      <c r="M252" s="32">
        <v>1000000070570871</v>
      </c>
      <c r="N252" s="31" t="s">
        <v>452</v>
      </c>
      <c r="O252" s="31"/>
    </row>
    <row r="253" spans="1:15">
      <c r="A253" s="31"/>
      <c r="B253" s="31" t="s">
        <v>52</v>
      </c>
      <c r="C253" s="31" t="s">
        <v>453</v>
      </c>
      <c r="D253" s="31" t="s">
        <v>447</v>
      </c>
      <c r="E253" s="31" t="s">
        <v>241</v>
      </c>
      <c r="F253" s="31" t="s">
        <v>242</v>
      </c>
      <c r="G253" s="31" t="s">
        <v>242</v>
      </c>
      <c r="H253" s="31" t="s">
        <v>243</v>
      </c>
      <c r="I253" s="31" t="b">
        <v>0</v>
      </c>
      <c r="J253" s="31">
        <v>4</v>
      </c>
      <c r="K253" s="31">
        <v>1282.3</v>
      </c>
      <c r="L253" s="32">
        <v>613660967</v>
      </c>
      <c r="M253" s="32">
        <v>1300000116901518</v>
      </c>
      <c r="N253" s="31" t="s">
        <v>454</v>
      </c>
      <c r="O253" s="31"/>
    </row>
    <row r="254" spans="1:15">
      <c r="A254" s="31"/>
      <c r="B254" s="31" t="s">
        <v>52</v>
      </c>
      <c r="C254" s="31" t="s">
        <v>453</v>
      </c>
      <c r="D254" s="31" t="s">
        <v>447</v>
      </c>
      <c r="E254" s="31" t="s">
        <v>241</v>
      </c>
      <c r="F254" s="31" t="s">
        <v>242</v>
      </c>
      <c r="G254" s="31" t="s">
        <v>242</v>
      </c>
      <c r="H254" s="31" t="s">
        <v>243</v>
      </c>
      <c r="I254" s="31" t="b">
        <v>0</v>
      </c>
      <c r="J254" s="31">
        <v>6</v>
      </c>
      <c r="K254" s="31">
        <v>1282.4000000000001</v>
      </c>
      <c r="L254" s="32">
        <v>613660968</v>
      </c>
      <c r="M254" s="32">
        <v>1300000116901518</v>
      </c>
      <c r="N254" s="31" t="s">
        <v>454</v>
      </c>
      <c r="O254" s="31"/>
    </row>
    <row r="255" spans="1:15">
      <c r="A255" s="31"/>
      <c r="B255" s="31" t="s">
        <v>425</v>
      </c>
      <c r="C255" s="31" t="s">
        <v>426</v>
      </c>
      <c r="D255" s="31" t="s">
        <v>447</v>
      </c>
      <c r="E255" s="31" t="s">
        <v>75</v>
      </c>
      <c r="F255" s="31" t="s">
        <v>242</v>
      </c>
      <c r="G255" s="31" t="s">
        <v>300</v>
      </c>
      <c r="H255" s="31" t="s">
        <v>294</v>
      </c>
      <c r="I255" s="31" t="b">
        <v>0</v>
      </c>
      <c r="J255" s="31">
        <v>201</v>
      </c>
      <c r="K255" s="31">
        <v>37.56</v>
      </c>
      <c r="L255" s="32">
        <v>15336500</v>
      </c>
      <c r="M255" s="32">
        <v>1.7697643044148229E+18</v>
      </c>
      <c r="N255" s="31" t="s">
        <v>455</v>
      </c>
      <c r="O255" s="31"/>
    </row>
    <row r="256" spans="1:15">
      <c r="A256" s="31"/>
      <c r="B256" s="31" t="s">
        <v>425</v>
      </c>
      <c r="C256" s="31" t="s">
        <v>426</v>
      </c>
      <c r="D256" s="31" t="s">
        <v>447</v>
      </c>
      <c r="E256" s="31" t="s">
        <v>75</v>
      </c>
      <c r="F256" s="31" t="s">
        <v>242</v>
      </c>
      <c r="G256" s="31" t="s">
        <v>300</v>
      </c>
      <c r="H256" s="31" t="s">
        <v>294</v>
      </c>
      <c r="I256" s="31" t="b">
        <v>0</v>
      </c>
      <c r="J256" s="31">
        <v>399</v>
      </c>
      <c r="K256" s="31">
        <v>37.549999999999997</v>
      </c>
      <c r="L256" s="32">
        <v>15336900</v>
      </c>
      <c r="M256" s="32">
        <v>1.7697643044148229E+18</v>
      </c>
      <c r="N256" s="31" t="s">
        <v>455</v>
      </c>
      <c r="O256" s="31"/>
    </row>
    <row r="257" spans="1:15">
      <c r="A257" s="31"/>
      <c r="B257" s="31" t="s">
        <v>450</v>
      </c>
      <c r="C257" s="31" t="s">
        <v>451</v>
      </c>
      <c r="D257" s="31" t="s">
        <v>447</v>
      </c>
      <c r="E257" s="31" t="s">
        <v>241</v>
      </c>
      <c r="F257" s="31" t="s">
        <v>242</v>
      </c>
      <c r="G257" s="31" t="s">
        <v>242</v>
      </c>
      <c r="H257" s="31" t="s">
        <v>243</v>
      </c>
      <c r="I257" s="31" t="b">
        <v>0</v>
      </c>
      <c r="J257" s="31">
        <v>56</v>
      </c>
      <c r="K257" s="31">
        <v>449.2</v>
      </c>
      <c r="L257" s="32">
        <v>7774549</v>
      </c>
      <c r="M257" s="32">
        <v>1000000073240827</v>
      </c>
      <c r="N257" s="31" t="s">
        <v>456</v>
      </c>
      <c r="O257" s="31"/>
    </row>
    <row r="258" spans="1:15">
      <c r="A258" s="31"/>
      <c r="B258" s="31" t="s">
        <v>283</v>
      </c>
      <c r="C258" s="31" t="s">
        <v>284</v>
      </c>
      <c r="D258" s="31" t="s">
        <v>457</v>
      </c>
      <c r="E258" s="31" t="s">
        <v>241</v>
      </c>
      <c r="F258" s="31" t="s">
        <v>242</v>
      </c>
      <c r="G258" s="31" t="s">
        <v>242</v>
      </c>
      <c r="H258" s="31" t="s">
        <v>294</v>
      </c>
      <c r="I258" s="31" t="b">
        <v>0</v>
      </c>
      <c r="J258" s="31">
        <v>216</v>
      </c>
      <c r="K258" s="31">
        <v>140.33000000000001</v>
      </c>
      <c r="L258" s="32">
        <v>138516</v>
      </c>
      <c r="M258" s="32">
        <v>1000000000842622</v>
      </c>
      <c r="N258" s="31" t="s">
        <v>458</v>
      </c>
      <c r="O258" s="31"/>
    </row>
    <row r="259" spans="1:15">
      <c r="A259" s="31"/>
      <c r="B259" s="31" t="s">
        <v>283</v>
      </c>
      <c r="C259" s="31" t="s">
        <v>284</v>
      </c>
      <c r="D259" s="31" t="s">
        <v>457</v>
      </c>
      <c r="E259" s="31" t="s">
        <v>241</v>
      </c>
      <c r="F259" s="31" t="s">
        <v>242</v>
      </c>
      <c r="G259" s="31" t="s">
        <v>242</v>
      </c>
      <c r="H259" s="31" t="s">
        <v>294</v>
      </c>
      <c r="I259" s="31" t="b">
        <v>0</v>
      </c>
      <c r="J259" s="31">
        <v>25</v>
      </c>
      <c r="K259" s="31">
        <v>140.34</v>
      </c>
      <c r="L259" s="32">
        <v>138514</v>
      </c>
      <c r="M259" s="32">
        <v>1000000000842622</v>
      </c>
      <c r="N259" s="31" t="s">
        <v>458</v>
      </c>
      <c r="O259" s="31"/>
    </row>
    <row r="260" spans="1:15">
      <c r="A260" s="31"/>
      <c r="B260" s="31" t="s">
        <v>283</v>
      </c>
      <c r="C260" s="31" t="s">
        <v>284</v>
      </c>
      <c r="D260" s="31" t="s">
        <v>457</v>
      </c>
      <c r="E260" s="31" t="s">
        <v>241</v>
      </c>
      <c r="F260" s="31" t="s">
        <v>242</v>
      </c>
      <c r="G260" s="31" t="s">
        <v>242</v>
      </c>
      <c r="H260" s="31" t="s">
        <v>294</v>
      </c>
      <c r="I260" s="31" t="b">
        <v>0</v>
      </c>
      <c r="J260" s="31">
        <v>83</v>
      </c>
      <c r="K260" s="31">
        <v>140.34</v>
      </c>
      <c r="L260" s="32">
        <v>138515</v>
      </c>
      <c r="M260" s="32">
        <v>1000000000842622</v>
      </c>
      <c r="N260" s="31" t="s">
        <v>458</v>
      </c>
      <c r="O260" s="31"/>
    </row>
    <row r="261" spans="1:15">
      <c r="A261" s="31"/>
      <c r="B261" s="31" t="s">
        <v>318</v>
      </c>
      <c r="C261" s="31" t="s">
        <v>319</v>
      </c>
      <c r="D261" s="31" t="s">
        <v>457</v>
      </c>
      <c r="E261" s="31" t="s">
        <v>75</v>
      </c>
      <c r="F261" s="31" t="s">
        <v>242</v>
      </c>
      <c r="G261" s="31" t="s">
        <v>300</v>
      </c>
      <c r="H261" s="31" t="s">
        <v>294</v>
      </c>
      <c r="I261" s="31" t="b">
        <v>0</v>
      </c>
      <c r="J261" s="31">
        <v>94</v>
      </c>
      <c r="K261" s="31">
        <v>898.15</v>
      </c>
      <c r="L261" s="32">
        <v>792900</v>
      </c>
      <c r="M261" s="32">
        <v>1.7700030001372119E+18</v>
      </c>
      <c r="N261" s="31" t="s">
        <v>459</v>
      </c>
      <c r="O261" s="31"/>
    </row>
    <row r="262" spans="1:15">
      <c r="A262" s="31"/>
      <c r="B262" s="31" t="s">
        <v>358</v>
      </c>
      <c r="C262" s="31" t="s">
        <v>359</v>
      </c>
      <c r="D262" s="31" t="s">
        <v>457</v>
      </c>
      <c r="E262" s="31" t="s">
        <v>241</v>
      </c>
      <c r="F262" s="31" t="s">
        <v>242</v>
      </c>
      <c r="G262" s="31" t="s">
        <v>242</v>
      </c>
      <c r="H262" s="31" t="s">
        <v>294</v>
      </c>
      <c r="I262" s="31" t="b">
        <v>0</v>
      </c>
      <c r="J262" s="31">
        <v>10</v>
      </c>
      <c r="K262" s="31">
        <v>271.55</v>
      </c>
      <c r="L262" s="32">
        <v>3556964</v>
      </c>
      <c r="M262" s="32">
        <v>1000000039324729</v>
      </c>
      <c r="N262" s="31" t="s">
        <v>460</v>
      </c>
      <c r="O262" s="31"/>
    </row>
    <row r="263" spans="1:15">
      <c r="A263" s="31"/>
      <c r="B263" s="31" t="s">
        <v>358</v>
      </c>
      <c r="C263" s="31" t="s">
        <v>359</v>
      </c>
      <c r="D263" s="31" t="s">
        <v>457</v>
      </c>
      <c r="E263" s="31" t="s">
        <v>241</v>
      </c>
      <c r="F263" s="31" t="s">
        <v>242</v>
      </c>
      <c r="G263" s="31" t="s">
        <v>242</v>
      </c>
      <c r="H263" s="31" t="s">
        <v>294</v>
      </c>
      <c r="I263" s="31" t="b">
        <v>0</v>
      </c>
      <c r="J263" s="31">
        <v>31</v>
      </c>
      <c r="K263" s="31">
        <v>271.60000000000002</v>
      </c>
      <c r="L263" s="32">
        <v>3556962</v>
      </c>
      <c r="M263" s="32">
        <v>1000000039324729</v>
      </c>
      <c r="N263" s="31" t="s">
        <v>460</v>
      </c>
      <c r="O263" s="31"/>
    </row>
    <row r="264" spans="1:15">
      <c r="A264" s="31"/>
      <c r="B264" s="31" t="s">
        <v>358</v>
      </c>
      <c r="C264" s="31" t="s">
        <v>359</v>
      </c>
      <c r="D264" s="31" t="s">
        <v>457</v>
      </c>
      <c r="E264" s="31" t="s">
        <v>241</v>
      </c>
      <c r="F264" s="31" t="s">
        <v>242</v>
      </c>
      <c r="G264" s="31" t="s">
        <v>242</v>
      </c>
      <c r="H264" s="31" t="s">
        <v>294</v>
      </c>
      <c r="I264" s="31" t="b">
        <v>0</v>
      </c>
      <c r="J264" s="31">
        <v>59</v>
      </c>
      <c r="K264" s="31">
        <v>271.55</v>
      </c>
      <c r="L264" s="32">
        <v>3556968</v>
      </c>
      <c r="M264" s="32">
        <v>1000000039324729</v>
      </c>
      <c r="N264" s="31" t="s">
        <v>460</v>
      </c>
      <c r="O264" s="31"/>
    </row>
    <row r="265" spans="1:15">
      <c r="A265" s="31"/>
      <c r="B265" s="31" t="s">
        <v>358</v>
      </c>
      <c r="C265" s="31" t="s">
        <v>359</v>
      </c>
      <c r="D265" s="31" t="s">
        <v>457</v>
      </c>
      <c r="E265" s="31" t="s">
        <v>241</v>
      </c>
      <c r="F265" s="31" t="s">
        <v>242</v>
      </c>
      <c r="G265" s="31" t="s">
        <v>242</v>
      </c>
      <c r="H265" s="31" t="s">
        <v>294</v>
      </c>
      <c r="I265" s="31" t="b">
        <v>0</v>
      </c>
      <c r="J265" s="31">
        <v>70</v>
      </c>
      <c r="K265" s="31">
        <v>271.55</v>
      </c>
      <c r="L265" s="32">
        <v>3556963</v>
      </c>
      <c r="M265" s="32">
        <v>1000000039324729</v>
      </c>
      <c r="N265" s="31" t="s">
        <v>460</v>
      </c>
      <c r="O265" s="31"/>
    </row>
    <row r="266" spans="1:15">
      <c r="A266" s="31"/>
      <c r="B266" s="31" t="s">
        <v>428</v>
      </c>
      <c r="C266" s="31" t="s">
        <v>429</v>
      </c>
      <c r="D266" s="31" t="s">
        <v>457</v>
      </c>
      <c r="E266" s="31" t="s">
        <v>241</v>
      </c>
      <c r="F266" s="31" t="s">
        <v>242</v>
      </c>
      <c r="G266" s="31" t="s">
        <v>242</v>
      </c>
      <c r="H266" s="31" t="s">
        <v>294</v>
      </c>
      <c r="I266" s="31" t="b">
        <v>0</v>
      </c>
      <c r="J266" s="31">
        <v>200</v>
      </c>
      <c r="K266" s="31">
        <v>119.56</v>
      </c>
      <c r="L266" s="32">
        <v>404684795</v>
      </c>
      <c r="M266" s="32">
        <v>1200000051538381</v>
      </c>
      <c r="N266" s="31" t="s">
        <v>461</v>
      </c>
      <c r="O266" s="31"/>
    </row>
    <row r="267" spans="1:15">
      <c r="A267" s="31"/>
      <c r="B267" s="31" t="s">
        <v>245</v>
      </c>
      <c r="C267" s="31" t="s">
        <v>246</v>
      </c>
      <c r="D267" s="31" t="s">
        <v>457</v>
      </c>
      <c r="E267" s="31" t="s">
        <v>241</v>
      </c>
      <c r="F267" s="31" t="s">
        <v>242</v>
      </c>
      <c r="G267" s="31" t="s">
        <v>242</v>
      </c>
      <c r="H267" s="31" t="s">
        <v>294</v>
      </c>
      <c r="I267" s="31" t="b">
        <v>0</v>
      </c>
      <c r="J267" s="31">
        <v>1</v>
      </c>
      <c r="K267" s="31">
        <v>1299.4000000000001</v>
      </c>
      <c r="L267" s="32">
        <v>4407181</v>
      </c>
      <c r="M267" s="32">
        <v>1000000050030745</v>
      </c>
      <c r="N267" s="31" t="s">
        <v>462</v>
      </c>
      <c r="O267" s="31"/>
    </row>
    <row r="268" spans="1:15">
      <c r="A268" s="31"/>
      <c r="B268" s="31" t="s">
        <v>245</v>
      </c>
      <c r="C268" s="31" t="s">
        <v>246</v>
      </c>
      <c r="D268" s="31" t="s">
        <v>457</v>
      </c>
      <c r="E268" s="31" t="s">
        <v>241</v>
      </c>
      <c r="F268" s="31" t="s">
        <v>242</v>
      </c>
      <c r="G268" s="31" t="s">
        <v>242</v>
      </c>
      <c r="H268" s="31" t="s">
        <v>294</v>
      </c>
      <c r="I268" s="31" t="b">
        <v>0</v>
      </c>
      <c r="J268" s="31">
        <v>12</v>
      </c>
      <c r="K268" s="31">
        <v>1299.4000000000001</v>
      </c>
      <c r="L268" s="32">
        <v>4407183</v>
      </c>
      <c r="M268" s="32">
        <v>1000000050030745</v>
      </c>
      <c r="N268" s="31" t="s">
        <v>462</v>
      </c>
      <c r="O268" s="31"/>
    </row>
    <row r="269" spans="1:15">
      <c r="A269" s="31"/>
      <c r="B269" s="31" t="s">
        <v>245</v>
      </c>
      <c r="C269" s="31" t="s">
        <v>246</v>
      </c>
      <c r="D269" s="31" t="s">
        <v>457</v>
      </c>
      <c r="E269" s="31" t="s">
        <v>241</v>
      </c>
      <c r="F269" s="31" t="s">
        <v>242</v>
      </c>
      <c r="G269" s="31" t="s">
        <v>242</v>
      </c>
      <c r="H269" s="31" t="s">
        <v>294</v>
      </c>
      <c r="I269" s="31" t="b">
        <v>0</v>
      </c>
      <c r="J269" s="31">
        <v>15</v>
      </c>
      <c r="K269" s="31">
        <v>1299.4000000000001</v>
      </c>
      <c r="L269" s="32">
        <v>4407180</v>
      </c>
      <c r="M269" s="32">
        <v>1000000050030745</v>
      </c>
      <c r="N269" s="31" t="s">
        <v>462</v>
      </c>
      <c r="O269" s="31"/>
    </row>
    <row r="270" spans="1:15">
      <c r="A270" s="31"/>
      <c r="B270" s="31" t="s">
        <v>245</v>
      </c>
      <c r="C270" s="31" t="s">
        <v>246</v>
      </c>
      <c r="D270" s="31" t="s">
        <v>457</v>
      </c>
      <c r="E270" s="31" t="s">
        <v>241</v>
      </c>
      <c r="F270" s="31" t="s">
        <v>242</v>
      </c>
      <c r="G270" s="31" t="s">
        <v>242</v>
      </c>
      <c r="H270" s="31" t="s">
        <v>294</v>
      </c>
      <c r="I270" s="31" t="b">
        <v>0</v>
      </c>
      <c r="J270" s="31">
        <v>2</v>
      </c>
      <c r="K270" s="31">
        <v>1299.4000000000001</v>
      </c>
      <c r="L270" s="32">
        <v>4407179</v>
      </c>
      <c r="M270" s="32">
        <v>1000000050030745</v>
      </c>
      <c r="N270" s="31" t="s">
        <v>462</v>
      </c>
      <c r="O270" s="31"/>
    </row>
    <row r="271" spans="1:15">
      <c r="A271" s="31"/>
      <c r="B271" s="31" t="s">
        <v>245</v>
      </c>
      <c r="C271" s="31" t="s">
        <v>246</v>
      </c>
      <c r="D271" s="31" t="s">
        <v>457</v>
      </c>
      <c r="E271" s="31" t="s">
        <v>241</v>
      </c>
      <c r="F271" s="31" t="s">
        <v>242</v>
      </c>
      <c r="G271" s="31" t="s">
        <v>242</v>
      </c>
      <c r="H271" s="31" t="s">
        <v>294</v>
      </c>
      <c r="I271" s="31" t="b">
        <v>0</v>
      </c>
      <c r="J271" s="31">
        <v>28</v>
      </c>
      <c r="K271" s="31">
        <v>1299.4000000000001</v>
      </c>
      <c r="L271" s="32">
        <v>4407182</v>
      </c>
      <c r="M271" s="32">
        <v>1000000050030745</v>
      </c>
      <c r="N271" s="31" t="s">
        <v>462</v>
      </c>
      <c r="O271" s="31"/>
    </row>
    <row r="272" spans="1:15">
      <c r="A272" s="31"/>
      <c r="B272" s="31" t="s">
        <v>245</v>
      </c>
      <c r="C272" s="31" t="s">
        <v>246</v>
      </c>
      <c r="D272" s="31" t="s">
        <v>457</v>
      </c>
      <c r="E272" s="31" t="s">
        <v>241</v>
      </c>
      <c r="F272" s="31" t="s">
        <v>242</v>
      </c>
      <c r="G272" s="31" t="s">
        <v>242</v>
      </c>
      <c r="H272" s="31" t="s">
        <v>294</v>
      </c>
      <c r="I272" s="31" t="b">
        <v>0</v>
      </c>
      <c r="J272" s="31">
        <v>5</v>
      </c>
      <c r="K272" s="31">
        <v>1299.4000000000001</v>
      </c>
      <c r="L272" s="32">
        <v>4407185</v>
      </c>
      <c r="M272" s="32">
        <v>1000000050030745</v>
      </c>
      <c r="N272" s="31" t="s">
        <v>462</v>
      </c>
      <c r="O272" s="31"/>
    </row>
    <row r="273" spans="1:15">
      <c r="A273" s="31"/>
      <c r="B273" s="31" t="s">
        <v>372</v>
      </c>
      <c r="C273" s="31" t="s">
        <v>463</v>
      </c>
      <c r="D273" s="31" t="s">
        <v>457</v>
      </c>
      <c r="E273" s="31" t="s">
        <v>241</v>
      </c>
      <c r="F273" s="31" t="s">
        <v>242</v>
      </c>
      <c r="G273" s="31" t="s">
        <v>242</v>
      </c>
      <c r="H273" s="31" t="s">
        <v>294</v>
      </c>
      <c r="I273" s="31" t="b">
        <v>0</v>
      </c>
      <c r="J273" s="31">
        <v>32</v>
      </c>
      <c r="K273" s="31">
        <v>1416.6</v>
      </c>
      <c r="L273" s="32">
        <v>5956220</v>
      </c>
      <c r="M273" s="32">
        <v>1000000069738672</v>
      </c>
      <c r="N273" s="31" t="s">
        <v>464</v>
      </c>
      <c r="O273" s="31"/>
    </row>
    <row r="274" spans="1:15">
      <c r="A274" s="31"/>
      <c r="B274" s="31" t="s">
        <v>372</v>
      </c>
      <c r="C274" s="31" t="s">
        <v>463</v>
      </c>
      <c r="D274" s="31" t="s">
        <v>457</v>
      </c>
      <c r="E274" s="31" t="s">
        <v>241</v>
      </c>
      <c r="F274" s="31" t="s">
        <v>242</v>
      </c>
      <c r="G274" s="31" t="s">
        <v>242</v>
      </c>
      <c r="H274" s="31" t="s">
        <v>294</v>
      </c>
      <c r="I274" s="31" t="b">
        <v>0</v>
      </c>
      <c r="J274" s="31">
        <v>4</v>
      </c>
      <c r="K274" s="31">
        <v>1416.6</v>
      </c>
      <c r="L274" s="32">
        <v>5956219</v>
      </c>
      <c r="M274" s="32">
        <v>1000000069738672</v>
      </c>
      <c r="N274" s="31" t="s">
        <v>464</v>
      </c>
      <c r="O274" s="31"/>
    </row>
    <row r="275" spans="1:15">
      <c r="A275" s="31"/>
      <c r="B275" s="31" t="s">
        <v>431</v>
      </c>
      <c r="C275" s="31" t="s">
        <v>432</v>
      </c>
      <c r="D275" s="31" t="s">
        <v>465</v>
      </c>
      <c r="E275" s="31" t="s">
        <v>241</v>
      </c>
      <c r="F275" s="31" t="s">
        <v>242</v>
      </c>
      <c r="G275" s="31" t="s">
        <v>242</v>
      </c>
      <c r="H275" s="31" t="s">
        <v>243</v>
      </c>
      <c r="I275" s="31" t="b">
        <v>0</v>
      </c>
      <c r="J275" s="31">
        <v>305</v>
      </c>
      <c r="K275" s="31">
        <v>163.99</v>
      </c>
      <c r="L275" s="32">
        <v>5395551</v>
      </c>
      <c r="M275" s="32">
        <v>1000000062502140</v>
      </c>
      <c r="N275" s="31" t="s">
        <v>466</v>
      </c>
      <c r="O275" s="31"/>
    </row>
    <row r="276" spans="1:15">
      <c r="A276" s="31"/>
      <c r="B276" s="31" t="s">
        <v>80</v>
      </c>
      <c r="C276" s="31" t="s">
        <v>467</v>
      </c>
      <c r="D276" s="31" t="s">
        <v>468</v>
      </c>
      <c r="E276" s="31" t="s">
        <v>241</v>
      </c>
      <c r="F276" s="31" t="s">
        <v>242</v>
      </c>
      <c r="G276" s="31" t="s">
        <v>242</v>
      </c>
      <c r="H276" s="31" t="s">
        <v>243</v>
      </c>
      <c r="I276" s="31" t="b">
        <v>0</v>
      </c>
      <c r="J276" s="31">
        <v>45</v>
      </c>
      <c r="K276" s="31">
        <v>2237.6001000000001</v>
      </c>
      <c r="L276" s="32">
        <v>5804977</v>
      </c>
      <c r="M276" s="32">
        <v>1000000059786587</v>
      </c>
      <c r="N276" s="31" t="s">
        <v>469</v>
      </c>
      <c r="O276" s="31"/>
    </row>
    <row r="277" spans="1:15">
      <c r="A277" s="31"/>
      <c r="B277" s="31" t="s">
        <v>67</v>
      </c>
      <c r="C277" s="31" t="s">
        <v>470</v>
      </c>
      <c r="D277" s="31" t="s">
        <v>471</v>
      </c>
      <c r="E277" s="31" t="s">
        <v>241</v>
      </c>
      <c r="F277" s="31" t="s">
        <v>242</v>
      </c>
      <c r="G277" s="31" t="s">
        <v>242</v>
      </c>
      <c r="H277" s="31" t="s">
        <v>243</v>
      </c>
      <c r="I277" s="31" t="b">
        <v>0</v>
      </c>
      <c r="J277" s="31">
        <v>10</v>
      </c>
      <c r="K277" s="31">
        <v>853.85</v>
      </c>
      <c r="L277" s="32">
        <v>606300119</v>
      </c>
      <c r="M277" s="32">
        <v>1300000062934832</v>
      </c>
      <c r="N277" s="31" t="s">
        <v>472</v>
      </c>
      <c r="O277" s="31"/>
    </row>
    <row r="278" spans="1:15">
      <c r="A278" s="31"/>
      <c r="B278" s="31" t="s">
        <v>88</v>
      </c>
      <c r="C278" s="31" t="s">
        <v>276</v>
      </c>
      <c r="D278" s="31" t="s">
        <v>471</v>
      </c>
      <c r="E278" s="31" t="s">
        <v>241</v>
      </c>
      <c r="F278" s="31" t="s">
        <v>242</v>
      </c>
      <c r="G278" s="31" t="s">
        <v>242</v>
      </c>
      <c r="H278" s="31" t="s">
        <v>243</v>
      </c>
      <c r="I278" s="31" t="b">
        <v>0</v>
      </c>
      <c r="J278" s="31">
        <v>10</v>
      </c>
      <c r="K278" s="31">
        <v>684</v>
      </c>
      <c r="L278" s="32">
        <v>4236742</v>
      </c>
      <c r="M278" s="32">
        <v>1000000047242522</v>
      </c>
      <c r="N278" s="31" t="s">
        <v>473</v>
      </c>
      <c r="O278" s="31"/>
    </row>
    <row r="279" spans="1:15">
      <c r="A279" s="31"/>
      <c r="B279" s="31" t="s">
        <v>474</v>
      </c>
      <c r="C279" s="31" t="s">
        <v>475</v>
      </c>
      <c r="D279" s="31" t="s">
        <v>471</v>
      </c>
      <c r="E279" s="31" t="s">
        <v>241</v>
      </c>
      <c r="F279" s="31" t="s">
        <v>242</v>
      </c>
      <c r="G279" s="31" t="s">
        <v>242</v>
      </c>
      <c r="H279" s="31" t="s">
        <v>243</v>
      </c>
      <c r="I279" s="31" t="b">
        <v>0</v>
      </c>
      <c r="J279" s="31">
        <v>10</v>
      </c>
      <c r="K279" s="31">
        <v>483.55</v>
      </c>
      <c r="L279" s="32">
        <v>606313822</v>
      </c>
      <c r="M279" s="32">
        <v>1300000063069924</v>
      </c>
      <c r="N279" s="31" t="s">
        <v>476</v>
      </c>
      <c r="O279" s="31"/>
    </row>
    <row r="280" spans="1:15">
      <c r="A280" s="31"/>
      <c r="B280" s="31" t="s">
        <v>52</v>
      </c>
      <c r="C280" s="31" t="s">
        <v>453</v>
      </c>
      <c r="D280" s="31" t="s">
        <v>471</v>
      </c>
      <c r="E280" s="31" t="s">
        <v>241</v>
      </c>
      <c r="F280" s="31" t="s">
        <v>242</v>
      </c>
      <c r="G280" s="31" t="s">
        <v>242</v>
      </c>
      <c r="H280" s="31" t="s">
        <v>243</v>
      </c>
      <c r="I280" s="31" t="b">
        <v>0</v>
      </c>
      <c r="J280" s="31">
        <v>10</v>
      </c>
      <c r="K280" s="31">
        <v>1368</v>
      </c>
      <c r="L280" s="32">
        <v>608157505</v>
      </c>
      <c r="M280" s="32">
        <v>1300000081645901</v>
      </c>
      <c r="N280" s="31" t="s">
        <v>477</v>
      </c>
      <c r="O280" s="31"/>
    </row>
    <row r="281" spans="1:15">
      <c r="A281" s="31"/>
      <c r="B281" s="31" t="s">
        <v>52</v>
      </c>
      <c r="C281" s="31" t="s">
        <v>453</v>
      </c>
      <c r="D281" s="31" t="s">
        <v>478</v>
      </c>
      <c r="E281" s="31" t="s">
        <v>241</v>
      </c>
      <c r="F281" s="31" t="s">
        <v>242</v>
      </c>
      <c r="G281" s="31" t="s">
        <v>242</v>
      </c>
      <c r="H281" s="31" t="s">
        <v>243</v>
      </c>
      <c r="I281" s="31" t="b">
        <v>0</v>
      </c>
      <c r="J281" s="31">
        <v>2</v>
      </c>
      <c r="K281" s="31">
        <v>1380.6</v>
      </c>
      <c r="L281" s="32">
        <v>608658740</v>
      </c>
      <c r="M281" s="32">
        <v>1300000087615108</v>
      </c>
      <c r="N281" s="31" t="s">
        <v>479</v>
      </c>
      <c r="O281" s="31"/>
    </row>
    <row r="282" spans="1:15">
      <c r="A282" s="31"/>
      <c r="B282" s="31" t="s">
        <v>52</v>
      </c>
      <c r="C282" s="31" t="s">
        <v>453</v>
      </c>
      <c r="D282" s="31" t="s">
        <v>478</v>
      </c>
      <c r="E282" s="31" t="s">
        <v>241</v>
      </c>
      <c r="F282" s="31" t="s">
        <v>242</v>
      </c>
      <c r="G282" s="31" t="s">
        <v>242</v>
      </c>
      <c r="H282" s="31" t="s">
        <v>243</v>
      </c>
      <c r="I282" s="31" t="b">
        <v>0</v>
      </c>
      <c r="J282" s="31">
        <v>3</v>
      </c>
      <c r="K282" s="31">
        <v>1380.6</v>
      </c>
      <c r="L282" s="32">
        <v>608658741</v>
      </c>
      <c r="M282" s="32">
        <v>1300000087615108</v>
      </c>
      <c r="N282" s="31" t="s">
        <v>479</v>
      </c>
      <c r="O282" s="31"/>
    </row>
    <row r="283" spans="1:15">
      <c r="A283" s="31"/>
      <c r="B283" s="31" t="s">
        <v>52</v>
      </c>
      <c r="C283" s="31" t="s">
        <v>453</v>
      </c>
      <c r="D283" s="31" t="s">
        <v>478</v>
      </c>
      <c r="E283" s="31" t="s">
        <v>241</v>
      </c>
      <c r="F283" s="31" t="s">
        <v>242</v>
      </c>
      <c r="G283" s="31" t="s">
        <v>242</v>
      </c>
      <c r="H283" s="31" t="s">
        <v>243</v>
      </c>
      <c r="I283" s="31" t="b">
        <v>0</v>
      </c>
      <c r="J283" s="31">
        <v>4</v>
      </c>
      <c r="K283" s="31">
        <v>1380.7</v>
      </c>
      <c r="L283" s="32">
        <v>608658742</v>
      </c>
      <c r="M283" s="32">
        <v>1300000087615108</v>
      </c>
      <c r="N283" s="31" t="s">
        <v>479</v>
      </c>
      <c r="O283" s="31"/>
    </row>
    <row r="284" spans="1:15">
      <c r="A284" s="31"/>
      <c r="B284" s="31" t="s">
        <v>52</v>
      </c>
      <c r="C284" s="31" t="s">
        <v>453</v>
      </c>
      <c r="D284" s="31" t="s">
        <v>478</v>
      </c>
      <c r="E284" s="31" t="s">
        <v>241</v>
      </c>
      <c r="F284" s="31" t="s">
        <v>242</v>
      </c>
      <c r="G284" s="31" t="s">
        <v>242</v>
      </c>
      <c r="H284" s="31" t="s">
        <v>243</v>
      </c>
      <c r="I284" s="31" t="b">
        <v>0</v>
      </c>
      <c r="J284" s="31">
        <v>5</v>
      </c>
      <c r="K284" s="31">
        <v>1380.7</v>
      </c>
      <c r="L284" s="32">
        <v>608658743</v>
      </c>
      <c r="M284" s="32">
        <v>1300000087615108</v>
      </c>
      <c r="N284" s="31" t="s">
        <v>479</v>
      </c>
      <c r="O284" s="31"/>
    </row>
    <row r="285" spans="1:15">
      <c r="A285" s="31"/>
      <c r="B285" s="31" t="s">
        <v>88</v>
      </c>
      <c r="C285" s="31" t="s">
        <v>276</v>
      </c>
      <c r="D285" s="31" t="s">
        <v>480</v>
      </c>
      <c r="E285" s="31" t="s">
        <v>241</v>
      </c>
      <c r="F285" s="31" t="s">
        <v>242</v>
      </c>
      <c r="G285" s="31" t="s">
        <v>242</v>
      </c>
      <c r="H285" s="31" t="s">
        <v>243</v>
      </c>
      <c r="I285" s="31" t="b">
        <v>0</v>
      </c>
      <c r="J285" s="31">
        <v>12</v>
      </c>
      <c r="K285" s="31">
        <v>714.9</v>
      </c>
      <c r="L285" s="32">
        <v>4580522</v>
      </c>
      <c r="M285" s="32">
        <v>1000000061460854</v>
      </c>
      <c r="N285" s="31" t="s">
        <v>481</v>
      </c>
      <c r="O285" s="31"/>
    </row>
    <row r="286" spans="1:15">
      <c r="A286" s="31"/>
      <c r="B286" s="31" t="s">
        <v>88</v>
      </c>
      <c r="C286" s="31" t="s">
        <v>276</v>
      </c>
      <c r="D286" s="31" t="s">
        <v>480</v>
      </c>
      <c r="E286" s="31" t="s">
        <v>241</v>
      </c>
      <c r="F286" s="31" t="s">
        <v>242</v>
      </c>
      <c r="G286" s="31" t="s">
        <v>242</v>
      </c>
      <c r="H286" s="31" t="s">
        <v>243</v>
      </c>
      <c r="I286" s="31" t="b">
        <v>0</v>
      </c>
      <c r="J286" s="31">
        <v>15</v>
      </c>
      <c r="K286" s="31">
        <v>714.9</v>
      </c>
      <c r="L286" s="32">
        <v>4580523</v>
      </c>
      <c r="M286" s="32">
        <v>1000000061460854</v>
      </c>
      <c r="N286" s="31" t="s">
        <v>481</v>
      </c>
      <c r="O286" s="31"/>
    </row>
    <row r="287" spans="1:15">
      <c r="A287" s="31"/>
      <c r="B287" s="31" t="s">
        <v>355</v>
      </c>
      <c r="C287" s="31" t="s">
        <v>356</v>
      </c>
      <c r="D287" s="31" t="s">
        <v>480</v>
      </c>
      <c r="E287" s="31" t="s">
        <v>75</v>
      </c>
      <c r="F287" s="31" t="s">
        <v>242</v>
      </c>
      <c r="G287" s="31" t="s">
        <v>300</v>
      </c>
      <c r="H287" s="31" t="s">
        <v>243</v>
      </c>
      <c r="I287" s="31" t="b">
        <v>0</v>
      </c>
      <c r="J287" s="31">
        <v>28</v>
      </c>
      <c r="K287" s="31">
        <v>1213.95</v>
      </c>
      <c r="L287" s="32">
        <v>13253100</v>
      </c>
      <c r="M287" s="32">
        <v>1.771577768926583E+18</v>
      </c>
      <c r="N287" s="31" t="s">
        <v>482</v>
      </c>
      <c r="O287" s="31"/>
    </row>
    <row r="288" spans="1:15">
      <c r="A288" s="31"/>
      <c r="B288" s="31" t="s">
        <v>355</v>
      </c>
      <c r="C288" s="31" t="s">
        <v>356</v>
      </c>
      <c r="D288" s="31" t="s">
        <v>480</v>
      </c>
      <c r="E288" s="31" t="s">
        <v>75</v>
      </c>
      <c r="F288" s="31" t="s">
        <v>242</v>
      </c>
      <c r="G288" s="31" t="s">
        <v>300</v>
      </c>
      <c r="H288" s="31" t="s">
        <v>243</v>
      </c>
      <c r="I288" s="31" t="b">
        <v>0</v>
      </c>
      <c r="J288" s="31">
        <v>49</v>
      </c>
      <c r="K288" s="31">
        <v>1213.5999999999999</v>
      </c>
      <c r="L288" s="32">
        <v>13252800</v>
      </c>
      <c r="M288" s="32">
        <v>1.771577768926583E+18</v>
      </c>
      <c r="N288" s="31" t="s">
        <v>482</v>
      </c>
      <c r="O288" s="31"/>
    </row>
    <row r="289" spans="1:15">
      <c r="A289" s="31"/>
      <c r="B289" s="31" t="s">
        <v>355</v>
      </c>
      <c r="C289" s="31" t="s">
        <v>356</v>
      </c>
      <c r="D289" s="31" t="s">
        <v>480</v>
      </c>
      <c r="E289" s="31" t="s">
        <v>75</v>
      </c>
      <c r="F289" s="31" t="s">
        <v>242</v>
      </c>
      <c r="G289" s="31" t="s">
        <v>300</v>
      </c>
      <c r="H289" s="31" t="s">
        <v>243</v>
      </c>
      <c r="I289" s="31" t="b">
        <v>0</v>
      </c>
      <c r="J289" s="31">
        <v>5</v>
      </c>
      <c r="K289" s="31">
        <v>1214</v>
      </c>
      <c r="L289" s="32">
        <v>13253400</v>
      </c>
      <c r="M289" s="32">
        <v>1.771577768926583E+18</v>
      </c>
      <c r="N289" s="31" t="s">
        <v>482</v>
      </c>
      <c r="O289" s="31"/>
    </row>
    <row r="290" spans="1:15">
      <c r="A290" s="31"/>
      <c r="B290" s="31" t="s">
        <v>392</v>
      </c>
      <c r="C290" s="31" t="s">
        <v>393</v>
      </c>
      <c r="D290" s="31" t="s">
        <v>480</v>
      </c>
      <c r="E290" s="31" t="s">
        <v>75</v>
      </c>
      <c r="F290" s="31" t="s">
        <v>242</v>
      </c>
      <c r="G290" s="31" t="s">
        <v>300</v>
      </c>
      <c r="H290" s="31" t="s">
        <v>243</v>
      </c>
      <c r="I290" s="31" t="b">
        <v>0</v>
      </c>
      <c r="J290" s="31">
        <v>14</v>
      </c>
      <c r="K290" s="31">
        <v>538.9</v>
      </c>
      <c r="L290" s="32">
        <v>11077300</v>
      </c>
      <c r="M290" s="32">
        <v>1.77157744033997E+18</v>
      </c>
      <c r="N290" s="31" t="s">
        <v>483</v>
      </c>
      <c r="O290" s="31"/>
    </row>
    <row r="291" spans="1:15">
      <c r="A291" s="31"/>
      <c r="B291" s="31" t="s">
        <v>392</v>
      </c>
      <c r="C291" s="31" t="s">
        <v>393</v>
      </c>
      <c r="D291" s="31" t="s">
        <v>480</v>
      </c>
      <c r="E291" s="31" t="s">
        <v>75</v>
      </c>
      <c r="F291" s="31" t="s">
        <v>242</v>
      </c>
      <c r="G291" s="31" t="s">
        <v>300</v>
      </c>
      <c r="H291" s="31" t="s">
        <v>243</v>
      </c>
      <c r="I291" s="31" t="b">
        <v>0</v>
      </c>
      <c r="J291" s="31">
        <v>23</v>
      </c>
      <c r="K291" s="31">
        <v>538.85</v>
      </c>
      <c r="L291" s="32">
        <v>11077100</v>
      </c>
      <c r="M291" s="32">
        <v>1.77157744033997E+18</v>
      </c>
      <c r="N291" s="31" t="s">
        <v>483</v>
      </c>
      <c r="O291" s="31"/>
    </row>
    <row r="292" spans="1:15">
      <c r="A292" s="31"/>
      <c r="B292" s="31" t="s">
        <v>392</v>
      </c>
      <c r="C292" s="31" t="s">
        <v>393</v>
      </c>
      <c r="D292" s="31" t="s">
        <v>480</v>
      </c>
      <c r="E292" s="31" t="s">
        <v>75</v>
      </c>
      <c r="F292" s="31" t="s">
        <v>242</v>
      </c>
      <c r="G292" s="31" t="s">
        <v>300</v>
      </c>
      <c r="H292" s="31" t="s">
        <v>243</v>
      </c>
      <c r="I292" s="31" t="b">
        <v>0</v>
      </c>
      <c r="J292" s="31">
        <v>56</v>
      </c>
      <c r="K292" s="31">
        <v>538.95000000000005</v>
      </c>
      <c r="L292" s="32">
        <v>11077500</v>
      </c>
      <c r="M292" s="32">
        <v>1.77157744033997E+18</v>
      </c>
      <c r="N292" s="31" t="s">
        <v>483</v>
      </c>
      <c r="O292" s="31"/>
    </row>
    <row r="293" spans="1:15">
      <c r="A293" s="31"/>
      <c r="B293" s="31" t="s">
        <v>484</v>
      </c>
      <c r="C293" s="31" t="s">
        <v>485</v>
      </c>
      <c r="D293" s="31" t="s">
        <v>480</v>
      </c>
      <c r="E293" s="31" t="s">
        <v>241</v>
      </c>
      <c r="F293" s="31" t="s">
        <v>242</v>
      </c>
      <c r="G293" s="31" t="s">
        <v>242</v>
      </c>
      <c r="H293" s="31" t="s">
        <v>243</v>
      </c>
      <c r="I293" s="31" t="b">
        <v>0</v>
      </c>
      <c r="J293" s="31">
        <v>2</v>
      </c>
      <c r="K293" s="31">
        <v>314.69</v>
      </c>
      <c r="L293" s="32">
        <v>606311000</v>
      </c>
      <c r="M293" s="32">
        <v>1300000076352903</v>
      </c>
      <c r="N293" s="31" t="s">
        <v>486</v>
      </c>
      <c r="O293" s="31"/>
    </row>
    <row r="294" spans="1:15">
      <c r="A294" s="31"/>
      <c r="B294" s="31" t="s">
        <v>484</v>
      </c>
      <c r="C294" s="31" t="s">
        <v>485</v>
      </c>
      <c r="D294" s="31" t="s">
        <v>480</v>
      </c>
      <c r="E294" s="31" t="s">
        <v>241</v>
      </c>
      <c r="F294" s="31" t="s">
        <v>242</v>
      </c>
      <c r="G294" s="31" t="s">
        <v>242</v>
      </c>
      <c r="H294" s="31" t="s">
        <v>243</v>
      </c>
      <c r="I294" s="31" t="b">
        <v>0</v>
      </c>
      <c r="J294" s="31">
        <v>78</v>
      </c>
      <c r="K294" s="31">
        <v>314.7</v>
      </c>
      <c r="L294" s="32">
        <v>606311001</v>
      </c>
      <c r="M294" s="32">
        <v>1300000076352903</v>
      </c>
      <c r="N294" s="31" t="s">
        <v>486</v>
      </c>
      <c r="O294" s="31"/>
    </row>
    <row r="295" spans="1:15">
      <c r="A295" s="31"/>
      <c r="B295" s="31" t="s">
        <v>352</v>
      </c>
      <c r="C295" s="31" t="s">
        <v>353</v>
      </c>
      <c r="D295" s="31" t="s">
        <v>487</v>
      </c>
      <c r="E295" s="31" t="s">
        <v>75</v>
      </c>
      <c r="F295" s="31" t="s">
        <v>242</v>
      </c>
      <c r="G295" s="31" t="s">
        <v>300</v>
      </c>
      <c r="H295" s="31" t="s">
        <v>243</v>
      </c>
      <c r="I295" s="31" t="b">
        <v>0</v>
      </c>
      <c r="J295" s="31">
        <v>266</v>
      </c>
      <c r="K295" s="31">
        <v>188.15</v>
      </c>
      <c r="L295" s="32">
        <v>22055000</v>
      </c>
      <c r="M295" s="32">
        <v>1.772179817893634E+18</v>
      </c>
      <c r="N295" s="31" t="s">
        <v>488</v>
      </c>
      <c r="O295" s="31"/>
    </row>
    <row r="296" spans="1:15">
      <c r="A296" s="31"/>
      <c r="B296" s="31" t="s">
        <v>67</v>
      </c>
      <c r="C296" s="31" t="s">
        <v>470</v>
      </c>
      <c r="D296" s="31" t="s">
        <v>487</v>
      </c>
      <c r="E296" s="31" t="s">
        <v>75</v>
      </c>
      <c r="F296" s="31" t="s">
        <v>242</v>
      </c>
      <c r="G296" s="31" t="s">
        <v>300</v>
      </c>
      <c r="H296" s="31" t="s">
        <v>243</v>
      </c>
      <c r="I296" s="31" t="b">
        <v>0</v>
      </c>
      <c r="J296" s="31">
        <v>45</v>
      </c>
      <c r="K296" s="31">
        <v>908</v>
      </c>
      <c r="L296" s="32">
        <v>6795400</v>
      </c>
      <c r="M296" s="32">
        <v>1.7721776639566021E+18</v>
      </c>
      <c r="N296" s="31" t="s">
        <v>489</v>
      </c>
      <c r="O296" s="31"/>
    </row>
    <row r="297" spans="1:15">
      <c r="A297" s="31"/>
      <c r="B297" s="31" t="s">
        <v>474</v>
      </c>
      <c r="C297" s="31" t="s">
        <v>475</v>
      </c>
      <c r="D297" s="31" t="s">
        <v>487</v>
      </c>
      <c r="E297" s="31" t="s">
        <v>75</v>
      </c>
      <c r="F297" s="31" t="s">
        <v>242</v>
      </c>
      <c r="G297" s="31" t="s">
        <v>423</v>
      </c>
      <c r="H297" s="31" t="s">
        <v>294</v>
      </c>
      <c r="I297" s="31" t="b">
        <v>0</v>
      </c>
      <c r="J297" s="31">
        <v>10</v>
      </c>
      <c r="K297" s="31">
        <v>419.3</v>
      </c>
      <c r="L297" s="32">
        <v>4846000</v>
      </c>
      <c r="M297" s="32">
        <v>1.7721796532175109E+18</v>
      </c>
      <c r="N297" s="31" t="s">
        <v>490</v>
      </c>
      <c r="O297" s="31"/>
    </row>
    <row r="298" spans="1:15">
      <c r="A298" s="31"/>
      <c r="B298" s="31" t="s">
        <v>434</v>
      </c>
      <c r="C298" s="31" t="s">
        <v>435</v>
      </c>
      <c r="D298" s="31" t="s">
        <v>487</v>
      </c>
      <c r="E298" s="31" t="s">
        <v>241</v>
      </c>
      <c r="F298" s="31" t="s">
        <v>242</v>
      </c>
      <c r="G298" s="31" t="s">
        <v>242</v>
      </c>
      <c r="H298" s="31" t="s">
        <v>243</v>
      </c>
      <c r="I298" s="31" t="b">
        <v>0</v>
      </c>
      <c r="J298" s="31">
        <v>340</v>
      </c>
      <c r="K298" s="31">
        <v>75</v>
      </c>
      <c r="L298" s="32">
        <v>406697576</v>
      </c>
      <c r="M298" s="32">
        <v>1200000075865702</v>
      </c>
      <c r="N298" s="31" t="s">
        <v>491</v>
      </c>
      <c r="O298" s="31"/>
    </row>
    <row r="299" spans="1:15">
      <c r="A299" s="31"/>
      <c r="B299" s="31" t="s">
        <v>392</v>
      </c>
      <c r="C299" s="31" t="s">
        <v>393</v>
      </c>
      <c r="D299" s="31" t="s">
        <v>492</v>
      </c>
      <c r="E299" s="31" t="s">
        <v>75</v>
      </c>
      <c r="F299" s="31" t="s">
        <v>242</v>
      </c>
      <c r="G299" s="31" t="s">
        <v>300</v>
      </c>
      <c r="H299" s="31" t="s">
        <v>294</v>
      </c>
      <c r="I299" s="31" t="b">
        <v>0</v>
      </c>
      <c r="J299" s="31">
        <v>196</v>
      </c>
      <c r="K299" s="31">
        <v>420.4</v>
      </c>
      <c r="L299" s="32">
        <v>81200</v>
      </c>
      <c r="M299" s="32">
        <v>1.7724222003260019E+18</v>
      </c>
      <c r="N299" s="31" t="s">
        <v>493</v>
      </c>
      <c r="O299" s="31"/>
    </row>
    <row r="300" spans="1:15">
      <c r="A300" s="31"/>
      <c r="B300" s="31" t="s">
        <v>450</v>
      </c>
      <c r="C300" s="31" t="s">
        <v>451</v>
      </c>
      <c r="D300" s="31" t="s">
        <v>494</v>
      </c>
      <c r="E300" s="31" t="s">
        <v>75</v>
      </c>
      <c r="F300" s="31" t="s">
        <v>242</v>
      </c>
      <c r="G300" s="31" t="s">
        <v>300</v>
      </c>
      <c r="H300" s="31" t="s">
        <v>243</v>
      </c>
      <c r="I300" s="31" t="b">
        <v>0</v>
      </c>
      <c r="J300" s="31">
        <v>54</v>
      </c>
      <c r="K300" s="31">
        <v>468.3</v>
      </c>
      <c r="L300" s="32">
        <v>12056500</v>
      </c>
      <c r="M300" s="32">
        <v>1.7727866281458839E+18</v>
      </c>
      <c r="N300" s="31" t="s">
        <v>495</v>
      </c>
      <c r="O300" s="31"/>
    </row>
    <row r="301" spans="1:15">
      <c r="A301" s="31"/>
      <c r="B301" s="31" t="s">
        <v>496</v>
      </c>
      <c r="C301" s="31" t="s">
        <v>497</v>
      </c>
      <c r="D301" s="31" t="s">
        <v>494</v>
      </c>
      <c r="E301" s="31" t="s">
        <v>241</v>
      </c>
      <c r="F301" s="31" t="s">
        <v>242</v>
      </c>
      <c r="G301" s="31" t="s">
        <v>242</v>
      </c>
      <c r="H301" s="31" t="s">
        <v>243</v>
      </c>
      <c r="I301" s="31" t="b">
        <v>0</v>
      </c>
      <c r="J301" s="31">
        <v>42</v>
      </c>
      <c r="K301" s="31">
        <v>206.6</v>
      </c>
      <c r="L301" s="32">
        <v>408247693</v>
      </c>
      <c r="M301" s="32">
        <v>1200000077068736</v>
      </c>
      <c r="N301" s="31" t="s">
        <v>498</v>
      </c>
      <c r="O301" s="31"/>
    </row>
    <row r="302" spans="1:15">
      <c r="A302" s="31"/>
      <c r="B302" s="31" t="s">
        <v>496</v>
      </c>
      <c r="C302" s="31" t="s">
        <v>497</v>
      </c>
      <c r="D302" s="31" t="s">
        <v>494</v>
      </c>
      <c r="E302" s="31" t="s">
        <v>241</v>
      </c>
      <c r="F302" s="31" t="s">
        <v>242</v>
      </c>
      <c r="G302" s="31" t="s">
        <v>242</v>
      </c>
      <c r="H302" s="31" t="s">
        <v>243</v>
      </c>
      <c r="I302" s="31" t="b">
        <v>0</v>
      </c>
      <c r="J302" s="31">
        <v>79</v>
      </c>
      <c r="K302" s="31">
        <v>206.6</v>
      </c>
      <c r="L302" s="32">
        <v>408247694</v>
      </c>
      <c r="M302" s="32">
        <v>1200000077068736</v>
      </c>
      <c r="N302" s="31" t="s">
        <v>498</v>
      </c>
      <c r="O302" s="31"/>
    </row>
    <row r="303" spans="1:15">
      <c r="A303" s="31"/>
      <c r="B303" s="31" t="s">
        <v>251</v>
      </c>
      <c r="C303" s="31" t="s">
        <v>252</v>
      </c>
      <c r="D303" s="31" t="s">
        <v>293</v>
      </c>
      <c r="E303" s="31" t="s">
        <v>241</v>
      </c>
      <c r="F303" s="31" t="s">
        <v>242</v>
      </c>
      <c r="G303" s="31" t="s">
        <v>242</v>
      </c>
      <c r="H303" s="31" t="s">
        <v>294</v>
      </c>
      <c r="I303" s="31" t="b">
        <v>0</v>
      </c>
      <c r="J303" s="31">
        <v>2</v>
      </c>
      <c r="K303" s="31">
        <v>4180.2002000000002</v>
      </c>
      <c r="L303" s="32">
        <v>602393096</v>
      </c>
      <c r="M303" s="32">
        <v>1300000019368715</v>
      </c>
      <c r="N303" s="31" t="s">
        <v>296</v>
      </c>
      <c r="O303" s="31"/>
    </row>
    <row r="304" spans="1:15">
      <c r="A304" s="31"/>
      <c r="B304" s="31" t="s">
        <v>251</v>
      </c>
      <c r="C304" s="31" t="s">
        <v>252</v>
      </c>
      <c r="D304" s="31" t="s">
        <v>293</v>
      </c>
      <c r="E304" s="31" t="s">
        <v>241</v>
      </c>
      <c r="F304" s="31" t="s">
        <v>242</v>
      </c>
      <c r="G304" s="31" t="s">
        <v>242</v>
      </c>
      <c r="H304" s="31" t="s">
        <v>294</v>
      </c>
      <c r="I304" s="31" t="b">
        <v>0</v>
      </c>
      <c r="J304" s="31">
        <v>1</v>
      </c>
      <c r="K304" s="31">
        <v>4180.2002000000002</v>
      </c>
      <c r="L304" s="32">
        <v>602393097</v>
      </c>
      <c r="M304" s="32">
        <v>1300000019368715</v>
      </c>
      <c r="N304" s="31" t="s">
        <v>296</v>
      </c>
      <c r="O304" s="31"/>
    </row>
    <row r="305" spans="1:15">
      <c r="A305" s="31"/>
      <c r="B305" s="31" t="s">
        <v>251</v>
      </c>
      <c r="C305" s="31" t="s">
        <v>252</v>
      </c>
      <c r="D305" s="31" t="s">
        <v>293</v>
      </c>
      <c r="E305" s="31" t="s">
        <v>241</v>
      </c>
      <c r="F305" s="31" t="s">
        <v>242</v>
      </c>
      <c r="G305" s="31" t="s">
        <v>242</v>
      </c>
      <c r="H305" s="31" t="s">
        <v>294</v>
      </c>
      <c r="I305" s="31" t="b">
        <v>0</v>
      </c>
      <c r="J305" s="31">
        <v>1</v>
      </c>
      <c r="K305" s="31">
        <v>4180.2002000000002</v>
      </c>
      <c r="L305" s="32">
        <v>602393094</v>
      </c>
      <c r="M305" s="32">
        <v>1300000019368715</v>
      </c>
      <c r="N305" s="31" t="s">
        <v>296</v>
      </c>
      <c r="O305" s="31"/>
    </row>
    <row r="306" spans="1:15">
      <c r="A306" s="31"/>
      <c r="B306" s="31" t="s">
        <v>245</v>
      </c>
      <c r="C306" s="31" t="s">
        <v>246</v>
      </c>
      <c r="D306" s="31" t="s">
        <v>457</v>
      </c>
      <c r="E306" s="31" t="s">
        <v>241</v>
      </c>
      <c r="F306" s="31" t="s">
        <v>242</v>
      </c>
      <c r="G306" s="31" t="s">
        <v>242</v>
      </c>
      <c r="H306" s="31" t="s">
        <v>294</v>
      </c>
      <c r="I306" s="31" t="b">
        <v>0</v>
      </c>
      <c r="J306" s="31">
        <v>1</v>
      </c>
      <c r="K306" s="31">
        <v>1299.4000000000001</v>
      </c>
      <c r="L306" s="32">
        <v>4407184</v>
      </c>
      <c r="M306" s="32">
        <v>1000000050030745</v>
      </c>
      <c r="N306" s="31" t="s">
        <v>462</v>
      </c>
      <c r="O306" s="31"/>
    </row>
    <row r="307" spans="1:15">
      <c r="A307" s="31"/>
      <c r="B307" s="31" t="s">
        <v>302</v>
      </c>
      <c r="C307" s="31" t="s">
        <v>303</v>
      </c>
      <c r="D307" s="31" t="s">
        <v>335</v>
      </c>
      <c r="E307" s="31" t="s">
        <v>241</v>
      </c>
      <c r="F307" s="31" t="s">
        <v>242</v>
      </c>
      <c r="G307" s="31" t="s">
        <v>242</v>
      </c>
      <c r="H307" s="31" t="s">
        <v>294</v>
      </c>
      <c r="I307" s="31" t="b">
        <v>0</v>
      </c>
      <c r="J307" s="31">
        <v>2</v>
      </c>
      <c r="K307" s="31">
        <v>482.05</v>
      </c>
      <c r="L307" s="32">
        <v>400073760</v>
      </c>
      <c r="M307" s="32">
        <v>1200000000472402</v>
      </c>
      <c r="N307" s="31" t="s">
        <v>336</v>
      </c>
      <c r="O307" s="31"/>
    </row>
    <row r="308" spans="1:15">
      <c r="A308" s="31"/>
      <c r="B308" s="31" t="s">
        <v>302</v>
      </c>
      <c r="C308" s="31" t="s">
        <v>303</v>
      </c>
      <c r="D308" s="31" t="s">
        <v>335</v>
      </c>
      <c r="E308" s="31" t="s">
        <v>241</v>
      </c>
      <c r="F308" s="31" t="s">
        <v>242</v>
      </c>
      <c r="G308" s="31" t="s">
        <v>242</v>
      </c>
      <c r="H308" s="31" t="s">
        <v>294</v>
      </c>
      <c r="I308" s="31" t="b">
        <v>0</v>
      </c>
      <c r="J308" s="31">
        <v>2</v>
      </c>
      <c r="K308" s="31">
        <v>482</v>
      </c>
      <c r="L308" s="32">
        <v>400073765</v>
      </c>
      <c r="M308" s="32">
        <v>1200000000472402</v>
      </c>
      <c r="N308" s="31" t="s">
        <v>336</v>
      </c>
      <c r="O308" s="31"/>
    </row>
    <row r="309" spans="1:15">
      <c r="A309" s="31"/>
      <c r="B309" s="31" t="s">
        <v>302</v>
      </c>
      <c r="C309" s="31" t="s">
        <v>303</v>
      </c>
      <c r="D309" s="31" t="s">
        <v>335</v>
      </c>
      <c r="E309" s="31" t="s">
        <v>241</v>
      </c>
      <c r="F309" s="31" t="s">
        <v>242</v>
      </c>
      <c r="G309" s="31" t="s">
        <v>242</v>
      </c>
      <c r="H309" s="31" t="s">
        <v>294</v>
      </c>
      <c r="I309" s="31" t="b">
        <v>0</v>
      </c>
      <c r="J309" s="31">
        <v>2</v>
      </c>
      <c r="K309" s="31">
        <v>482.05</v>
      </c>
      <c r="L309" s="32">
        <v>400073754</v>
      </c>
      <c r="M309" s="32">
        <v>1200000000472402</v>
      </c>
      <c r="N309" s="31" t="s">
        <v>336</v>
      </c>
      <c r="O309" s="31"/>
    </row>
    <row r="310" spans="1:15">
      <c r="A310" s="31"/>
      <c r="B310" s="31" t="s">
        <v>302</v>
      </c>
      <c r="C310" s="31" t="s">
        <v>303</v>
      </c>
      <c r="D310" s="31" t="s">
        <v>335</v>
      </c>
      <c r="E310" s="31" t="s">
        <v>241</v>
      </c>
      <c r="F310" s="31" t="s">
        <v>242</v>
      </c>
      <c r="G310" s="31" t="s">
        <v>242</v>
      </c>
      <c r="H310" s="31" t="s">
        <v>294</v>
      </c>
      <c r="I310" s="31" t="b">
        <v>0</v>
      </c>
      <c r="J310" s="31">
        <v>17</v>
      </c>
      <c r="K310" s="31">
        <v>482.05</v>
      </c>
      <c r="L310" s="32">
        <v>400073757</v>
      </c>
      <c r="M310" s="32">
        <v>1200000000472402</v>
      </c>
      <c r="N310" s="31" t="s">
        <v>336</v>
      </c>
      <c r="O310" s="31"/>
    </row>
    <row r="311" spans="1:15">
      <c r="A311" s="31"/>
      <c r="B311" s="31" t="s">
        <v>302</v>
      </c>
      <c r="C311" s="31" t="s">
        <v>303</v>
      </c>
      <c r="D311" s="31" t="s">
        <v>335</v>
      </c>
      <c r="E311" s="31" t="s">
        <v>241</v>
      </c>
      <c r="F311" s="31" t="s">
        <v>242</v>
      </c>
      <c r="G311" s="31" t="s">
        <v>242</v>
      </c>
      <c r="H311" s="31" t="s">
        <v>294</v>
      </c>
      <c r="I311" s="31" t="b">
        <v>0</v>
      </c>
      <c r="J311" s="31">
        <v>2</v>
      </c>
      <c r="K311" s="31">
        <v>482.05</v>
      </c>
      <c r="L311" s="32">
        <v>400073758</v>
      </c>
      <c r="M311" s="32">
        <v>1200000000472402</v>
      </c>
      <c r="N311" s="31" t="s">
        <v>336</v>
      </c>
      <c r="O311" s="31"/>
    </row>
    <row r="312" spans="1:15">
      <c r="A312" s="31"/>
      <c r="B312" s="31" t="s">
        <v>67</v>
      </c>
      <c r="C312" s="31" t="s">
        <v>470</v>
      </c>
      <c r="D312" s="31" t="s">
        <v>499</v>
      </c>
      <c r="E312" s="31" t="s">
        <v>75</v>
      </c>
      <c r="F312" s="31" t="s">
        <v>242</v>
      </c>
      <c r="G312" s="31" t="s">
        <v>300</v>
      </c>
      <c r="H312" s="31" t="s">
        <v>243</v>
      </c>
      <c r="I312" s="31" t="b">
        <v>0</v>
      </c>
      <c r="J312" s="31">
        <v>14</v>
      </c>
      <c r="K312" s="31">
        <v>846.65</v>
      </c>
      <c r="L312" s="32">
        <v>12948500</v>
      </c>
      <c r="M312" s="32">
        <v>1.7730484151741571E+18</v>
      </c>
      <c r="N312" s="31" t="s">
        <v>500</v>
      </c>
      <c r="O312" s="31"/>
    </row>
    <row r="313" spans="1:15">
      <c r="A313" s="31"/>
      <c r="B313" s="31" t="s">
        <v>67</v>
      </c>
      <c r="C313" s="31" t="s">
        <v>470</v>
      </c>
      <c r="D313" s="31" t="s">
        <v>499</v>
      </c>
      <c r="E313" s="31" t="s">
        <v>75</v>
      </c>
      <c r="F313" s="31" t="s">
        <v>242</v>
      </c>
      <c r="G313" s="31" t="s">
        <v>300</v>
      </c>
      <c r="H313" s="31" t="s">
        <v>243</v>
      </c>
      <c r="I313" s="31" t="b">
        <v>0</v>
      </c>
      <c r="J313" s="31">
        <v>14</v>
      </c>
      <c r="K313" s="31">
        <v>847.3</v>
      </c>
      <c r="L313" s="32">
        <v>12949700</v>
      </c>
      <c r="M313" s="32">
        <v>1.7730484151741571E+18</v>
      </c>
      <c r="N313" s="31" t="s">
        <v>500</v>
      </c>
      <c r="O313" s="31"/>
    </row>
    <row r="314" spans="1:15">
      <c r="A314" s="31"/>
      <c r="B314" s="31" t="s">
        <v>67</v>
      </c>
      <c r="C314" s="31" t="s">
        <v>470</v>
      </c>
      <c r="D314" s="31" t="s">
        <v>499</v>
      </c>
      <c r="E314" s="31" t="s">
        <v>75</v>
      </c>
      <c r="F314" s="31" t="s">
        <v>242</v>
      </c>
      <c r="G314" s="31" t="s">
        <v>300</v>
      </c>
      <c r="H314" s="31" t="s">
        <v>243</v>
      </c>
      <c r="I314" s="31" t="b">
        <v>0</v>
      </c>
      <c r="J314" s="31">
        <v>20</v>
      </c>
      <c r="K314" s="31">
        <v>847.15</v>
      </c>
      <c r="L314" s="32">
        <v>12949500</v>
      </c>
      <c r="M314" s="32">
        <v>1.7730484151741571E+18</v>
      </c>
      <c r="N314" s="31" t="s">
        <v>500</v>
      </c>
      <c r="O314" s="31"/>
    </row>
    <row r="315" spans="1:15">
      <c r="A315" s="31"/>
      <c r="B315" s="31" t="s">
        <v>67</v>
      </c>
      <c r="C315" s="31" t="s">
        <v>470</v>
      </c>
      <c r="D315" s="31" t="s">
        <v>499</v>
      </c>
      <c r="E315" s="31" t="s">
        <v>75</v>
      </c>
      <c r="F315" s="31" t="s">
        <v>242</v>
      </c>
      <c r="G315" s="31" t="s">
        <v>300</v>
      </c>
      <c r="H315" s="31" t="s">
        <v>243</v>
      </c>
      <c r="I315" s="31" t="b">
        <v>0</v>
      </c>
      <c r="J315" s="31">
        <v>27</v>
      </c>
      <c r="K315" s="31">
        <v>846.75</v>
      </c>
      <c r="L315" s="32">
        <v>12948800</v>
      </c>
      <c r="M315" s="32">
        <v>1.7730484151741571E+18</v>
      </c>
      <c r="N315" s="31" t="s">
        <v>500</v>
      </c>
      <c r="O315" s="31"/>
    </row>
    <row r="316" spans="1:15">
      <c r="A316" s="31"/>
      <c r="B316" s="31" t="s">
        <v>67</v>
      </c>
      <c r="C316" s="31" t="s">
        <v>470</v>
      </c>
      <c r="D316" s="31" t="s">
        <v>499</v>
      </c>
      <c r="E316" s="31" t="s">
        <v>75</v>
      </c>
      <c r="F316" s="31" t="s">
        <v>242</v>
      </c>
      <c r="G316" s="31" t="s">
        <v>300</v>
      </c>
      <c r="H316" s="31" t="s">
        <v>243</v>
      </c>
      <c r="I316" s="31" t="b">
        <v>0</v>
      </c>
      <c r="J316" s="31">
        <v>28</v>
      </c>
      <c r="K316" s="31">
        <v>846.9</v>
      </c>
      <c r="L316" s="32">
        <v>12949300</v>
      </c>
      <c r="M316" s="32">
        <v>1.7730484151741571E+18</v>
      </c>
      <c r="N316" s="31" t="s">
        <v>500</v>
      </c>
      <c r="O316" s="31"/>
    </row>
    <row r="317" spans="1:15">
      <c r="A317" s="31"/>
      <c r="B317" s="31" t="s">
        <v>67</v>
      </c>
      <c r="C317" s="31" t="s">
        <v>470</v>
      </c>
      <c r="D317" s="31" t="s">
        <v>499</v>
      </c>
      <c r="E317" s="31" t="s">
        <v>75</v>
      </c>
      <c r="F317" s="31" t="s">
        <v>242</v>
      </c>
      <c r="G317" s="31" t="s">
        <v>300</v>
      </c>
      <c r="H317" s="31" t="s">
        <v>243</v>
      </c>
      <c r="I317" s="31" t="b">
        <v>0</v>
      </c>
      <c r="J317" s="31">
        <v>6</v>
      </c>
      <c r="K317" s="31">
        <v>846.85</v>
      </c>
      <c r="L317" s="32">
        <v>12949000</v>
      </c>
      <c r="M317" s="32">
        <v>1.7730484151741571E+18</v>
      </c>
      <c r="N317" s="31" t="s">
        <v>500</v>
      </c>
      <c r="O317" s="31"/>
    </row>
    <row r="318" spans="1:15">
      <c r="A318" s="31"/>
      <c r="B318" s="31" t="s">
        <v>67</v>
      </c>
      <c r="C318" s="31" t="s">
        <v>470</v>
      </c>
      <c r="D318" s="31" t="s">
        <v>499</v>
      </c>
      <c r="E318" s="31" t="s">
        <v>75</v>
      </c>
      <c r="F318" s="31" t="s">
        <v>242</v>
      </c>
      <c r="G318" s="31" t="s">
        <v>300</v>
      </c>
      <c r="H318" s="31" t="s">
        <v>243</v>
      </c>
      <c r="I318" s="31" t="b">
        <v>0</v>
      </c>
      <c r="J318" s="31">
        <v>9</v>
      </c>
      <c r="K318" s="31">
        <v>847.35</v>
      </c>
      <c r="L318" s="32">
        <v>12949900</v>
      </c>
      <c r="M318" s="32">
        <v>1.7730484151741571E+18</v>
      </c>
      <c r="N318" s="31" t="s">
        <v>500</v>
      </c>
      <c r="O318" s="31"/>
    </row>
    <row r="319" spans="1:15">
      <c r="A319" s="31"/>
      <c r="B319" s="31" t="s">
        <v>501</v>
      </c>
      <c r="C319" s="31" t="s">
        <v>502</v>
      </c>
      <c r="D319" s="31" t="s">
        <v>499</v>
      </c>
      <c r="E319" s="31" t="s">
        <v>241</v>
      </c>
      <c r="F319" s="31" t="s">
        <v>242</v>
      </c>
      <c r="G319" s="31" t="s">
        <v>242</v>
      </c>
      <c r="H319" s="31" t="s">
        <v>243</v>
      </c>
      <c r="I319" s="31" t="b">
        <v>0</v>
      </c>
      <c r="J319" s="31">
        <v>92</v>
      </c>
      <c r="K319" s="31">
        <v>272.58999999999997</v>
      </c>
      <c r="L319" s="32">
        <v>408679913</v>
      </c>
      <c r="M319" s="32">
        <v>1200000090521780</v>
      </c>
      <c r="N319" s="31" t="s">
        <v>503</v>
      </c>
      <c r="O319" s="31"/>
    </row>
    <row r="320" spans="1:15">
      <c r="A320" s="31"/>
      <c r="B320" s="31" t="s">
        <v>68</v>
      </c>
      <c r="C320" s="31" t="s">
        <v>239</v>
      </c>
      <c r="D320" s="31" t="s">
        <v>499</v>
      </c>
      <c r="E320" s="31" t="s">
        <v>241</v>
      </c>
      <c r="F320" s="31" t="s">
        <v>242</v>
      </c>
      <c r="G320" s="31" t="s">
        <v>242</v>
      </c>
      <c r="H320" s="31" t="s">
        <v>243</v>
      </c>
      <c r="I320" s="31" t="b">
        <v>0</v>
      </c>
      <c r="J320" s="31">
        <v>12</v>
      </c>
      <c r="K320" s="31">
        <v>8230.5</v>
      </c>
      <c r="L320" s="32">
        <v>409007482</v>
      </c>
      <c r="M320" s="32">
        <v>1200000092616711</v>
      </c>
      <c r="N320" s="31" t="s">
        <v>504</v>
      </c>
      <c r="O320" s="31"/>
    </row>
    <row r="321" spans="1:15">
      <c r="A321" s="31"/>
      <c r="B321" s="31" t="s">
        <v>77</v>
      </c>
      <c r="C321" s="31" t="s">
        <v>505</v>
      </c>
      <c r="D321" s="31" t="s">
        <v>499</v>
      </c>
      <c r="E321" s="31" t="s">
        <v>241</v>
      </c>
      <c r="F321" s="31" t="s">
        <v>242</v>
      </c>
      <c r="G321" s="31" t="s">
        <v>242</v>
      </c>
      <c r="H321" s="31" t="s">
        <v>243</v>
      </c>
      <c r="I321" s="31" t="b">
        <v>0</v>
      </c>
      <c r="J321" s="31">
        <v>20</v>
      </c>
      <c r="K321" s="31">
        <v>1033.0999999999999</v>
      </c>
      <c r="L321" s="32">
        <v>8272775</v>
      </c>
      <c r="M321" s="32">
        <v>1000000076102617</v>
      </c>
      <c r="N321" s="31" t="s">
        <v>506</v>
      </c>
      <c r="O321" s="31"/>
    </row>
    <row r="322" spans="1:15">
      <c r="A322" s="31"/>
      <c r="B322" s="31" t="s">
        <v>77</v>
      </c>
      <c r="C322" s="31" t="s">
        <v>505</v>
      </c>
      <c r="D322" s="31" t="s">
        <v>499</v>
      </c>
      <c r="E322" s="31" t="s">
        <v>241</v>
      </c>
      <c r="F322" s="31" t="s">
        <v>242</v>
      </c>
      <c r="G322" s="31" t="s">
        <v>242</v>
      </c>
      <c r="H322" s="31" t="s">
        <v>243</v>
      </c>
      <c r="I322" s="31" t="b">
        <v>0</v>
      </c>
      <c r="J322" s="31">
        <v>2</v>
      </c>
      <c r="K322" s="31">
        <v>1033.0999999999999</v>
      </c>
      <c r="L322" s="32">
        <v>8272774</v>
      </c>
      <c r="M322" s="32">
        <v>1000000076102617</v>
      </c>
      <c r="N322" s="31" t="s">
        <v>506</v>
      </c>
      <c r="O322" s="31"/>
    </row>
    <row r="323" spans="1:15">
      <c r="A323" s="31"/>
      <c r="B323" s="31" t="s">
        <v>77</v>
      </c>
      <c r="C323" s="31" t="s">
        <v>505</v>
      </c>
      <c r="D323" s="31" t="s">
        <v>499</v>
      </c>
      <c r="E323" s="31" t="s">
        <v>241</v>
      </c>
      <c r="F323" s="31" t="s">
        <v>242</v>
      </c>
      <c r="G323" s="31" t="s">
        <v>242</v>
      </c>
      <c r="H323" s="31" t="s">
        <v>243</v>
      </c>
      <c r="I323" s="31" t="b">
        <v>0</v>
      </c>
      <c r="J323" s="31">
        <v>27</v>
      </c>
      <c r="K323" s="31">
        <v>1033.2</v>
      </c>
      <c r="L323" s="32">
        <v>8272776</v>
      </c>
      <c r="M323" s="32">
        <v>1000000076102617</v>
      </c>
      <c r="N323" s="31" t="s">
        <v>506</v>
      </c>
      <c r="O323" s="31"/>
    </row>
    <row r="324" spans="1:15">
      <c r="A324" s="31"/>
      <c r="B324" s="31" t="s">
        <v>71</v>
      </c>
      <c r="C324" s="31" t="s">
        <v>507</v>
      </c>
      <c r="D324" s="31" t="s">
        <v>499</v>
      </c>
      <c r="E324" s="31" t="s">
        <v>241</v>
      </c>
      <c r="F324" s="31" t="s">
        <v>242</v>
      </c>
      <c r="G324" s="31" t="s">
        <v>242</v>
      </c>
      <c r="H324" s="31" t="s">
        <v>243</v>
      </c>
      <c r="I324" s="31" t="b">
        <v>0</v>
      </c>
      <c r="J324" s="31">
        <v>1</v>
      </c>
      <c r="K324" s="31">
        <v>3775.7</v>
      </c>
      <c r="L324" s="32">
        <v>211697566</v>
      </c>
      <c r="M324" s="32">
        <v>1100000104870322</v>
      </c>
      <c r="N324" s="31" t="s">
        <v>508</v>
      </c>
      <c r="O324" s="31"/>
    </row>
    <row r="325" spans="1:15">
      <c r="A325" s="31"/>
      <c r="B325" s="31" t="s">
        <v>71</v>
      </c>
      <c r="C325" s="31" t="s">
        <v>507</v>
      </c>
      <c r="D325" s="31" t="s">
        <v>499</v>
      </c>
      <c r="E325" s="31" t="s">
        <v>241</v>
      </c>
      <c r="F325" s="31" t="s">
        <v>242</v>
      </c>
      <c r="G325" s="31" t="s">
        <v>242</v>
      </c>
      <c r="H325" s="31" t="s">
        <v>243</v>
      </c>
      <c r="I325" s="31" t="b">
        <v>0</v>
      </c>
      <c r="J325" s="31">
        <v>3</v>
      </c>
      <c r="K325" s="31">
        <v>3775.7</v>
      </c>
      <c r="L325" s="32">
        <v>211697563</v>
      </c>
      <c r="M325" s="32">
        <v>1100000104870322</v>
      </c>
      <c r="N325" s="31" t="s">
        <v>508</v>
      </c>
      <c r="O325" s="31"/>
    </row>
    <row r="326" spans="1:15">
      <c r="A326" s="31"/>
      <c r="B326" s="31" t="s">
        <v>71</v>
      </c>
      <c r="C326" s="31" t="s">
        <v>507</v>
      </c>
      <c r="D326" s="31" t="s">
        <v>499</v>
      </c>
      <c r="E326" s="31" t="s">
        <v>241</v>
      </c>
      <c r="F326" s="31" t="s">
        <v>242</v>
      </c>
      <c r="G326" s="31" t="s">
        <v>242</v>
      </c>
      <c r="H326" s="31" t="s">
        <v>243</v>
      </c>
      <c r="I326" s="31" t="b">
        <v>0</v>
      </c>
      <c r="J326" s="31">
        <v>4</v>
      </c>
      <c r="K326" s="31">
        <v>3775.7</v>
      </c>
      <c r="L326" s="32">
        <v>211697565</v>
      </c>
      <c r="M326" s="32">
        <v>1100000104870322</v>
      </c>
      <c r="N326" s="31" t="s">
        <v>508</v>
      </c>
      <c r="O326" s="31"/>
    </row>
    <row r="327" spans="1:15">
      <c r="A327" s="31"/>
      <c r="B327" s="31" t="s">
        <v>71</v>
      </c>
      <c r="C327" s="31" t="s">
        <v>507</v>
      </c>
      <c r="D327" s="31" t="s">
        <v>499</v>
      </c>
      <c r="E327" s="31" t="s">
        <v>241</v>
      </c>
      <c r="F327" s="31" t="s">
        <v>242</v>
      </c>
      <c r="G327" s="31" t="s">
        <v>242</v>
      </c>
      <c r="H327" s="31" t="s">
        <v>243</v>
      </c>
      <c r="I327" s="31" t="b">
        <v>0</v>
      </c>
      <c r="J327" s="31">
        <v>5</v>
      </c>
      <c r="K327" s="31">
        <v>3775.7</v>
      </c>
      <c r="L327" s="32">
        <v>211697564</v>
      </c>
      <c r="M327" s="32">
        <v>1100000104870322</v>
      </c>
      <c r="N327" s="31" t="s">
        <v>508</v>
      </c>
      <c r="O327" s="31"/>
    </row>
    <row r="328" spans="1:15">
      <c r="A328" s="31"/>
      <c r="B328" s="31" t="s">
        <v>273</v>
      </c>
      <c r="C328" s="31" t="s">
        <v>274</v>
      </c>
      <c r="D328" s="31" t="s">
        <v>293</v>
      </c>
      <c r="E328" s="31" t="s">
        <v>241</v>
      </c>
      <c r="F328" s="31" t="s">
        <v>242</v>
      </c>
      <c r="G328" s="31" t="s">
        <v>242</v>
      </c>
      <c r="H328" s="31" t="s">
        <v>294</v>
      </c>
      <c r="I328" s="31" t="b">
        <v>0</v>
      </c>
      <c r="J328" s="31">
        <v>4</v>
      </c>
      <c r="K328" s="31">
        <v>1477.1</v>
      </c>
      <c r="L328" s="32">
        <v>402016993</v>
      </c>
      <c r="M328" s="32">
        <v>1200000018561473</v>
      </c>
      <c r="N328" s="31" t="s">
        <v>297</v>
      </c>
      <c r="O328" s="31"/>
    </row>
    <row r="329" spans="1:15">
      <c r="A329" s="31"/>
      <c r="B329" s="31" t="s">
        <v>273</v>
      </c>
      <c r="C329" s="31" t="s">
        <v>274</v>
      </c>
      <c r="D329" s="31" t="s">
        <v>293</v>
      </c>
      <c r="E329" s="31" t="s">
        <v>241</v>
      </c>
      <c r="F329" s="31" t="s">
        <v>242</v>
      </c>
      <c r="G329" s="31" t="s">
        <v>242</v>
      </c>
      <c r="H329" s="31" t="s">
        <v>294</v>
      </c>
      <c r="I329" s="31" t="b">
        <v>0</v>
      </c>
      <c r="J329" s="31">
        <v>4</v>
      </c>
      <c r="K329" s="31">
        <v>1477.1</v>
      </c>
      <c r="L329" s="32">
        <v>402016995</v>
      </c>
      <c r="M329" s="32">
        <v>1200000018561473</v>
      </c>
      <c r="N329" s="31" t="s">
        <v>297</v>
      </c>
      <c r="O329" s="31"/>
    </row>
    <row r="330" spans="1:15">
      <c r="A330" s="31"/>
      <c r="B330" s="31" t="s">
        <v>431</v>
      </c>
      <c r="C330" s="31" t="s">
        <v>432</v>
      </c>
      <c r="D330" s="31" t="s">
        <v>509</v>
      </c>
      <c r="E330" s="31" t="s">
        <v>75</v>
      </c>
      <c r="F330" s="31" t="s">
        <v>242</v>
      </c>
      <c r="G330" s="31" t="s">
        <v>300</v>
      </c>
      <c r="H330" s="31" t="s">
        <v>294</v>
      </c>
      <c r="I330" s="31" t="b">
        <v>0</v>
      </c>
      <c r="J330" s="31">
        <v>368</v>
      </c>
      <c r="K330" s="31">
        <v>152.80000000000001</v>
      </c>
      <c r="L330" s="32">
        <v>1999700</v>
      </c>
      <c r="M330" s="32">
        <v>1.7738046000148769E+18</v>
      </c>
      <c r="N330" s="31" t="s">
        <v>510</v>
      </c>
      <c r="O330" s="31"/>
    </row>
    <row r="331" spans="1:15">
      <c r="A331" s="31"/>
      <c r="B331" s="31" t="s">
        <v>431</v>
      </c>
      <c r="C331" s="31" t="s">
        <v>432</v>
      </c>
      <c r="D331" s="31" t="s">
        <v>509</v>
      </c>
      <c r="E331" s="31" t="s">
        <v>75</v>
      </c>
      <c r="F331" s="31" t="s">
        <v>242</v>
      </c>
      <c r="G331" s="31" t="s">
        <v>300</v>
      </c>
      <c r="H331" s="31" t="s">
        <v>294</v>
      </c>
      <c r="I331" s="31" t="b">
        <v>0</v>
      </c>
      <c r="J331" s="31">
        <v>97</v>
      </c>
      <c r="K331" s="31">
        <v>152.85</v>
      </c>
      <c r="L331" s="32">
        <v>1999000</v>
      </c>
      <c r="M331" s="32">
        <v>1.7738046000148769E+18</v>
      </c>
      <c r="N331" s="31" t="s">
        <v>510</v>
      </c>
      <c r="O331" s="31"/>
    </row>
    <row r="332" spans="1:15">
      <c r="A332" s="31"/>
      <c r="B332" s="31" t="s">
        <v>67</v>
      </c>
      <c r="C332" s="31" t="s">
        <v>470</v>
      </c>
      <c r="D332" s="31" t="s">
        <v>511</v>
      </c>
      <c r="E332" s="31" t="s">
        <v>241</v>
      </c>
      <c r="F332" s="31" t="s">
        <v>242</v>
      </c>
      <c r="G332" s="31" t="s">
        <v>242</v>
      </c>
      <c r="H332" s="31" t="s">
        <v>243</v>
      </c>
      <c r="I332" s="31" t="b">
        <v>0</v>
      </c>
      <c r="J332" s="31">
        <v>12</v>
      </c>
      <c r="K332" s="31">
        <v>862.95</v>
      </c>
      <c r="L332" s="32">
        <v>606850025</v>
      </c>
      <c r="M332" s="32">
        <v>1300000087261603</v>
      </c>
      <c r="N332" s="31" t="s">
        <v>512</v>
      </c>
      <c r="O332" s="31"/>
    </row>
    <row r="333" spans="1:15">
      <c r="A333" s="31"/>
      <c r="B333" s="31" t="s">
        <v>67</v>
      </c>
      <c r="C333" s="31" t="s">
        <v>470</v>
      </c>
      <c r="D333" s="31" t="s">
        <v>511</v>
      </c>
      <c r="E333" s="31" t="s">
        <v>241</v>
      </c>
      <c r="F333" s="31" t="s">
        <v>242</v>
      </c>
      <c r="G333" s="31" t="s">
        <v>242</v>
      </c>
      <c r="H333" s="31" t="s">
        <v>243</v>
      </c>
      <c r="I333" s="31" t="b">
        <v>0</v>
      </c>
      <c r="J333" s="31">
        <v>2</v>
      </c>
      <c r="K333" s="31">
        <v>862.95</v>
      </c>
      <c r="L333" s="32">
        <v>606850024</v>
      </c>
      <c r="M333" s="32">
        <v>1300000087261603</v>
      </c>
      <c r="N333" s="31" t="s">
        <v>512</v>
      </c>
      <c r="O333" s="31"/>
    </row>
    <row r="334" spans="1:15">
      <c r="A334" s="31"/>
      <c r="B334" s="31" t="s">
        <v>67</v>
      </c>
      <c r="C334" s="31" t="s">
        <v>470</v>
      </c>
      <c r="D334" s="31" t="s">
        <v>511</v>
      </c>
      <c r="E334" s="31" t="s">
        <v>241</v>
      </c>
      <c r="F334" s="31" t="s">
        <v>242</v>
      </c>
      <c r="G334" s="31" t="s">
        <v>242</v>
      </c>
      <c r="H334" s="31" t="s">
        <v>243</v>
      </c>
      <c r="I334" s="31" t="b">
        <v>0</v>
      </c>
      <c r="J334" s="31">
        <v>26</v>
      </c>
      <c r="K334" s="31">
        <v>862.95</v>
      </c>
      <c r="L334" s="32">
        <v>606850023</v>
      </c>
      <c r="M334" s="32">
        <v>1300000087261603</v>
      </c>
      <c r="N334" s="31" t="s">
        <v>512</v>
      </c>
      <c r="O334" s="31"/>
    </row>
    <row r="335" spans="1:15">
      <c r="A335" s="31"/>
      <c r="B335" s="31" t="s">
        <v>67</v>
      </c>
      <c r="C335" s="31" t="s">
        <v>470</v>
      </c>
      <c r="D335" s="31" t="s">
        <v>511</v>
      </c>
      <c r="E335" s="31" t="s">
        <v>241</v>
      </c>
      <c r="F335" s="31" t="s">
        <v>242</v>
      </c>
      <c r="G335" s="31" t="s">
        <v>242</v>
      </c>
      <c r="H335" s="31" t="s">
        <v>243</v>
      </c>
      <c r="I335" s="31" t="b">
        <v>0</v>
      </c>
      <c r="J335" s="31">
        <v>9</v>
      </c>
      <c r="K335" s="31">
        <v>862.95</v>
      </c>
      <c r="L335" s="32">
        <v>606850022</v>
      </c>
      <c r="M335" s="32">
        <v>1300000087261603</v>
      </c>
      <c r="N335" s="31" t="s">
        <v>512</v>
      </c>
      <c r="O335" s="31"/>
    </row>
    <row r="336" spans="1:15">
      <c r="A336" s="31"/>
      <c r="B336" s="31" t="s">
        <v>67</v>
      </c>
      <c r="C336" s="31" t="s">
        <v>470</v>
      </c>
      <c r="D336" s="31" t="s">
        <v>511</v>
      </c>
      <c r="E336" s="31" t="s">
        <v>241</v>
      </c>
      <c r="F336" s="31" t="s">
        <v>242</v>
      </c>
      <c r="G336" s="31" t="s">
        <v>242</v>
      </c>
      <c r="H336" s="31" t="s">
        <v>243</v>
      </c>
      <c r="I336" s="31" t="b">
        <v>0</v>
      </c>
      <c r="J336" s="31">
        <v>9</v>
      </c>
      <c r="K336" s="31">
        <v>862.95</v>
      </c>
      <c r="L336" s="32">
        <v>606850026</v>
      </c>
      <c r="M336" s="32">
        <v>1300000087261603</v>
      </c>
      <c r="N336" s="31" t="s">
        <v>512</v>
      </c>
      <c r="O336" s="31"/>
    </row>
    <row r="337" spans="1:15">
      <c r="A337" s="31"/>
      <c r="B337" s="31" t="s">
        <v>248</v>
      </c>
      <c r="C337" s="31" t="s">
        <v>249</v>
      </c>
      <c r="D337" s="31" t="s">
        <v>511</v>
      </c>
      <c r="E337" s="31" t="s">
        <v>241</v>
      </c>
      <c r="F337" s="31" t="s">
        <v>242</v>
      </c>
      <c r="G337" s="31" t="s">
        <v>242</v>
      </c>
      <c r="H337" s="31" t="s">
        <v>294</v>
      </c>
      <c r="I337" s="31" t="b">
        <v>0</v>
      </c>
      <c r="J337" s="31">
        <v>3</v>
      </c>
      <c r="K337" s="31">
        <v>661.7</v>
      </c>
      <c r="L337" s="32">
        <v>209509049</v>
      </c>
      <c r="M337" s="32">
        <v>1100000108860545</v>
      </c>
      <c r="N337" s="31" t="s">
        <v>513</v>
      </c>
      <c r="O337" s="31"/>
    </row>
    <row r="338" spans="1:15">
      <c r="A338" s="31"/>
      <c r="B338" s="31" t="s">
        <v>248</v>
      </c>
      <c r="C338" s="31" t="s">
        <v>249</v>
      </c>
      <c r="D338" s="31" t="s">
        <v>511</v>
      </c>
      <c r="E338" s="31" t="s">
        <v>241</v>
      </c>
      <c r="F338" s="31" t="s">
        <v>242</v>
      </c>
      <c r="G338" s="31" t="s">
        <v>242</v>
      </c>
      <c r="H338" s="31" t="s">
        <v>294</v>
      </c>
      <c r="I338" s="31" t="b">
        <v>0</v>
      </c>
      <c r="J338" s="31">
        <v>10</v>
      </c>
      <c r="K338" s="31">
        <v>661.7</v>
      </c>
      <c r="L338" s="32">
        <v>209509052</v>
      </c>
      <c r="M338" s="32">
        <v>1100000108860545</v>
      </c>
      <c r="N338" s="31" t="s">
        <v>513</v>
      </c>
      <c r="O338" s="31"/>
    </row>
    <row r="339" spans="1:15">
      <c r="A339" s="31"/>
      <c r="B339" s="31" t="s">
        <v>248</v>
      </c>
      <c r="C339" s="31" t="s">
        <v>249</v>
      </c>
      <c r="D339" s="31" t="s">
        <v>511</v>
      </c>
      <c r="E339" s="31" t="s">
        <v>241</v>
      </c>
      <c r="F339" s="31" t="s">
        <v>242</v>
      </c>
      <c r="G339" s="31" t="s">
        <v>242</v>
      </c>
      <c r="H339" s="31" t="s">
        <v>294</v>
      </c>
      <c r="I339" s="31" t="b">
        <v>0</v>
      </c>
      <c r="J339" s="31">
        <v>11</v>
      </c>
      <c r="K339" s="31">
        <v>662</v>
      </c>
      <c r="L339" s="32">
        <v>209509041</v>
      </c>
      <c r="M339" s="32">
        <v>1100000108860545</v>
      </c>
      <c r="N339" s="31" t="s">
        <v>513</v>
      </c>
      <c r="O339" s="31"/>
    </row>
    <row r="340" spans="1:15">
      <c r="A340" s="31"/>
      <c r="B340" s="31" t="s">
        <v>248</v>
      </c>
      <c r="C340" s="31" t="s">
        <v>249</v>
      </c>
      <c r="D340" s="31" t="s">
        <v>511</v>
      </c>
      <c r="E340" s="31" t="s">
        <v>241</v>
      </c>
      <c r="F340" s="31" t="s">
        <v>242</v>
      </c>
      <c r="G340" s="31" t="s">
        <v>242</v>
      </c>
      <c r="H340" s="31" t="s">
        <v>294</v>
      </c>
      <c r="I340" s="31" t="b">
        <v>0</v>
      </c>
      <c r="J340" s="31">
        <v>1</v>
      </c>
      <c r="K340" s="31">
        <v>661.7</v>
      </c>
      <c r="L340" s="32">
        <v>209509053</v>
      </c>
      <c r="M340" s="32">
        <v>1100000108860545</v>
      </c>
      <c r="N340" s="31" t="s">
        <v>513</v>
      </c>
      <c r="O340" s="31"/>
    </row>
    <row r="341" spans="1:15">
      <c r="A341" s="31"/>
      <c r="B341" s="31" t="s">
        <v>248</v>
      </c>
      <c r="C341" s="31" t="s">
        <v>249</v>
      </c>
      <c r="D341" s="31" t="s">
        <v>511</v>
      </c>
      <c r="E341" s="31" t="s">
        <v>241</v>
      </c>
      <c r="F341" s="31" t="s">
        <v>242</v>
      </c>
      <c r="G341" s="31" t="s">
        <v>242</v>
      </c>
      <c r="H341" s="31" t="s">
        <v>294</v>
      </c>
      <c r="I341" s="31" t="b">
        <v>0</v>
      </c>
      <c r="J341" s="31">
        <v>1</v>
      </c>
      <c r="K341" s="31">
        <v>662.1</v>
      </c>
      <c r="L341" s="32">
        <v>209509040</v>
      </c>
      <c r="M341" s="32">
        <v>1100000108860545</v>
      </c>
      <c r="N341" s="31" t="s">
        <v>513</v>
      </c>
      <c r="O341" s="31"/>
    </row>
    <row r="342" spans="1:15">
      <c r="A342" s="31"/>
      <c r="B342" s="31" t="s">
        <v>248</v>
      </c>
      <c r="C342" s="31" t="s">
        <v>249</v>
      </c>
      <c r="D342" s="31" t="s">
        <v>511</v>
      </c>
      <c r="E342" s="31" t="s">
        <v>241</v>
      </c>
      <c r="F342" s="31" t="s">
        <v>242</v>
      </c>
      <c r="G342" s="31" t="s">
        <v>242</v>
      </c>
      <c r="H342" s="31" t="s">
        <v>294</v>
      </c>
      <c r="I342" s="31" t="b">
        <v>0</v>
      </c>
      <c r="J342" s="31">
        <v>21</v>
      </c>
      <c r="K342" s="31">
        <v>661.75</v>
      </c>
      <c r="L342" s="32">
        <v>209509047</v>
      </c>
      <c r="M342" s="32">
        <v>1100000108860545</v>
      </c>
      <c r="N342" s="31" t="s">
        <v>513</v>
      </c>
      <c r="O342" s="31"/>
    </row>
    <row r="343" spans="1:15">
      <c r="A343" s="31"/>
      <c r="B343" s="31" t="s">
        <v>248</v>
      </c>
      <c r="C343" s="31" t="s">
        <v>249</v>
      </c>
      <c r="D343" s="31" t="s">
        <v>511</v>
      </c>
      <c r="E343" s="31" t="s">
        <v>241</v>
      </c>
      <c r="F343" s="31" t="s">
        <v>242</v>
      </c>
      <c r="G343" s="31" t="s">
        <v>242</v>
      </c>
      <c r="H343" s="31" t="s">
        <v>294</v>
      </c>
      <c r="I343" s="31" t="b">
        <v>0</v>
      </c>
      <c r="J343" s="31">
        <v>22</v>
      </c>
      <c r="K343" s="31">
        <v>661.8</v>
      </c>
      <c r="L343" s="32">
        <v>209509043</v>
      </c>
      <c r="M343" s="32">
        <v>1100000108860545</v>
      </c>
      <c r="N343" s="31" t="s">
        <v>513</v>
      </c>
      <c r="O343" s="31"/>
    </row>
    <row r="344" spans="1:15">
      <c r="A344" s="31"/>
      <c r="B344" s="31" t="s">
        <v>248</v>
      </c>
      <c r="C344" s="31" t="s">
        <v>249</v>
      </c>
      <c r="D344" s="31" t="s">
        <v>511</v>
      </c>
      <c r="E344" s="31" t="s">
        <v>241</v>
      </c>
      <c r="F344" s="31" t="s">
        <v>242</v>
      </c>
      <c r="G344" s="31" t="s">
        <v>242</v>
      </c>
      <c r="H344" s="31" t="s">
        <v>294</v>
      </c>
      <c r="I344" s="31" t="b">
        <v>0</v>
      </c>
      <c r="J344" s="31">
        <v>10</v>
      </c>
      <c r="K344" s="31">
        <v>661.7</v>
      </c>
      <c r="L344" s="32">
        <v>209509050</v>
      </c>
      <c r="M344" s="32">
        <v>1100000108860545</v>
      </c>
      <c r="N344" s="31" t="s">
        <v>513</v>
      </c>
      <c r="O344" s="31"/>
    </row>
    <row r="345" spans="1:15">
      <c r="A345" s="31"/>
      <c r="B345" s="31" t="s">
        <v>248</v>
      </c>
      <c r="C345" s="31" t="s">
        <v>249</v>
      </c>
      <c r="D345" s="31" t="s">
        <v>511</v>
      </c>
      <c r="E345" s="31" t="s">
        <v>241</v>
      </c>
      <c r="F345" s="31" t="s">
        <v>242</v>
      </c>
      <c r="G345" s="31" t="s">
        <v>242</v>
      </c>
      <c r="H345" s="31" t="s">
        <v>294</v>
      </c>
      <c r="I345" s="31" t="b">
        <v>0</v>
      </c>
      <c r="J345" s="31">
        <v>3</v>
      </c>
      <c r="K345" s="31">
        <v>661.7</v>
      </c>
      <c r="L345" s="32">
        <v>209509051</v>
      </c>
      <c r="M345" s="32">
        <v>1100000108860545</v>
      </c>
      <c r="N345" s="31" t="s">
        <v>513</v>
      </c>
      <c r="O345" s="31"/>
    </row>
    <row r="346" spans="1:15">
      <c r="A346" s="31"/>
      <c r="B346" s="31" t="s">
        <v>248</v>
      </c>
      <c r="C346" s="31" t="s">
        <v>249</v>
      </c>
      <c r="D346" s="31" t="s">
        <v>511</v>
      </c>
      <c r="E346" s="31" t="s">
        <v>241</v>
      </c>
      <c r="F346" s="31" t="s">
        <v>242</v>
      </c>
      <c r="G346" s="31" t="s">
        <v>242</v>
      </c>
      <c r="H346" s="31" t="s">
        <v>294</v>
      </c>
      <c r="I346" s="31" t="b">
        <v>0</v>
      </c>
      <c r="J346" s="31">
        <v>3</v>
      </c>
      <c r="K346" s="31">
        <v>661.75</v>
      </c>
      <c r="L346" s="32">
        <v>209509045</v>
      </c>
      <c r="M346" s="32">
        <v>1100000108860545</v>
      </c>
      <c r="N346" s="31" t="s">
        <v>513</v>
      </c>
      <c r="O346" s="31"/>
    </row>
    <row r="347" spans="1:15">
      <c r="A347" s="31"/>
      <c r="B347" s="31" t="s">
        <v>248</v>
      </c>
      <c r="C347" s="31" t="s">
        <v>249</v>
      </c>
      <c r="D347" s="31" t="s">
        <v>511</v>
      </c>
      <c r="E347" s="31" t="s">
        <v>241</v>
      </c>
      <c r="F347" s="31" t="s">
        <v>242</v>
      </c>
      <c r="G347" s="31" t="s">
        <v>242</v>
      </c>
      <c r="H347" s="31" t="s">
        <v>294</v>
      </c>
      <c r="I347" s="31" t="b">
        <v>0</v>
      </c>
      <c r="J347" s="31">
        <v>60</v>
      </c>
      <c r="K347" s="31">
        <v>661.75</v>
      </c>
      <c r="L347" s="32">
        <v>209509046</v>
      </c>
      <c r="M347" s="32">
        <v>1100000108860545</v>
      </c>
      <c r="N347" s="31" t="s">
        <v>513</v>
      </c>
      <c r="O347" s="31"/>
    </row>
    <row r="348" spans="1:15">
      <c r="A348" s="31"/>
      <c r="B348" s="31" t="s">
        <v>248</v>
      </c>
      <c r="C348" s="31" t="s">
        <v>249</v>
      </c>
      <c r="D348" s="31" t="s">
        <v>511</v>
      </c>
      <c r="E348" s="31" t="s">
        <v>241</v>
      </c>
      <c r="F348" s="31" t="s">
        <v>242</v>
      </c>
      <c r="G348" s="31" t="s">
        <v>242</v>
      </c>
      <c r="H348" s="31" t="s">
        <v>294</v>
      </c>
      <c r="I348" s="31" t="b">
        <v>0</v>
      </c>
      <c r="J348" s="31">
        <v>64</v>
      </c>
      <c r="K348" s="31">
        <v>661.8</v>
      </c>
      <c r="L348" s="32">
        <v>209509044</v>
      </c>
      <c r="M348" s="32">
        <v>1100000108860545</v>
      </c>
      <c r="N348" s="31" t="s">
        <v>513</v>
      </c>
      <c r="O348" s="31"/>
    </row>
    <row r="349" spans="1:15">
      <c r="A349" s="31"/>
      <c r="B349" s="31" t="s">
        <v>248</v>
      </c>
      <c r="C349" s="31" t="s">
        <v>249</v>
      </c>
      <c r="D349" s="31" t="s">
        <v>511</v>
      </c>
      <c r="E349" s="31" t="s">
        <v>241</v>
      </c>
      <c r="F349" s="31" t="s">
        <v>242</v>
      </c>
      <c r="G349" s="31" t="s">
        <v>242</v>
      </c>
      <c r="H349" s="31" t="s">
        <v>294</v>
      </c>
      <c r="I349" s="31" t="b">
        <v>0</v>
      </c>
      <c r="J349" s="31">
        <v>8</v>
      </c>
      <c r="K349" s="31">
        <v>661.75</v>
      </c>
      <c r="L349" s="32">
        <v>209509048</v>
      </c>
      <c r="M349" s="32">
        <v>1100000108860545</v>
      </c>
      <c r="N349" s="31" t="s">
        <v>513</v>
      </c>
      <c r="O349" s="31"/>
    </row>
    <row r="350" spans="1:15">
      <c r="A350" s="31"/>
      <c r="B350" s="31" t="s">
        <v>248</v>
      </c>
      <c r="C350" s="31" t="s">
        <v>249</v>
      </c>
      <c r="D350" s="31" t="s">
        <v>511</v>
      </c>
      <c r="E350" s="31" t="s">
        <v>241</v>
      </c>
      <c r="F350" s="31" t="s">
        <v>242</v>
      </c>
      <c r="G350" s="31" t="s">
        <v>242</v>
      </c>
      <c r="H350" s="31" t="s">
        <v>294</v>
      </c>
      <c r="I350" s="31" t="b">
        <v>0</v>
      </c>
      <c r="J350" s="31">
        <v>9</v>
      </c>
      <c r="K350" s="31">
        <v>661.85</v>
      </c>
      <c r="L350" s="32">
        <v>209509042</v>
      </c>
      <c r="M350" s="32">
        <v>1100000108860545</v>
      </c>
      <c r="N350" s="31" t="s">
        <v>513</v>
      </c>
      <c r="O350" s="31"/>
    </row>
    <row r="351" spans="1:15">
      <c r="A351" s="31"/>
      <c r="B351" s="31" t="s">
        <v>71</v>
      </c>
      <c r="C351" s="31" t="s">
        <v>507</v>
      </c>
      <c r="D351" s="31" t="s">
        <v>511</v>
      </c>
      <c r="E351" s="31" t="s">
        <v>241</v>
      </c>
      <c r="F351" s="31" t="s">
        <v>242</v>
      </c>
      <c r="G351" s="31" t="s">
        <v>242</v>
      </c>
      <c r="H351" s="31" t="s">
        <v>243</v>
      </c>
      <c r="I351" s="31" t="b">
        <v>0</v>
      </c>
      <c r="J351" s="31">
        <v>14</v>
      </c>
      <c r="K351" s="31">
        <v>3676.8</v>
      </c>
      <c r="L351" s="32">
        <v>209534085</v>
      </c>
      <c r="M351" s="32">
        <v>1100000109127675</v>
      </c>
      <c r="N351" s="31" t="s">
        <v>514</v>
      </c>
      <c r="O351" s="31"/>
    </row>
    <row r="352" spans="1:15">
      <c r="A352" s="31"/>
      <c r="B352" s="31" t="s">
        <v>80</v>
      </c>
      <c r="C352" s="31" t="s">
        <v>467</v>
      </c>
      <c r="D352" s="31" t="s">
        <v>511</v>
      </c>
      <c r="E352" s="31" t="s">
        <v>241</v>
      </c>
      <c r="F352" s="31" t="s">
        <v>242</v>
      </c>
      <c r="G352" s="31" t="s">
        <v>242</v>
      </c>
      <c r="H352" s="31" t="s">
        <v>243</v>
      </c>
      <c r="I352" s="31" t="b">
        <v>0</v>
      </c>
      <c r="J352" s="31">
        <v>15</v>
      </c>
      <c r="K352" s="31">
        <v>1980.1</v>
      </c>
      <c r="L352" s="32">
        <v>5422345</v>
      </c>
      <c r="M352" s="32">
        <v>1000000073661560</v>
      </c>
      <c r="N352" s="31" t="s">
        <v>515</v>
      </c>
      <c r="O352" s="31"/>
    </row>
    <row r="353" spans="1:15">
      <c r="A353" s="31"/>
      <c r="B353" s="31" t="s">
        <v>80</v>
      </c>
      <c r="C353" s="31" t="s">
        <v>467</v>
      </c>
      <c r="D353" s="31" t="s">
        <v>511</v>
      </c>
      <c r="E353" s="31" t="s">
        <v>241</v>
      </c>
      <c r="F353" s="31" t="s">
        <v>242</v>
      </c>
      <c r="G353" s="31" t="s">
        <v>242</v>
      </c>
      <c r="H353" s="31" t="s">
        <v>243</v>
      </c>
      <c r="I353" s="31" t="b">
        <v>0</v>
      </c>
      <c r="J353" s="31">
        <v>31</v>
      </c>
      <c r="K353" s="31">
        <v>1980.1</v>
      </c>
      <c r="L353" s="32">
        <v>5422346</v>
      </c>
      <c r="M353" s="32">
        <v>1000000073661560</v>
      </c>
      <c r="N353" s="31" t="s">
        <v>515</v>
      </c>
      <c r="O353" s="31"/>
    </row>
    <row r="354" spans="1:15">
      <c r="A354" s="31"/>
      <c r="B354" s="31" t="s">
        <v>80</v>
      </c>
      <c r="C354" s="31" t="s">
        <v>467</v>
      </c>
      <c r="D354" s="31" t="s">
        <v>511</v>
      </c>
      <c r="E354" s="31" t="s">
        <v>241</v>
      </c>
      <c r="F354" s="31" t="s">
        <v>242</v>
      </c>
      <c r="G354" s="31" t="s">
        <v>242</v>
      </c>
      <c r="H354" s="31" t="s">
        <v>243</v>
      </c>
      <c r="I354" s="31" t="b">
        <v>0</v>
      </c>
      <c r="J354" s="31">
        <v>5</v>
      </c>
      <c r="K354" s="31">
        <v>1980.1</v>
      </c>
      <c r="L354" s="32">
        <v>5422347</v>
      </c>
      <c r="M354" s="32">
        <v>1000000073661560</v>
      </c>
      <c r="N354" s="31" t="s">
        <v>515</v>
      </c>
      <c r="O354" s="31"/>
    </row>
    <row r="355" spans="1:15">
      <c r="A355" s="31"/>
      <c r="B355" s="31" t="s">
        <v>516</v>
      </c>
      <c r="C355" s="31" t="s">
        <v>517</v>
      </c>
      <c r="D355" s="31" t="s">
        <v>511</v>
      </c>
      <c r="E355" s="31" t="s">
        <v>241</v>
      </c>
      <c r="F355" s="31" t="s">
        <v>242</v>
      </c>
      <c r="G355" s="31" t="s">
        <v>242</v>
      </c>
      <c r="H355" s="31" t="s">
        <v>243</v>
      </c>
      <c r="I355" s="31" t="b">
        <v>0</v>
      </c>
      <c r="J355" s="31">
        <v>1</v>
      </c>
      <c r="K355" s="31">
        <v>13020</v>
      </c>
      <c r="L355" s="32">
        <v>607146405</v>
      </c>
      <c r="M355" s="32">
        <v>1300000090848577</v>
      </c>
      <c r="N355" s="31" t="s">
        <v>518</v>
      </c>
      <c r="O355" s="31"/>
    </row>
    <row r="356" spans="1:15">
      <c r="A356" s="31"/>
      <c r="B356" s="31" t="s">
        <v>516</v>
      </c>
      <c r="C356" s="31" t="s">
        <v>517</v>
      </c>
      <c r="D356" s="31" t="s">
        <v>511</v>
      </c>
      <c r="E356" s="31" t="s">
        <v>241</v>
      </c>
      <c r="F356" s="31" t="s">
        <v>242</v>
      </c>
      <c r="G356" s="31" t="s">
        <v>242</v>
      </c>
      <c r="H356" s="31" t="s">
        <v>243</v>
      </c>
      <c r="I356" s="31" t="b">
        <v>0</v>
      </c>
      <c r="J356" s="31">
        <v>1</v>
      </c>
      <c r="K356" s="31">
        <v>13022</v>
      </c>
      <c r="L356" s="32">
        <v>607146406</v>
      </c>
      <c r="M356" s="32">
        <v>1300000090848577</v>
      </c>
      <c r="N356" s="31" t="s">
        <v>518</v>
      </c>
      <c r="O356" s="31"/>
    </row>
    <row r="357" spans="1:15">
      <c r="A357" s="31"/>
      <c r="B357" s="31" t="s">
        <v>52</v>
      </c>
      <c r="C357" s="31" t="s">
        <v>453</v>
      </c>
      <c r="D357" s="31" t="s">
        <v>511</v>
      </c>
      <c r="E357" s="31" t="s">
        <v>241</v>
      </c>
      <c r="F357" s="31" t="s">
        <v>242</v>
      </c>
      <c r="G357" s="31" t="s">
        <v>242</v>
      </c>
      <c r="H357" s="31" t="s">
        <v>243</v>
      </c>
      <c r="I357" s="31" t="b">
        <v>0</v>
      </c>
      <c r="J357" s="31">
        <v>8</v>
      </c>
      <c r="K357" s="31">
        <v>1378.7</v>
      </c>
      <c r="L357" s="32">
        <v>608752169</v>
      </c>
      <c r="M357" s="32">
        <v>1300000102008239</v>
      </c>
      <c r="N357" s="31" t="s">
        <v>519</v>
      </c>
      <c r="O357" s="31"/>
    </row>
    <row r="358" spans="1:15">
      <c r="A358" s="31"/>
      <c r="B358" s="31" t="s">
        <v>520</v>
      </c>
      <c r="C358" s="31" t="s">
        <v>521</v>
      </c>
      <c r="D358" s="31" t="s">
        <v>522</v>
      </c>
      <c r="E358" s="31" t="s">
        <v>241</v>
      </c>
      <c r="F358" s="31" t="s">
        <v>242</v>
      </c>
      <c r="G358" s="31" t="s">
        <v>242</v>
      </c>
      <c r="H358" s="31" t="s">
        <v>243</v>
      </c>
      <c r="I358" s="31" t="b">
        <v>0</v>
      </c>
      <c r="J358" s="31">
        <v>19</v>
      </c>
      <c r="K358" s="31">
        <v>2683</v>
      </c>
      <c r="L358" s="32">
        <v>406774172</v>
      </c>
      <c r="M358" s="32">
        <v>1200000087322430</v>
      </c>
      <c r="N358" s="31" t="s">
        <v>523</v>
      </c>
      <c r="O358" s="31"/>
    </row>
    <row r="359" spans="1:15">
      <c r="A359" s="31"/>
      <c r="B359" s="31" t="s">
        <v>176</v>
      </c>
      <c r="C359" s="31" t="s">
        <v>524</v>
      </c>
      <c r="D359" s="31" t="s">
        <v>522</v>
      </c>
      <c r="E359" s="31" t="s">
        <v>241</v>
      </c>
      <c r="F359" s="31" t="s">
        <v>242</v>
      </c>
      <c r="G359" s="31" t="s">
        <v>242</v>
      </c>
      <c r="H359" s="31" t="s">
        <v>243</v>
      </c>
      <c r="I359" s="31" t="b">
        <v>0</v>
      </c>
      <c r="J359" s="31">
        <v>44</v>
      </c>
      <c r="K359" s="31">
        <v>1141.55</v>
      </c>
      <c r="L359" s="32">
        <v>6545076</v>
      </c>
      <c r="M359" s="32">
        <v>1000000074468622</v>
      </c>
      <c r="N359" s="31" t="s">
        <v>525</v>
      </c>
      <c r="O359" s="31"/>
    </row>
    <row r="360" spans="1:15">
      <c r="A360" s="31"/>
      <c r="B360" s="31" t="s">
        <v>349</v>
      </c>
      <c r="C360" s="31" t="s">
        <v>350</v>
      </c>
      <c r="D360" s="31" t="s">
        <v>526</v>
      </c>
      <c r="E360" s="31" t="s">
        <v>241</v>
      </c>
      <c r="F360" s="31" t="s">
        <v>242</v>
      </c>
      <c r="G360" s="31" t="s">
        <v>242</v>
      </c>
      <c r="H360" s="31" t="s">
        <v>294</v>
      </c>
      <c r="I360" s="31" t="b">
        <v>0</v>
      </c>
      <c r="J360" s="31">
        <v>6</v>
      </c>
      <c r="K360" s="31">
        <v>301.64999999999998</v>
      </c>
      <c r="L360" s="32">
        <v>8430924</v>
      </c>
      <c r="M360" s="32">
        <v>1000000084813264</v>
      </c>
      <c r="N360" s="31" t="s">
        <v>527</v>
      </c>
      <c r="O360" s="31"/>
    </row>
    <row r="361" spans="1:15">
      <c r="A361" s="31"/>
      <c r="B361" s="31" t="s">
        <v>349</v>
      </c>
      <c r="C361" s="31" t="s">
        <v>350</v>
      </c>
      <c r="D361" s="31" t="s">
        <v>526</v>
      </c>
      <c r="E361" s="31" t="s">
        <v>241</v>
      </c>
      <c r="F361" s="31" t="s">
        <v>242</v>
      </c>
      <c r="G361" s="31" t="s">
        <v>242</v>
      </c>
      <c r="H361" s="31" t="s">
        <v>294</v>
      </c>
      <c r="I361" s="31" t="b">
        <v>0</v>
      </c>
      <c r="J361" s="31">
        <v>76</v>
      </c>
      <c r="K361" s="31">
        <v>301.64999999999998</v>
      </c>
      <c r="L361" s="32">
        <v>8430923</v>
      </c>
      <c r="M361" s="32">
        <v>1000000084813264</v>
      </c>
      <c r="N361" s="31" t="s">
        <v>527</v>
      </c>
      <c r="O361" s="31"/>
    </row>
    <row r="362" spans="1:15">
      <c r="A362" s="31"/>
      <c r="B362" s="31" t="s">
        <v>496</v>
      </c>
      <c r="C362" s="31" t="s">
        <v>497</v>
      </c>
      <c r="D362" s="31" t="s">
        <v>526</v>
      </c>
      <c r="E362" s="31" t="s">
        <v>75</v>
      </c>
      <c r="F362" s="31" t="s">
        <v>242</v>
      </c>
      <c r="G362" s="31" t="s">
        <v>300</v>
      </c>
      <c r="H362" s="31" t="s">
        <v>294</v>
      </c>
      <c r="I362" s="31" t="b">
        <v>0</v>
      </c>
      <c r="J362" s="31">
        <v>23</v>
      </c>
      <c r="K362" s="31">
        <v>159.5</v>
      </c>
      <c r="L362" s="32">
        <v>5853700</v>
      </c>
      <c r="M362" s="32">
        <v>1.777882835281353E+18</v>
      </c>
      <c r="N362" s="31" t="s">
        <v>528</v>
      </c>
      <c r="O362" s="31"/>
    </row>
    <row r="363" spans="1:15">
      <c r="A363" s="31"/>
      <c r="B363" s="31" t="s">
        <v>496</v>
      </c>
      <c r="C363" s="31" t="s">
        <v>497</v>
      </c>
      <c r="D363" s="31" t="s">
        <v>526</v>
      </c>
      <c r="E363" s="31" t="s">
        <v>75</v>
      </c>
      <c r="F363" s="31" t="s">
        <v>242</v>
      </c>
      <c r="G363" s="31" t="s">
        <v>300</v>
      </c>
      <c r="H363" s="31" t="s">
        <v>294</v>
      </c>
      <c r="I363" s="31" t="b">
        <v>0</v>
      </c>
      <c r="J363" s="31">
        <v>98</v>
      </c>
      <c r="K363" s="31">
        <v>159.44999999999999</v>
      </c>
      <c r="L363" s="32">
        <v>5854000</v>
      </c>
      <c r="M363" s="32">
        <v>1.777882835281353E+18</v>
      </c>
      <c r="N363" s="31" t="s">
        <v>528</v>
      </c>
      <c r="O363" s="31"/>
    </row>
    <row r="364" spans="1:15">
      <c r="A364" s="31"/>
      <c r="B364" s="31" t="s">
        <v>161</v>
      </c>
      <c r="C364" s="31" t="s">
        <v>529</v>
      </c>
      <c r="D364" s="31" t="s">
        <v>526</v>
      </c>
      <c r="E364" s="31" t="s">
        <v>241</v>
      </c>
      <c r="F364" s="31" t="s">
        <v>242</v>
      </c>
      <c r="G364" s="31" t="s">
        <v>242</v>
      </c>
      <c r="H364" s="31" t="s">
        <v>243</v>
      </c>
      <c r="I364" s="31" t="b">
        <v>0</v>
      </c>
      <c r="J364" s="31">
        <v>17</v>
      </c>
      <c r="K364" s="31">
        <v>1375</v>
      </c>
      <c r="L364" s="32">
        <v>408376134</v>
      </c>
      <c r="M364" s="32">
        <v>1200000088766497</v>
      </c>
      <c r="N364" s="31" t="s">
        <v>530</v>
      </c>
      <c r="O364" s="31"/>
    </row>
    <row r="365" spans="1:15">
      <c r="A365" s="31"/>
      <c r="B365" s="31" t="s">
        <v>161</v>
      </c>
      <c r="C365" s="31" t="s">
        <v>529</v>
      </c>
      <c r="D365" s="31" t="s">
        <v>526</v>
      </c>
      <c r="E365" s="31" t="s">
        <v>241</v>
      </c>
      <c r="F365" s="31" t="s">
        <v>242</v>
      </c>
      <c r="G365" s="31" t="s">
        <v>242</v>
      </c>
      <c r="H365" s="31" t="s">
        <v>243</v>
      </c>
      <c r="I365" s="31" t="b">
        <v>0</v>
      </c>
      <c r="J365" s="31">
        <v>37</v>
      </c>
      <c r="K365" s="31">
        <v>1375</v>
      </c>
      <c r="L365" s="32">
        <v>408376133</v>
      </c>
      <c r="M365" s="32">
        <v>1200000088766497</v>
      </c>
      <c r="N365" s="31" t="s">
        <v>530</v>
      </c>
      <c r="O365" s="31"/>
    </row>
    <row r="366" spans="1:15">
      <c r="A366" s="31"/>
      <c r="B366" s="31" t="s">
        <v>50</v>
      </c>
      <c r="C366" s="31" t="s">
        <v>531</v>
      </c>
      <c r="D366" s="31" t="s">
        <v>526</v>
      </c>
      <c r="E366" s="31" t="s">
        <v>241</v>
      </c>
      <c r="F366" s="31" t="s">
        <v>242</v>
      </c>
      <c r="G366" s="31" t="s">
        <v>242</v>
      </c>
      <c r="H366" s="31" t="s">
        <v>243</v>
      </c>
      <c r="I366" s="31" t="b">
        <v>0</v>
      </c>
      <c r="J366" s="31">
        <v>3</v>
      </c>
      <c r="K366" s="31">
        <v>293.85000000000002</v>
      </c>
      <c r="L366" s="32">
        <v>8522751</v>
      </c>
      <c r="M366" s="32">
        <v>1000000085710219</v>
      </c>
      <c r="N366" s="31" t="s">
        <v>532</v>
      </c>
      <c r="O366" s="31"/>
    </row>
    <row r="367" spans="1:15">
      <c r="A367" s="31"/>
      <c r="B367" s="31" t="s">
        <v>50</v>
      </c>
      <c r="C367" s="31" t="s">
        <v>531</v>
      </c>
      <c r="D367" s="31" t="s">
        <v>526</v>
      </c>
      <c r="E367" s="31" t="s">
        <v>241</v>
      </c>
      <c r="F367" s="31" t="s">
        <v>242</v>
      </c>
      <c r="G367" s="31" t="s">
        <v>242</v>
      </c>
      <c r="H367" s="31" t="s">
        <v>243</v>
      </c>
      <c r="I367" s="31" t="b">
        <v>0</v>
      </c>
      <c r="J367" s="31">
        <v>72</v>
      </c>
      <c r="K367" s="31">
        <v>293.85000000000002</v>
      </c>
      <c r="L367" s="32">
        <v>8522752</v>
      </c>
      <c r="M367" s="32">
        <v>1000000085710219</v>
      </c>
      <c r="N367" s="31" t="s">
        <v>532</v>
      </c>
      <c r="O367" s="31"/>
    </row>
    <row r="368" spans="1:15">
      <c r="A368" s="31"/>
      <c r="B368" s="31" t="s">
        <v>50</v>
      </c>
      <c r="C368" s="31" t="s">
        <v>531</v>
      </c>
      <c r="D368" s="31" t="s">
        <v>526</v>
      </c>
      <c r="E368" s="31" t="s">
        <v>241</v>
      </c>
      <c r="F368" s="31" t="s">
        <v>242</v>
      </c>
      <c r="G368" s="31" t="s">
        <v>242</v>
      </c>
      <c r="H368" s="31" t="s">
        <v>243</v>
      </c>
      <c r="I368" s="31" t="b">
        <v>0</v>
      </c>
      <c r="J368" s="31">
        <v>96</v>
      </c>
      <c r="K368" s="31">
        <v>293.85000000000002</v>
      </c>
      <c r="L368" s="32">
        <v>8522750</v>
      </c>
      <c r="M368" s="32">
        <v>1000000085710219</v>
      </c>
      <c r="N368" s="31" t="s">
        <v>532</v>
      </c>
      <c r="O368" s="31"/>
    </row>
    <row r="369" spans="1:15">
      <c r="A369" s="31"/>
      <c r="B369" s="31" t="s">
        <v>533</v>
      </c>
      <c r="C369" s="31" t="s">
        <v>534</v>
      </c>
      <c r="D369" s="31" t="s">
        <v>535</v>
      </c>
      <c r="E369" s="31" t="s">
        <v>241</v>
      </c>
      <c r="F369" s="31" t="s">
        <v>242</v>
      </c>
      <c r="G369" s="31" t="s">
        <v>242</v>
      </c>
      <c r="H369" s="31" t="s">
        <v>243</v>
      </c>
      <c r="I369" s="31" t="b">
        <v>0</v>
      </c>
      <c r="J369" s="31">
        <v>10</v>
      </c>
      <c r="K369" s="31">
        <v>10033</v>
      </c>
      <c r="L369" s="32">
        <v>607637537</v>
      </c>
      <c r="M369" s="32">
        <v>1300000082781863</v>
      </c>
      <c r="N369" s="31" t="s">
        <v>536</v>
      </c>
      <c r="O369" s="31"/>
    </row>
    <row r="370" spans="1:15">
      <c r="A370" s="31"/>
      <c r="B370" s="31" t="s">
        <v>533</v>
      </c>
      <c r="C370" s="31" t="s">
        <v>534</v>
      </c>
      <c r="D370" s="31" t="s">
        <v>537</v>
      </c>
      <c r="E370" s="31" t="s">
        <v>241</v>
      </c>
      <c r="F370" s="31" t="s">
        <v>242</v>
      </c>
      <c r="G370" s="31" t="s">
        <v>242</v>
      </c>
      <c r="H370" s="31" t="s">
        <v>294</v>
      </c>
      <c r="I370" s="31" t="b">
        <v>0</v>
      </c>
      <c r="J370" s="31">
        <v>10</v>
      </c>
      <c r="K370" s="31">
        <v>9901</v>
      </c>
      <c r="L370" s="32">
        <v>600356889</v>
      </c>
      <c r="M370" s="32">
        <v>1300000002487452</v>
      </c>
      <c r="N370" s="31" t="s">
        <v>538</v>
      </c>
      <c r="O370" s="31"/>
    </row>
    <row r="371" spans="1:15">
      <c r="A371" s="31"/>
      <c r="B371" s="31" t="s">
        <v>270</v>
      </c>
      <c r="C371" s="31" t="s">
        <v>271</v>
      </c>
      <c r="D371" s="31" t="s">
        <v>537</v>
      </c>
      <c r="E371" s="31" t="s">
        <v>241</v>
      </c>
      <c r="F371" s="31" t="s">
        <v>242</v>
      </c>
      <c r="G371" s="31" t="s">
        <v>242</v>
      </c>
      <c r="H371" s="31" t="s">
        <v>294</v>
      </c>
      <c r="I371" s="31" t="b">
        <v>0</v>
      </c>
      <c r="J371" s="31">
        <v>71</v>
      </c>
      <c r="K371" s="31">
        <v>1091.8</v>
      </c>
      <c r="L371" s="32">
        <v>601225185</v>
      </c>
      <c r="M371" s="32">
        <v>1300000010227980</v>
      </c>
      <c r="N371" s="31" t="s">
        <v>539</v>
      </c>
      <c r="O371" s="31"/>
    </row>
    <row r="372" spans="1:15">
      <c r="A372" s="31"/>
      <c r="B372" s="31" t="s">
        <v>67</v>
      </c>
      <c r="C372" s="31" t="s">
        <v>470</v>
      </c>
      <c r="D372" s="31" t="s">
        <v>537</v>
      </c>
      <c r="E372" s="31" t="s">
        <v>75</v>
      </c>
      <c r="F372" s="31" t="s">
        <v>242</v>
      </c>
      <c r="G372" s="31" t="s">
        <v>300</v>
      </c>
      <c r="H372" s="31" t="s">
        <v>243</v>
      </c>
      <c r="I372" s="31" t="b">
        <v>0</v>
      </c>
      <c r="J372" s="31">
        <v>1</v>
      </c>
      <c r="K372" s="31">
        <v>1159.9000000000001</v>
      </c>
      <c r="L372" s="32">
        <v>2757900</v>
      </c>
      <c r="M372" s="32">
        <v>1.7780382000158469E+18</v>
      </c>
      <c r="N372" s="31" t="s">
        <v>540</v>
      </c>
      <c r="O372" s="31"/>
    </row>
    <row r="373" spans="1:15">
      <c r="A373" s="31"/>
      <c r="B373" s="31" t="s">
        <v>67</v>
      </c>
      <c r="C373" s="31" t="s">
        <v>470</v>
      </c>
      <c r="D373" s="31" t="s">
        <v>537</v>
      </c>
      <c r="E373" s="31" t="s">
        <v>75</v>
      </c>
      <c r="F373" s="31" t="s">
        <v>242</v>
      </c>
      <c r="G373" s="31" t="s">
        <v>300</v>
      </c>
      <c r="H373" s="31" t="s">
        <v>243</v>
      </c>
      <c r="I373" s="31" t="b">
        <v>0</v>
      </c>
      <c r="J373" s="31">
        <v>12</v>
      </c>
      <c r="K373" s="31">
        <v>1160</v>
      </c>
      <c r="L373" s="32">
        <v>2758100</v>
      </c>
      <c r="M373" s="32">
        <v>1.7780382000158469E+18</v>
      </c>
      <c r="N373" s="31" t="s">
        <v>540</v>
      </c>
      <c r="O373" s="31"/>
    </row>
    <row r="374" spans="1:15">
      <c r="A374" s="31"/>
      <c r="B374" s="31" t="s">
        <v>67</v>
      </c>
      <c r="C374" s="31" t="s">
        <v>470</v>
      </c>
      <c r="D374" s="31" t="s">
        <v>537</v>
      </c>
      <c r="E374" s="31" t="s">
        <v>75</v>
      </c>
      <c r="F374" s="31" t="s">
        <v>242</v>
      </c>
      <c r="G374" s="31" t="s">
        <v>300</v>
      </c>
      <c r="H374" s="31" t="s">
        <v>243</v>
      </c>
      <c r="I374" s="31" t="b">
        <v>0</v>
      </c>
      <c r="J374" s="31">
        <v>3</v>
      </c>
      <c r="K374" s="31">
        <v>1159.6500000000001</v>
      </c>
      <c r="L374" s="32">
        <v>2757400</v>
      </c>
      <c r="M374" s="32">
        <v>1.7780382000158469E+18</v>
      </c>
      <c r="N374" s="31" t="s">
        <v>540</v>
      </c>
      <c r="O374" s="31"/>
    </row>
    <row r="375" spans="1:15">
      <c r="A375" s="31"/>
      <c r="B375" s="31" t="s">
        <v>67</v>
      </c>
      <c r="C375" s="31" t="s">
        <v>470</v>
      </c>
      <c r="D375" s="31" t="s">
        <v>537</v>
      </c>
      <c r="E375" s="31" t="s">
        <v>75</v>
      </c>
      <c r="F375" s="31" t="s">
        <v>242</v>
      </c>
      <c r="G375" s="31" t="s">
        <v>300</v>
      </c>
      <c r="H375" s="31" t="s">
        <v>243</v>
      </c>
      <c r="I375" s="31" t="b">
        <v>0</v>
      </c>
      <c r="J375" s="31">
        <v>49</v>
      </c>
      <c r="K375" s="31">
        <v>1159.7</v>
      </c>
      <c r="L375" s="32">
        <v>2757700</v>
      </c>
      <c r="M375" s="32">
        <v>1.7780382000158469E+18</v>
      </c>
      <c r="N375" s="31" t="s">
        <v>540</v>
      </c>
      <c r="O375" s="31"/>
    </row>
    <row r="376" spans="1:15">
      <c r="A376" s="31"/>
      <c r="B376" s="31" t="s">
        <v>434</v>
      </c>
      <c r="C376" s="31" t="s">
        <v>435</v>
      </c>
      <c r="D376" s="31" t="s">
        <v>541</v>
      </c>
      <c r="E376" s="31" t="s">
        <v>75</v>
      </c>
      <c r="F376" s="31" t="s">
        <v>242</v>
      </c>
      <c r="G376" s="31" t="s">
        <v>300</v>
      </c>
      <c r="H376" s="31" t="s">
        <v>243</v>
      </c>
      <c r="I376" s="31" t="b">
        <v>0</v>
      </c>
      <c r="J376" s="31">
        <v>204</v>
      </c>
      <c r="K376" s="31">
        <v>84.04</v>
      </c>
      <c r="L376" s="32">
        <v>16785300</v>
      </c>
      <c r="M376" s="32">
        <v>1.7782300901514481E+18</v>
      </c>
      <c r="N376" s="31" t="s">
        <v>542</v>
      </c>
      <c r="O376" s="31"/>
    </row>
    <row r="377" spans="1:15">
      <c r="A377" s="31"/>
      <c r="B377" s="31" t="s">
        <v>434</v>
      </c>
      <c r="C377" s="31" t="s">
        <v>435</v>
      </c>
      <c r="D377" s="31" t="s">
        <v>541</v>
      </c>
      <c r="E377" s="31" t="s">
        <v>75</v>
      </c>
      <c r="F377" s="31" t="s">
        <v>242</v>
      </c>
      <c r="G377" s="31" t="s">
        <v>300</v>
      </c>
      <c r="H377" s="31" t="s">
        <v>243</v>
      </c>
      <c r="I377" s="31" t="b">
        <v>0</v>
      </c>
      <c r="J377" s="31">
        <v>391</v>
      </c>
      <c r="K377" s="31">
        <v>84.05</v>
      </c>
      <c r="L377" s="32">
        <v>16785600</v>
      </c>
      <c r="M377" s="32">
        <v>1.7782300901514481E+18</v>
      </c>
      <c r="N377" s="31" t="s">
        <v>542</v>
      </c>
      <c r="O377" s="31"/>
    </row>
    <row r="378" spans="1:15">
      <c r="A378" s="31"/>
      <c r="B378" s="31" t="s">
        <v>88</v>
      </c>
      <c r="C378" s="31" t="s">
        <v>276</v>
      </c>
      <c r="D378" s="31" t="s">
        <v>541</v>
      </c>
      <c r="E378" s="31" t="s">
        <v>241</v>
      </c>
      <c r="F378" s="31" t="s">
        <v>242</v>
      </c>
      <c r="G378" s="31" t="s">
        <v>242</v>
      </c>
      <c r="H378" s="31" t="s">
        <v>243</v>
      </c>
      <c r="I378" s="31" t="b">
        <v>0</v>
      </c>
      <c r="J378" s="31">
        <v>17</v>
      </c>
      <c r="K378" s="31">
        <v>870.95</v>
      </c>
      <c r="L378" s="32">
        <v>7993096</v>
      </c>
      <c r="M378" s="32">
        <v>1000000080642240</v>
      </c>
      <c r="N378" s="31" t="s">
        <v>543</v>
      </c>
      <c r="O378" s="31"/>
    </row>
    <row r="379" spans="1:15">
      <c r="A379" s="31"/>
      <c r="B379" s="31" t="s">
        <v>88</v>
      </c>
      <c r="C379" s="31" t="s">
        <v>276</v>
      </c>
      <c r="D379" s="31" t="s">
        <v>541</v>
      </c>
      <c r="E379" s="31" t="s">
        <v>241</v>
      </c>
      <c r="F379" s="31" t="s">
        <v>242</v>
      </c>
      <c r="G379" s="31" t="s">
        <v>242</v>
      </c>
      <c r="H379" s="31" t="s">
        <v>243</v>
      </c>
      <c r="I379" s="31" t="b">
        <v>0</v>
      </c>
      <c r="J379" s="31">
        <v>18</v>
      </c>
      <c r="K379" s="31">
        <v>870.95</v>
      </c>
      <c r="L379" s="32">
        <v>7993097</v>
      </c>
      <c r="M379" s="32">
        <v>1000000080642240</v>
      </c>
      <c r="N379" s="31" t="s">
        <v>543</v>
      </c>
      <c r="O379" s="31"/>
    </row>
    <row r="380" spans="1:15">
      <c r="A380" s="31"/>
      <c r="B380" s="31" t="s">
        <v>88</v>
      </c>
      <c r="C380" s="31" t="s">
        <v>276</v>
      </c>
      <c r="D380" s="31" t="s">
        <v>541</v>
      </c>
      <c r="E380" s="31" t="s">
        <v>241</v>
      </c>
      <c r="F380" s="31" t="s">
        <v>242</v>
      </c>
      <c r="G380" s="31" t="s">
        <v>242</v>
      </c>
      <c r="H380" s="31" t="s">
        <v>243</v>
      </c>
      <c r="I380" s="31" t="b">
        <v>0</v>
      </c>
      <c r="J380" s="31">
        <v>22</v>
      </c>
      <c r="K380" s="31">
        <v>870.95</v>
      </c>
      <c r="L380" s="32">
        <v>7993098</v>
      </c>
      <c r="M380" s="32">
        <v>1000000080642240</v>
      </c>
      <c r="N380" s="31" t="s">
        <v>543</v>
      </c>
      <c r="O380" s="31"/>
    </row>
    <row r="381" spans="1:15">
      <c r="A381" s="31"/>
      <c r="B381" s="31" t="s">
        <v>434</v>
      </c>
      <c r="C381" s="31" t="s">
        <v>435</v>
      </c>
      <c r="D381" s="31" t="s">
        <v>541</v>
      </c>
      <c r="E381" s="31" t="s">
        <v>75</v>
      </c>
      <c r="F381" s="31" t="s">
        <v>242</v>
      </c>
      <c r="G381" s="31" t="s">
        <v>300</v>
      </c>
      <c r="H381" s="31" t="s">
        <v>294</v>
      </c>
      <c r="I381" s="31" t="b">
        <v>0</v>
      </c>
      <c r="J381" s="31">
        <v>535</v>
      </c>
      <c r="K381" s="31">
        <v>83.95</v>
      </c>
      <c r="L381" s="32">
        <v>16855200</v>
      </c>
      <c r="M381" s="32">
        <v>1.7782300901514501E+18</v>
      </c>
      <c r="N381" s="31" t="s">
        <v>544</v>
      </c>
      <c r="O381" s="31"/>
    </row>
    <row r="382" spans="1:15">
      <c r="A382" s="31"/>
      <c r="B382" s="31" t="s">
        <v>434</v>
      </c>
      <c r="C382" s="31" t="s">
        <v>435</v>
      </c>
      <c r="D382" s="31" t="s">
        <v>541</v>
      </c>
      <c r="E382" s="31" t="s">
        <v>75</v>
      </c>
      <c r="F382" s="31" t="s">
        <v>242</v>
      </c>
      <c r="G382" s="31" t="s">
        <v>300</v>
      </c>
      <c r="H382" s="31" t="s">
        <v>294</v>
      </c>
      <c r="I382" s="31" t="b">
        <v>0</v>
      </c>
      <c r="J382" s="31">
        <v>60</v>
      </c>
      <c r="K382" s="31">
        <v>83.96</v>
      </c>
      <c r="L382" s="32">
        <v>16854900</v>
      </c>
      <c r="M382" s="32">
        <v>1.7782300901514501E+18</v>
      </c>
      <c r="N382" s="31" t="s">
        <v>544</v>
      </c>
      <c r="O382" s="31"/>
    </row>
    <row r="383" spans="1:15">
      <c r="A383" s="31"/>
      <c r="B383" s="31" t="s">
        <v>71</v>
      </c>
      <c r="C383" s="31" t="s">
        <v>507</v>
      </c>
      <c r="D383" s="31" t="s">
        <v>537</v>
      </c>
      <c r="E383" s="31" t="s">
        <v>75</v>
      </c>
      <c r="F383" s="31" t="s">
        <v>242</v>
      </c>
      <c r="G383" s="31" t="s">
        <v>300</v>
      </c>
      <c r="H383" s="31" t="s">
        <v>243</v>
      </c>
      <c r="I383" s="31" t="b">
        <v>0</v>
      </c>
      <c r="J383" s="31">
        <v>1</v>
      </c>
      <c r="K383" s="31">
        <v>4534.5</v>
      </c>
      <c r="L383" s="32">
        <v>2301600</v>
      </c>
      <c r="M383" s="32">
        <v>1.7780382000125921E+18</v>
      </c>
      <c r="N383" s="31" t="s">
        <v>545</v>
      </c>
      <c r="O383" s="31"/>
    </row>
    <row r="384" spans="1:15">
      <c r="A384" s="31"/>
      <c r="B384" s="31" t="s">
        <v>71</v>
      </c>
      <c r="C384" s="31" t="s">
        <v>507</v>
      </c>
      <c r="D384" s="31" t="s">
        <v>537</v>
      </c>
      <c r="E384" s="31" t="s">
        <v>75</v>
      </c>
      <c r="F384" s="31" t="s">
        <v>242</v>
      </c>
      <c r="G384" s="31" t="s">
        <v>300</v>
      </c>
      <c r="H384" s="31" t="s">
        <v>243</v>
      </c>
      <c r="I384" s="31" t="b">
        <v>0</v>
      </c>
      <c r="J384" s="31">
        <v>1</v>
      </c>
      <c r="K384" s="31">
        <v>4534.7997999999998</v>
      </c>
      <c r="L384" s="32">
        <v>2302000</v>
      </c>
      <c r="M384" s="32">
        <v>1.7780382000125921E+18</v>
      </c>
      <c r="N384" s="31" t="s">
        <v>545</v>
      </c>
      <c r="O384" s="31"/>
    </row>
    <row r="385" spans="1:15">
      <c r="A385" s="31"/>
      <c r="B385" s="31" t="s">
        <v>71</v>
      </c>
      <c r="C385" s="31" t="s">
        <v>507</v>
      </c>
      <c r="D385" s="31" t="s">
        <v>537</v>
      </c>
      <c r="E385" s="31" t="s">
        <v>75</v>
      </c>
      <c r="F385" s="31" t="s">
        <v>242</v>
      </c>
      <c r="G385" s="31" t="s">
        <v>300</v>
      </c>
      <c r="H385" s="31" t="s">
        <v>243</v>
      </c>
      <c r="I385" s="31" t="b">
        <v>0</v>
      </c>
      <c r="J385" s="31">
        <v>5</v>
      </c>
      <c r="K385" s="31">
        <v>4534.7002000000002</v>
      </c>
      <c r="L385" s="32">
        <v>2301800</v>
      </c>
      <c r="M385" s="32">
        <v>1.7780382000125921E+18</v>
      </c>
      <c r="N385" s="31" t="s">
        <v>545</v>
      </c>
      <c r="O385" s="31"/>
    </row>
    <row r="386" spans="1:15">
      <c r="A386" s="31"/>
      <c r="B386" s="31" t="s">
        <v>71</v>
      </c>
      <c r="C386" s="31" t="s">
        <v>507</v>
      </c>
      <c r="D386" s="31" t="s">
        <v>537</v>
      </c>
      <c r="E386" s="31" t="s">
        <v>75</v>
      </c>
      <c r="F386" s="31" t="s">
        <v>242</v>
      </c>
      <c r="G386" s="31" t="s">
        <v>300</v>
      </c>
      <c r="H386" s="31" t="s">
        <v>243</v>
      </c>
      <c r="I386" s="31" t="b">
        <v>0</v>
      </c>
      <c r="J386" s="31">
        <v>6</v>
      </c>
      <c r="K386" s="31">
        <v>4534.4502000000002</v>
      </c>
      <c r="L386" s="32">
        <v>2301400</v>
      </c>
      <c r="M386" s="32">
        <v>1.7780382000125921E+18</v>
      </c>
      <c r="N386" s="31" t="s">
        <v>545</v>
      </c>
      <c r="O386" s="31"/>
    </row>
    <row r="387" spans="1:15">
      <c r="A387" s="31"/>
      <c r="B387" s="31" t="s">
        <v>71</v>
      </c>
      <c r="C387" s="31" t="s">
        <v>507</v>
      </c>
      <c r="D387" s="31" t="s">
        <v>537</v>
      </c>
      <c r="E387" s="31" t="s">
        <v>75</v>
      </c>
      <c r="F387" s="31" t="s">
        <v>242</v>
      </c>
      <c r="G387" s="31" t="s">
        <v>300</v>
      </c>
      <c r="H387" s="31" t="s">
        <v>243</v>
      </c>
      <c r="I387" s="31" t="b">
        <v>0</v>
      </c>
      <c r="J387" s="31">
        <v>9</v>
      </c>
      <c r="K387" s="31">
        <v>4535</v>
      </c>
      <c r="L387" s="32">
        <v>2302200</v>
      </c>
      <c r="M387" s="32">
        <v>1.7780382000125921E+18</v>
      </c>
      <c r="N387" s="31" t="s">
        <v>545</v>
      </c>
      <c r="O387" s="31"/>
    </row>
    <row r="388" spans="1:15">
      <c r="A388" s="31"/>
      <c r="B388" s="31" t="s">
        <v>450</v>
      </c>
      <c r="C388" s="31" t="s">
        <v>451</v>
      </c>
      <c r="D388" s="31" t="s">
        <v>546</v>
      </c>
      <c r="E388" s="31" t="s">
        <v>75</v>
      </c>
      <c r="F388" s="31" t="s">
        <v>242</v>
      </c>
      <c r="G388" s="31" t="s">
        <v>300</v>
      </c>
      <c r="H388" s="31" t="s">
        <v>294</v>
      </c>
      <c r="I388" s="31" t="b">
        <v>0</v>
      </c>
      <c r="J388" s="31">
        <v>222</v>
      </c>
      <c r="K388" s="31">
        <v>425.25</v>
      </c>
      <c r="L388" s="32">
        <v>19706700</v>
      </c>
      <c r="M388" s="32">
        <v>1.7788293053555899E+18</v>
      </c>
      <c r="N388" s="31" t="s">
        <v>547</v>
      </c>
      <c r="O388" s="31"/>
    </row>
    <row r="389" spans="1:15">
      <c r="A389" s="31"/>
      <c r="B389" s="31" t="s">
        <v>520</v>
      </c>
      <c r="C389" s="31" t="s">
        <v>521</v>
      </c>
      <c r="D389" s="31" t="s">
        <v>546</v>
      </c>
      <c r="E389" s="31" t="s">
        <v>75</v>
      </c>
      <c r="F389" s="31" t="s">
        <v>242</v>
      </c>
      <c r="G389" s="31" t="s">
        <v>300</v>
      </c>
      <c r="H389" s="31" t="s">
        <v>294</v>
      </c>
      <c r="I389" s="31" t="b">
        <v>0</v>
      </c>
      <c r="J389" s="31">
        <v>1</v>
      </c>
      <c r="K389" s="31">
        <v>2505.8501000000001</v>
      </c>
      <c r="L389" s="32">
        <v>8437100</v>
      </c>
      <c r="M389" s="32">
        <v>1.7788291752655501E+18</v>
      </c>
      <c r="N389" s="31" t="s">
        <v>548</v>
      </c>
      <c r="O389" s="31"/>
    </row>
    <row r="390" spans="1:15">
      <c r="A390" s="31"/>
      <c r="B390" s="31" t="s">
        <v>520</v>
      </c>
      <c r="C390" s="31" t="s">
        <v>521</v>
      </c>
      <c r="D390" s="31" t="s">
        <v>546</v>
      </c>
      <c r="E390" s="31" t="s">
        <v>75</v>
      </c>
      <c r="F390" s="31" t="s">
        <v>242</v>
      </c>
      <c r="G390" s="31" t="s">
        <v>300</v>
      </c>
      <c r="H390" s="31" t="s">
        <v>294</v>
      </c>
      <c r="I390" s="31" t="b">
        <v>0</v>
      </c>
      <c r="J390" s="31">
        <v>18</v>
      </c>
      <c r="K390" s="31">
        <v>2505.8998999999999</v>
      </c>
      <c r="L390" s="32">
        <v>8436900</v>
      </c>
      <c r="M390" s="32">
        <v>1.7788291752655501E+18</v>
      </c>
      <c r="N390" s="31" t="s">
        <v>548</v>
      </c>
      <c r="O390" s="31"/>
    </row>
    <row r="391" spans="1:15">
      <c r="A391" s="31"/>
      <c r="B391" s="31" t="s">
        <v>355</v>
      </c>
      <c r="C391" s="31" t="s">
        <v>356</v>
      </c>
      <c r="D391" s="31" t="s">
        <v>546</v>
      </c>
      <c r="E391" s="31" t="s">
        <v>241</v>
      </c>
      <c r="F391" s="31" t="s">
        <v>242</v>
      </c>
      <c r="G391" s="31" t="s">
        <v>242</v>
      </c>
      <c r="H391" s="31" t="s">
        <v>294</v>
      </c>
      <c r="I391" s="31" t="b">
        <v>0</v>
      </c>
      <c r="J391" s="31">
        <v>139</v>
      </c>
      <c r="K391" s="31">
        <v>970.2</v>
      </c>
      <c r="L391" s="32">
        <v>607127058</v>
      </c>
      <c r="M391" s="32">
        <v>1300000075009446</v>
      </c>
      <c r="N391" s="31" t="s">
        <v>549</v>
      </c>
      <c r="O391" s="31"/>
    </row>
    <row r="392" spans="1:15">
      <c r="A392" s="31"/>
      <c r="B392" s="31" t="s">
        <v>355</v>
      </c>
      <c r="C392" s="31" t="s">
        <v>356</v>
      </c>
      <c r="D392" s="31" t="s">
        <v>546</v>
      </c>
      <c r="E392" s="31" t="s">
        <v>241</v>
      </c>
      <c r="F392" s="31" t="s">
        <v>242</v>
      </c>
      <c r="G392" s="31" t="s">
        <v>242</v>
      </c>
      <c r="H392" s="31" t="s">
        <v>294</v>
      </c>
      <c r="I392" s="31" t="b">
        <v>0</v>
      </c>
      <c r="J392" s="31">
        <v>139</v>
      </c>
      <c r="K392" s="31">
        <v>970.4</v>
      </c>
      <c r="L392" s="32">
        <v>607127057</v>
      </c>
      <c r="M392" s="32">
        <v>1300000075009446</v>
      </c>
      <c r="N392" s="31" t="s">
        <v>549</v>
      </c>
      <c r="O392" s="31"/>
    </row>
    <row r="393" spans="1:15">
      <c r="A393" s="31"/>
      <c r="B393" s="31" t="s">
        <v>484</v>
      </c>
      <c r="C393" s="31" t="s">
        <v>485</v>
      </c>
      <c r="D393" s="31" t="s">
        <v>546</v>
      </c>
      <c r="E393" s="31" t="s">
        <v>241</v>
      </c>
      <c r="F393" s="31" t="s">
        <v>242</v>
      </c>
      <c r="G393" s="31" t="s">
        <v>242</v>
      </c>
      <c r="H393" s="31" t="s">
        <v>294</v>
      </c>
      <c r="I393" s="31" t="b">
        <v>0</v>
      </c>
      <c r="J393" s="31">
        <v>80</v>
      </c>
      <c r="K393" s="31">
        <v>304.10000000000002</v>
      </c>
      <c r="L393" s="32">
        <v>607151187</v>
      </c>
      <c r="M393" s="32">
        <v>1300000075257931</v>
      </c>
      <c r="N393" s="31" t="s">
        <v>550</v>
      </c>
      <c r="O393" s="31"/>
    </row>
    <row r="394" spans="1:15">
      <c r="A394" s="31"/>
      <c r="B394" s="31" t="s">
        <v>342</v>
      </c>
      <c r="C394" s="31" t="s">
        <v>343</v>
      </c>
      <c r="D394" s="31" t="s">
        <v>546</v>
      </c>
      <c r="E394" s="31" t="s">
        <v>241</v>
      </c>
      <c r="F394" s="31" t="s">
        <v>242</v>
      </c>
      <c r="G394" s="31" t="s">
        <v>242</v>
      </c>
      <c r="H394" s="31" t="s">
        <v>294</v>
      </c>
      <c r="I394" s="31" t="b">
        <v>0</v>
      </c>
      <c r="J394" s="31">
        <v>100</v>
      </c>
      <c r="K394" s="31">
        <v>367</v>
      </c>
      <c r="L394" s="32">
        <v>206749723</v>
      </c>
      <c r="M394" s="32">
        <v>1100000069714916</v>
      </c>
      <c r="N394" s="31" t="s">
        <v>551</v>
      </c>
      <c r="O394" s="31"/>
    </row>
    <row r="395" spans="1:15">
      <c r="A395" s="31"/>
      <c r="B395" s="31" t="s">
        <v>342</v>
      </c>
      <c r="C395" s="31" t="s">
        <v>343</v>
      </c>
      <c r="D395" s="31" t="s">
        <v>546</v>
      </c>
      <c r="E395" s="31" t="s">
        <v>241</v>
      </c>
      <c r="F395" s="31" t="s">
        <v>242</v>
      </c>
      <c r="G395" s="31" t="s">
        <v>242</v>
      </c>
      <c r="H395" s="31" t="s">
        <v>294</v>
      </c>
      <c r="I395" s="31" t="b">
        <v>0</v>
      </c>
      <c r="J395" s="31">
        <v>41</v>
      </c>
      <c r="K395" s="31">
        <v>367</v>
      </c>
      <c r="L395" s="32">
        <v>206749724</v>
      </c>
      <c r="M395" s="32">
        <v>1100000069714916</v>
      </c>
      <c r="N395" s="31" t="s">
        <v>551</v>
      </c>
      <c r="O395" s="31"/>
    </row>
    <row r="396" spans="1:15">
      <c r="A396" s="31"/>
      <c r="B396" s="31" t="s">
        <v>342</v>
      </c>
      <c r="C396" s="31" t="s">
        <v>343</v>
      </c>
      <c r="D396" s="31" t="s">
        <v>546</v>
      </c>
      <c r="E396" s="31" t="s">
        <v>241</v>
      </c>
      <c r="F396" s="31" t="s">
        <v>242</v>
      </c>
      <c r="G396" s="31" t="s">
        <v>242</v>
      </c>
      <c r="H396" s="31" t="s">
        <v>294</v>
      </c>
      <c r="I396" s="31" t="b">
        <v>0</v>
      </c>
      <c r="J396" s="31">
        <v>64</v>
      </c>
      <c r="K396" s="31">
        <v>367</v>
      </c>
      <c r="L396" s="32">
        <v>206749722</v>
      </c>
      <c r="M396" s="32">
        <v>1100000069714916</v>
      </c>
      <c r="N396" s="31" t="s">
        <v>551</v>
      </c>
      <c r="O396" s="31"/>
    </row>
    <row r="397" spans="1:15">
      <c r="A397" s="31"/>
      <c r="B397" s="31" t="s">
        <v>352</v>
      </c>
      <c r="C397" s="31" t="s">
        <v>353</v>
      </c>
      <c r="D397" s="31" t="s">
        <v>546</v>
      </c>
      <c r="E397" s="31" t="s">
        <v>241</v>
      </c>
      <c r="F397" s="31" t="s">
        <v>242</v>
      </c>
      <c r="G397" s="31" t="s">
        <v>242</v>
      </c>
      <c r="H397" s="31" t="s">
        <v>294</v>
      </c>
      <c r="I397" s="31" t="b">
        <v>0</v>
      </c>
      <c r="J397" s="31">
        <v>49</v>
      </c>
      <c r="K397" s="31">
        <v>136.25</v>
      </c>
      <c r="L397" s="32">
        <v>206751108</v>
      </c>
      <c r="M397" s="32">
        <v>1100000069734612</v>
      </c>
      <c r="N397" s="31" t="s">
        <v>552</v>
      </c>
      <c r="O397" s="31"/>
    </row>
    <row r="398" spans="1:15">
      <c r="A398" s="31"/>
      <c r="B398" s="31" t="s">
        <v>352</v>
      </c>
      <c r="C398" s="31" t="s">
        <v>353</v>
      </c>
      <c r="D398" s="31" t="s">
        <v>546</v>
      </c>
      <c r="E398" s="31" t="s">
        <v>241</v>
      </c>
      <c r="F398" s="31" t="s">
        <v>242</v>
      </c>
      <c r="G398" s="31" t="s">
        <v>242</v>
      </c>
      <c r="H398" s="31" t="s">
        <v>294</v>
      </c>
      <c r="I398" s="31" t="b">
        <v>0</v>
      </c>
      <c r="J398" s="31">
        <v>201</v>
      </c>
      <c r="K398" s="31">
        <v>136.25</v>
      </c>
      <c r="L398" s="32">
        <v>206751110</v>
      </c>
      <c r="M398" s="32">
        <v>1100000069734612</v>
      </c>
      <c r="N398" s="31" t="s">
        <v>552</v>
      </c>
      <c r="O398" s="31"/>
    </row>
    <row r="399" spans="1:15">
      <c r="A399" s="31"/>
      <c r="B399" s="31" t="s">
        <v>352</v>
      </c>
      <c r="C399" s="31" t="s">
        <v>353</v>
      </c>
      <c r="D399" s="31" t="s">
        <v>546</v>
      </c>
      <c r="E399" s="31" t="s">
        <v>241</v>
      </c>
      <c r="F399" s="31" t="s">
        <v>242</v>
      </c>
      <c r="G399" s="31" t="s">
        <v>242</v>
      </c>
      <c r="H399" s="31" t="s">
        <v>294</v>
      </c>
      <c r="I399" s="31" t="b">
        <v>0</v>
      </c>
      <c r="J399" s="31">
        <v>33</v>
      </c>
      <c r="K399" s="31">
        <v>136.25</v>
      </c>
      <c r="L399" s="32">
        <v>206751111</v>
      </c>
      <c r="M399" s="32">
        <v>1100000069734612</v>
      </c>
      <c r="N399" s="31" t="s">
        <v>552</v>
      </c>
      <c r="O399" s="31"/>
    </row>
    <row r="400" spans="1:15">
      <c r="A400" s="31"/>
      <c r="B400" s="31" t="s">
        <v>352</v>
      </c>
      <c r="C400" s="31" t="s">
        <v>353</v>
      </c>
      <c r="D400" s="31" t="s">
        <v>546</v>
      </c>
      <c r="E400" s="31" t="s">
        <v>241</v>
      </c>
      <c r="F400" s="31" t="s">
        <v>242</v>
      </c>
      <c r="G400" s="31" t="s">
        <v>242</v>
      </c>
      <c r="H400" s="31" t="s">
        <v>294</v>
      </c>
      <c r="I400" s="31" t="b">
        <v>0</v>
      </c>
      <c r="J400" s="31">
        <v>103</v>
      </c>
      <c r="K400" s="31">
        <v>136.25</v>
      </c>
      <c r="L400" s="32">
        <v>206751109</v>
      </c>
      <c r="M400" s="32">
        <v>1100000069734612</v>
      </c>
      <c r="N400" s="31" t="s">
        <v>552</v>
      </c>
      <c r="O400" s="31"/>
    </row>
    <row r="401" spans="1:15">
      <c r="A401" s="31"/>
      <c r="B401" s="31" t="s">
        <v>161</v>
      </c>
      <c r="C401" s="31" t="s">
        <v>529</v>
      </c>
      <c r="D401" s="31" t="s">
        <v>546</v>
      </c>
      <c r="E401" s="31" t="s">
        <v>241</v>
      </c>
      <c r="F401" s="31" t="s">
        <v>242</v>
      </c>
      <c r="G401" s="31" t="s">
        <v>242</v>
      </c>
      <c r="H401" s="31" t="s">
        <v>243</v>
      </c>
      <c r="I401" s="31" t="b">
        <v>0</v>
      </c>
      <c r="J401" s="31">
        <v>1</v>
      </c>
      <c r="K401" s="31">
        <v>1583.5</v>
      </c>
      <c r="L401" s="32">
        <v>406658173</v>
      </c>
      <c r="M401" s="32">
        <v>1200000075614562</v>
      </c>
      <c r="N401" s="31" t="s">
        <v>553</v>
      </c>
      <c r="O401" s="31"/>
    </row>
    <row r="402" spans="1:15">
      <c r="A402" s="31"/>
      <c r="B402" s="31" t="s">
        <v>161</v>
      </c>
      <c r="C402" s="31" t="s">
        <v>529</v>
      </c>
      <c r="D402" s="31" t="s">
        <v>546</v>
      </c>
      <c r="E402" s="31" t="s">
        <v>241</v>
      </c>
      <c r="F402" s="31" t="s">
        <v>242</v>
      </c>
      <c r="G402" s="31" t="s">
        <v>242</v>
      </c>
      <c r="H402" s="31" t="s">
        <v>243</v>
      </c>
      <c r="I402" s="31" t="b">
        <v>0</v>
      </c>
      <c r="J402" s="31">
        <v>3</v>
      </c>
      <c r="K402" s="31">
        <v>1583.3</v>
      </c>
      <c r="L402" s="32">
        <v>406658171</v>
      </c>
      <c r="M402" s="32">
        <v>1200000075614562</v>
      </c>
      <c r="N402" s="31" t="s">
        <v>553</v>
      </c>
      <c r="O402" s="31"/>
    </row>
    <row r="403" spans="1:15">
      <c r="A403" s="31"/>
      <c r="B403" s="31" t="s">
        <v>161</v>
      </c>
      <c r="C403" s="31" t="s">
        <v>529</v>
      </c>
      <c r="D403" s="31" t="s">
        <v>546</v>
      </c>
      <c r="E403" s="31" t="s">
        <v>241</v>
      </c>
      <c r="F403" s="31" t="s">
        <v>242</v>
      </c>
      <c r="G403" s="31" t="s">
        <v>242</v>
      </c>
      <c r="H403" s="31" t="s">
        <v>243</v>
      </c>
      <c r="I403" s="31" t="b">
        <v>0</v>
      </c>
      <c r="J403" s="31">
        <v>4</v>
      </c>
      <c r="K403" s="31">
        <v>1583.1</v>
      </c>
      <c r="L403" s="32">
        <v>406658169</v>
      </c>
      <c r="M403" s="32">
        <v>1200000075614562</v>
      </c>
      <c r="N403" s="31" t="s">
        <v>553</v>
      </c>
      <c r="O403" s="31"/>
    </row>
    <row r="404" spans="1:15">
      <c r="A404" s="31"/>
      <c r="B404" s="31" t="s">
        <v>161</v>
      </c>
      <c r="C404" s="31" t="s">
        <v>529</v>
      </c>
      <c r="D404" s="31" t="s">
        <v>546</v>
      </c>
      <c r="E404" s="31" t="s">
        <v>241</v>
      </c>
      <c r="F404" s="31" t="s">
        <v>242</v>
      </c>
      <c r="G404" s="31" t="s">
        <v>242</v>
      </c>
      <c r="H404" s="31" t="s">
        <v>243</v>
      </c>
      <c r="I404" s="31" t="b">
        <v>0</v>
      </c>
      <c r="J404" s="31">
        <v>4</v>
      </c>
      <c r="K404" s="31">
        <v>1583.3</v>
      </c>
      <c r="L404" s="32">
        <v>406658170</v>
      </c>
      <c r="M404" s="32">
        <v>1200000075614562</v>
      </c>
      <c r="N404" s="31" t="s">
        <v>553</v>
      </c>
      <c r="O404" s="31"/>
    </row>
    <row r="405" spans="1:15">
      <c r="A405" s="31"/>
      <c r="B405" s="31" t="s">
        <v>161</v>
      </c>
      <c r="C405" s="31" t="s">
        <v>529</v>
      </c>
      <c r="D405" s="31" t="s">
        <v>546</v>
      </c>
      <c r="E405" s="31" t="s">
        <v>241</v>
      </c>
      <c r="F405" s="31" t="s">
        <v>242</v>
      </c>
      <c r="G405" s="31" t="s">
        <v>242</v>
      </c>
      <c r="H405" s="31" t="s">
        <v>243</v>
      </c>
      <c r="I405" s="31" t="b">
        <v>0</v>
      </c>
      <c r="J405" s="31">
        <v>4</v>
      </c>
      <c r="K405" s="31">
        <v>1583.4</v>
      </c>
      <c r="L405" s="32">
        <v>406658172</v>
      </c>
      <c r="M405" s="32">
        <v>1200000075614562</v>
      </c>
      <c r="N405" s="31" t="s">
        <v>553</v>
      </c>
      <c r="O405" s="31"/>
    </row>
    <row r="406" spans="1:15">
      <c r="A406" s="31"/>
      <c r="B406" s="31" t="s">
        <v>93</v>
      </c>
      <c r="C406" s="31" t="s">
        <v>554</v>
      </c>
      <c r="D406" s="31" t="s">
        <v>546</v>
      </c>
      <c r="E406" s="31" t="s">
        <v>241</v>
      </c>
      <c r="F406" s="31" t="s">
        <v>242</v>
      </c>
      <c r="G406" s="31" t="s">
        <v>242</v>
      </c>
      <c r="H406" s="31" t="s">
        <v>243</v>
      </c>
      <c r="I406" s="31" t="b">
        <v>0</v>
      </c>
      <c r="J406" s="31">
        <v>38</v>
      </c>
      <c r="K406" s="31">
        <v>1325.5</v>
      </c>
      <c r="L406" s="32">
        <v>408006404</v>
      </c>
      <c r="M406" s="32">
        <v>1200000088607726</v>
      </c>
      <c r="N406" s="31" t="s">
        <v>555</v>
      </c>
      <c r="O406" s="31"/>
    </row>
    <row r="407" spans="1:15">
      <c r="A407" s="31"/>
      <c r="B407" s="31" t="s">
        <v>131</v>
      </c>
      <c r="C407" s="31" t="s">
        <v>556</v>
      </c>
      <c r="D407" s="31" t="s">
        <v>546</v>
      </c>
      <c r="E407" s="31" t="s">
        <v>241</v>
      </c>
      <c r="F407" s="31" t="s">
        <v>242</v>
      </c>
      <c r="G407" s="31" t="s">
        <v>242</v>
      </c>
      <c r="H407" s="31" t="s">
        <v>243</v>
      </c>
      <c r="I407" s="31" t="b">
        <v>0</v>
      </c>
      <c r="J407" s="31">
        <v>15</v>
      </c>
      <c r="K407" s="31">
        <v>2727.2</v>
      </c>
      <c r="L407" s="32">
        <v>7218708</v>
      </c>
      <c r="M407" s="32">
        <v>1000000079349236</v>
      </c>
      <c r="N407" s="31" t="s">
        <v>557</v>
      </c>
      <c r="O407" s="31"/>
    </row>
    <row r="408" spans="1:15">
      <c r="A408" s="31"/>
      <c r="B408" s="31" t="s">
        <v>131</v>
      </c>
      <c r="C408" s="31" t="s">
        <v>556</v>
      </c>
      <c r="D408" s="31" t="s">
        <v>546</v>
      </c>
      <c r="E408" s="31" t="s">
        <v>241</v>
      </c>
      <c r="F408" s="31" t="s">
        <v>242</v>
      </c>
      <c r="G408" s="31" t="s">
        <v>242</v>
      </c>
      <c r="H408" s="31" t="s">
        <v>243</v>
      </c>
      <c r="I408" s="31" t="b">
        <v>0</v>
      </c>
      <c r="J408" s="31">
        <v>4</v>
      </c>
      <c r="K408" s="31">
        <v>2727.2</v>
      </c>
      <c r="L408" s="32">
        <v>7218709</v>
      </c>
      <c r="M408" s="32">
        <v>1000000079349236</v>
      </c>
      <c r="N408" s="31" t="s">
        <v>557</v>
      </c>
      <c r="O408" s="31"/>
    </row>
    <row r="409" spans="1:15">
      <c r="A409" s="31"/>
      <c r="B409" s="31" t="s">
        <v>76</v>
      </c>
      <c r="C409" s="31" t="s">
        <v>558</v>
      </c>
      <c r="D409" s="31" t="s">
        <v>546</v>
      </c>
      <c r="E409" s="31" t="s">
        <v>241</v>
      </c>
      <c r="F409" s="31" t="s">
        <v>242</v>
      </c>
      <c r="G409" s="31" t="s">
        <v>242</v>
      </c>
      <c r="H409" s="31" t="s">
        <v>243</v>
      </c>
      <c r="I409" s="31" t="b">
        <v>0</v>
      </c>
      <c r="J409" s="31">
        <v>1</v>
      </c>
      <c r="K409" s="31">
        <v>2730</v>
      </c>
      <c r="L409" s="32">
        <v>7769815</v>
      </c>
      <c r="M409" s="32">
        <v>1000000082794405</v>
      </c>
      <c r="N409" s="31" t="s">
        <v>559</v>
      </c>
      <c r="O409" s="31"/>
    </row>
    <row r="410" spans="1:15">
      <c r="A410" s="31"/>
      <c r="B410" s="31" t="s">
        <v>76</v>
      </c>
      <c r="C410" s="31" t="s">
        <v>558</v>
      </c>
      <c r="D410" s="31" t="s">
        <v>546</v>
      </c>
      <c r="E410" s="31" t="s">
        <v>241</v>
      </c>
      <c r="F410" s="31" t="s">
        <v>242</v>
      </c>
      <c r="G410" s="31" t="s">
        <v>242</v>
      </c>
      <c r="H410" s="31" t="s">
        <v>243</v>
      </c>
      <c r="I410" s="31" t="b">
        <v>0</v>
      </c>
      <c r="J410" s="31">
        <v>17</v>
      </c>
      <c r="K410" s="31">
        <v>2730</v>
      </c>
      <c r="L410" s="32">
        <v>7769814</v>
      </c>
      <c r="M410" s="32">
        <v>1000000082794405</v>
      </c>
      <c r="N410" s="31" t="s">
        <v>559</v>
      </c>
      <c r="O410" s="31"/>
    </row>
    <row r="411" spans="1:15">
      <c r="A411" s="31"/>
      <c r="B411" s="31" t="s">
        <v>79</v>
      </c>
      <c r="C411" s="31" t="s">
        <v>560</v>
      </c>
      <c r="D411" s="31" t="s">
        <v>546</v>
      </c>
      <c r="E411" s="31" t="s">
        <v>241</v>
      </c>
      <c r="F411" s="31" t="s">
        <v>242</v>
      </c>
      <c r="G411" s="31" t="s">
        <v>242</v>
      </c>
      <c r="H411" s="31" t="s">
        <v>243</v>
      </c>
      <c r="I411" s="31" t="b">
        <v>0</v>
      </c>
      <c r="J411" s="31">
        <v>16</v>
      </c>
      <c r="K411" s="31">
        <v>3127</v>
      </c>
      <c r="L411" s="32">
        <v>408659311</v>
      </c>
      <c r="M411" s="32">
        <v>1200000092419234</v>
      </c>
      <c r="N411" s="31" t="s">
        <v>561</v>
      </c>
      <c r="O411" s="31"/>
    </row>
    <row r="412" spans="1:15">
      <c r="A412" s="31"/>
      <c r="B412" s="31" t="s">
        <v>55</v>
      </c>
      <c r="C412" s="31" t="s">
        <v>562</v>
      </c>
      <c r="D412" s="31" t="s">
        <v>563</v>
      </c>
      <c r="E412" s="31" t="s">
        <v>241</v>
      </c>
      <c r="F412" s="31" t="s">
        <v>242</v>
      </c>
      <c r="G412" s="31" t="s">
        <v>242</v>
      </c>
      <c r="H412" s="31" t="s">
        <v>243</v>
      </c>
      <c r="I412" s="31" t="b">
        <v>0</v>
      </c>
      <c r="J412" s="31">
        <v>10</v>
      </c>
      <c r="K412" s="31">
        <v>1505.6</v>
      </c>
      <c r="L412" s="32">
        <v>6180298</v>
      </c>
      <c r="M412" s="32">
        <v>1000000066826705</v>
      </c>
      <c r="N412" s="31" t="s">
        <v>564</v>
      </c>
      <c r="O412" s="31"/>
    </row>
    <row r="413" spans="1:15">
      <c r="A413" s="31"/>
      <c r="B413" s="31" t="s">
        <v>55</v>
      </c>
      <c r="C413" s="31" t="s">
        <v>562</v>
      </c>
      <c r="D413" s="31" t="s">
        <v>563</v>
      </c>
      <c r="E413" s="31" t="s">
        <v>241</v>
      </c>
      <c r="F413" s="31" t="s">
        <v>242</v>
      </c>
      <c r="G413" s="31" t="s">
        <v>242</v>
      </c>
      <c r="H413" s="31" t="s">
        <v>243</v>
      </c>
      <c r="I413" s="31" t="b">
        <v>0</v>
      </c>
      <c r="J413" s="31">
        <v>10</v>
      </c>
      <c r="K413" s="31">
        <v>1505.6</v>
      </c>
      <c r="L413" s="32">
        <v>6180301</v>
      </c>
      <c r="M413" s="32">
        <v>1000000066826705</v>
      </c>
      <c r="N413" s="31" t="s">
        <v>564</v>
      </c>
      <c r="O413" s="31"/>
    </row>
    <row r="414" spans="1:15">
      <c r="A414" s="31"/>
      <c r="B414" s="31" t="s">
        <v>55</v>
      </c>
      <c r="C414" s="31" t="s">
        <v>562</v>
      </c>
      <c r="D414" s="31" t="s">
        <v>563</v>
      </c>
      <c r="E414" s="31" t="s">
        <v>241</v>
      </c>
      <c r="F414" s="31" t="s">
        <v>242</v>
      </c>
      <c r="G414" s="31" t="s">
        <v>242</v>
      </c>
      <c r="H414" s="31" t="s">
        <v>243</v>
      </c>
      <c r="I414" s="31" t="b">
        <v>0</v>
      </c>
      <c r="J414" s="31">
        <v>1</v>
      </c>
      <c r="K414" s="31">
        <v>1505.6</v>
      </c>
      <c r="L414" s="32">
        <v>6180299</v>
      </c>
      <c r="M414" s="32">
        <v>1000000066826705</v>
      </c>
      <c r="N414" s="31" t="s">
        <v>564</v>
      </c>
      <c r="O414" s="31"/>
    </row>
    <row r="415" spans="1:15">
      <c r="A415" s="31"/>
      <c r="B415" s="31" t="s">
        <v>55</v>
      </c>
      <c r="C415" s="31" t="s">
        <v>562</v>
      </c>
      <c r="D415" s="31" t="s">
        <v>563</v>
      </c>
      <c r="E415" s="31" t="s">
        <v>241</v>
      </c>
      <c r="F415" s="31" t="s">
        <v>242</v>
      </c>
      <c r="G415" s="31" t="s">
        <v>242</v>
      </c>
      <c r="H415" s="31" t="s">
        <v>243</v>
      </c>
      <c r="I415" s="31" t="b">
        <v>0</v>
      </c>
      <c r="J415" s="31">
        <v>12</v>
      </c>
      <c r="K415" s="31">
        <v>1505.6</v>
      </c>
      <c r="L415" s="32">
        <v>6180300</v>
      </c>
      <c r="M415" s="32">
        <v>1000000066826705</v>
      </c>
      <c r="N415" s="31" t="s">
        <v>564</v>
      </c>
      <c r="O415" s="31"/>
    </row>
    <row r="416" spans="1:15">
      <c r="A416" s="31"/>
      <c r="B416" s="31" t="s">
        <v>51</v>
      </c>
      <c r="C416" s="31" t="s">
        <v>565</v>
      </c>
      <c r="D416" s="31" t="s">
        <v>563</v>
      </c>
      <c r="E416" s="31" t="s">
        <v>241</v>
      </c>
      <c r="F416" s="31" t="s">
        <v>242</v>
      </c>
      <c r="G416" s="31" t="s">
        <v>242</v>
      </c>
      <c r="H416" s="31" t="s">
        <v>243</v>
      </c>
      <c r="I416" s="31" t="b">
        <v>0</v>
      </c>
      <c r="J416" s="31">
        <v>10</v>
      </c>
      <c r="K416" s="31">
        <v>1713.2</v>
      </c>
      <c r="L416" s="32">
        <v>6186275</v>
      </c>
      <c r="M416" s="32">
        <v>1000000066876330</v>
      </c>
      <c r="N416" s="31" t="s">
        <v>566</v>
      </c>
      <c r="O416" s="31"/>
    </row>
    <row r="417" spans="1:15">
      <c r="A417" s="31"/>
      <c r="B417" s="31" t="s">
        <v>51</v>
      </c>
      <c r="C417" s="31" t="s">
        <v>565</v>
      </c>
      <c r="D417" s="31" t="s">
        <v>563</v>
      </c>
      <c r="E417" s="31" t="s">
        <v>241</v>
      </c>
      <c r="F417" s="31" t="s">
        <v>242</v>
      </c>
      <c r="G417" s="31" t="s">
        <v>242</v>
      </c>
      <c r="H417" s="31" t="s">
        <v>243</v>
      </c>
      <c r="I417" s="31" t="b">
        <v>0</v>
      </c>
      <c r="J417" s="31">
        <v>10</v>
      </c>
      <c r="K417" s="31">
        <v>1713.8</v>
      </c>
      <c r="L417" s="32">
        <v>6186277</v>
      </c>
      <c r="M417" s="32">
        <v>1000000066876330</v>
      </c>
      <c r="N417" s="31" t="s">
        <v>566</v>
      </c>
      <c r="O417" s="31"/>
    </row>
    <row r="418" spans="1:15">
      <c r="A418" s="31"/>
      <c r="B418" s="31" t="s">
        <v>51</v>
      </c>
      <c r="C418" s="31" t="s">
        <v>565</v>
      </c>
      <c r="D418" s="31" t="s">
        <v>563</v>
      </c>
      <c r="E418" s="31" t="s">
        <v>241</v>
      </c>
      <c r="F418" s="31" t="s">
        <v>242</v>
      </c>
      <c r="G418" s="31" t="s">
        <v>242</v>
      </c>
      <c r="H418" s="31" t="s">
        <v>243</v>
      </c>
      <c r="I418" s="31" t="b">
        <v>0</v>
      </c>
      <c r="J418" s="31">
        <v>1</v>
      </c>
      <c r="K418" s="31">
        <v>1712.9</v>
      </c>
      <c r="L418" s="32">
        <v>6186273</v>
      </c>
      <c r="M418" s="32">
        <v>1000000066876330</v>
      </c>
      <c r="N418" s="31" t="s">
        <v>566</v>
      </c>
      <c r="O418" s="31"/>
    </row>
    <row r="419" spans="1:15">
      <c r="A419" s="31"/>
      <c r="B419" s="31" t="s">
        <v>51</v>
      </c>
      <c r="C419" s="31" t="s">
        <v>565</v>
      </c>
      <c r="D419" s="31" t="s">
        <v>563</v>
      </c>
      <c r="E419" s="31" t="s">
        <v>241</v>
      </c>
      <c r="F419" s="31" t="s">
        <v>242</v>
      </c>
      <c r="G419" s="31" t="s">
        <v>242</v>
      </c>
      <c r="H419" s="31" t="s">
        <v>243</v>
      </c>
      <c r="I419" s="31" t="b">
        <v>0</v>
      </c>
      <c r="J419" s="31">
        <v>4</v>
      </c>
      <c r="K419" s="31">
        <v>1713</v>
      </c>
      <c r="L419" s="32">
        <v>6186274</v>
      </c>
      <c r="M419" s="32">
        <v>1000000066876330</v>
      </c>
      <c r="N419" s="31" t="s">
        <v>566</v>
      </c>
      <c r="O419" s="31"/>
    </row>
    <row r="420" spans="1:15">
      <c r="A420" s="31"/>
      <c r="B420" s="31" t="s">
        <v>51</v>
      </c>
      <c r="C420" s="31" t="s">
        <v>565</v>
      </c>
      <c r="D420" s="31" t="s">
        <v>563</v>
      </c>
      <c r="E420" s="31" t="s">
        <v>241</v>
      </c>
      <c r="F420" s="31" t="s">
        <v>242</v>
      </c>
      <c r="G420" s="31" t="s">
        <v>242</v>
      </c>
      <c r="H420" s="31" t="s">
        <v>243</v>
      </c>
      <c r="I420" s="31" t="b">
        <v>0</v>
      </c>
      <c r="J420" s="31">
        <v>4</v>
      </c>
      <c r="K420" s="31">
        <v>1713.6</v>
      </c>
      <c r="L420" s="32">
        <v>6186276</v>
      </c>
      <c r="M420" s="32">
        <v>1000000066876330</v>
      </c>
      <c r="N420" s="31" t="s">
        <v>566</v>
      </c>
      <c r="O420" s="31"/>
    </row>
    <row r="421" spans="1:15">
      <c r="A421" s="31"/>
      <c r="B421" s="31" t="s">
        <v>48</v>
      </c>
      <c r="C421" s="31" t="s">
        <v>409</v>
      </c>
      <c r="D421" s="31" t="s">
        <v>563</v>
      </c>
      <c r="E421" s="31" t="s">
        <v>75</v>
      </c>
      <c r="F421" s="31" t="s">
        <v>242</v>
      </c>
      <c r="G421" s="31" t="s">
        <v>423</v>
      </c>
      <c r="H421" s="31" t="s">
        <v>243</v>
      </c>
      <c r="I421" s="31" t="b">
        <v>0</v>
      </c>
      <c r="J421" s="31">
        <v>411</v>
      </c>
      <c r="K421" s="31">
        <v>121.7</v>
      </c>
      <c r="L421" s="32">
        <v>10509600</v>
      </c>
      <c r="M421" s="32">
        <v>1.7790926332850911E+18</v>
      </c>
      <c r="N421" s="31" t="s">
        <v>567</v>
      </c>
      <c r="O421" s="31"/>
    </row>
    <row r="422" spans="1:15">
      <c r="A422" s="31"/>
      <c r="B422" s="31" t="s">
        <v>61</v>
      </c>
      <c r="C422" s="31" t="s">
        <v>416</v>
      </c>
      <c r="D422" s="31" t="s">
        <v>563</v>
      </c>
      <c r="E422" s="31" t="s">
        <v>241</v>
      </c>
      <c r="F422" s="31" t="s">
        <v>242</v>
      </c>
      <c r="G422" s="31" t="s">
        <v>242</v>
      </c>
      <c r="H422" s="31" t="s">
        <v>243</v>
      </c>
      <c r="I422" s="31" t="b">
        <v>0</v>
      </c>
      <c r="J422" s="31">
        <v>10</v>
      </c>
      <c r="K422" s="31">
        <v>3214</v>
      </c>
      <c r="L422" s="32">
        <v>6654262</v>
      </c>
      <c r="M422" s="32">
        <v>1000000071638445</v>
      </c>
      <c r="N422" s="31" t="s">
        <v>568</v>
      </c>
      <c r="O422" s="31"/>
    </row>
    <row r="423" spans="1:15">
      <c r="A423" s="31"/>
      <c r="B423" s="31" t="s">
        <v>57</v>
      </c>
      <c r="C423" s="31" t="s">
        <v>569</v>
      </c>
      <c r="D423" s="31" t="s">
        <v>563</v>
      </c>
      <c r="E423" s="31" t="s">
        <v>241</v>
      </c>
      <c r="F423" s="31" t="s">
        <v>242</v>
      </c>
      <c r="G423" s="31" t="s">
        <v>242</v>
      </c>
      <c r="H423" s="31" t="s">
        <v>243</v>
      </c>
      <c r="I423" s="31" t="b">
        <v>0</v>
      </c>
      <c r="J423" s="31">
        <v>26</v>
      </c>
      <c r="K423" s="31">
        <v>1899.2</v>
      </c>
      <c r="L423" s="32">
        <v>609084122</v>
      </c>
      <c r="M423" s="32">
        <v>1300000096080231</v>
      </c>
      <c r="N423" s="31" t="s">
        <v>570</v>
      </c>
      <c r="O423" s="31"/>
    </row>
    <row r="424" spans="1:15">
      <c r="A424" s="31"/>
      <c r="B424" s="31" t="s">
        <v>358</v>
      </c>
      <c r="C424" s="31" t="s">
        <v>359</v>
      </c>
      <c r="D424" s="31" t="s">
        <v>457</v>
      </c>
      <c r="E424" s="31" t="s">
        <v>241</v>
      </c>
      <c r="F424" s="31" t="s">
        <v>242</v>
      </c>
      <c r="G424" s="31" t="s">
        <v>242</v>
      </c>
      <c r="H424" s="31" t="s">
        <v>294</v>
      </c>
      <c r="I424" s="31" t="b">
        <v>0</v>
      </c>
      <c r="J424" s="31">
        <v>10</v>
      </c>
      <c r="K424" s="31">
        <v>271.55</v>
      </c>
      <c r="L424" s="32">
        <v>3556965</v>
      </c>
      <c r="M424" s="32">
        <v>1000000039324729</v>
      </c>
      <c r="N424" s="31" t="s">
        <v>460</v>
      </c>
      <c r="O424" s="31"/>
    </row>
    <row r="425" spans="1:15">
      <c r="A425" s="31"/>
      <c r="B425" s="31" t="s">
        <v>358</v>
      </c>
      <c r="C425" s="31" t="s">
        <v>359</v>
      </c>
      <c r="D425" s="31" t="s">
        <v>457</v>
      </c>
      <c r="E425" s="31" t="s">
        <v>241</v>
      </c>
      <c r="F425" s="31" t="s">
        <v>242</v>
      </c>
      <c r="G425" s="31" t="s">
        <v>242</v>
      </c>
      <c r="H425" s="31" t="s">
        <v>294</v>
      </c>
      <c r="I425" s="31" t="b">
        <v>0</v>
      </c>
      <c r="J425" s="31">
        <v>10</v>
      </c>
      <c r="K425" s="31">
        <v>271.55</v>
      </c>
      <c r="L425" s="32">
        <v>3556967</v>
      </c>
      <c r="M425" s="32">
        <v>1000000039324729</v>
      </c>
      <c r="N425" s="31" t="s">
        <v>460</v>
      </c>
      <c r="O425" s="31"/>
    </row>
    <row r="426" spans="1:15">
      <c r="A426" s="31"/>
      <c r="B426" s="31" t="s">
        <v>358</v>
      </c>
      <c r="C426" s="31" t="s">
        <v>359</v>
      </c>
      <c r="D426" s="31" t="s">
        <v>457</v>
      </c>
      <c r="E426" s="31" t="s">
        <v>241</v>
      </c>
      <c r="F426" s="31" t="s">
        <v>242</v>
      </c>
      <c r="G426" s="31" t="s">
        <v>242</v>
      </c>
      <c r="H426" s="31" t="s">
        <v>294</v>
      </c>
      <c r="I426" s="31" t="b">
        <v>0</v>
      </c>
      <c r="J426" s="31">
        <v>70</v>
      </c>
      <c r="K426" s="31">
        <v>271.55</v>
      </c>
      <c r="L426" s="32">
        <v>3556966</v>
      </c>
      <c r="M426" s="32">
        <v>1000000039324729</v>
      </c>
      <c r="N426" s="31" t="s">
        <v>460</v>
      </c>
      <c r="O426" s="31"/>
    </row>
    <row r="427" spans="1:15">
      <c r="A427" s="31"/>
      <c r="B427" s="31" t="s">
        <v>128</v>
      </c>
      <c r="C427" s="31" t="s">
        <v>571</v>
      </c>
      <c r="D427" s="31" t="s">
        <v>572</v>
      </c>
      <c r="E427" s="31" t="s">
        <v>241</v>
      </c>
      <c r="F427" s="31" t="s">
        <v>242</v>
      </c>
      <c r="G427" s="31" t="s">
        <v>242</v>
      </c>
      <c r="H427" s="31" t="s">
        <v>243</v>
      </c>
      <c r="I427" s="31" t="b">
        <v>0</v>
      </c>
      <c r="J427" s="31">
        <v>16</v>
      </c>
      <c r="K427" s="31">
        <v>670.55</v>
      </c>
      <c r="L427" s="32">
        <v>610264981</v>
      </c>
      <c r="M427" s="32">
        <v>1300000103548770</v>
      </c>
      <c r="N427" s="31" t="s">
        <v>573</v>
      </c>
      <c r="O427" s="31"/>
    </row>
    <row r="428" spans="1:15">
      <c r="A428" s="31"/>
      <c r="B428" s="31" t="s">
        <v>128</v>
      </c>
      <c r="C428" s="31" t="s">
        <v>571</v>
      </c>
      <c r="D428" s="31" t="s">
        <v>572</v>
      </c>
      <c r="E428" s="31" t="s">
        <v>241</v>
      </c>
      <c r="F428" s="31" t="s">
        <v>242</v>
      </c>
      <c r="G428" s="31" t="s">
        <v>242</v>
      </c>
      <c r="H428" s="31" t="s">
        <v>243</v>
      </c>
      <c r="I428" s="31" t="b">
        <v>0</v>
      </c>
      <c r="J428" s="31">
        <v>59</v>
      </c>
      <c r="K428" s="31">
        <v>670.55</v>
      </c>
      <c r="L428" s="32">
        <v>610264982</v>
      </c>
      <c r="M428" s="32">
        <v>1300000103548770</v>
      </c>
      <c r="N428" s="31" t="s">
        <v>573</v>
      </c>
      <c r="O428" s="31"/>
    </row>
    <row r="429" spans="1:15">
      <c r="A429" s="31"/>
      <c r="B429" s="31" t="s">
        <v>267</v>
      </c>
      <c r="C429" s="31" t="s">
        <v>268</v>
      </c>
      <c r="D429" s="31" t="s">
        <v>574</v>
      </c>
      <c r="E429" s="31" t="s">
        <v>75</v>
      </c>
      <c r="F429" s="31" t="s">
        <v>242</v>
      </c>
      <c r="G429" s="31" t="s">
        <v>300</v>
      </c>
      <c r="H429" s="31" t="s">
        <v>294</v>
      </c>
      <c r="I429" s="31" t="b">
        <v>0</v>
      </c>
      <c r="J429" s="31">
        <v>17</v>
      </c>
      <c r="K429" s="31">
        <v>633.6</v>
      </c>
      <c r="L429" s="32">
        <v>5746000</v>
      </c>
      <c r="M429" s="32">
        <v>1.7792507871813509E+18</v>
      </c>
      <c r="N429" s="31" t="s">
        <v>575</v>
      </c>
      <c r="O429" s="31"/>
    </row>
    <row r="430" spans="1:15">
      <c r="A430" s="31"/>
      <c r="B430" s="31" t="s">
        <v>267</v>
      </c>
      <c r="C430" s="31" t="s">
        <v>268</v>
      </c>
      <c r="D430" s="31" t="s">
        <v>574</v>
      </c>
      <c r="E430" s="31" t="s">
        <v>75</v>
      </c>
      <c r="F430" s="31" t="s">
        <v>242</v>
      </c>
      <c r="G430" s="31" t="s">
        <v>300</v>
      </c>
      <c r="H430" s="31" t="s">
        <v>294</v>
      </c>
      <c r="I430" s="31" t="b">
        <v>0</v>
      </c>
      <c r="J430" s="31">
        <v>24</v>
      </c>
      <c r="K430" s="31">
        <v>633.54999999999995</v>
      </c>
      <c r="L430" s="32">
        <v>5746200</v>
      </c>
      <c r="M430" s="32">
        <v>1.7792507871813509E+18</v>
      </c>
      <c r="N430" s="31" t="s">
        <v>575</v>
      </c>
      <c r="O430" s="31"/>
    </row>
    <row r="431" spans="1:15">
      <c r="A431" s="31"/>
      <c r="B431" s="31" t="s">
        <v>434</v>
      </c>
      <c r="C431" s="31" t="s">
        <v>435</v>
      </c>
      <c r="D431" s="31" t="s">
        <v>574</v>
      </c>
      <c r="E431" s="31" t="s">
        <v>75</v>
      </c>
      <c r="F431" s="31" t="s">
        <v>242</v>
      </c>
      <c r="G431" s="31" t="s">
        <v>300</v>
      </c>
      <c r="H431" s="31" t="s">
        <v>294</v>
      </c>
      <c r="I431" s="31" t="b">
        <v>0</v>
      </c>
      <c r="J431" s="31">
        <v>720</v>
      </c>
      <c r="K431" s="31">
        <v>77.709999999999994</v>
      </c>
      <c r="L431" s="32">
        <v>8419700</v>
      </c>
      <c r="M431" s="32">
        <v>1.779251488030295E+18</v>
      </c>
      <c r="N431" s="31" t="s">
        <v>576</v>
      </c>
      <c r="O431" s="31"/>
    </row>
    <row r="432" spans="1:15">
      <c r="A432" s="31"/>
      <c r="B432" s="31" t="s">
        <v>501</v>
      </c>
      <c r="C432" s="31" t="s">
        <v>502</v>
      </c>
      <c r="D432" s="31" t="s">
        <v>574</v>
      </c>
      <c r="E432" s="31" t="s">
        <v>241</v>
      </c>
      <c r="F432" s="31" t="s">
        <v>242</v>
      </c>
      <c r="G432" s="31" t="s">
        <v>242</v>
      </c>
      <c r="H432" s="31" t="s">
        <v>294</v>
      </c>
      <c r="I432" s="31" t="b">
        <v>0</v>
      </c>
      <c r="J432" s="31">
        <v>92</v>
      </c>
      <c r="K432" s="31">
        <v>266.3</v>
      </c>
      <c r="L432" s="32">
        <v>402043589</v>
      </c>
      <c r="M432" s="32">
        <v>1200000022573549</v>
      </c>
      <c r="N432" s="31" t="s">
        <v>577</v>
      </c>
      <c r="O432" s="31"/>
    </row>
    <row r="433" spans="1:15">
      <c r="A433" s="31"/>
      <c r="B433" s="31" t="s">
        <v>50</v>
      </c>
      <c r="C433" s="31" t="s">
        <v>531</v>
      </c>
      <c r="D433" s="31" t="s">
        <v>578</v>
      </c>
      <c r="E433" s="31" t="s">
        <v>241</v>
      </c>
      <c r="F433" s="31" t="s">
        <v>242</v>
      </c>
      <c r="G433" s="31" t="s">
        <v>242</v>
      </c>
      <c r="H433" s="31" t="s">
        <v>243</v>
      </c>
      <c r="I433" s="31" t="b">
        <v>0</v>
      </c>
      <c r="J433" s="31">
        <v>141</v>
      </c>
      <c r="K433" s="31">
        <v>355.5</v>
      </c>
      <c r="L433" s="32">
        <v>5129327</v>
      </c>
      <c r="M433" s="32">
        <v>1000000063206223</v>
      </c>
      <c r="N433" s="31" t="s">
        <v>579</v>
      </c>
      <c r="O433" s="31"/>
    </row>
    <row r="434" spans="1:15">
      <c r="A434" s="31"/>
      <c r="B434" s="31" t="s">
        <v>51</v>
      </c>
      <c r="C434" s="31" t="s">
        <v>565</v>
      </c>
      <c r="D434" s="31" t="s">
        <v>578</v>
      </c>
      <c r="E434" s="31" t="s">
        <v>241</v>
      </c>
      <c r="F434" s="31" t="s">
        <v>242</v>
      </c>
      <c r="G434" s="31" t="s">
        <v>242</v>
      </c>
      <c r="H434" s="31" t="s">
        <v>243</v>
      </c>
      <c r="I434" s="31" t="b">
        <v>0</v>
      </c>
      <c r="J434" s="31">
        <v>1</v>
      </c>
      <c r="K434" s="31">
        <v>1814.3</v>
      </c>
      <c r="L434" s="32">
        <v>5140759</v>
      </c>
      <c r="M434" s="32">
        <v>1000000063330323</v>
      </c>
      <c r="N434" s="31" t="s">
        <v>580</v>
      </c>
      <c r="O434" s="31"/>
    </row>
    <row r="435" spans="1:15">
      <c r="A435" s="31"/>
      <c r="B435" s="31" t="s">
        <v>51</v>
      </c>
      <c r="C435" s="31" t="s">
        <v>565</v>
      </c>
      <c r="D435" s="31" t="s">
        <v>578</v>
      </c>
      <c r="E435" s="31" t="s">
        <v>241</v>
      </c>
      <c r="F435" s="31" t="s">
        <v>242</v>
      </c>
      <c r="G435" s="31" t="s">
        <v>242</v>
      </c>
      <c r="H435" s="31" t="s">
        <v>243</v>
      </c>
      <c r="I435" s="31" t="b">
        <v>0</v>
      </c>
      <c r="J435" s="31">
        <v>2</v>
      </c>
      <c r="K435" s="31">
        <v>1814.5</v>
      </c>
      <c r="L435" s="32">
        <v>5140760</v>
      </c>
      <c r="M435" s="32">
        <v>1000000063330323</v>
      </c>
      <c r="N435" s="31" t="s">
        <v>580</v>
      </c>
      <c r="O435" s="31"/>
    </row>
    <row r="436" spans="1:15">
      <c r="A436" s="31"/>
      <c r="B436" s="31" t="s">
        <v>51</v>
      </c>
      <c r="C436" s="31" t="s">
        <v>565</v>
      </c>
      <c r="D436" s="31" t="s">
        <v>578</v>
      </c>
      <c r="E436" s="31" t="s">
        <v>241</v>
      </c>
      <c r="F436" s="31" t="s">
        <v>242</v>
      </c>
      <c r="G436" s="31" t="s">
        <v>242</v>
      </c>
      <c r="H436" s="31" t="s">
        <v>243</v>
      </c>
      <c r="I436" s="31" t="b">
        <v>0</v>
      </c>
      <c r="J436" s="31">
        <v>2</v>
      </c>
      <c r="K436" s="31">
        <v>1815</v>
      </c>
      <c r="L436" s="32">
        <v>5140764</v>
      </c>
      <c r="M436" s="32">
        <v>1000000063330323</v>
      </c>
      <c r="N436" s="31" t="s">
        <v>580</v>
      </c>
      <c r="O436" s="31"/>
    </row>
    <row r="437" spans="1:15">
      <c r="A437" s="31"/>
      <c r="B437" s="31" t="s">
        <v>51</v>
      </c>
      <c r="C437" s="31" t="s">
        <v>565</v>
      </c>
      <c r="D437" s="31" t="s">
        <v>578</v>
      </c>
      <c r="E437" s="31" t="s">
        <v>241</v>
      </c>
      <c r="F437" s="31" t="s">
        <v>242</v>
      </c>
      <c r="G437" s="31" t="s">
        <v>242</v>
      </c>
      <c r="H437" s="31" t="s">
        <v>243</v>
      </c>
      <c r="I437" s="31" t="b">
        <v>0</v>
      </c>
      <c r="J437" s="31">
        <v>5</v>
      </c>
      <c r="K437" s="31">
        <v>1814.9</v>
      </c>
      <c r="L437" s="32">
        <v>5140762</v>
      </c>
      <c r="M437" s="32">
        <v>1000000063330323</v>
      </c>
      <c r="N437" s="31" t="s">
        <v>580</v>
      </c>
      <c r="O437" s="31"/>
    </row>
    <row r="438" spans="1:15">
      <c r="A438" s="31"/>
      <c r="B438" s="31" t="s">
        <v>51</v>
      </c>
      <c r="C438" s="31" t="s">
        <v>565</v>
      </c>
      <c r="D438" s="31" t="s">
        <v>578</v>
      </c>
      <c r="E438" s="31" t="s">
        <v>241</v>
      </c>
      <c r="F438" s="31" t="s">
        <v>242</v>
      </c>
      <c r="G438" s="31" t="s">
        <v>242</v>
      </c>
      <c r="H438" s="31" t="s">
        <v>243</v>
      </c>
      <c r="I438" s="31" t="b">
        <v>0</v>
      </c>
      <c r="J438" s="31">
        <v>8</v>
      </c>
      <c r="K438" s="31">
        <v>1814.9</v>
      </c>
      <c r="L438" s="32">
        <v>5140763</v>
      </c>
      <c r="M438" s="32">
        <v>1000000063330323</v>
      </c>
      <c r="N438" s="31" t="s">
        <v>580</v>
      </c>
      <c r="O438" s="31"/>
    </row>
    <row r="439" spans="1:15">
      <c r="A439" s="31"/>
      <c r="B439" s="31" t="s">
        <v>51</v>
      </c>
      <c r="C439" s="31" t="s">
        <v>565</v>
      </c>
      <c r="D439" s="31" t="s">
        <v>578</v>
      </c>
      <c r="E439" s="31" t="s">
        <v>241</v>
      </c>
      <c r="F439" s="31" t="s">
        <v>242</v>
      </c>
      <c r="G439" s="31" t="s">
        <v>242</v>
      </c>
      <c r="H439" s="31" t="s">
        <v>243</v>
      </c>
      <c r="I439" s="31" t="b">
        <v>0</v>
      </c>
      <c r="J439" s="31">
        <v>9</v>
      </c>
      <c r="K439" s="31">
        <v>1814.6</v>
      </c>
      <c r="L439" s="32">
        <v>5140761</v>
      </c>
      <c r="M439" s="32">
        <v>1000000063330323</v>
      </c>
      <c r="N439" s="31" t="s">
        <v>580</v>
      </c>
      <c r="O439" s="31"/>
    </row>
    <row r="440" spans="1:15">
      <c r="A440" s="31"/>
      <c r="B440" s="31" t="s">
        <v>53</v>
      </c>
      <c r="C440" s="31" t="s">
        <v>581</v>
      </c>
      <c r="D440" s="31" t="s">
        <v>578</v>
      </c>
      <c r="E440" s="31" t="s">
        <v>75</v>
      </c>
      <c r="F440" s="31" t="s">
        <v>242</v>
      </c>
      <c r="G440" s="31" t="s">
        <v>300</v>
      </c>
      <c r="H440" s="31" t="s">
        <v>243</v>
      </c>
      <c r="I440" s="31" t="b">
        <v>0</v>
      </c>
      <c r="J440" s="31">
        <v>40</v>
      </c>
      <c r="K440" s="31">
        <v>639.20000000000005</v>
      </c>
      <c r="L440" s="32">
        <v>15380500</v>
      </c>
      <c r="M440" s="32">
        <v>1.7794414214461381E+18</v>
      </c>
      <c r="N440" s="31" t="s">
        <v>582</v>
      </c>
      <c r="O440" s="31"/>
    </row>
    <row r="441" spans="1:15">
      <c r="A441" s="31"/>
      <c r="B441" s="31" t="s">
        <v>75</v>
      </c>
      <c r="C441" s="31" t="s">
        <v>390</v>
      </c>
      <c r="D441" s="31" t="s">
        <v>578</v>
      </c>
      <c r="E441" s="31" t="s">
        <v>241</v>
      </c>
      <c r="F441" s="31" t="s">
        <v>242</v>
      </c>
      <c r="G441" s="31" t="s">
        <v>242</v>
      </c>
      <c r="H441" s="31" t="s">
        <v>243</v>
      </c>
      <c r="I441" s="31" t="b">
        <v>0</v>
      </c>
      <c r="J441" s="31">
        <v>11</v>
      </c>
      <c r="K441" s="31">
        <v>4195.1000999999997</v>
      </c>
      <c r="L441" s="32">
        <v>5529778</v>
      </c>
      <c r="M441" s="32">
        <v>1000000066683597</v>
      </c>
      <c r="N441" s="31" t="s">
        <v>583</v>
      </c>
      <c r="O441" s="31"/>
    </row>
    <row r="442" spans="1:15">
      <c r="A442" s="31"/>
      <c r="B442" s="31" t="s">
        <v>75</v>
      </c>
      <c r="C442" s="31" t="s">
        <v>390</v>
      </c>
      <c r="D442" s="31" t="s">
        <v>578</v>
      </c>
      <c r="E442" s="31" t="s">
        <v>241</v>
      </c>
      <c r="F442" s="31" t="s">
        <v>242</v>
      </c>
      <c r="G442" s="31" t="s">
        <v>242</v>
      </c>
      <c r="H442" s="31" t="s">
        <v>243</v>
      </c>
      <c r="I442" s="31" t="b">
        <v>0</v>
      </c>
      <c r="J442" s="31">
        <v>1</v>
      </c>
      <c r="K442" s="31">
        <v>4195.1000999999997</v>
      </c>
      <c r="L442" s="32">
        <v>5529777</v>
      </c>
      <c r="M442" s="32">
        <v>1000000066683597</v>
      </c>
      <c r="N442" s="31" t="s">
        <v>583</v>
      </c>
      <c r="O442" s="31"/>
    </row>
    <row r="443" spans="1:15">
      <c r="A443" s="31"/>
      <c r="B443" s="31" t="s">
        <v>59</v>
      </c>
      <c r="C443" s="31" t="s">
        <v>584</v>
      </c>
      <c r="D443" s="31" t="s">
        <v>578</v>
      </c>
      <c r="E443" s="31" t="s">
        <v>241</v>
      </c>
      <c r="F443" s="31" t="s">
        <v>242</v>
      </c>
      <c r="G443" s="31" t="s">
        <v>242</v>
      </c>
      <c r="H443" s="31" t="s">
        <v>243</v>
      </c>
      <c r="I443" s="31" t="b">
        <v>0</v>
      </c>
      <c r="J443" s="31">
        <v>67</v>
      </c>
      <c r="K443" s="31">
        <v>374</v>
      </c>
      <c r="L443" s="32">
        <v>407839702</v>
      </c>
      <c r="M443" s="32">
        <v>1200000094144267</v>
      </c>
      <c r="N443" s="31" t="s">
        <v>585</v>
      </c>
      <c r="O443" s="31"/>
    </row>
    <row r="444" spans="1:15">
      <c r="A444" s="31"/>
      <c r="B444" s="31" t="s">
        <v>59</v>
      </c>
      <c r="C444" s="31" t="s">
        <v>584</v>
      </c>
      <c r="D444" s="31" t="s">
        <v>586</v>
      </c>
      <c r="E444" s="31" t="s">
        <v>241</v>
      </c>
      <c r="F444" s="31" t="s">
        <v>242</v>
      </c>
      <c r="G444" s="31" t="s">
        <v>242</v>
      </c>
      <c r="H444" s="31" t="s">
        <v>243</v>
      </c>
      <c r="I444" s="31" t="b">
        <v>0</v>
      </c>
      <c r="J444" s="31">
        <v>66</v>
      </c>
      <c r="K444" s="31">
        <v>382</v>
      </c>
      <c r="L444" s="32">
        <v>406411588</v>
      </c>
      <c r="M444" s="32">
        <v>1200000073397345</v>
      </c>
      <c r="N444" s="31" t="s">
        <v>587</v>
      </c>
      <c r="O444" s="31"/>
    </row>
    <row r="445" spans="1:15">
      <c r="A445" s="31"/>
      <c r="B445" s="31" t="s">
        <v>48</v>
      </c>
      <c r="C445" s="31" t="s">
        <v>409</v>
      </c>
      <c r="D445" s="31" t="s">
        <v>588</v>
      </c>
      <c r="E445" s="31" t="s">
        <v>241</v>
      </c>
      <c r="F445" s="31" t="s">
        <v>242</v>
      </c>
      <c r="G445" s="31" t="s">
        <v>242</v>
      </c>
      <c r="H445" s="31" t="s">
        <v>243</v>
      </c>
      <c r="I445" s="31" t="b">
        <v>0</v>
      </c>
      <c r="J445" s="31">
        <v>389</v>
      </c>
      <c r="K445" s="31">
        <v>128.84</v>
      </c>
      <c r="L445" s="32">
        <v>2098313</v>
      </c>
      <c r="M445" s="32">
        <v>1000000020034216</v>
      </c>
      <c r="N445" s="31" t="s">
        <v>589</v>
      </c>
      <c r="O445" s="31"/>
    </row>
    <row r="446" spans="1:15">
      <c r="A446" s="31"/>
      <c r="B446" s="31" t="s">
        <v>88</v>
      </c>
      <c r="C446" s="31" t="s">
        <v>276</v>
      </c>
      <c r="D446" s="31" t="s">
        <v>590</v>
      </c>
      <c r="E446" s="31" t="s">
        <v>75</v>
      </c>
      <c r="F446" s="31" t="s">
        <v>242</v>
      </c>
      <c r="G446" s="31" t="s">
        <v>300</v>
      </c>
      <c r="H446" s="31" t="s">
        <v>243</v>
      </c>
      <c r="I446" s="31" t="b">
        <v>0</v>
      </c>
      <c r="J446" s="31">
        <v>28</v>
      </c>
      <c r="K446" s="31">
        <v>918.55</v>
      </c>
      <c r="L446" s="32">
        <v>12609700</v>
      </c>
      <c r="M446" s="32">
        <v>1.7798603051409641E+18</v>
      </c>
      <c r="N446" s="31" t="s">
        <v>591</v>
      </c>
      <c r="O446" s="31"/>
    </row>
    <row r="447" spans="1:15">
      <c r="A447" s="31"/>
      <c r="B447" s="31" t="s">
        <v>176</v>
      </c>
      <c r="C447" s="31" t="s">
        <v>524</v>
      </c>
      <c r="D447" s="31" t="s">
        <v>592</v>
      </c>
      <c r="E447" s="31" t="s">
        <v>241</v>
      </c>
      <c r="F447" s="31" t="s">
        <v>242</v>
      </c>
      <c r="G447" s="31" t="s">
        <v>242</v>
      </c>
      <c r="H447" s="31" t="s">
        <v>243</v>
      </c>
      <c r="I447" s="31" t="b">
        <v>0</v>
      </c>
      <c r="J447" s="31">
        <v>16</v>
      </c>
      <c r="K447" s="31">
        <v>1403.6</v>
      </c>
      <c r="L447" s="32">
        <v>6199973</v>
      </c>
      <c r="M447" s="32">
        <v>1000000057926996</v>
      </c>
      <c r="N447" s="31" t="s">
        <v>593</v>
      </c>
      <c r="O447" s="31"/>
    </row>
    <row r="448" spans="1:15">
      <c r="A448" s="31"/>
      <c r="B448" s="31" t="s">
        <v>176</v>
      </c>
      <c r="C448" s="31" t="s">
        <v>524</v>
      </c>
      <c r="D448" s="31" t="s">
        <v>592</v>
      </c>
      <c r="E448" s="31" t="s">
        <v>241</v>
      </c>
      <c r="F448" s="31" t="s">
        <v>242</v>
      </c>
      <c r="G448" s="31" t="s">
        <v>242</v>
      </c>
      <c r="H448" s="31" t="s">
        <v>243</v>
      </c>
      <c r="I448" s="31" t="b">
        <v>0</v>
      </c>
      <c r="J448" s="31">
        <v>17</v>
      </c>
      <c r="K448" s="31">
        <v>1403.5</v>
      </c>
      <c r="L448" s="32">
        <v>6199972</v>
      </c>
      <c r="M448" s="32">
        <v>1000000057926996</v>
      </c>
      <c r="N448" s="31" t="s">
        <v>593</v>
      </c>
      <c r="O448" s="31"/>
    </row>
    <row r="449" spans="1:15">
      <c r="A449" s="31"/>
      <c r="B449" s="31" t="s">
        <v>176</v>
      </c>
      <c r="C449" s="31" t="s">
        <v>524</v>
      </c>
      <c r="D449" s="31" t="s">
        <v>592</v>
      </c>
      <c r="E449" s="31" t="s">
        <v>241</v>
      </c>
      <c r="F449" s="31" t="s">
        <v>242</v>
      </c>
      <c r="G449" s="31" t="s">
        <v>242</v>
      </c>
      <c r="H449" s="31" t="s">
        <v>243</v>
      </c>
      <c r="I449" s="31" t="b">
        <v>0</v>
      </c>
      <c r="J449" s="31">
        <v>3</v>
      </c>
      <c r="K449" s="31">
        <v>1403.7</v>
      </c>
      <c r="L449" s="32">
        <v>6199974</v>
      </c>
      <c r="M449" s="32">
        <v>1000000057926996</v>
      </c>
      <c r="N449" s="31" t="s">
        <v>593</v>
      </c>
      <c r="O449" s="31"/>
    </row>
    <row r="450" spans="1:15">
      <c r="A450" s="31"/>
      <c r="B450" s="31" t="s">
        <v>131</v>
      </c>
      <c r="C450" s="31" t="s">
        <v>556</v>
      </c>
      <c r="D450" s="31" t="s">
        <v>592</v>
      </c>
      <c r="E450" s="31" t="s">
        <v>241</v>
      </c>
      <c r="F450" s="31" t="s">
        <v>242</v>
      </c>
      <c r="G450" s="31" t="s">
        <v>242</v>
      </c>
      <c r="H450" s="31" t="s">
        <v>243</v>
      </c>
      <c r="I450" s="31" t="b">
        <v>0</v>
      </c>
      <c r="J450" s="31">
        <v>11</v>
      </c>
      <c r="K450" s="31">
        <v>2954.2</v>
      </c>
      <c r="L450" s="32">
        <v>6227790</v>
      </c>
      <c r="M450" s="32">
        <v>1000000058217452</v>
      </c>
      <c r="N450" s="31" t="s">
        <v>594</v>
      </c>
      <c r="O450" s="31"/>
    </row>
    <row r="451" spans="1:15">
      <c r="A451" s="31"/>
      <c r="B451" s="31" t="s">
        <v>131</v>
      </c>
      <c r="C451" s="31" t="s">
        <v>556</v>
      </c>
      <c r="D451" s="31" t="s">
        <v>592</v>
      </c>
      <c r="E451" s="31" t="s">
        <v>241</v>
      </c>
      <c r="F451" s="31" t="s">
        <v>242</v>
      </c>
      <c r="G451" s="31" t="s">
        <v>242</v>
      </c>
      <c r="H451" s="31" t="s">
        <v>243</v>
      </c>
      <c r="I451" s="31" t="b">
        <v>0</v>
      </c>
      <c r="J451" s="31">
        <v>6</v>
      </c>
      <c r="K451" s="31">
        <v>2954.3998999999999</v>
      </c>
      <c r="L451" s="32">
        <v>6227791</v>
      </c>
      <c r="M451" s="32">
        <v>1000000058217452</v>
      </c>
      <c r="N451" s="31" t="s">
        <v>594</v>
      </c>
      <c r="O451" s="31"/>
    </row>
    <row r="452" spans="1:15">
      <c r="A452" s="31"/>
      <c r="B452" s="31" t="s">
        <v>161</v>
      </c>
      <c r="C452" s="31" t="s">
        <v>529</v>
      </c>
      <c r="D452" s="31" t="s">
        <v>592</v>
      </c>
      <c r="E452" s="31" t="s">
        <v>241</v>
      </c>
      <c r="F452" s="31" t="s">
        <v>242</v>
      </c>
      <c r="G452" s="31" t="s">
        <v>242</v>
      </c>
      <c r="H452" s="31" t="s">
        <v>294</v>
      </c>
      <c r="I452" s="31" t="b">
        <v>0</v>
      </c>
      <c r="J452" s="31">
        <v>5</v>
      </c>
      <c r="K452" s="31">
        <v>1292.8</v>
      </c>
      <c r="L452" s="32">
        <v>407699801</v>
      </c>
      <c r="M452" s="32">
        <v>1200000079624074</v>
      </c>
      <c r="N452" s="31" t="s">
        <v>595</v>
      </c>
      <c r="O452" s="31"/>
    </row>
    <row r="453" spans="1:15">
      <c r="A453" s="31"/>
      <c r="B453" s="31" t="s">
        <v>161</v>
      </c>
      <c r="C453" s="31" t="s">
        <v>529</v>
      </c>
      <c r="D453" s="31" t="s">
        <v>592</v>
      </c>
      <c r="E453" s="31" t="s">
        <v>241</v>
      </c>
      <c r="F453" s="31" t="s">
        <v>242</v>
      </c>
      <c r="G453" s="31" t="s">
        <v>242</v>
      </c>
      <c r="H453" s="31" t="s">
        <v>294</v>
      </c>
      <c r="I453" s="31" t="b">
        <v>0</v>
      </c>
      <c r="J453" s="31">
        <v>1</v>
      </c>
      <c r="K453" s="31">
        <v>1293.0999999999999</v>
      </c>
      <c r="L453" s="32">
        <v>407699795</v>
      </c>
      <c r="M453" s="32">
        <v>1200000079624074</v>
      </c>
      <c r="N453" s="31" t="s">
        <v>595</v>
      </c>
      <c r="O453" s="31"/>
    </row>
    <row r="454" spans="1:15">
      <c r="A454" s="31"/>
      <c r="B454" s="31" t="s">
        <v>161</v>
      </c>
      <c r="C454" s="31" t="s">
        <v>529</v>
      </c>
      <c r="D454" s="31" t="s">
        <v>592</v>
      </c>
      <c r="E454" s="31" t="s">
        <v>241</v>
      </c>
      <c r="F454" s="31" t="s">
        <v>242</v>
      </c>
      <c r="G454" s="31" t="s">
        <v>242</v>
      </c>
      <c r="H454" s="31" t="s">
        <v>294</v>
      </c>
      <c r="I454" s="31" t="b">
        <v>0</v>
      </c>
      <c r="J454" s="31">
        <v>13</v>
      </c>
      <c r="K454" s="31">
        <v>1293.2</v>
      </c>
      <c r="L454" s="32">
        <v>407699794</v>
      </c>
      <c r="M454" s="32">
        <v>1200000079624074</v>
      </c>
      <c r="N454" s="31" t="s">
        <v>595</v>
      </c>
      <c r="O454" s="31"/>
    </row>
    <row r="455" spans="1:15">
      <c r="A455" s="31"/>
      <c r="B455" s="31" t="s">
        <v>161</v>
      </c>
      <c r="C455" s="31" t="s">
        <v>529</v>
      </c>
      <c r="D455" s="31" t="s">
        <v>592</v>
      </c>
      <c r="E455" s="31" t="s">
        <v>241</v>
      </c>
      <c r="F455" s="31" t="s">
        <v>242</v>
      </c>
      <c r="G455" s="31" t="s">
        <v>242</v>
      </c>
      <c r="H455" s="31" t="s">
        <v>294</v>
      </c>
      <c r="I455" s="31" t="b">
        <v>0</v>
      </c>
      <c r="J455" s="31">
        <v>3</v>
      </c>
      <c r="K455" s="31">
        <v>1292.5</v>
      </c>
      <c r="L455" s="32">
        <v>407699804</v>
      </c>
      <c r="M455" s="32">
        <v>1200000079624074</v>
      </c>
      <c r="N455" s="31" t="s">
        <v>595</v>
      </c>
      <c r="O455" s="31"/>
    </row>
    <row r="456" spans="1:15">
      <c r="A456" s="31"/>
      <c r="B456" s="31" t="s">
        <v>161</v>
      </c>
      <c r="C456" s="31" t="s">
        <v>529</v>
      </c>
      <c r="D456" s="31" t="s">
        <v>592</v>
      </c>
      <c r="E456" s="31" t="s">
        <v>241</v>
      </c>
      <c r="F456" s="31" t="s">
        <v>242</v>
      </c>
      <c r="G456" s="31" t="s">
        <v>242</v>
      </c>
      <c r="H456" s="31" t="s">
        <v>294</v>
      </c>
      <c r="I456" s="31" t="b">
        <v>0</v>
      </c>
      <c r="J456" s="31">
        <v>3</v>
      </c>
      <c r="K456" s="31">
        <v>1292.5</v>
      </c>
      <c r="L456" s="32">
        <v>407699805</v>
      </c>
      <c r="M456" s="32">
        <v>1200000079624074</v>
      </c>
      <c r="N456" s="31" t="s">
        <v>595</v>
      </c>
      <c r="O456" s="31"/>
    </row>
    <row r="457" spans="1:15">
      <c r="A457" s="31"/>
      <c r="B457" s="31" t="s">
        <v>161</v>
      </c>
      <c r="C457" s="31" t="s">
        <v>529</v>
      </c>
      <c r="D457" s="31" t="s">
        <v>592</v>
      </c>
      <c r="E457" s="31" t="s">
        <v>241</v>
      </c>
      <c r="F457" s="31" t="s">
        <v>242</v>
      </c>
      <c r="G457" s="31" t="s">
        <v>242</v>
      </c>
      <c r="H457" s="31" t="s">
        <v>294</v>
      </c>
      <c r="I457" s="31" t="b">
        <v>0</v>
      </c>
      <c r="J457" s="31">
        <v>4</v>
      </c>
      <c r="K457" s="31">
        <v>1292.7</v>
      </c>
      <c r="L457" s="32">
        <v>407699802</v>
      </c>
      <c r="M457" s="32">
        <v>1200000079624074</v>
      </c>
      <c r="N457" s="31" t="s">
        <v>595</v>
      </c>
      <c r="O457" s="31"/>
    </row>
    <row r="458" spans="1:15">
      <c r="A458" s="31"/>
      <c r="B458" s="31" t="s">
        <v>161</v>
      </c>
      <c r="C458" s="31" t="s">
        <v>529</v>
      </c>
      <c r="D458" s="31" t="s">
        <v>592</v>
      </c>
      <c r="E458" s="31" t="s">
        <v>241</v>
      </c>
      <c r="F458" s="31" t="s">
        <v>242</v>
      </c>
      <c r="G458" s="31" t="s">
        <v>242</v>
      </c>
      <c r="H458" s="31" t="s">
        <v>294</v>
      </c>
      <c r="I458" s="31" t="b">
        <v>0</v>
      </c>
      <c r="J458" s="31">
        <v>4</v>
      </c>
      <c r="K458" s="31">
        <v>1292.8</v>
      </c>
      <c r="L458" s="32">
        <v>407699799</v>
      </c>
      <c r="M458" s="32">
        <v>1200000079624074</v>
      </c>
      <c r="N458" s="31" t="s">
        <v>595</v>
      </c>
      <c r="O458" s="31"/>
    </row>
    <row r="459" spans="1:15">
      <c r="A459" s="31"/>
      <c r="B459" s="31" t="s">
        <v>161</v>
      </c>
      <c r="C459" s="31" t="s">
        <v>529</v>
      </c>
      <c r="D459" s="31" t="s">
        <v>592</v>
      </c>
      <c r="E459" s="31" t="s">
        <v>241</v>
      </c>
      <c r="F459" s="31" t="s">
        <v>242</v>
      </c>
      <c r="G459" s="31" t="s">
        <v>242</v>
      </c>
      <c r="H459" s="31" t="s">
        <v>294</v>
      </c>
      <c r="I459" s="31" t="b">
        <v>0</v>
      </c>
      <c r="J459" s="31">
        <v>4</v>
      </c>
      <c r="K459" s="31">
        <v>1292.8</v>
      </c>
      <c r="L459" s="32">
        <v>407699800</v>
      </c>
      <c r="M459" s="32">
        <v>1200000079624074</v>
      </c>
      <c r="N459" s="31" t="s">
        <v>595</v>
      </c>
      <c r="O459" s="31"/>
    </row>
    <row r="460" spans="1:15">
      <c r="A460" s="31"/>
      <c r="B460" s="31" t="s">
        <v>161</v>
      </c>
      <c r="C460" s="31" t="s">
        <v>529</v>
      </c>
      <c r="D460" s="31" t="s">
        <v>592</v>
      </c>
      <c r="E460" s="31" t="s">
        <v>241</v>
      </c>
      <c r="F460" s="31" t="s">
        <v>242</v>
      </c>
      <c r="G460" s="31" t="s">
        <v>242</v>
      </c>
      <c r="H460" s="31" t="s">
        <v>294</v>
      </c>
      <c r="I460" s="31" t="b">
        <v>0</v>
      </c>
      <c r="J460" s="31">
        <v>4</v>
      </c>
      <c r="K460" s="31">
        <v>1293</v>
      </c>
      <c r="L460" s="32">
        <v>407699797</v>
      </c>
      <c r="M460" s="32">
        <v>1200000079624074</v>
      </c>
      <c r="N460" s="31" t="s">
        <v>595</v>
      </c>
      <c r="O460" s="31"/>
    </row>
    <row r="461" spans="1:15">
      <c r="A461" s="31"/>
      <c r="B461" s="31" t="s">
        <v>161</v>
      </c>
      <c r="C461" s="31" t="s">
        <v>529</v>
      </c>
      <c r="D461" s="31" t="s">
        <v>592</v>
      </c>
      <c r="E461" s="31" t="s">
        <v>241</v>
      </c>
      <c r="F461" s="31" t="s">
        <v>242</v>
      </c>
      <c r="G461" s="31" t="s">
        <v>242</v>
      </c>
      <c r="H461" s="31" t="s">
        <v>294</v>
      </c>
      <c r="I461" s="31" t="b">
        <v>0</v>
      </c>
      <c r="J461" s="31">
        <v>4</v>
      </c>
      <c r="K461" s="31">
        <v>1293.0999999999999</v>
      </c>
      <c r="L461" s="32">
        <v>407699796</v>
      </c>
      <c r="M461" s="32">
        <v>1200000079624074</v>
      </c>
      <c r="N461" s="31" t="s">
        <v>595</v>
      </c>
      <c r="O461" s="31"/>
    </row>
    <row r="462" spans="1:15">
      <c r="A462" s="31"/>
      <c r="B462" s="31" t="s">
        <v>161</v>
      </c>
      <c r="C462" s="31" t="s">
        <v>529</v>
      </c>
      <c r="D462" s="31" t="s">
        <v>592</v>
      </c>
      <c r="E462" s="31" t="s">
        <v>241</v>
      </c>
      <c r="F462" s="31" t="s">
        <v>242</v>
      </c>
      <c r="G462" s="31" t="s">
        <v>242</v>
      </c>
      <c r="H462" s="31" t="s">
        <v>294</v>
      </c>
      <c r="I462" s="31" t="b">
        <v>0</v>
      </c>
      <c r="J462" s="31">
        <v>4</v>
      </c>
      <c r="K462" s="31">
        <v>1293.3</v>
      </c>
      <c r="L462" s="32">
        <v>407699793</v>
      </c>
      <c r="M462" s="32">
        <v>1200000079624074</v>
      </c>
      <c r="N462" s="31" t="s">
        <v>595</v>
      </c>
      <c r="O462" s="31"/>
    </row>
    <row r="463" spans="1:15">
      <c r="A463" s="31"/>
      <c r="B463" s="31" t="s">
        <v>161</v>
      </c>
      <c r="C463" s="31" t="s">
        <v>529</v>
      </c>
      <c r="D463" s="31" t="s">
        <v>592</v>
      </c>
      <c r="E463" s="31" t="s">
        <v>241</v>
      </c>
      <c r="F463" s="31" t="s">
        <v>242</v>
      </c>
      <c r="G463" s="31" t="s">
        <v>242</v>
      </c>
      <c r="H463" s="31" t="s">
        <v>294</v>
      </c>
      <c r="I463" s="31" t="b">
        <v>0</v>
      </c>
      <c r="J463" s="31">
        <v>10</v>
      </c>
      <c r="K463" s="31">
        <v>1292.5999999999999</v>
      </c>
      <c r="L463" s="32">
        <v>407699803</v>
      </c>
      <c r="M463" s="32">
        <v>1200000079624074</v>
      </c>
      <c r="N463" s="31" t="s">
        <v>595</v>
      </c>
      <c r="O463" s="31"/>
    </row>
    <row r="464" spans="1:15">
      <c r="A464" s="31"/>
      <c r="B464" s="31" t="s">
        <v>161</v>
      </c>
      <c r="C464" s="31" t="s">
        <v>529</v>
      </c>
      <c r="D464" s="31" t="s">
        <v>592</v>
      </c>
      <c r="E464" s="31" t="s">
        <v>241</v>
      </c>
      <c r="F464" s="31" t="s">
        <v>242</v>
      </c>
      <c r="G464" s="31" t="s">
        <v>242</v>
      </c>
      <c r="H464" s="31" t="s">
        <v>294</v>
      </c>
      <c r="I464" s="31" t="b">
        <v>0</v>
      </c>
      <c r="J464" s="31">
        <v>5</v>
      </c>
      <c r="K464" s="31">
        <v>1293</v>
      </c>
      <c r="L464" s="32">
        <v>407699798</v>
      </c>
      <c r="M464" s="32">
        <v>1200000079624074</v>
      </c>
      <c r="N464" s="31" t="s">
        <v>595</v>
      </c>
      <c r="O464" s="31"/>
    </row>
    <row r="465" spans="1:15">
      <c r="A465" s="31"/>
      <c r="B465" s="31" t="s">
        <v>161</v>
      </c>
      <c r="C465" s="31" t="s">
        <v>529</v>
      </c>
      <c r="D465" s="31" t="s">
        <v>592</v>
      </c>
      <c r="E465" s="31" t="s">
        <v>241</v>
      </c>
      <c r="F465" s="31" t="s">
        <v>242</v>
      </c>
      <c r="G465" s="31" t="s">
        <v>242</v>
      </c>
      <c r="H465" s="31" t="s">
        <v>294</v>
      </c>
      <c r="I465" s="31" t="b">
        <v>0</v>
      </c>
      <c r="J465" s="31">
        <v>6</v>
      </c>
      <c r="K465" s="31">
        <v>1292.5</v>
      </c>
      <c r="L465" s="32">
        <v>407699806</v>
      </c>
      <c r="M465" s="32">
        <v>1200000079624074</v>
      </c>
      <c r="N465" s="31" t="s">
        <v>595</v>
      </c>
      <c r="O465" s="31"/>
    </row>
    <row r="466" spans="1:15">
      <c r="A466" s="31"/>
      <c r="B466" s="31" t="s">
        <v>93</v>
      </c>
      <c r="C466" s="31" t="s">
        <v>554</v>
      </c>
      <c r="D466" s="31" t="s">
        <v>592</v>
      </c>
      <c r="E466" s="31" t="s">
        <v>241</v>
      </c>
      <c r="F466" s="31" t="s">
        <v>242</v>
      </c>
      <c r="G466" s="31" t="s">
        <v>242</v>
      </c>
      <c r="H466" s="31" t="s">
        <v>243</v>
      </c>
      <c r="I466" s="31" t="b">
        <v>0</v>
      </c>
      <c r="J466" s="31">
        <v>11</v>
      </c>
      <c r="K466" s="31">
        <v>1376</v>
      </c>
      <c r="L466" s="32">
        <v>408238914</v>
      </c>
      <c r="M466" s="32">
        <v>1200000084934801</v>
      </c>
      <c r="N466" s="31" t="s">
        <v>596</v>
      </c>
      <c r="O466" s="31"/>
    </row>
    <row r="467" spans="1:15">
      <c r="A467" s="31"/>
      <c r="B467" s="31" t="s">
        <v>93</v>
      </c>
      <c r="C467" s="31" t="s">
        <v>554</v>
      </c>
      <c r="D467" s="31" t="s">
        <v>592</v>
      </c>
      <c r="E467" s="31" t="s">
        <v>241</v>
      </c>
      <c r="F467" s="31" t="s">
        <v>242</v>
      </c>
      <c r="G467" s="31" t="s">
        <v>242</v>
      </c>
      <c r="H467" s="31" t="s">
        <v>243</v>
      </c>
      <c r="I467" s="31" t="b">
        <v>0</v>
      </c>
      <c r="J467" s="31">
        <v>13</v>
      </c>
      <c r="K467" s="31">
        <v>1376</v>
      </c>
      <c r="L467" s="32">
        <v>408238918</v>
      </c>
      <c r="M467" s="32">
        <v>1200000084934801</v>
      </c>
      <c r="N467" s="31" t="s">
        <v>596</v>
      </c>
      <c r="O467" s="31"/>
    </row>
    <row r="468" spans="1:15">
      <c r="A468" s="31"/>
      <c r="B468" s="31" t="s">
        <v>93</v>
      </c>
      <c r="C468" s="31" t="s">
        <v>554</v>
      </c>
      <c r="D468" s="31" t="s">
        <v>592</v>
      </c>
      <c r="E468" s="31" t="s">
        <v>241</v>
      </c>
      <c r="F468" s="31" t="s">
        <v>242</v>
      </c>
      <c r="G468" s="31" t="s">
        <v>242</v>
      </c>
      <c r="H468" s="31" t="s">
        <v>243</v>
      </c>
      <c r="I468" s="31" t="b">
        <v>0</v>
      </c>
      <c r="J468" s="31">
        <v>4</v>
      </c>
      <c r="K468" s="31">
        <v>1376</v>
      </c>
      <c r="L468" s="32">
        <v>408238915</v>
      </c>
      <c r="M468" s="32">
        <v>1200000084934801</v>
      </c>
      <c r="N468" s="31" t="s">
        <v>596</v>
      </c>
      <c r="O468" s="31"/>
    </row>
    <row r="469" spans="1:15">
      <c r="A469" s="31"/>
      <c r="B469" s="31" t="s">
        <v>93</v>
      </c>
      <c r="C469" s="31" t="s">
        <v>554</v>
      </c>
      <c r="D469" s="31" t="s">
        <v>592</v>
      </c>
      <c r="E469" s="31" t="s">
        <v>241</v>
      </c>
      <c r="F469" s="31" t="s">
        <v>242</v>
      </c>
      <c r="G469" s="31" t="s">
        <v>242</v>
      </c>
      <c r="H469" s="31" t="s">
        <v>243</v>
      </c>
      <c r="I469" s="31" t="b">
        <v>0</v>
      </c>
      <c r="J469" s="31">
        <v>4</v>
      </c>
      <c r="K469" s="31">
        <v>1376</v>
      </c>
      <c r="L469" s="32">
        <v>408238916</v>
      </c>
      <c r="M469" s="32">
        <v>1200000084934801</v>
      </c>
      <c r="N469" s="31" t="s">
        <v>596</v>
      </c>
      <c r="O469" s="31"/>
    </row>
    <row r="470" spans="1:15">
      <c r="A470" s="31"/>
      <c r="B470" s="31" t="s">
        <v>93</v>
      </c>
      <c r="C470" s="31" t="s">
        <v>554</v>
      </c>
      <c r="D470" s="31" t="s">
        <v>592</v>
      </c>
      <c r="E470" s="31" t="s">
        <v>241</v>
      </c>
      <c r="F470" s="31" t="s">
        <v>242</v>
      </c>
      <c r="G470" s="31" t="s">
        <v>242</v>
      </c>
      <c r="H470" s="31" t="s">
        <v>243</v>
      </c>
      <c r="I470" s="31" t="b">
        <v>0</v>
      </c>
      <c r="J470" s="31">
        <v>5</v>
      </c>
      <c r="K470" s="31">
        <v>1376</v>
      </c>
      <c r="L470" s="32">
        <v>408238917</v>
      </c>
      <c r="M470" s="32">
        <v>1200000084934801</v>
      </c>
      <c r="N470" s="31" t="s">
        <v>596</v>
      </c>
      <c r="O470" s="31"/>
    </row>
    <row r="471" spans="1:15">
      <c r="A471" s="31"/>
      <c r="B471" s="31" t="s">
        <v>88</v>
      </c>
      <c r="C471" s="31" t="s">
        <v>276</v>
      </c>
      <c r="D471" s="31" t="s">
        <v>592</v>
      </c>
      <c r="E471" s="31" t="s">
        <v>75</v>
      </c>
      <c r="F471" s="31" t="s">
        <v>242</v>
      </c>
      <c r="G471" s="31" t="s">
        <v>300</v>
      </c>
      <c r="H471" s="31" t="s">
        <v>243</v>
      </c>
      <c r="I471" s="31" t="b">
        <v>0</v>
      </c>
      <c r="J471" s="31">
        <v>107</v>
      </c>
      <c r="K471" s="31">
        <v>925</v>
      </c>
      <c r="L471" s="32">
        <v>11520400</v>
      </c>
      <c r="M471" s="32">
        <v>1.7800445661825029E+18</v>
      </c>
      <c r="N471" s="31" t="s">
        <v>597</v>
      </c>
      <c r="O471" s="31"/>
    </row>
    <row r="472" spans="1:15">
      <c r="A472" s="31"/>
      <c r="B472" s="31" t="s">
        <v>88</v>
      </c>
      <c r="C472" s="31" t="s">
        <v>276</v>
      </c>
      <c r="D472" s="31" t="s">
        <v>592</v>
      </c>
      <c r="E472" s="31" t="s">
        <v>75</v>
      </c>
      <c r="F472" s="31" t="s">
        <v>242</v>
      </c>
      <c r="G472" s="31" t="s">
        <v>300</v>
      </c>
      <c r="H472" s="31" t="s">
        <v>243</v>
      </c>
      <c r="I472" s="31" t="b">
        <v>0</v>
      </c>
      <c r="J472" s="31">
        <v>1</v>
      </c>
      <c r="K472" s="31">
        <v>924.95</v>
      </c>
      <c r="L472" s="32">
        <v>11520200</v>
      </c>
      <c r="M472" s="32">
        <v>1.7800445661825029E+18</v>
      </c>
      <c r="N472" s="31" t="s">
        <v>597</v>
      </c>
      <c r="O472" s="31"/>
    </row>
    <row r="473" spans="1:15">
      <c r="A473" s="31"/>
      <c r="B473" s="31" t="s">
        <v>128</v>
      </c>
      <c r="C473" s="31" t="s">
        <v>571</v>
      </c>
      <c r="D473" s="31" t="s">
        <v>592</v>
      </c>
      <c r="E473" s="31" t="s">
        <v>241</v>
      </c>
      <c r="F473" s="31" t="s">
        <v>242</v>
      </c>
      <c r="G473" s="31" t="s">
        <v>242</v>
      </c>
      <c r="H473" s="31" t="s">
        <v>243</v>
      </c>
      <c r="I473" s="31" t="b">
        <v>0</v>
      </c>
      <c r="J473" s="31">
        <v>70</v>
      </c>
      <c r="K473" s="31">
        <v>713</v>
      </c>
      <c r="L473" s="32">
        <v>608879648</v>
      </c>
      <c r="M473" s="32">
        <v>1300000087920019</v>
      </c>
      <c r="N473" s="31" t="s">
        <v>598</v>
      </c>
      <c r="O473" s="31"/>
    </row>
    <row r="474" spans="1:15">
      <c r="A474" s="31"/>
      <c r="B474" s="31" t="s">
        <v>50</v>
      </c>
      <c r="C474" s="31" t="s">
        <v>531</v>
      </c>
      <c r="D474" s="31" t="s">
        <v>592</v>
      </c>
      <c r="E474" s="31" t="s">
        <v>241</v>
      </c>
      <c r="F474" s="31" t="s">
        <v>242</v>
      </c>
      <c r="G474" s="31" t="s">
        <v>242</v>
      </c>
      <c r="H474" s="31" t="s">
        <v>243</v>
      </c>
      <c r="I474" s="31" t="b">
        <v>0</v>
      </c>
      <c r="J474" s="31">
        <v>244</v>
      </c>
      <c r="K474" s="31">
        <v>409.9</v>
      </c>
      <c r="L474" s="32">
        <v>8090330</v>
      </c>
      <c r="M474" s="32">
        <v>1000000076792736</v>
      </c>
      <c r="N474" s="31" t="s">
        <v>599</v>
      </c>
      <c r="O474" s="31"/>
    </row>
    <row r="475" spans="1:15">
      <c r="A475" s="31"/>
      <c r="B475" s="31" t="s">
        <v>46</v>
      </c>
      <c r="C475" s="31" t="s">
        <v>309</v>
      </c>
      <c r="D475" s="31" t="s">
        <v>592</v>
      </c>
      <c r="E475" s="31" t="s">
        <v>241</v>
      </c>
      <c r="F475" s="31" t="s">
        <v>242</v>
      </c>
      <c r="G475" s="31" t="s">
        <v>242</v>
      </c>
      <c r="H475" s="31" t="s">
        <v>243</v>
      </c>
      <c r="I475" s="31" t="b">
        <v>0</v>
      </c>
      <c r="J475" s="31">
        <v>87</v>
      </c>
      <c r="K475" s="31">
        <v>1144.5</v>
      </c>
      <c r="L475" s="32">
        <v>211244603</v>
      </c>
      <c r="M475" s="32">
        <v>1100000100105170</v>
      </c>
      <c r="N475" s="31" t="s">
        <v>600</v>
      </c>
      <c r="O475" s="31"/>
    </row>
    <row r="476" spans="1:15">
      <c r="A476" s="31"/>
      <c r="B476" s="31" t="s">
        <v>140</v>
      </c>
      <c r="C476" s="31" t="s">
        <v>405</v>
      </c>
      <c r="D476" s="31" t="s">
        <v>592</v>
      </c>
      <c r="E476" s="31" t="s">
        <v>241</v>
      </c>
      <c r="F476" s="31" t="s">
        <v>242</v>
      </c>
      <c r="G476" s="31" t="s">
        <v>242</v>
      </c>
      <c r="H476" s="31" t="s">
        <v>294</v>
      </c>
      <c r="I476" s="31" t="b">
        <v>0</v>
      </c>
      <c r="J476" s="31">
        <v>295</v>
      </c>
      <c r="K476" s="31">
        <v>87.52</v>
      </c>
      <c r="L476" s="32">
        <v>410292681</v>
      </c>
      <c r="M476" s="32">
        <v>1200000097490574</v>
      </c>
      <c r="N476" s="31" t="s">
        <v>601</v>
      </c>
      <c r="O476" s="31"/>
    </row>
    <row r="477" spans="1:15">
      <c r="A477" s="31"/>
      <c r="B477" s="31" t="s">
        <v>140</v>
      </c>
      <c r="C477" s="31" t="s">
        <v>405</v>
      </c>
      <c r="D477" s="31" t="s">
        <v>592</v>
      </c>
      <c r="E477" s="31" t="s">
        <v>241</v>
      </c>
      <c r="F477" s="31" t="s">
        <v>242</v>
      </c>
      <c r="G477" s="31" t="s">
        <v>242</v>
      </c>
      <c r="H477" s="31" t="s">
        <v>294</v>
      </c>
      <c r="I477" s="31" t="b">
        <v>0</v>
      </c>
      <c r="J477" s="31">
        <v>5</v>
      </c>
      <c r="K477" s="31">
        <v>87.52</v>
      </c>
      <c r="L477" s="32">
        <v>410292680</v>
      </c>
      <c r="M477" s="32">
        <v>1200000097490574</v>
      </c>
      <c r="N477" s="31" t="s">
        <v>601</v>
      </c>
      <c r="O477" s="31"/>
    </row>
    <row r="478" spans="1:15">
      <c r="A478" s="31"/>
      <c r="B478" s="31" t="s">
        <v>92</v>
      </c>
      <c r="C478" s="31" t="s">
        <v>602</v>
      </c>
      <c r="D478" s="31" t="s">
        <v>592</v>
      </c>
      <c r="E478" s="31" t="s">
        <v>241</v>
      </c>
      <c r="F478" s="31" t="s">
        <v>242</v>
      </c>
      <c r="G478" s="31" t="s">
        <v>242</v>
      </c>
      <c r="H478" s="31" t="s">
        <v>243</v>
      </c>
      <c r="I478" s="31" t="b">
        <v>0</v>
      </c>
      <c r="J478" s="31">
        <v>4</v>
      </c>
      <c r="K478" s="31">
        <v>4949.7997999999998</v>
      </c>
      <c r="L478" s="32">
        <v>610983964</v>
      </c>
      <c r="M478" s="32">
        <v>1300000098406459</v>
      </c>
      <c r="N478" s="31" t="s">
        <v>603</v>
      </c>
      <c r="O478" s="31"/>
    </row>
    <row r="479" spans="1:15">
      <c r="A479" s="31"/>
      <c r="B479" s="31" t="s">
        <v>92</v>
      </c>
      <c r="C479" s="31" t="s">
        <v>602</v>
      </c>
      <c r="D479" s="31" t="s">
        <v>592</v>
      </c>
      <c r="E479" s="31" t="s">
        <v>241</v>
      </c>
      <c r="F479" s="31" t="s">
        <v>242</v>
      </c>
      <c r="G479" s="31" t="s">
        <v>242</v>
      </c>
      <c r="H479" s="31" t="s">
        <v>243</v>
      </c>
      <c r="I479" s="31" t="b">
        <v>0</v>
      </c>
      <c r="J479" s="31">
        <v>4</v>
      </c>
      <c r="K479" s="31">
        <v>4949.7997999999998</v>
      </c>
      <c r="L479" s="32">
        <v>610983965</v>
      </c>
      <c r="M479" s="32">
        <v>1300000098406459</v>
      </c>
      <c r="N479" s="31" t="s">
        <v>603</v>
      </c>
      <c r="O479" s="31"/>
    </row>
    <row r="480" spans="1:15">
      <c r="A480" s="31"/>
      <c r="B480" s="31" t="s">
        <v>92</v>
      </c>
      <c r="C480" s="31" t="s">
        <v>602</v>
      </c>
      <c r="D480" s="31" t="s">
        <v>604</v>
      </c>
      <c r="E480" s="31" t="s">
        <v>241</v>
      </c>
      <c r="F480" s="31" t="s">
        <v>242</v>
      </c>
      <c r="G480" s="31" t="s">
        <v>242</v>
      </c>
      <c r="H480" s="31" t="s">
        <v>243</v>
      </c>
      <c r="I480" s="31" t="b">
        <v>0</v>
      </c>
      <c r="J480" s="31">
        <v>3</v>
      </c>
      <c r="K480" s="31">
        <v>4997.3999000000003</v>
      </c>
      <c r="L480" s="32">
        <v>608407266</v>
      </c>
      <c r="M480" s="32">
        <v>1300000084210335</v>
      </c>
      <c r="N480" s="31" t="s">
        <v>605</v>
      </c>
      <c r="O480" s="31"/>
    </row>
    <row r="481" spans="1:15">
      <c r="A481" s="31"/>
      <c r="B481" s="31" t="s">
        <v>129</v>
      </c>
      <c r="C481" s="31" t="s">
        <v>606</v>
      </c>
      <c r="D481" s="31" t="s">
        <v>604</v>
      </c>
      <c r="E481" s="31" t="s">
        <v>241</v>
      </c>
      <c r="F481" s="31" t="s">
        <v>242</v>
      </c>
      <c r="G481" s="31" t="s">
        <v>242</v>
      </c>
      <c r="H481" s="31" t="s">
        <v>243</v>
      </c>
      <c r="I481" s="31" t="b">
        <v>0</v>
      </c>
      <c r="J481" s="31">
        <v>15</v>
      </c>
      <c r="K481" s="31">
        <v>547</v>
      </c>
      <c r="L481" s="32">
        <v>608423928</v>
      </c>
      <c r="M481" s="32">
        <v>1300000084371531</v>
      </c>
      <c r="N481" s="31" t="s">
        <v>607</v>
      </c>
      <c r="O481" s="31"/>
    </row>
    <row r="482" spans="1:15">
      <c r="A482" s="31"/>
      <c r="B482" s="31" t="s">
        <v>129</v>
      </c>
      <c r="C482" s="31" t="s">
        <v>606</v>
      </c>
      <c r="D482" s="31" t="s">
        <v>604</v>
      </c>
      <c r="E482" s="31" t="s">
        <v>241</v>
      </c>
      <c r="F482" s="31" t="s">
        <v>242</v>
      </c>
      <c r="G482" s="31" t="s">
        <v>242</v>
      </c>
      <c r="H482" s="31" t="s">
        <v>243</v>
      </c>
      <c r="I482" s="31" t="b">
        <v>0</v>
      </c>
      <c r="J482" s="31">
        <v>77</v>
      </c>
      <c r="K482" s="31">
        <v>547</v>
      </c>
      <c r="L482" s="32">
        <v>608423927</v>
      </c>
      <c r="M482" s="32">
        <v>1300000084371531</v>
      </c>
      <c r="N482" s="31" t="s">
        <v>607</v>
      </c>
      <c r="O482" s="31"/>
    </row>
    <row r="483" spans="1:15">
      <c r="A483" s="31"/>
      <c r="B483" s="31" t="s">
        <v>130</v>
      </c>
      <c r="C483" s="31" t="s">
        <v>608</v>
      </c>
      <c r="D483" s="31" t="s">
        <v>604</v>
      </c>
      <c r="E483" s="31" t="s">
        <v>241</v>
      </c>
      <c r="F483" s="31" t="s">
        <v>242</v>
      </c>
      <c r="G483" s="31" t="s">
        <v>242</v>
      </c>
      <c r="H483" s="31" t="s">
        <v>243</v>
      </c>
      <c r="I483" s="31" t="b">
        <v>0</v>
      </c>
      <c r="J483" s="31">
        <v>2</v>
      </c>
      <c r="K483" s="31">
        <v>4599</v>
      </c>
      <c r="L483" s="32">
        <v>407166647</v>
      </c>
      <c r="M483" s="32">
        <v>1200000080958672</v>
      </c>
      <c r="N483" s="31" t="s">
        <v>609</v>
      </c>
      <c r="O483" s="31"/>
    </row>
    <row r="484" spans="1:15">
      <c r="A484" s="31"/>
      <c r="B484" s="31" t="s">
        <v>130</v>
      </c>
      <c r="C484" s="31" t="s">
        <v>608</v>
      </c>
      <c r="D484" s="31" t="s">
        <v>604</v>
      </c>
      <c r="E484" s="31" t="s">
        <v>241</v>
      </c>
      <c r="F484" s="31" t="s">
        <v>242</v>
      </c>
      <c r="G484" s="31" t="s">
        <v>242</v>
      </c>
      <c r="H484" s="31" t="s">
        <v>243</v>
      </c>
      <c r="I484" s="31" t="b">
        <v>0</v>
      </c>
      <c r="J484" s="31">
        <v>4</v>
      </c>
      <c r="K484" s="31">
        <v>4599.2002000000002</v>
      </c>
      <c r="L484" s="32">
        <v>407166649</v>
      </c>
      <c r="M484" s="32">
        <v>1200000080958672</v>
      </c>
      <c r="N484" s="31" t="s">
        <v>609</v>
      </c>
      <c r="O484" s="31"/>
    </row>
    <row r="485" spans="1:15">
      <c r="A485" s="31"/>
      <c r="B485" s="31" t="s">
        <v>130</v>
      </c>
      <c r="C485" s="31" t="s">
        <v>608</v>
      </c>
      <c r="D485" s="31" t="s">
        <v>604</v>
      </c>
      <c r="E485" s="31" t="s">
        <v>241</v>
      </c>
      <c r="F485" s="31" t="s">
        <v>242</v>
      </c>
      <c r="G485" s="31" t="s">
        <v>242</v>
      </c>
      <c r="H485" s="31" t="s">
        <v>243</v>
      </c>
      <c r="I485" s="31" t="b">
        <v>0</v>
      </c>
      <c r="J485" s="31">
        <v>5</v>
      </c>
      <c r="K485" s="31">
        <v>4599.1000999999997</v>
      </c>
      <c r="L485" s="32">
        <v>407166648</v>
      </c>
      <c r="M485" s="32">
        <v>1200000080958672</v>
      </c>
      <c r="N485" s="31" t="s">
        <v>609</v>
      </c>
      <c r="O485" s="31"/>
    </row>
    <row r="486" spans="1:15">
      <c r="A486" s="31"/>
      <c r="B486" s="31" t="s">
        <v>91</v>
      </c>
      <c r="C486" s="31" t="s">
        <v>610</v>
      </c>
      <c r="D486" s="31" t="s">
        <v>604</v>
      </c>
      <c r="E486" s="31" t="s">
        <v>241</v>
      </c>
      <c r="F486" s="31" t="s">
        <v>242</v>
      </c>
      <c r="G486" s="31" t="s">
        <v>242</v>
      </c>
      <c r="H486" s="31" t="s">
        <v>243</v>
      </c>
      <c r="I486" s="31" t="b">
        <v>0</v>
      </c>
      <c r="J486" s="31">
        <v>11</v>
      </c>
      <c r="K486" s="31">
        <v>1092.4000000000001</v>
      </c>
      <c r="L486" s="32">
        <v>608538891</v>
      </c>
      <c r="M486" s="32">
        <v>1300000085516858</v>
      </c>
      <c r="N486" s="31" t="s">
        <v>611</v>
      </c>
      <c r="O486" s="31"/>
    </row>
    <row r="487" spans="1:15">
      <c r="A487" s="31"/>
      <c r="B487" s="31" t="s">
        <v>91</v>
      </c>
      <c r="C487" s="31" t="s">
        <v>610</v>
      </c>
      <c r="D487" s="31" t="s">
        <v>604</v>
      </c>
      <c r="E487" s="31" t="s">
        <v>241</v>
      </c>
      <c r="F487" s="31" t="s">
        <v>242</v>
      </c>
      <c r="G487" s="31" t="s">
        <v>242</v>
      </c>
      <c r="H487" s="31" t="s">
        <v>243</v>
      </c>
      <c r="I487" s="31" t="b">
        <v>0</v>
      </c>
      <c r="J487" s="31">
        <v>35</v>
      </c>
      <c r="K487" s="31">
        <v>1092.4000000000001</v>
      </c>
      <c r="L487" s="32">
        <v>608538892</v>
      </c>
      <c r="M487" s="32">
        <v>1300000085516858</v>
      </c>
      <c r="N487" s="31" t="s">
        <v>611</v>
      </c>
      <c r="O487" s="31"/>
    </row>
    <row r="488" spans="1:15">
      <c r="A488" s="31"/>
      <c r="B488" s="31" t="s">
        <v>78</v>
      </c>
      <c r="C488" s="31" t="s">
        <v>612</v>
      </c>
      <c r="D488" s="31" t="s">
        <v>604</v>
      </c>
      <c r="E488" s="31" t="s">
        <v>241</v>
      </c>
      <c r="F488" s="31" t="s">
        <v>242</v>
      </c>
      <c r="G488" s="31" t="s">
        <v>242</v>
      </c>
      <c r="H488" s="31" t="s">
        <v>243</v>
      </c>
      <c r="I488" s="31" t="b">
        <v>0</v>
      </c>
      <c r="J488" s="31">
        <v>1</v>
      </c>
      <c r="K488" s="31">
        <v>697.1</v>
      </c>
      <c r="L488" s="32">
        <v>608626693</v>
      </c>
      <c r="M488" s="32">
        <v>1300000086413096</v>
      </c>
      <c r="N488" s="31" t="s">
        <v>613</v>
      </c>
      <c r="O488" s="31"/>
    </row>
    <row r="489" spans="1:15">
      <c r="A489" s="31"/>
      <c r="B489" s="31" t="s">
        <v>78</v>
      </c>
      <c r="C489" s="31" t="s">
        <v>612</v>
      </c>
      <c r="D489" s="31" t="s">
        <v>604</v>
      </c>
      <c r="E489" s="31" t="s">
        <v>241</v>
      </c>
      <c r="F489" s="31" t="s">
        <v>242</v>
      </c>
      <c r="G489" s="31" t="s">
        <v>242</v>
      </c>
      <c r="H489" s="31" t="s">
        <v>243</v>
      </c>
      <c r="I489" s="31" t="b">
        <v>0</v>
      </c>
      <c r="J489" s="31">
        <v>22</v>
      </c>
      <c r="K489" s="31">
        <v>697.1</v>
      </c>
      <c r="L489" s="32">
        <v>608626692</v>
      </c>
      <c r="M489" s="32">
        <v>1300000086413096</v>
      </c>
      <c r="N489" s="31" t="s">
        <v>613</v>
      </c>
      <c r="O489" s="31"/>
    </row>
    <row r="490" spans="1:15">
      <c r="A490" s="31"/>
      <c r="B490" s="31" t="s">
        <v>78</v>
      </c>
      <c r="C490" s="31" t="s">
        <v>612</v>
      </c>
      <c r="D490" s="31" t="s">
        <v>604</v>
      </c>
      <c r="E490" s="31" t="s">
        <v>241</v>
      </c>
      <c r="F490" s="31" t="s">
        <v>242</v>
      </c>
      <c r="G490" s="31" t="s">
        <v>242</v>
      </c>
      <c r="H490" s="31" t="s">
        <v>243</v>
      </c>
      <c r="I490" s="31" t="b">
        <v>0</v>
      </c>
      <c r="J490" s="31">
        <v>3</v>
      </c>
      <c r="K490" s="31">
        <v>697.1</v>
      </c>
      <c r="L490" s="32">
        <v>608626694</v>
      </c>
      <c r="M490" s="32">
        <v>1300000086413096</v>
      </c>
      <c r="N490" s="31" t="s">
        <v>613</v>
      </c>
      <c r="O490" s="31"/>
    </row>
    <row r="491" spans="1:15">
      <c r="A491" s="31"/>
      <c r="B491" s="31" t="s">
        <v>78</v>
      </c>
      <c r="C491" s="31" t="s">
        <v>612</v>
      </c>
      <c r="D491" s="31" t="s">
        <v>604</v>
      </c>
      <c r="E491" s="31" t="s">
        <v>241</v>
      </c>
      <c r="F491" s="31" t="s">
        <v>242</v>
      </c>
      <c r="G491" s="31" t="s">
        <v>242</v>
      </c>
      <c r="H491" s="31" t="s">
        <v>243</v>
      </c>
      <c r="I491" s="31" t="b">
        <v>0</v>
      </c>
      <c r="J491" s="31">
        <v>37</v>
      </c>
      <c r="K491" s="31">
        <v>697.1</v>
      </c>
      <c r="L491" s="32">
        <v>608626695</v>
      </c>
      <c r="M491" s="32">
        <v>1300000086413096</v>
      </c>
      <c r="N491" s="31" t="s">
        <v>613</v>
      </c>
      <c r="O491" s="31"/>
    </row>
    <row r="492" spans="1:15">
      <c r="A492" s="31"/>
      <c r="B492" s="31" t="s">
        <v>78</v>
      </c>
      <c r="C492" s="31" t="s">
        <v>612</v>
      </c>
      <c r="D492" s="31" t="s">
        <v>604</v>
      </c>
      <c r="E492" s="31" t="s">
        <v>241</v>
      </c>
      <c r="F492" s="31" t="s">
        <v>242</v>
      </c>
      <c r="G492" s="31" t="s">
        <v>242</v>
      </c>
      <c r="H492" s="31" t="s">
        <v>243</v>
      </c>
      <c r="I492" s="31" t="b">
        <v>0</v>
      </c>
      <c r="J492" s="31">
        <v>9</v>
      </c>
      <c r="K492" s="31">
        <v>697.1</v>
      </c>
      <c r="L492" s="32">
        <v>608626696</v>
      </c>
      <c r="M492" s="32">
        <v>1300000086413096</v>
      </c>
      <c r="N492" s="31" t="s">
        <v>613</v>
      </c>
      <c r="O492" s="31"/>
    </row>
    <row r="493" spans="1:15">
      <c r="A493" s="31"/>
      <c r="B493" s="31" t="s">
        <v>127</v>
      </c>
      <c r="C493" s="31" t="s">
        <v>614</v>
      </c>
      <c r="D493" s="31" t="s">
        <v>604</v>
      </c>
      <c r="E493" s="31" t="s">
        <v>241</v>
      </c>
      <c r="F493" s="31" t="s">
        <v>242</v>
      </c>
      <c r="G493" s="31" t="s">
        <v>242</v>
      </c>
      <c r="H493" s="31" t="s">
        <v>243</v>
      </c>
      <c r="I493" s="31" t="b">
        <v>0</v>
      </c>
      <c r="J493" s="31">
        <v>111</v>
      </c>
      <c r="K493" s="31">
        <v>389.65</v>
      </c>
      <c r="L493" s="32">
        <v>208620145</v>
      </c>
      <c r="M493" s="32">
        <v>1100000080505821</v>
      </c>
      <c r="N493" s="31" t="s">
        <v>615</v>
      </c>
      <c r="O493" s="31"/>
    </row>
    <row r="494" spans="1:15">
      <c r="A494" s="31"/>
      <c r="B494" s="31" t="s">
        <v>127</v>
      </c>
      <c r="C494" s="31" t="s">
        <v>614</v>
      </c>
      <c r="D494" s="31" t="s">
        <v>604</v>
      </c>
      <c r="E494" s="31" t="s">
        <v>241</v>
      </c>
      <c r="F494" s="31" t="s">
        <v>242</v>
      </c>
      <c r="G494" s="31" t="s">
        <v>242</v>
      </c>
      <c r="H494" s="31" t="s">
        <v>243</v>
      </c>
      <c r="I494" s="31" t="b">
        <v>0</v>
      </c>
      <c r="J494" s="31">
        <v>13</v>
      </c>
      <c r="K494" s="31">
        <v>389.65</v>
      </c>
      <c r="L494" s="32">
        <v>208620146</v>
      </c>
      <c r="M494" s="32">
        <v>1100000080505821</v>
      </c>
      <c r="N494" s="31" t="s">
        <v>615</v>
      </c>
      <c r="O494" s="31"/>
    </row>
    <row r="495" spans="1:15">
      <c r="A495" s="31"/>
      <c r="B495" s="31" t="s">
        <v>127</v>
      </c>
      <c r="C495" s="31" t="s">
        <v>614</v>
      </c>
      <c r="D495" s="31" t="s">
        <v>604</v>
      </c>
      <c r="E495" s="31" t="s">
        <v>241</v>
      </c>
      <c r="F495" s="31" t="s">
        <v>242</v>
      </c>
      <c r="G495" s="31" t="s">
        <v>242</v>
      </c>
      <c r="H495" s="31" t="s">
        <v>243</v>
      </c>
      <c r="I495" s="31" t="b">
        <v>0</v>
      </c>
      <c r="J495" s="31">
        <v>5</v>
      </c>
      <c r="K495" s="31">
        <v>389.65</v>
      </c>
      <c r="L495" s="32">
        <v>208620144</v>
      </c>
      <c r="M495" s="32">
        <v>1100000080505821</v>
      </c>
      <c r="N495" s="31" t="s">
        <v>615</v>
      </c>
      <c r="O495" s="31"/>
    </row>
    <row r="496" spans="1:15">
      <c r="A496" s="31"/>
      <c r="B496" s="31" t="s">
        <v>648</v>
      </c>
      <c r="C496" s="31" t="s">
        <v>1018</v>
      </c>
      <c r="D496" s="31" t="s">
        <v>1019</v>
      </c>
      <c r="E496" s="31" t="s">
        <v>241</v>
      </c>
      <c r="F496" s="31" t="s">
        <v>242</v>
      </c>
      <c r="G496" s="31" t="s">
        <v>242</v>
      </c>
      <c r="H496" s="31" t="s">
        <v>243</v>
      </c>
      <c r="I496" s="31" t="b">
        <v>0</v>
      </c>
      <c r="J496" s="31">
        <v>27</v>
      </c>
      <c r="K496" s="31">
        <v>1101.3</v>
      </c>
      <c r="L496" s="32">
        <v>3959605</v>
      </c>
      <c r="M496" s="32">
        <v>1000000041112468</v>
      </c>
      <c r="N496" s="31" t="s">
        <v>1020</v>
      </c>
      <c r="O496" s="31"/>
    </row>
    <row r="497" spans="1:15">
      <c r="A497" s="31"/>
      <c r="B497" s="31" t="s">
        <v>248</v>
      </c>
      <c r="C497" s="31" t="s">
        <v>249</v>
      </c>
      <c r="D497" s="31" t="s">
        <v>1019</v>
      </c>
      <c r="E497" s="31" t="s">
        <v>241</v>
      </c>
      <c r="F497" s="31" t="s">
        <v>242</v>
      </c>
      <c r="G497" s="31" t="s">
        <v>242</v>
      </c>
      <c r="H497" s="31" t="s">
        <v>243</v>
      </c>
      <c r="I497" s="31" t="b">
        <v>0</v>
      </c>
      <c r="J497" s="31">
        <v>24</v>
      </c>
      <c r="K497" s="31">
        <v>787.95</v>
      </c>
      <c r="L497" s="32">
        <v>205609098</v>
      </c>
      <c r="M497" s="32">
        <v>1100000054514308</v>
      </c>
      <c r="N497" s="31" t="s">
        <v>1021</v>
      </c>
      <c r="O497" s="31"/>
    </row>
    <row r="498" spans="1:15">
      <c r="A498" s="31"/>
      <c r="B498" s="31" t="s">
        <v>248</v>
      </c>
      <c r="C498" s="31" t="s">
        <v>249</v>
      </c>
      <c r="D498" s="31" t="s">
        <v>1019</v>
      </c>
      <c r="E498" s="31" t="s">
        <v>241</v>
      </c>
      <c r="F498" s="31" t="s">
        <v>242</v>
      </c>
      <c r="G498" s="31" t="s">
        <v>242</v>
      </c>
      <c r="H498" s="31" t="s">
        <v>243</v>
      </c>
      <c r="I498" s="31" t="b">
        <v>0</v>
      </c>
      <c r="J498" s="31">
        <v>5</v>
      </c>
      <c r="K498" s="31">
        <v>788</v>
      </c>
      <c r="L498" s="32">
        <v>205609100</v>
      </c>
      <c r="M498" s="32">
        <v>1100000054514308</v>
      </c>
      <c r="N498" s="31" t="s">
        <v>1021</v>
      </c>
      <c r="O498" s="31"/>
    </row>
    <row r="499" spans="1:15">
      <c r="A499" s="31"/>
      <c r="B499" s="31" t="s">
        <v>248</v>
      </c>
      <c r="C499" s="31" t="s">
        <v>249</v>
      </c>
      <c r="D499" s="31" t="s">
        <v>1019</v>
      </c>
      <c r="E499" s="31" t="s">
        <v>241</v>
      </c>
      <c r="F499" s="31" t="s">
        <v>242</v>
      </c>
      <c r="G499" s="31" t="s">
        <v>242</v>
      </c>
      <c r="H499" s="31" t="s">
        <v>243</v>
      </c>
      <c r="I499" s="31" t="b">
        <v>0</v>
      </c>
      <c r="J499" s="31">
        <v>8</v>
      </c>
      <c r="K499" s="31">
        <v>787.95</v>
      </c>
      <c r="L499" s="32">
        <v>205609099</v>
      </c>
      <c r="M499" s="32">
        <v>1100000054514308</v>
      </c>
      <c r="N499" s="31" t="s">
        <v>1021</v>
      </c>
      <c r="O499" s="31"/>
    </row>
    <row r="500" spans="1:15">
      <c r="A500" s="31"/>
      <c r="B500" s="31" t="s">
        <v>652</v>
      </c>
      <c r="C500" s="31" t="s">
        <v>1022</v>
      </c>
      <c r="D500" s="31" t="s">
        <v>1019</v>
      </c>
      <c r="E500" s="31" t="s">
        <v>241</v>
      </c>
      <c r="F500" s="31" t="s">
        <v>242</v>
      </c>
      <c r="G500" s="31" t="s">
        <v>242</v>
      </c>
      <c r="H500" s="31" t="s">
        <v>243</v>
      </c>
      <c r="I500" s="31" t="b">
        <v>0</v>
      </c>
      <c r="J500" s="31">
        <v>1</v>
      </c>
      <c r="K500" s="31">
        <v>35105</v>
      </c>
      <c r="L500" s="32">
        <v>404510111</v>
      </c>
      <c r="M500" s="32">
        <v>1200000049482545</v>
      </c>
      <c r="N500" s="31" t="s">
        <v>1023</v>
      </c>
      <c r="O500" s="31"/>
    </row>
    <row r="501" spans="1:15">
      <c r="A501" s="31"/>
      <c r="B501" s="31" t="s">
        <v>143</v>
      </c>
      <c r="C501" s="31" t="s">
        <v>1024</v>
      </c>
      <c r="D501" s="31" t="s">
        <v>1019</v>
      </c>
      <c r="E501" s="31" t="s">
        <v>241</v>
      </c>
      <c r="F501" s="31" t="s">
        <v>242</v>
      </c>
      <c r="G501" s="31" t="s">
        <v>242</v>
      </c>
      <c r="H501" s="31" t="s">
        <v>243</v>
      </c>
      <c r="I501" s="31" t="b">
        <v>0</v>
      </c>
      <c r="J501" s="31">
        <v>26</v>
      </c>
      <c r="K501" s="31">
        <v>1152.9000000000001</v>
      </c>
      <c r="L501" s="32">
        <v>605253704</v>
      </c>
      <c r="M501" s="32">
        <v>1300000053059876</v>
      </c>
      <c r="N501" s="31" t="s">
        <v>1025</v>
      </c>
      <c r="O501" s="31"/>
    </row>
    <row r="502" spans="1:15">
      <c r="A502" s="31"/>
      <c r="B502" s="31" t="s">
        <v>654</v>
      </c>
      <c r="C502" s="31" t="s">
        <v>1026</v>
      </c>
      <c r="D502" s="31" t="s">
        <v>1019</v>
      </c>
      <c r="E502" s="31" t="s">
        <v>241</v>
      </c>
      <c r="F502" s="31" t="s">
        <v>242</v>
      </c>
      <c r="G502" s="31" t="s">
        <v>242</v>
      </c>
      <c r="H502" s="31" t="s">
        <v>243</v>
      </c>
      <c r="I502" s="31" t="b">
        <v>0</v>
      </c>
      <c r="J502" s="31">
        <v>55</v>
      </c>
      <c r="K502" s="31">
        <v>533.75</v>
      </c>
      <c r="L502" s="32">
        <v>605258299</v>
      </c>
      <c r="M502" s="32">
        <v>1300000053106392</v>
      </c>
      <c r="N502" s="31" t="s">
        <v>1027</v>
      </c>
      <c r="O502" s="31"/>
    </row>
    <row r="503" spans="1:15">
      <c r="A503" s="31"/>
      <c r="B503" s="31" t="s">
        <v>656</v>
      </c>
      <c r="C503" s="31" t="s">
        <v>1028</v>
      </c>
      <c r="D503" s="31" t="s">
        <v>1019</v>
      </c>
      <c r="E503" s="31" t="s">
        <v>241</v>
      </c>
      <c r="F503" s="31" t="s">
        <v>242</v>
      </c>
      <c r="G503" s="31" t="s">
        <v>242</v>
      </c>
      <c r="H503" s="31" t="s">
        <v>243</v>
      </c>
      <c r="I503" s="31" t="b">
        <v>0</v>
      </c>
      <c r="J503" s="31">
        <v>1</v>
      </c>
      <c r="K503" s="31">
        <v>10344</v>
      </c>
      <c r="L503" s="32">
        <v>3997785</v>
      </c>
      <c r="M503" s="32">
        <v>1000000041482231</v>
      </c>
      <c r="N503" s="31" t="s">
        <v>1029</v>
      </c>
      <c r="O503" s="31"/>
    </row>
    <row r="504" spans="1:15">
      <c r="A504" s="31"/>
      <c r="B504" s="31" t="s">
        <v>656</v>
      </c>
      <c r="C504" s="31" t="s">
        <v>1028</v>
      </c>
      <c r="D504" s="31" t="s">
        <v>1019</v>
      </c>
      <c r="E504" s="31" t="s">
        <v>241</v>
      </c>
      <c r="F504" s="31" t="s">
        <v>242</v>
      </c>
      <c r="G504" s="31" t="s">
        <v>242</v>
      </c>
      <c r="H504" s="31" t="s">
        <v>243</v>
      </c>
      <c r="I504" s="31" t="b">
        <v>0</v>
      </c>
      <c r="J504" s="31">
        <v>2</v>
      </c>
      <c r="K504" s="31">
        <v>10344</v>
      </c>
      <c r="L504" s="32">
        <v>3997784</v>
      </c>
      <c r="M504" s="32">
        <v>1000000041482231</v>
      </c>
      <c r="N504" s="31" t="s">
        <v>1029</v>
      </c>
      <c r="O504" s="31"/>
    </row>
    <row r="505" spans="1:15">
      <c r="A505" s="31"/>
      <c r="B505" s="31" t="s">
        <v>657</v>
      </c>
      <c r="C505" s="31" t="s">
        <v>1030</v>
      </c>
      <c r="D505" s="31" t="s">
        <v>1019</v>
      </c>
      <c r="E505" s="31" t="s">
        <v>241</v>
      </c>
      <c r="F505" s="31" t="s">
        <v>242</v>
      </c>
      <c r="G505" s="31" t="s">
        <v>242</v>
      </c>
      <c r="H505" s="31" t="s">
        <v>243</v>
      </c>
      <c r="I505" s="31" t="b">
        <v>0</v>
      </c>
      <c r="J505" s="31">
        <v>10</v>
      </c>
      <c r="K505" s="31">
        <v>663.75</v>
      </c>
      <c r="L505" s="32">
        <v>605268935</v>
      </c>
      <c r="M505" s="32">
        <v>1300000053228277</v>
      </c>
      <c r="N505" s="31" t="s">
        <v>1031</v>
      </c>
      <c r="O505" s="31"/>
    </row>
    <row r="506" spans="1:15">
      <c r="A506" s="31"/>
      <c r="B506" s="31" t="s">
        <v>657</v>
      </c>
      <c r="C506" s="31" t="s">
        <v>1030</v>
      </c>
      <c r="D506" s="31" t="s">
        <v>1019</v>
      </c>
      <c r="E506" s="31" t="s">
        <v>241</v>
      </c>
      <c r="F506" s="31" t="s">
        <v>242</v>
      </c>
      <c r="G506" s="31" t="s">
        <v>242</v>
      </c>
      <c r="H506" s="31" t="s">
        <v>243</v>
      </c>
      <c r="I506" s="31" t="b">
        <v>0</v>
      </c>
      <c r="J506" s="31">
        <v>18</v>
      </c>
      <c r="K506" s="31">
        <v>663.75</v>
      </c>
      <c r="L506" s="32">
        <v>605375461</v>
      </c>
      <c r="M506" s="32">
        <v>1300000053228277</v>
      </c>
      <c r="N506" s="31" t="s">
        <v>1031</v>
      </c>
      <c r="O506" s="31"/>
    </row>
    <row r="507" spans="1:15">
      <c r="A507" s="31"/>
      <c r="B507" s="31" t="s">
        <v>657</v>
      </c>
      <c r="C507" s="31" t="s">
        <v>1030</v>
      </c>
      <c r="D507" s="31" t="s">
        <v>1019</v>
      </c>
      <c r="E507" s="31" t="s">
        <v>241</v>
      </c>
      <c r="F507" s="31" t="s">
        <v>242</v>
      </c>
      <c r="G507" s="31" t="s">
        <v>242</v>
      </c>
      <c r="H507" s="31" t="s">
        <v>243</v>
      </c>
      <c r="I507" s="31" t="b">
        <v>0</v>
      </c>
      <c r="J507" s="31">
        <v>6</v>
      </c>
      <c r="K507" s="31">
        <v>663.75</v>
      </c>
      <c r="L507" s="32">
        <v>605375462</v>
      </c>
      <c r="M507" s="32">
        <v>1300000053228277</v>
      </c>
      <c r="N507" s="31" t="s">
        <v>1031</v>
      </c>
      <c r="O507" s="31"/>
    </row>
    <row r="508" spans="1:15">
      <c r="A508" s="31"/>
      <c r="B508" s="31" t="s">
        <v>657</v>
      </c>
      <c r="C508" s="31" t="s">
        <v>1030</v>
      </c>
      <c r="D508" s="31" t="s">
        <v>1019</v>
      </c>
      <c r="E508" s="31" t="s">
        <v>241</v>
      </c>
      <c r="F508" s="31" t="s">
        <v>242</v>
      </c>
      <c r="G508" s="31" t="s">
        <v>242</v>
      </c>
      <c r="H508" s="31" t="s">
        <v>243</v>
      </c>
      <c r="I508" s="31" t="b">
        <v>0</v>
      </c>
      <c r="J508" s="31">
        <v>9</v>
      </c>
      <c r="K508" s="31">
        <v>663.75</v>
      </c>
      <c r="L508" s="32">
        <v>605267641</v>
      </c>
      <c r="M508" s="32">
        <v>1300000053228277</v>
      </c>
      <c r="N508" s="31" t="s">
        <v>1031</v>
      </c>
      <c r="O508" s="31"/>
    </row>
    <row r="509" spans="1:15">
      <c r="A509" s="31"/>
      <c r="B509" s="31" t="s">
        <v>659</v>
      </c>
      <c r="C509" s="31" t="s">
        <v>1032</v>
      </c>
      <c r="D509" s="31" t="s">
        <v>1019</v>
      </c>
      <c r="E509" s="31" t="s">
        <v>241</v>
      </c>
      <c r="F509" s="31" t="s">
        <v>242</v>
      </c>
      <c r="G509" s="31" t="s">
        <v>242</v>
      </c>
      <c r="H509" s="31" t="s">
        <v>243</v>
      </c>
      <c r="I509" s="31" t="b">
        <v>0</v>
      </c>
      <c r="J509" s="31">
        <v>1</v>
      </c>
      <c r="K509" s="31">
        <v>4554.1000999999997</v>
      </c>
      <c r="L509" s="32">
        <v>4007894</v>
      </c>
      <c r="M509" s="32">
        <v>1000000041572631</v>
      </c>
      <c r="N509" s="31" t="s">
        <v>1033</v>
      </c>
      <c r="O509" s="31"/>
    </row>
    <row r="510" spans="1:15">
      <c r="A510" s="31"/>
      <c r="B510" s="31" t="s">
        <v>659</v>
      </c>
      <c r="C510" s="31" t="s">
        <v>1032</v>
      </c>
      <c r="D510" s="31" t="s">
        <v>1019</v>
      </c>
      <c r="E510" s="31" t="s">
        <v>241</v>
      </c>
      <c r="F510" s="31" t="s">
        <v>242</v>
      </c>
      <c r="G510" s="31" t="s">
        <v>242</v>
      </c>
      <c r="H510" s="31" t="s">
        <v>243</v>
      </c>
      <c r="I510" s="31" t="b">
        <v>0</v>
      </c>
      <c r="J510" s="31">
        <v>1</v>
      </c>
      <c r="K510" s="31">
        <v>4554.1000999999997</v>
      </c>
      <c r="L510" s="32">
        <v>4010433</v>
      </c>
      <c r="M510" s="32">
        <v>1000000041572631</v>
      </c>
      <c r="N510" s="31" t="s">
        <v>1033</v>
      </c>
      <c r="O510" s="31"/>
    </row>
    <row r="511" spans="1:15">
      <c r="A511" s="31"/>
      <c r="B511" s="31" t="s">
        <v>659</v>
      </c>
      <c r="C511" s="31" t="s">
        <v>1032</v>
      </c>
      <c r="D511" s="31" t="s">
        <v>1019</v>
      </c>
      <c r="E511" s="31" t="s">
        <v>241</v>
      </c>
      <c r="F511" s="31" t="s">
        <v>242</v>
      </c>
      <c r="G511" s="31" t="s">
        <v>242</v>
      </c>
      <c r="H511" s="31" t="s">
        <v>243</v>
      </c>
      <c r="I511" s="31" t="b">
        <v>0</v>
      </c>
      <c r="J511" s="31">
        <v>4</v>
      </c>
      <c r="K511" s="31">
        <v>4554.1000999999997</v>
      </c>
      <c r="L511" s="32">
        <v>4010405</v>
      </c>
      <c r="M511" s="32">
        <v>1000000041572631</v>
      </c>
      <c r="N511" s="31" t="s">
        <v>1033</v>
      </c>
      <c r="O511" s="31"/>
    </row>
    <row r="512" spans="1:15">
      <c r="A512" s="31"/>
      <c r="B512" s="31" t="s">
        <v>76</v>
      </c>
      <c r="C512" s="31" t="s">
        <v>558</v>
      </c>
      <c r="D512" s="31" t="s">
        <v>1019</v>
      </c>
      <c r="E512" s="31" t="s">
        <v>241</v>
      </c>
      <c r="F512" s="31" t="s">
        <v>242</v>
      </c>
      <c r="G512" s="31" t="s">
        <v>242</v>
      </c>
      <c r="H512" s="31" t="s">
        <v>243</v>
      </c>
      <c r="I512" s="31" t="b">
        <v>0</v>
      </c>
      <c r="J512" s="31">
        <v>10</v>
      </c>
      <c r="K512" s="31">
        <v>2933.7</v>
      </c>
      <c r="L512" s="32">
        <v>4029420</v>
      </c>
      <c r="M512" s="32">
        <v>1000000041615757</v>
      </c>
      <c r="N512" s="31" t="s">
        <v>1034</v>
      </c>
      <c r="O512" s="31"/>
    </row>
    <row r="513" spans="1:15">
      <c r="A513" s="31"/>
      <c r="B513" s="31" t="s">
        <v>660</v>
      </c>
      <c r="C513" s="31" t="s">
        <v>1035</v>
      </c>
      <c r="D513" s="31" t="s">
        <v>1019</v>
      </c>
      <c r="E513" s="31" t="s">
        <v>241</v>
      </c>
      <c r="F513" s="31" t="s">
        <v>242</v>
      </c>
      <c r="G513" s="31" t="s">
        <v>242</v>
      </c>
      <c r="H513" s="31" t="s">
        <v>243</v>
      </c>
      <c r="I513" s="31" t="b">
        <v>0</v>
      </c>
      <c r="J513" s="31">
        <v>3</v>
      </c>
      <c r="K513" s="31">
        <v>10301</v>
      </c>
      <c r="L513" s="32">
        <v>404552455</v>
      </c>
      <c r="M513" s="32">
        <v>1200000049833318</v>
      </c>
      <c r="N513" s="31" t="s">
        <v>1036</v>
      </c>
      <c r="O513" s="31"/>
    </row>
    <row r="514" spans="1:15">
      <c r="A514" s="31"/>
      <c r="B514" s="31" t="s">
        <v>661</v>
      </c>
      <c r="C514" s="31" t="s">
        <v>1037</v>
      </c>
      <c r="D514" s="31" t="s">
        <v>1019</v>
      </c>
      <c r="E514" s="31" t="s">
        <v>241</v>
      </c>
      <c r="F514" s="31" t="s">
        <v>242</v>
      </c>
      <c r="G514" s="31" t="s">
        <v>242</v>
      </c>
      <c r="H514" s="31" t="s">
        <v>243</v>
      </c>
      <c r="I514" s="31" t="b">
        <v>0</v>
      </c>
      <c r="J514" s="31">
        <v>2</v>
      </c>
      <c r="K514" s="31">
        <v>12833</v>
      </c>
      <c r="L514" s="32">
        <v>4017841</v>
      </c>
      <c r="M514" s="32">
        <v>1000000041692955</v>
      </c>
      <c r="N514" s="31" t="s">
        <v>1038</v>
      </c>
      <c r="O514" s="31"/>
    </row>
    <row r="515" spans="1:15">
      <c r="A515" s="31"/>
      <c r="B515" s="31" t="s">
        <v>662</v>
      </c>
      <c r="C515" s="31" t="s">
        <v>1039</v>
      </c>
      <c r="D515" s="31" t="s">
        <v>1019</v>
      </c>
      <c r="E515" s="31" t="s">
        <v>241</v>
      </c>
      <c r="F515" s="31" t="s">
        <v>242</v>
      </c>
      <c r="G515" s="31" t="s">
        <v>242</v>
      </c>
      <c r="H515" s="31" t="s">
        <v>243</v>
      </c>
      <c r="I515" s="31" t="b">
        <v>0</v>
      </c>
      <c r="J515" s="31">
        <v>3</v>
      </c>
      <c r="K515" s="31">
        <v>8960</v>
      </c>
      <c r="L515" s="32">
        <v>4021119</v>
      </c>
      <c r="M515" s="32">
        <v>1000000041718540</v>
      </c>
      <c r="N515" s="31" t="s">
        <v>1040</v>
      </c>
      <c r="O515" s="31"/>
    </row>
    <row r="516" spans="1:15">
      <c r="A516" s="31"/>
      <c r="B516" s="31" t="s">
        <v>661</v>
      </c>
      <c r="C516" s="31" t="s">
        <v>1037</v>
      </c>
      <c r="D516" s="31" t="s">
        <v>1019</v>
      </c>
      <c r="E516" s="31" t="s">
        <v>241</v>
      </c>
      <c r="F516" s="31" t="s">
        <v>242</v>
      </c>
      <c r="G516" s="31" t="s">
        <v>242</v>
      </c>
      <c r="H516" s="31" t="s">
        <v>243</v>
      </c>
      <c r="I516" s="31" t="b">
        <v>0</v>
      </c>
      <c r="J516" s="31">
        <v>2</v>
      </c>
      <c r="K516" s="31">
        <v>12825</v>
      </c>
      <c r="L516" s="32">
        <v>4050848</v>
      </c>
      <c r="M516" s="32">
        <v>1000000041864076</v>
      </c>
      <c r="N516" s="31" t="s">
        <v>1041</v>
      </c>
      <c r="O516" s="31"/>
    </row>
    <row r="517" spans="1:15">
      <c r="A517" s="31"/>
      <c r="B517" s="31" t="s">
        <v>662</v>
      </c>
      <c r="C517" s="31" t="s">
        <v>1039</v>
      </c>
      <c r="D517" s="31" t="s">
        <v>1019</v>
      </c>
      <c r="E517" s="31" t="s">
        <v>241</v>
      </c>
      <c r="F517" s="31" t="s">
        <v>242</v>
      </c>
      <c r="G517" s="31" t="s">
        <v>242</v>
      </c>
      <c r="H517" s="31" t="s">
        <v>243</v>
      </c>
      <c r="I517" s="31" t="b">
        <v>0</v>
      </c>
      <c r="J517" s="31">
        <v>3</v>
      </c>
      <c r="K517" s="31">
        <v>8956</v>
      </c>
      <c r="L517" s="32">
        <v>4038511</v>
      </c>
      <c r="M517" s="32">
        <v>1000000041888686</v>
      </c>
      <c r="N517" s="31" t="s">
        <v>1042</v>
      </c>
      <c r="O517" s="31"/>
    </row>
    <row r="518" spans="1:15">
      <c r="A518" s="31"/>
      <c r="B518" s="31" t="s">
        <v>68</v>
      </c>
      <c r="C518" s="31" t="s">
        <v>239</v>
      </c>
      <c r="D518" s="31" t="s">
        <v>1019</v>
      </c>
      <c r="E518" s="31" t="s">
        <v>241</v>
      </c>
      <c r="F518" s="31" t="s">
        <v>242</v>
      </c>
      <c r="G518" s="31" t="s">
        <v>242</v>
      </c>
      <c r="H518" s="31" t="s">
        <v>243</v>
      </c>
      <c r="I518" s="31" t="b">
        <v>0</v>
      </c>
      <c r="J518" s="31">
        <v>3</v>
      </c>
      <c r="K518" s="31">
        <v>9432</v>
      </c>
      <c r="L518" s="32">
        <v>404581280</v>
      </c>
      <c r="M518" s="32">
        <v>1200000050391703</v>
      </c>
      <c r="N518" s="31" t="s">
        <v>1043</v>
      </c>
      <c r="O518" s="31"/>
    </row>
    <row r="519" spans="1:15">
      <c r="A519" s="31"/>
      <c r="B519" s="31" t="s">
        <v>663</v>
      </c>
      <c r="C519" s="31" t="s">
        <v>1044</v>
      </c>
      <c r="D519" s="31" t="s">
        <v>1019</v>
      </c>
      <c r="E519" s="31" t="s">
        <v>241</v>
      </c>
      <c r="F519" s="31" t="s">
        <v>242</v>
      </c>
      <c r="G519" s="31" t="s">
        <v>242</v>
      </c>
      <c r="H519" s="31" t="s">
        <v>243</v>
      </c>
      <c r="I519" s="31" t="b">
        <v>0</v>
      </c>
      <c r="J519" s="31">
        <v>13</v>
      </c>
      <c r="K519" s="31">
        <v>1562.2</v>
      </c>
      <c r="L519" s="32">
        <v>404841096</v>
      </c>
      <c r="M519" s="32">
        <v>1200000050546610</v>
      </c>
      <c r="N519" s="31" t="s">
        <v>1045</v>
      </c>
      <c r="O519" s="31"/>
    </row>
    <row r="520" spans="1:15">
      <c r="A520" s="31"/>
      <c r="B520" s="31" t="s">
        <v>663</v>
      </c>
      <c r="C520" s="31" t="s">
        <v>1044</v>
      </c>
      <c r="D520" s="31" t="s">
        <v>1019</v>
      </c>
      <c r="E520" s="31" t="s">
        <v>241</v>
      </c>
      <c r="F520" s="31" t="s">
        <v>242</v>
      </c>
      <c r="G520" s="31" t="s">
        <v>242</v>
      </c>
      <c r="H520" s="31" t="s">
        <v>243</v>
      </c>
      <c r="I520" s="31" t="b">
        <v>0</v>
      </c>
      <c r="J520" s="31">
        <v>5</v>
      </c>
      <c r="K520" s="31">
        <v>1562.2</v>
      </c>
      <c r="L520" s="32">
        <v>404841462</v>
      </c>
      <c r="M520" s="32">
        <v>1200000050546610</v>
      </c>
      <c r="N520" s="31" t="s">
        <v>1045</v>
      </c>
      <c r="O520" s="31"/>
    </row>
    <row r="521" spans="1:15">
      <c r="A521" s="31"/>
      <c r="B521" s="31" t="s">
        <v>214</v>
      </c>
      <c r="C521" s="31" t="s">
        <v>1046</v>
      </c>
      <c r="D521" s="31" t="s">
        <v>1019</v>
      </c>
      <c r="E521" s="31" t="s">
        <v>241</v>
      </c>
      <c r="F521" s="31" t="s">
        <v>242</v>
      </c>
      <c r="G521" s="31" t="s">
        <v>242</v>
      </c>
      <c r="H521" s="31" t="s">
        <v>243</v>
      </c>
      <c r="I521" s="31" t="b">
        <v>0</v>
      </c>
      <c r="J521" s="31">
        <v>193</v>
      </c>
      <c r="K521" s="31">
        <v>42.36</v>
      </c>
      <c r="L521" s="32">
        <v>205762436</v>
      </c>
      <c r="M521" s="32">
        <v>1100000056101469</v>
      </c>
      <c r="N521" s="31" t="s">
        <v>1047</v>
      </c>
      <c r="O521" s="31"/>
    </row>
    <row r="522" spans="1:15">
      <c r="A522" s="31"/>
      <c r="B522" s="31" t="s">
        <v>214</v>
      </c>
      <c r="C522" s="31" t="s">
        <v>1046</v>
      </c>
      <c r="D522" s="31" t="s">
        <v>1019</v>
      </c>
      <c r="E522" s="31" t="s">
        <v>241</v>
      </c>
      <c r="F522" s="31" t="s">
        <v>242</v>
      </c>
      <c r="G522" s="31" t="s">
        <v>242</v>
      </c>
      <c r="H522" s="31" t="s">
        <v>243</v>
      </c>
      <c r="I522" s="31" t="b">
        <v>0</v>
      </c>
      <c r="J522" s="31">
        <v>492</v>
      </c>
      <c r="K522" s="31">
        <v>42.36</v>
      </c>
      <c r="L522" s="32">
        <v>205763965</v>
      </c>
      <c r="M522" s="32">
        <v>1100000056101469</v>
      </c>
      <c r="N522" s="31" t="s">
        <v>1047</v>
      </c>
      <c r="O522" s="31"/>
    </row>
    <row r="523" spans="1:15">
      <c r="A523" s="31"/>
      <c r="B523" s="31" t="s">
        <v>664</v>
      </c>
      <c r="C523" s="31" t="s">
        <v>1048</v>
      </c>
      <c r="D523" s="31" t="s">
        <v>1019</v>
      </c>
      <c r="E523" s="31" t="s">
        <v>241</v>
      </c>
      <c r="F523" s="31" t="s">
        <v>242</v>
      </c>
      <c r="G523" s="31" t="s">
        <v>242</v>
      </c>
      <c r="H523" s="31" t="s">
        <v>243</v>
      </c>
      <c r="I523" s="31" t="b">
        <v>0</v>
      </c>
      <c r="J523" s="31">
        <v>6</v>
      </c>
      <c r="K523" s="31">
        <v>5189</v>
      </c>
      <c r="L523" s="32">
        <v>404707026</v>
      </c>
      <c r="M523" s="32">
        <v>1200000050865497</v>
      </c>
      <c r="N523" s="31" t="s">
        <v>1049</v>
      </c>
      <c r="O523" s="31"/>
    </row>
    <row r="524" spans="1:15">
      <c r="A524" s="31"/>
      <c r="B524" s="31" t="s">
        <v>665</v>
      </c>
      <c r="C524" s="31" t="s">
        <v>1050</v>
      </c>
      <c r="D524" s="31" t="s">
        <v>1019</v>
      </c>
      <c r="E524" s="31" t="s">
        <v>241</v>
      </c>
      <c r="F524" s="31" t="s">
        <v>242</v>
      </c>
      <c r="G524" s="31" t="s">
        <v>242</v>
      </c>
      <c r="H524" s="31" t="s">
        <v>243</v>
      </c>
      <c r="I524" s="31" t="b">
        <v>0</v>
      </c>
      <c r="J524" s="31">
        <v>43</v>
      </c>
      <c r="K524" s="31">
        <v>679.8</v>
      </c>
      <c r="L524" s="32">
        <v>404634917</v>
      </c>
      <c r="M524" s="32">
        <v>1200000051003460</v>
      </c>
      <c r="N524" s="31" t="s">
        <v>1051</v>
      </c>
      <c r="O524" s="31"/>
    </row>
    <row r="525" spans="1:15">
      <c r="A525" s="31"/>
      <c r="B525" s="31" t="s">
        <v>666</v>
      </c>
      <c r="C525" s="31" t="s">
        <v>1052</v>
      </c>
      <c r="D525" s="31" t="s">
        <v>1019</v>
      </c>
      <c r="E525" s="31" t="s">
        <v>241</v>
      </c>
      <c r="F525" s="31" t="s">
        <v>242</v>
      </c>
      <c r="G525" s="31" t="s">
        <v>242</v>
      </c>
      <c r="H525" s="31" t="s">
        <v>243</v>
      </c>
      <c r="I525" s="31" t="b">
        <v>0</v>
      </c>
      <c r="J525" s="31">
        <v>7</v>
      </c>
      <c r="K525" s="31">
        <v>1910.7</v>
      </c>
      <c r="L525" s="32">
        <v>404643573</v>
      </c>
      <c r="M525" s="32">
        <v>1200000051102640</v>
      </c>
      <c r="N525" s="31" t="s">
        <v>1053</v>
      </c>
      <c r="O525" s="31"/>
    </row>
    <row r="526" spans="1:15">
      <c r="A526" s="31"/>
      <c r="B526" s="31" t="s">
        <v>666</v>
      </c>
      <c r="C526" s="31" t="s">
        <v>1052</v>
      </c>
      <c r="D526" s="31" t="s">
        <v>1019</v>
      </c>
      <c r="E526" s="31" t="s">
        <v>241</v>
      </c>
      <c r="F526" s="31" t="s">
        <v>242</v>
      </c>
      <c r="G526" s="31" t="s">
        <v>242</v>
      </c>
      <c r="H526" s="31" t="s">
        <v>243</v>
      </c>
      <c r="I526" s="31" t="b">
        <v>0</v>
      </c>
      <c r="J526" s="31">
        <v>8</v>
      </c>
      <c r="K526" s="31">
        <v>1910.6</v>
      </c>
      <c r="L526" s="32">
        <v>404643572</v>
      </c>
      <c r="M526" s="32">
        <v>1200000051102640</v>
      </c>
      <c r="N526" s="31" t="s">
        <v>1053</v>
      </c>
      <c r="O526" s="31"/>
    </row>
    <row r="527" spans="1:15">
      <c r="A527" s="31"/>
      <c r="B527" s="31" t="s">
        <v>667</v>
      </c>
      <c r="C527" s="31" t="s">
        <v>1054</v>
      </c>
      <c r="D527" s="31" t="s">
        <v>1019</v>
      </c>
      <c r="E527" s="31" t="s">
        <v>241</v>
      </c>
      <c r="F527" s="31" t="s">
        <v>242</v>
      </c>
      <c r="G527" s="31" t="s">
        <v>242</v>
      </c>
      <c r="H527" s="31" t="s">
        <v>243</v>
      </c>
      <c r="I527" s="31" t="b">
        <v>0</v>
      </c>
      <c r="J527" s="31">
        <v>35</v>
      </c>
      <c r="K527" s="31">
        <v>838.6</v>
      </c>
      <c r="L527" s="32">
        <v>404726581</v>
      </c>
      <c r="M527" s="32">
        <v>1200000051201940</v>
      </c>
      <c r="N527" s="31" t="s">
        <v>1055</v>
      </c>
      <c r="O527" s="31"/>
    </row>
    <row r="528" spans="1:15">
      <c r="A528" s="31"/>
      <c r="B528" s="31" t="s">
        <v>668</v>
      </c>
      <c r="C528" s="31" t="s">
        <v>1056</v>
      </c>
      <c r="D528" s="31" t="s">
        <v>1019</v>
      </c>
      <c r="E528" s="31" t="s">
        <v>241</v>
      </c>
      <c r="F528" s="31" t="s">
        <v>242</v>
      </c>
      <c r="G528" s="31" t="s">
        <v>242</v>
      </c>
      <c r="H528" s="31" t="s">
        <v>243</v>
      </c>
      <c r="I528" s="31" t="b">
        <v>0</v>
      </c>
      <c r="J528" s="31">
        <v>21</v>
      </c>
      <c r="K528" s="31">
        <v>1330.9</v>
      </c>
      <c r="L528" s="32">
        <v>605406236</v>
      </c>
      <c r="M528" s="32">
        <v>1300000054838729</v>
      </c>
      <c r="N528" s="31" t="s">
        <v>1057</v>
      </c>
      <c r="O528" s="31"/>
    </row>
    <row r="529" spans="1:15">
      <c r="A529" s="31"/>
      <c r="B529" s="31" t="s">
        <v>669</v>
      </c>
      <c r="C529" s="31" t="s">
        <v>1058</v>
      </c>
      <c r="D529" s="31" t="s">
        <v>1019</v>
      </c>
      <c r="E529" s="31" t="s">
        <v>241</v>
      </c>
      <c r="F529" s="31" t="s">
        <v>242</v>
      </c>
      <c r="G529" s="31" t="s">
        <v>242</v>
      </c>
      <c r="H529" s="31" t="s">
        <v>243</v>
      </c>
      <c r="I529" s="31" t="b">
        <v>0</v>
      </c>
      <c r="J529" s="31">
        <v>1</v>
      </c>
      <c r="K529" s="31">
        <v>729.65</v>
      </c>
      <c r="L529" s="32">
        <v>605412195</v>
      </c>
      <c r="M529" s="32">
        <v>1300000054905712</v>
      </c>
      <c r="N529" s="31" t="s">
        <v>1059</v>
      </c>
      <c r="O529" s="31"/>
    </row>
    <row r="530" spans="1:15">
      <c r="A530" s="31"/>
      <c r="B530" s="31" t="s">
        <v>669</v>
      </c>
      <c r="C530" s="31" t="s">
        <v>1058</v>
      </c>
      <c r="D530" s="31" t="s">
        <v>1019</v>
      </c>
      <c r="E530" s="31" t="s">
        <v>241</v>
      </c>
      <c r="F530" s="31" t="s">
        <v>242</v>
      </c>
      <c r="G530" s="31" t="s">
        <v>242</v>
      </c>
      <c r="H530" s="31" t="s">
        <v>243</v>
      </c>
      <c r="I530" s="31" t="b">
        <v>0</v>
      </c>
      <c r="J530" s="31">
        <v>1</v>
      </c>
      <c r="K530" s="31">
        <v>729.7</v>
      </c>
      <c r="L530" s="32">
        <v>605447869</v>
      </c>
      <c r="M530" s="32">
        <v>1300000054905712</v>
      </c>
      <c r="N530" s="31" t="s">
        <v>1059</v>
      </c>
      <c r="O530" s="31"/>
    </row>
    <row r="531" spans="1:15">
      <c r="A531" s="31"/>
      <c r="B531" s="31" t="s">
        <v>669</v>
      </c>
      <c r="C531" s="31" t="s">
        <v>1058</v>
      </c>
      <c r="D531" s="31" t="s">
        <v>1019</v>
      </c>
      <c r="E531" s="31" t="s">
        <v>241</v>
      </c>
      <c r="F531" s="31" t="s">
        <v>242</v>
      </c>
      <c r="G531" s="31" t="s">
        <v>242</v>
      </c>
      <c r="H531" s="31" t="s">
        <v>243</v>
      </c>
      <c r="I531" s="31" t="b">
        <v>0</v>
      </c>
      <c r="J531" s="31">
        <v>13</v>
      </c>
      <c r="K531" s="31">
        <v>729.65</v>
      </c>
      <c r="L531" s="32">
        <v>605412196</v>
      </c>
      <c r="M531" s="32">
        <v>1300000054905712</v>
      </c>
      <c r="N531" s="31" t="s">
        <v>1059</v>
      </c>
      <c r="O531" s="31"/>
    </row>
    <row r="532" spans="1:15">
      <c r="A532" s="31"/>
      <c r="B532" s="31" t="s">
        <v>669</v>
      </c>
      <c r="C532" s="31" t="s">
        <v>1058</v>
      </c>
      <c r="D532" s="31" t="s">
        <v>1019</v>
      </c>
      <c r="E532" s="31" t="s">
        <v>241</v>
      </c>
      <c r="F532" s="31" t="s">
        <v>242</v>
      </c>
      <c r="G532" s="31" t="s">
        <v>242</v>
      </c>
      <c r="H532" s="31" t="s">
        <v>243</v>
      </c>
      <c r="I532" s="31" t="b">
        <v>0</v>
      </c>
      <c r="J532" s="31">
        <v>25</v>
      </c>
      <c r="K532" s="31">
        <v>729.7</v>
      </c>
      <c r="L532" s="32">
        <v>605412197</v>
      </c>
      <c r="M532" s="32">
        <v>1300000054905712</v>
      </c>
      <c r="N532" s="31" t="s">
        <v>1059</v>
      </c>
      <c r="O532" s="31"/>
    </row>
    <row r="533" spans="1:15">
      <c r="A533" s="31"/>
      <c r="B533" s="31" t="s">
        <v>670</v>
      </c>
      <c r="C533" s="31" t="s">
        <v>1060</v>
      </c>
      <c r="D533" s="31" t="s">
        <v>1019</v>
      </c>
      <c r="E533" s="31" t="s">
        <v>241</v>
      </c>
      <c r="F533" s="31" t="s">
        <v>242</v>
      </c>
      <c r="G533" s="31" t="s">
        <v>242</v>
      </c>
      <c r="H533" s="31" t="s">
        <v>243</v>
      </c>
      <c r="I533" s="31" t="b">
        <v>0</v>
      </c>
      <c r="J533" s="31">
        <v>8</v>
      </c>
      <c r="K533" s="31">
        <v>3520.1001000000001</v>
      </c>
      <c r="L533" s="32">
        <v>605673718</v>
      </c>
      <c r="M533" s="32">
        <v>1300000054976082</v>
      </c>
      <c r="N533" s="31" t="s">
        <v>1061</v>
      </c>
      <c r="O533" s="31"/>
    </row>
    <row r="534" spans="1:15">
      <c r="A534" s="31"/>
      <c r="B534" s="31" t="s">
        <v>516</v>
      </c>
      <c r="C534" s="31" t="s">
        <v>517</v>
      </c>
      <c r="D534" s="31" t="s">
        <v>1019</v>
      </c>
      <c r="E534" s="31" t="s">
        <v>241</v>
      </c>
      <c r="F534" s="31" t="s">
        <v>242</v>
      </c>
      <c r="G534" s="31" t="s">
        <v>242</v>
      </c>
      <c r="H534" s="31" t="s">
        <v>243</v>
      </c>
      <c r="I534" s="31" t="b">
        <v>0</v>
      </c>
      <c r="J534" s="31">
        <v>1</v>
      </c>
      <c r="K534" s="31">
        <v>18259</v>
      </c>
      <c r="L534" s="32">
        <v>605565848</v>
      </c>
      <c r="M534" s="32">
        <v>1300000055031483</v>
      </c>
      <c r="N534" s="31" t="s">
        <v>1062</v>
      </c>
      <c r="O534" s="31"/>
    </row>
    <row r="535" spans="1:15">
      <c r="A535" s="31"/>
      <c r="B535" s="31" t="s">
        <v>516</v>
      </c>
      <c r="C535" s="31" t="s">
        <v>517</v>
      </c>
      <c r="D535" s="31" t="s">
        <v>1019</v>
      </c>
      <c r="E535" s="31" t="s">
        <v>241</v>
      </c>
      <c r="F535" s="31" t="s">
        <v>242</v>
      </c>
      <c r="G535" s="31" t="s">
        <v>242</v>
      </c>
      <c r="H535" s="31" t="s">
        <v>243</v>
      </c>
      <c r="I535" s="31" t="b">
        <v>0</v>
      </c>
      <c r="J535" s="31">
        <v>1</v>
      </c>
      <c r="K535" s="31">
        <v>18259</v>
      </c>
      <c r="L535" s="32">
        <v>605567434</v>
      </c>
      <c r="M535" s="32">
        <v>1300000055031483</v>
      </c>
      <c r="N535" s="31" t="s">
        <v>1062</v>
      </c>
      <c r="O535" s="31"/>
    </row>
    <row r="536" spans="1:15">
      <c r="A536" s="31"/>
      <c r="B536" s="31" t="s">
        <v>260</v>
      </c>
      <c r="C536" s="31" t="s">
        <v>261</v>
      </c>
      <c r="D536" s="31" t="s">
        <v>1019</v>
      </c>
      <c r="E536" s="31" t="s">
        <v>241</v>
      </c>
      <c r="F536" s="31" t="s">
        <v>242</v>
      </c>
      <c r="G536" s="31" t="s">
        <v>242</v>
      </c>
      <c r="H536" s="31" t="s">
        <v>243</v>
      </c>
      <c r="I536" s="31" t="b">
        <v>0</v>
      </c>
      <c r="J536" s="31">
        <v>20</v>
      </c>
      <c r="K536" s="31">
        <v>549.45000000000005</v>
      </c>
      <c r="L536" s="32">
        <v>404678893</v>
      </c>
      <c r="M536" s="32">
        <v>1200000051548098</v>
      </c>
      <c r="N536" s="31" t="s">
        <v>1063</v>
      </c>
      <c r="O536" s="31"/>
    </row>
    <row r="537" spans="1:15">
      <c r="A537" s="31"/>
      <c r="B537" s="31" t="s">
        <v>260</v>
      </c>
      <c r="C537" s="31" t="s">
        <v>261</v>
      </c>
      <c r="D537" s="31" t="s">
        <v>1019</v>
      </c>
      <c r="E537" s="31" t="s">
        <v>241</v>
      </c>
      <c r="F537" s="31" t="s">
        <v>242</v>
      </c>
      <c r="G537" s="31" t="s">
        <v>242</v>
      </c>
      <c r="H537" s="31" t="s">
        <v>243</v>
      </c>
      <c r="I537" s="31" t="b">
        <v>0</v>
      </c>
      <c r="J537" s="31">
        <v>34</v>
      </c>
      <c r="K537" s="31">
        <v>549.5</v>
      </c>
      <c r="L537" s="32">
        <v>404678894</v>
      </c>
      <c r="M537" s="32">
        <v>1200000051548098</v>
      </c>
      <c r="N537" s="31" t="s">
        <v>1063</v>
      </c>
      <c r="O537" s="31"/>
    </row>
    <row r="538" spans="1:15">
      <c r="A538" s="31"/>
      <c r="B538" s="31" t="s">
        <v>671</v>
      </c>
      <c r="C538" s="31" t="s">
        <v>1064</v>
      </c>
      <c r="D538" s="31" t="s">
        <v>1019</v>
      </c>
      <c r="E538" s="31" t="s">
        <v>241</v>
      </c>
      <c r="F538" s="31" t="s">
        <v>242</v>
      </c>
      <c r="G538" s="31" t="s">
        <v>242</v>
      </c>
      <c r="H538" s="31" t="s">
        <v>243</v>
      </c>
      <c r="I538" s="31" t="b">
        <v>0</v>
      </c>
      <c r="J538" s="31">
        <v>4</v>
      </c>
      <c r="K538" s="31">
        <v>7050</v>
      </c>
      <c r="L538" s="32">
        <v>404784825</v>
      </c>
      <c r="M538" s="32">
        <v>1200000051664559</v>
      </c>
      <c r="N538" s="31" t="s">
        <v>1065</v>
      </c>
      <c r="O538" s="31"/>
    </row>
    <row r="539" spans="1:15">
      <c r="A539" s="31"/>
      <c r="B539" s="31" t="s">
        <v>195</v>
      </c>
      <c r="C539" s="31" t="s">
        <v>1066</v>
      </c>
      <c r="D539" s="31" t="s">
        <v>1019</v>
      </c>
      <c r="E539" s="31" t="s">
        <v>241</v>
      </c>
      <c r="F539" s="31" t="s">
        <v>242</v>
      </c>
      <c r="G539" s="31" t="s">
        <v>242</v>
      </c>
      <c r="H539" s="31" t="s">
        <v>243</v>
      </c>
      <c r="I539" s="31" t="b">
        <v>0</v>
      </c>
      <c r="J539" s="31">
        <v>11</v>
      </c>
      <c r="K539" s="31">
        <v>2660</v>
      </c>
      <c r="L539" s="32">
        <v>404696234</v>
      </c>
      <c r="M539" s="32">
        <v>1200000051727442</v>
      </c>
      <c r="N539" s="31" t="s">
        <v>1067</v>
      </c>
      <c r="O539" s="31"/>
    </row>
    <row r="540" spans="1:15">
      <c r="A540" s="31"/>
      <c r="B540" s="31" t="s">
        <v>672</v>
      </c>
      <c r="C540" s="31" t="s">
        <v>1068</v>
      </c>
      <c r="D540" s="31" t="s">
        <v>1019</v>
      </c>
      <c r="E540" s="31" t="s">
        <v>241</v>
      </c>
      <c r="F540" s="31" t="s">
        <v>242</v>
      </c>
      <c r="G540" s="31" t="s">
        <v>242</v>
      </c>
      <c r="H540" s="31" t="s">
        <v>243</v>
      </c>
      <c r="I540" s="31" t="b">
        <v>0</v>
      </c>
      <c r="J540" s="31">
        <v>4</v>
      </c>
      <c r="K540" s="31">
        <v>1972.4</v>
      </c>
      <c r="L540" s="32">
        <v>4178070</v>
      </c>
      <c r="M540" s="32">
        <v>1000000043294854</v>
      </c>
      <c r="N540" s="31" t="s">
        <v>1069</v>
      </c>
      <c r="O540" s="31"/>
    </row>
    <row r="541" spans="1:15">
      <c r="A541" s="31"/>
      <c r="B541" s="31" t="s">
        <v>672</v>
      </c>
      <c r="C541" s="31" t="s">
        <v>1068</v>
      </c>
      <c r="D541" s="31" t="s">
        <v>1019</v>
      </c>
      <c r="E541" s="31" t="s">
        <v>241</v>
      </c>
      <c r="F541" s="31" t="s">
        <v>242</v>
      </c>
      <c r="G541" s="31" t="s">
        <v>242</v>
      </c>
      <c r="H541" s="31" t="s">
        <v>243</v>
      </c>
      <c r="I541" s="31" t="b">
        <v>0</v>
      </c>
      <c r="J541" s="31">
        <v>5</v>
      </c>
      <c r="K541" s="31">
        <v>1972.4</v>
      </c>
      <c r="L541" s="32">
        <v>4178071</v>
      </c>
      <c r="M541" s="32">
        <v>1000000043294854</v>
      </c>
      <c r="N541" s="31" t="s">
        <v>1069</v>
      </c>
      <c r="O541" s="31"/>
    </row>
    <row r="542" spans="1:15">
      <c r="A542" s="31"/>
      <c r="B542" s="31" t="s">
        <v>672</v>
      </c>
      <c r="C542" s="31" t="s">
        <v>1068</v>
      </c>
      <c r="D542" s="31" t="s">
        <v>1019</v>
      </c>
      <c r="E542" s="31" t="s">
        <v>241</v>
      </c>
      <c r="F542" s="31" t="s">
        <v>242</v>
      </c>
      <c r="G542" s="31" t="s">
        <v>242</v>
      </c>
      <c r="H542" s="31" t="s">
        <v>243</v>
      </c>
      <c r="I542" s="31" t="b">
        <v>0</v>
      </c>
      <c r="J542" s="31">
        <v>6</v>
      </c>
      <c r="K542" s="31">
        <v>1972.4</v>
      </c>
      <c r="L542" s="32">
        <v>4178072</v>
      </c>
      <c r="M542" s="32">
        <v>1000000043294854</v>
      </c>
      <c r="N542" s="31" t="s">
        <v>1069</v>
      </c>
      <c r="O542" s="31"/>
    </row>
    <row r="543" spans="1:15">
      <c r="A543" s="31"/>
      <c r="B543" s="31" t="s">
        <v>78</v>
      </c>
      <c r="C543" s="31" t="s">
        <v>612</v>
      </c>
      <c r="D543" s="31" t="s">
        <v>1019</v>
      </c>
      <c r="E543" s="31" t="s">
        <v>241</v>
      </c>
      <c r="F543" s="31" t="s">
        <v>242</v>
      </c>
      <c r="G543" s="31" t="s">
        <v>242</v>
      </c>
      <c r="H543" s="31" t="s">
        <v>243</v>
      </c>
      <c r="I543" s="31" t="b">
        <v>0</v>
      </c>
      <c r="J543" s="31">
        <v>42</v>
      </c>
      <c r="K543" s="31">
        <v>678.75</v>
      </c>
      <c r="L543" s="32">
        <v>605560802</v>
      </c>
      <c r="M543" s="32">
        <v>1300000055439875</v>
      </c>
      <c r="N543" s="31" t="s">
        <v>1070</v>
      </c>
      <c r="O543" s="31"/>
    </row>
    <row r="544" spans="1:15">
      <c r="A544" s="31"/>
      <c r="B544" s="31" t="s">
        <v>67</v>
      </c>
      <c r="C544" s="31" t="s">
        <v>470</v>
      </c>
      <c r="D544" s="31" t="s">
        <v>1019</v>
      </c>
      <c r="E544" s="31" t="s">
        <v>241</v>
      </c>
      <c r="F544" s="31" t="s">
        <v>242</v>
      </c>
      <c r="G544" s="31" t="s">
        <v>242</v>
      </c>
      <c r="H544" s="31" t="s">
        <v>243</v>
      </c>
      <c r="I544" s="31" t="b">
        <v>0</v>
      </c>
      <c r="J544" s="31">
        <v>11</v>
      </c>
      <c r="K544" s="31">
        <v>1209.4000000000001</v>
      </c>
      <c r="L544" s="32">
        <v>605501073</v>
      </c>
      <c r="M544" s="32">
        <v>1300000055549447</v>
      </c>
      <c r="N544" s="31" t="s">
        <v>1071</v>
      </c>
      <c r="O544" s="31"/>
    </row>
    <row r="545" spans="1:15">
      <c r="A545" s="31"/>
      <c r="B545" s="31" t="s">
        <v>67</v>
      </c>
      <c r="C545" s="31" t="s">
        <v>470</v>
      </c>
      <c r="D545" s="31" t="s">
        <v>1019</v>
      </c>
      <c r="E545" s="31" t="s">
        <v>241</v>
      </c>
      <c r="F545" s="31" t="s">
        <v>242</v>
      </c>
      <c r="G545" s="31" t="s">
        <v>242</v>
      </c>
      <c r="H545" s="31" t="s">
        <v>243</v>
      </c>
      <c r="I545" s="31" t="b">
        <v>0</v>
      </c>
      <c r="J545" s="31">
        <v>14</v>
      </c>
      <c r="K545" s="31">
        <v>1209.4000000000001</v>
      </c>
      <c r="L545" s="32">
        <v>605500697</v>
      </c>
      <c r="M545" s="32">
        <v>1300000055549447</v>
      </c>
      <c r="N545" s="31" t="s">
        <v>1071</v>
      </c>
      <c r="O545" s="31"/>
    </row>
    <row r="546" spans="1:15">
      <c r="A546" s="31"/>
      <c r="B546" s="31" t="s">
        <v>71</v>
      </c>
      <c r="C546" s="31" t="s">
        <v>507</v>
      </c>
      <c r="D546" s="31" t="s">
        <v>1019</v>
      </c>
      <c r="E546" s="31" t="s">
        <v>241</v>
      </c>
      <c r="F546" s="31" t="s">
        <v>242</v>
      </c>
      <c r="G546" s="31" t="s">
        <v>242</v>
      </c>
      <c r="H546" s="31" t="s">
        <v>243</v>
      </c>
      <c r="I546" s="31" t="b">
        <v>0</v>
      </c>
      <c r="J546" s="31">
        <v>6</v>
      </c>
      <c r="K546" s="31">
        <v>4708</v>
      </c>
      <c r="L546" s="32">
        <v>205876850</v>
      </c>
      <c r="M546" s="32">
        <v>1100000057427734</v>
      </c>
      <c r="N546" s="31" t="s">
        <v>1072</v>
      </c>
      <c r="O546" s="3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0"/>
  <sheetViews>
    <sheetView workbookViewId="0">
      <pane ySplit="1" topLeftCell="A174" activePane="bottomLeft" state="frozen"/>
      <selection pane="bottomLeft" activeCell="E181" sqref="E181"/>
    </sheetView>
  </sheetViews>
  <sheetFormatPr defaultRowHeight="15"/>
  <cols>
    <col min="1" max="3" width="12" customWidth="1"/>
    <col min="4" max="4" width="16" customWidth="1"/>
    <col min="5" max="5" width="15" customWidth="1"/>
    <col min="6" max="7" width="16" customWidth="1"/>
    <col min="8" max="8" width="17.28515625" customWidth="1"/>
  </cols>
  <sheetData>
    <row r="1" spans="1:7">
      <c r="A1" s="51" t="s">
        <v>228</v>
      </c>
      <c r="B1" s="51" t="s">
        <v>41</v>
      </c>
      <c r="C1" s="51" t="s">
        <v>232</v>
      </c>
      <c r="D1" s="51" t="s">
        <v>616</v>
      </c>
      <c r="E1" s="51" t="s">
        <v>617</v>
      </c>
      <c r="F1" s="51" t="s">
        <v>618</v>
      </c>
      <c r="G1" s="51" t="s">
        <v>619</v>
      </c>
    </row>
    <row r="2" spans="1:7">
      <c r="A2" s="31" t="s">
        <v>240</v>
      </c>
      <c r="B2" s="31" t="s">
        <v>68</v>
      </c>
      <c r="C2" s="31" t="s">
        <v>243</v>
      </c>
      <c r="D2" s="31">
        <v>13</v>
      </c>
      <c r="E2" s="33">
        <v>7343</v>
      </c>
      <c r="F2" s="33">
        <v>95459</v>
      </c>
      <c r="G2" s="31" t="s">
        <v>104</v>
      </c>
    </row>
    <row r="3" spans="1:7">
      <c r="A3" s="31" t="s">
        <v>240</v>
      </c>
      <c r="B3" s="31" t="s">
        <v>251</v>
      </c>
      <c r="C3" s="31" t="s">
        <v>243</v>
      </c>
      <c r="D3" s="31">
        <v>20</v>
      </c>
      <c r="E3" s="33">
        <v>4509</v>
      </c>
      <c r="F3" s="33">
        <v>90180</v>
      </c>
      <c r="G3" s="31" t="s">
        <v>104</v>
      </c>
    </row>
    <row r="4" spans="1:7">
      <c r="A4" s="31" t="s">
        <v>240</v>
      </c>
      <c r="B4" s="31" t="s">
        <v>257</v>
      </c>
      <c r="C4" s="31" t="s">
        <v>243</v>
      </c>
      <c r="D4" s="31">
        <v>19</v>
      </c>
      <c r="E4" s="33">
        <v>4724.03</v>
      </c>
      <c r="F4" s="33">
        <v>89756.6</v>
      </c>
      <c r="G4" s="31" t="s">
        <v>104</v>
      </c>
    </row>
    <row r="5" spans="1:7">
      <c r="A5" s="31" t="s">
        <v>240</v>
      </c>
      <c r="B5" s="31" t="s">
        <v>245</v>
      </c>
      <c r="C5" s="31" t="s">
        <v>243</v>
      </c>
      <c r="D5" s="31">
        <v>64</v>
      </c>
      <c r="E5" s="33">
        <v>1548.9</v>
      </c>
      <c r="F5" s="33">
        <v>99129.600000000006</v>
      </c>
      <c r="G5" s="31" t="s">
        <v>104</v>
      </c>
    </row>
    <row r="6" spans="1:7">
      <c r="A6" s="31" t="s">
        <v>240</v>
      </c>
      <c r="B6" s="31" t="s">
        <v>260</v>
      </c>
      <c r="C6" s="31" t="s">
        <v>243</v>
      </c>
      <c r="D6" s="31">
        <v>168</v>
      </c>
      <c r="E6" s="33">
        <v>543</v>
      </c>
      <c r="F6" s="33">
        <v>91224</v>
      </c>
      <c r="G6" s="31" t="s">
        <v>104</v>
      </c>
    </row>
    <row r="7" spans="1:7">
      <c r="A7" s="31" t="s">
        <v>240</v>
      </c>
      <c r="B7" s="31" t="s">
        <v>248</v>
      </c>
      <c r="C7" s="31" t="s">
        <v>243</v>
      </c>
      <c r="D7" s="31">
        <v>116</v>
      </c>
      <c r="E7" s="33">
        <v>844.15</v>
      </c>
      <c r="F7" s="33">
        <v>97921.4</v>
      </c>
      <c r="G7" s="31" t="s">
        <v>104</v>
      </c>
    </row>
    <row r="8" spans="1:7">
      <c r="A8" s="31" t="s">
        <v>240</v>
      </c>
      <c r="B8" s="31" t="s">
        <v>254</v>
      </c>
      <c r="C8" s="31" t="s">
        <v>243</v>
      </c>
      <c r="D8" s="31">
        <v>25</v>
      </c>
      <c r="E8" s="33">
        <v>3662.7</v>
      </c>
      <c r="F8" s="33">
        <v>91567.5</v>
      </c>
      <c r="G8" s="31" t="s">
        <v>104</v>
      </c>
    </row>
    <row r="9" spans="1:7">
      <c r="A9" s="31" t="s">
        <v>265</v>
      </c>
      <c r="B9" s="31" t="s">
        <v>267</v>
      </c>
      <c r="C9" s="31" t="s">
        <v>243</v>
      </c>
      <c r="D9" s="31">
        <v>48</v>
      </c>
      <c r="E9" s="33">
        <v>517.1</v>
      </c>
      <c r="F9" s="33">
        <v>24820.799999999999</v>
      </c>
      <c r="G9" s="31" t="s">
        <v>98</v>
      </c>
    </row>
    <row r="10" spans="1:7">
      <c r="A10" s="31" t="s">
        <v>265</v>
      </c>
      <c r="B10" s="31" t="s">
        <v>270</v>
      </c>
      <c r="C10" s="31" t="s">
        <v>243</v>
      </c>
      <c r="D10" s="31">
        <v>37</v>
      </c>
      <c r="E10" s="33">
        <v>1289.2</v>
      </c>
      <c r="F10" s="33">
        <v>47700.4</v>
      </c>
      <c r="G10" s="31" t="s">
        <v>98</v>
      </c>
    </row>
    <row r="11" spans="1:7">
      <c r="A11" s="31" t="s">
        <v>265</v>
      </c>
      <c r="B11" s="31" t="s">
        <v>273</v>
      </c>
      <c r="C11" s="31" t="s">
        <v>243</v>
      </c>
      <c r="D11" s="31">
        <v>60</v>
      </c>
      <c r="E11" s="33">
        <v>1562.4</v>
      </c>
      <c r="F11" s="33">
        <v>93744</v>
      </c>
      <c r="G11" s="31" t="s">
        <v>104</v>
      </c>
    </row>
    <row r="12" spans="1:7">
      <c r="A12" s="31" t="s">
        <v>265</v>
      </c>
      <c r="B12" s="31" t="s">
        <v>263</v>
      </c>
      <c r="C12" s="31" t="s">
        <v>243</v>
      </c>
      <c r="D12" s="31">
        <v>140</v>
      </c>
      <c r="E12" s="33">
        <v>175.36</v>
      </c>
      <c r="F12" s="33">
        <v>24550.400000000001</v>
      </c>
      <c r="G12" s="31" t="s">
        <v>98</v>
      </c>
    </row>
    <row r="13" spans="1:7">
      <c r="A13" s="31" t="s">
        <v>277</v>
      </c>
      <c r="B13" s="31" t="s">
        <v>88</v>
      </c>
      <c r="C13" s="31" t="s">
        <v>243</v>
      </c>
      <c r="D13" s="31">
        <v>33</v>
      </c>
      <c r="E13" s="33">
        <v>785.35</v>
      </c>
      <c r="F13" s="33">
        <v>25916.55</v>
      </c>
      <c r="G13" s="31" t="s">
        <v>98</v>
      </c>
    </row>
    <row r="14" spans="1:7">
      <c r="A14" s="31" t="s">
        <v>281</v>
      </c>
      <c r="B14" s="31" t="s">
        <v>279</v>
      </c>
      <c r="C14" s="31" t="s">
        <v>243</v>
      </c>
      <c r="D14" s="31">
        <v>35</v>
      </c>
      <c r="E14" s="33">
        <v>716.85</v>
      </c>
      <c r="F14" s="33">
        <v>25089.75</v>
      </c>
      <c r="G14" s="31" t="s">
        <v>98</v>
      </c>
    </row>
    <row r="15" spans="1:7">
      <c r="A15" s="31" t="s">
        <v>285</v>
      </c>
      <c r="B15" s="31" t="s">
        <v>263</v>
      </c>
      <c r="C15" s="31" t="s">
        <v>243</v>
      </c>
      <c r="D15" s="31">
        <v>131</v>
      </c>
      <c r="E15" s="33">
        <v>188.99</v>
      </c>
      <c r="F15" s="33">
        <v>24757.54</v>
      </c>
      <c r="G15" s="31" t="s">
        <v>99</v>
      </c>
    </row>
    <row r="16" spans="1:7">
      <c r="A16" s="31" t="s">
        <v>285</v>
      </c>
      <c r="B16" s="31" t="s">
        <v>267</v>
      </c>
      <c r="C16" s="31" t="s">
        <v>243</v>
      </c>
      <c r="D16" s="31">
        <v>87</v>
      </c>
      <c r="E16" s="33">
        <v>577.82000000000005</v>
      </c>
      <c r="F16" s="33">
        <v>50270.25</v>
      </c>
      <c r="G16" s="31" t="s">
        <v>99</v>
      </c>
    </row>
    <row r="17" spans="1:7">
      <c r="A17" s="31" t="s">
        <v>285</v>
      </c>
      <c r="B17" s="31" t="s">
        <v>283</v>
      </c>
      <c r="C17" s="31" t="s">
        <v>243</v>
      </c>
      <c r="D17" s="31">
        <v>220</v>
      </c>
      <c r="E17" s="33">
        <v>119.3</v>
      </c>
      <c r="F17" s="33">
        <v>26246</v>
      </c>
      <c r="G17" s="31" t="s">
        <v>98</v>
      </c>
    </row>
    <row r="18" spans="1:7">
      <c r="A18" s="31" t="s">
        <v>291</v>
      </c>
      <c r="B18" s="31" t="s">
        <v>289</v>
      </c>
      <c r="C18" s="31" t="s">
        <v>243</v>
      </c>
      <c r="D18" s="31">
        <v>57</v>
      </c>
      <c r="E18" s="33">
        <v>880</v>
      </c>
      <c r="F18" s="33">
        <v>50160</v>
      </c>
      <c r="G18" s="31" t="s">
        <v>98</v>
      </c>
    </row>
    <row r="19" spans="1:7">
      <c r="A19" s="31" t="s">
        <v>293</v>
      </c>
      <c r="B19" s="31" t="s">
        <v>251</v>
      </c>
      <c r="C19" s="31" t="s">
        <v>294</v>
      </c>
      <c r="D19" s="31">
        <v>20</v>
      </c>
      <c r="E19" s="33">
        <v>4180.1499999999996</v>
      </c>
      <c r="F19" s="33">
        <v>83602.899999999994</v>
      </c>
      <c r="G19" s="31" t="s">
        <v>620</v>
      </c>
    </row>
    <row r="20" spans="1:7">
      <c r="A20" s="31" t="s">
        <v>293</v>
      </c>
      <c r="B20" s="31" t="s">
        <v>273</v>
      </c>
      <c r="C20" s="31" t="s">
        <v>294</v>
      </c>
      <c r="D20" s="31">
        <v>60</v>
      </c>
      <c r="E20" s="33">
        <v>1477.02</v>
      </c>
      <c r="F20" s="33">
        <v>88621.5</v>
      </c>
      <c r="G20" s="31" t="s">
        <v>620</v>
      </c>
    </row>
    <row r="21" spans="1:7">
      <c r="A21" s="31" t="s">
        <v>293</v>
      </c>
      <c r="B21" s="31" t="s">
        <v>254</v>
      </c>
      <c r="C21" s="31" t="s">
        <v>294</v>
      </c>
      <c r="D21" s="31">
        <v>25</v>
      </c>
      <c r="E21" s="33">
        <v>3390.5</v>
      </c>
      <c r="F21" s="33">
        <v>84762.5</v>
      </c>
      <c r="G21" s="31" t="s">
        <v>620</v>
      </c>
    </row>
    <row r="22" spans="1:7">
      <c r="A22" s="31" t="s">
        <v>298</v>
      </c>
      <c r="B22" s="31" t="s">
        <v>305</v>
      </c>
      <c r="C22" s="31" t="s">
        <v>243</v>
      </c>
      <c r="D22" s="31">
        <v>104</v>
      </c>
      <c r="E22" s="33">
        <v>210.49</v>
      </c>
      <c r="F22" s="33">
        <v>21890.69</v>
      </c>
      <c r="G22" s="31" t="s">
        <v>98</v>
      </c>
    </row>
    <row r="23" spans="1:7">
      <c r="A23" s="31" t="s">
        <v>298</v>
      </c>
      <c r="B23" s="31" t="s">
        <v>283</v>
      </c>
      <c r="C23" s="31" t="s">
        <v>243</v>
      </c>
      <c r="D23" s="31">
        <v>734</v>
      </c>
      <c r="E23" s="33">
        <v>126.7</v>
      </c>
      <c r="F23" s="33">
        <v>92995.86</v>
      </c>
      <c r="G23" s="31" t="s">
        <v>104</v>
      </c>
    </row>
    <row r="24" spans="1:7">
      <c r="A24" s="31" t="s">
        <v>298</v>
      </c>
      <c r="B24" s="31" t="s">
        <v>267</v>
      </c>
      <c r="C24" s="31" t="s">
        <v>243</v>
      </c>
      <c r="D24" s="31">
        <v>163</v>
      </c>
      <c r="E24" s="33">
        <v>612.20000000000005</v>
      </c>
      <c r="F24" s="33">
        <v>99788.6</v>
      </c>
      <c r="G24" s="31" t="s">
        <v>104</v>
      </c>
    </row>
    <row r="25" spans="1:7">
      <c r="A25" s="31" t="s">
        <v>298</v>
      </c>
      <c r="B25" s="31" t="s">
        <v>302</v>
      </c>
      <c r="C25" s="31" t="s">
        <v>243</v>
      </c>
      <c r="D25" s="31">
        <v>188</v>
      </c>
      <c r="E25" s="33">
        <v>531.34</v>
      </c>
      <c r="F25" s="33">
        <v>99892.65</v>
      </c>
      <c r="G25" s="31" t="s">
        <v>104</v>
      </c>
    </row>
    <row r="26" spans="1:7">
      <c r="A26" s="31" t="s">
        <v>298</v>
      </c>
      <c r="B26" s="31" t="s">
        <v>263</v>
      </c>
      <c r="C26" s="31" t="s">
        <v>243</v>
      </c>
      <c r="D26" s="31">
        <v>250</v>
      </c>
      <c r="E26" s="33">
        <v>207</v>
      </c>
      <c r="F26" s="33">
        <v>51750</v>
      </c>
      <c r="G26" s="31" t="s">
        <v>104</v>
      </c>
    </row>
    <row r="27" spans="1:7">
      <c r="A27" s="31" t="s">
        <v>298</v>
      </c>
      <c r="B27" s="31" t="s">
        <v>46</v>
      </c>
      <c r="C27" s="31" t="s">
        <v>243</v>
      </c>
      <c r="D27" s="31">
        <v>129</v>
      </c>
      <c r="E27" s="33">
        <v>775.7</v>
      </c>
      <c r="F27" s="33">
        <v>100065.3</v>
      </c>
      <c r="G27" s="31" t="s">
        <v>104</v>
      </c>
    </row>
    <row r="28" spans="1:7">
      <c r="A28" s="31" t="s">
        <v>311</v>
      </c>
      <c r="B28" s="31" t="s">
        <v>289</v>
      </c>
      <c r="C28" s="31" t="s">
        <v>294</v>
      </c>
      <c r="D28" s="31">
        <v>57</v>
      </c>
      <c r="E28" s="33">
        <v>786.85</v>
      </c>
      <c r="F28" s="33">
        <v>44850.6</v>
      </c>
      <c r="G28" s="31" t="s">
        <v>620</v>
      </c>
    </row>
    <row r="29" spans="1:7">
      <c r="A29" s="31" t="s">
        <v>313</v>
      </c>
      <c r="B29" s="31" t="s">
        <v>68</v>
      </c>
      <c r="C29" s="31" t="s">
        <v>243</v>
      </c>
      <c r="D29" s="31">
        <v>13</v>
      </c>
      <c r="E29" s="33">
        <v>7609</v>
      </c>
      <c r="F29" s="33">
        <v>98917</v>
      </c>
      <c r="G29" s="31" t="s">
        <v>107</v>
      </c>
    </row>
    <row r="30" spans="1:7">
      <c r="A30" s="31" t="s">
        <v>315</v>
      </c>
      <c r="B30" s="31" t="s">
        <v>263</v>
      </c>
      <c r="C30" s="31" t="s">
        <v>243</v>
      </c>
      <c r="D30" s="31">
        <v>150</v>
      </c>
      <c r="E30" s="33">
        <v>190.91</v>
      </c>
      <c r="F30" s="33">
        <v>28635.84</v>
      </c>
      <c r="G30" s="31" t="s">
        <v>98</v>
      </c>
    </row>
    <row r="31" spans="1:7">
      <c r="A31" s="31" t="s">
        <v>315</v>
      </c>
      <c r="B31" s="31" t="s">
        <v>283</v>
      </c>
      <c r="C31" s="31" t="s">
        <v>243</v>
      </c>
      <c r="D31" s="31">
        <v>784</v>
      </c>
      <c r="E31" s="33">
        <v>127.5</v>
      </c>
      <c r="F31" s="33">
        <v>99956.44</v>
      </c>
      <c r="G31" s="31" t="s">
        <v>107</v>
      </c>
    </row>
    <row r="32" spans="1:7">
      <c r="A32" s="31" t="s">
        <v>320</v>
      </c>
      <c r="B32" s="31" t="s">
        <v>248</v>
      </c>
      <c r="C32" s="31" t="s">
        <v>243</v>
      </c>
      <c r="D32" s="31">
        <v>110</v>
      </c>
      <c r="E32" s="33">
        <v>914.55</v>
      </c>
      <c r="F32" s="33">
        <v>100600.5</v>
      </c>
      <c r="G32" s="31" t="s">
        <v>107</v>
      </c>
    </row>
    <row r="33" spans="1:7">
      <c r="A33" s="31" t="s">
        <v>320</v>
      </c>
      <c r="B33" s="31" t="s">
        <v>318</v>
      </c>
      <c r="C33" s="31" t="s">
        <v>243</v>
      </c>
      <c r="D33" s="31">
        <v>94</v>
      </c>
      <c r="E33" s="33">
        <v>1064.5999999999999</v>
      </c>
      <c r="F33" s="33">
        <v>100072.4</v>
      </c>
      <c r="G33" s="31" t="s">
        <v>104</v>
      </c>
    </row>
    <row r="34" spans="1:7">
      <c r="A34" s="31" t="s">
        <v>323</v>
      </c>
      <c r="B34" s="31" t="s">
        <v>279</v>
      </c>
      <c r="C34" s="31" t="s">
        <v>294</v>
      </c>
      <c r="D34" s="31">
        <v>35</v>
      </c>
      <c r="E34" s="33">
        <v>647.19000000000005</v>
      </c>
      <c r="F34" s="33">
        <v>22651.75</v>
      </c>
      <c r="G34" s="31" t="s">
        <v>620</v>
      </c>
    </row>
    <row r="35" spans="1:7">
      <c r="A35" s="31" t="s">
        <v>323</v>
      </c>
      <c r="B35" s="31" t="s">
        <v>88</v>
      </c>
      <c r="C35" s="31" t="s">
        <v>294</v>
      </c>
      <c r="D35" s="31">
        <v>33</v>
      </c>
      <c r="E35" s="33">
        <v>757.6</v>
      </c>
      <c r="F35" s="33">
        <v>25000.799999999999</v>
      </c>
      <c r="G35" s="31" t="s">
        <v>620</v>
      </c>
    </row>
    <row r="36" spans="1:7">
      <c r="A36" s="31" t="s">
        <v>326</v>
      </c>
      <c r="B36" s="31" t="s">
        <v>263</v>
      </c>
      <c r="C36" s="31" t="s">
        <v>294</v>
      </c>
      <c r="D36" s="31">
        <v>671</v>
      </c>
      <c r="E36" s="33">
        <v>179.34</v>
      </c>
      <c r="F36" s="33">
        <v>120337.14</v>
      </c>
      <c r="G36" s="31" t="s">
        <v>620</v>
      </c>
    </row>
    <row r="37" spans="1:7">
      <c r="A37" s="31" t="s">
        <v>330</v>
      </c>
      <c r="B37" s="31" t="s">
        <v>283</v>
      </c>
      <c r="C37" s="31" t="s">
        <v>294</v>
      </c>
      <c r="D37" s="31">
        <v>1754</v>
      </c>
      <c r="E37" s="33">
        <v>126.6</v>
      </c>
      <c r="F37" s="33">
        <v>222056.4</v>
      </c>
      <c r="G37" s="31" t="s">
        <v>620</v>
      </c>
    </row>
    <row r="38" spans="1:7">
      <c r="A38" s="31" t="s">
        <v>330</v>
      </c>
      <c r="B38" s="31" t="s">
        <v>328</v>
      </c>
      <c r="C38" s="31" t="s">
        <v>243</v>
      </c>
      <c r="D38" s="31">
        <v>75</v>
      </c>
      <c r="E38" s="33">
        <v>339.2</v>
      </c>
      <c r="F38" s="33">
        <v>25440</v>
      </c>
      <c r="G38" s="31" t="s">
        <v>98</v>
      </c>
    </row>
    <row r="39" spans="1:7">
      <c r="A39" s="31" t="s">
        <v>333</v>
      </c>
      <c r="B39" s="31" t="s">
        <v>267</v>
      </c>
      <c r="C39" s="31" t="s">
        <v>294</v>
      </c>
      <c r="D39" s="31">
        <v>298</v>
      </c>
      <c r="E39" s="33">
        <v>589.95000000000005</v>
      </c>
      <c r="F39" s="33">
        <v>175804.15</v>
      </c>
      <c r="G39" s="31" t="s">
        <v>620</v>
      </c>
    </row>
    <row r="40" spans="1:7">
      <c r="A40" s="31" t="s">
        <v>335</v>
      </c>
      <c r="B40" s="31" t="s">
        <v>302</v>
      </c>
      <c r="C40" s="31" t="s">
        <v>294</v>
      </c>
      <c r="D40" s="31">
        <v>188</v>
      </c>
      <c r="E40" s="33">
        <v>482.02</v>
      </c>
      <c r="F40" s="33">
        <v>90619.1</v>
      </c>
      <c r="G40" s="31" t="s">
        <v>620</v>
      </c>
    </row>
    <row r="41" spans="1:7">
      <c r="A41" s="31" t="s">
        <v>335</v>
      </c>
      <c r="B41" s="31" t="s">
        <v>46</v>
      </c>
      <c r="C41" s="31" t="s">
        <v>243</v>
      </c>
      <c r="D41" s="31">
        <v>119</v>
      </c>
      <c r="E41" s="33">
        <v>841.1</v>
      </c>
      <c r="F41" s="33">
        <v>100090.9</v>
      </c>
      <c r="G41" s="31" t="s">
        <v>107</v>
      </c>
    </row>
    <row r="42" spans="1:7">
      <c r="A42" s="31" t="s">
        <v>335</v>
      </c>
      <c r="B42" s="31" t="s">
        <v>95</v>
      </c>
      <c r="C42" s="31" t="s">
        <v>243</v>
      </c>
      <c r="D42" s="31">
        <v>100</v>
      </c>
      <c r="E42" s="33">
        <v>269.68</v>
      </c>
      <c r="F42" s="33">
        <v>26968.49</v>
      </c>
      <c r="G42" s="31" t="s">
        <v>98</v>
      </c>
    </row>
    <row r="43" spans="1:7">
      <c r="A43" s="31" t="s">
        <v>340</v>
      </c>
      <c r="B43" s="31" t="s">
        <v>95</v>
      </c>
      <c r="C43" s="31" t="s">
        <v>243</v>
      </c>
      <c r="D43" s="31">
        <v>176</v>
      </c>
      <c r="E43" s="33">
        <v>283.89</v>
      </c>
      <c r="F43" s="33">
        <v>49964.04</v>
      </c>
      <c r="G43" s="31" t="s">
        <v>99</v>
      </c>
    </row>
    <row r="44" spans="1:7">
      <c r="A44" s="31" t="s">
        <v>344</v>
      </c>
      <c r="B44" s="31" t="s">
        <v>69</v>
      </c>
      <c r="C44" s="31" t="s">
        <v>243</v>
      </c>
      <c r="D44" s="31">
        <v>210</v>
      </c>
      <c r="E44" s="33">
        <v>238.41</v>
      </c>
      <c r="F44" s="33">
        <v>50066.1</v>
      </c>
      <c r="G44" s="31" t="s">
        <v>98</v>
      </c>
    </row>
    <row r="45" spans="1:7">
      <c r="A45" s="31" t="s">
        <v>344</v>
      </c>
      <c r="B45" s="31" t="s">
        <v>355</v>
      </c>
      <c r="C45" s="31" t="s">
        <v>243</v>
      </c>
      <c r="D45" s="31">
        <v>9</v>
      </c>
      <c r="E45" s="33">
        <v>950.5</v>
      </c>
      <c r="F45" s="33">
        <v>8554.5</v>
      </c>
      <c r="G45" s="31" t="s">
        <v>98</v>
      </c>
    </row>
    <row r="46" spans="1:7">
      <c r="A46" s="31" t="s">
        <v>344</v>
      </c>
      <c r="B46" s="31" t="s">
        <v>342</v>
      </c>
      <c r="C46" s="31" t="s">
        <v>243</v>
      </c>
      <c r="D46" s="31">
        <v>205</v>
      </c>
      <c r="E46" s="33">
        <v>483.35</v>
      </c>
      <c r="F46" s="33">
        <v>99086.75</v>
      </c>
      <c r="G46" s="31" t="s">
        <v>104</v>
      </c>
    </row>
    <row r="47" spans="1:7">
      <c r="A47" s="31" t="s">
        <v>344</v>
      </c>
      <c r="B47" s="31" t="s">
        <v>352</v>
      </c>
      <c r="C47" s="31" t="s">
        <v>243</v>
      </c>
      <c r="D47" s="31">
        <v>120</v>
      </c>
      <c r="E47" s="33">
        <v>167.82</v>
      </c>
      <c r="F47" s="33">
        <v>20138.400000000001</v>
      </c>
      <c r="G47" s="31" t="s">
        <v>98</v>
      </c>
    </row>
    <row r="48" spans="1:7">
      <c r="A48" s="31" t="s">
        <v>344</v>
      </c>
      <c r="B48" s="31" t="s">
        <v>358</v>
      </c>
      <c r="C48" s="31" t="s">
        <v>243</v>
      </c>
      <c r="D48" s="31">
        <v>260</v>
      </c>
      <c r="E48" s="33">
        <v>292.10000000000002</v>
      </c>
      <c r="F48" s="33">
        <v>75946</v>
      </c>
      <c r="G48" s="31" t="s">
        <v>104</v>
      </c>
    </row>
    <row r="49" spans="1:7">
      <c r="A49" s="31" t="s">
        <v>344</v>
      </c>
      <c r="B49" s="31" t="s">
        <v>349</v>
      </c>
      <c r="C49" s="31" t="s">
        <v>243</v>
      </c>
      <c r="D49" s="31">
        <v>82</v>
      </c>
      <c r="E49" s="33">
        <v>367.7</v>
      </c>
      <c r="F49" s="33">
        <v>30151.4</v>
      </c>
      <c r="G49" s="31" t="s">
        <v>98</v>
      </c>
    </row>
    <row r="50" spans="1:7">
      <c r="A50" s="31" t="s">
        <v>344</v>
      </c>
      <c r="B50" s="31" t="s">
        <v>346</v>
      </c>
      <c r="C50" s="31" t="s">
        <v>243</v>
      </c>
      <c r="D50" s="31">
        <v>42</v>
      </c>
      <c r="E50" s="33">
        <v>955.88</v>
      </c>
      <c r="F50" s="33">
        <v>40147.050000000003</v>
      </c>
      <c r="G50" s="31" t="s">
        <v>98</v>
      </c>
    </row>
    <row r="51" spans="1:7">
      <c r="A51" s="31" t="s">
        <v>363</v>
      </c>
      <c r="B51" s="31" t="s">
        <v>328</v>
      </c>
      <c r="C51" s="31" t="s">
        <v>294</v>
      </c>
      <c r="D51" s="31">
        <v>75</v>
      </c>
      <c r="E51" s="33">
        <v>304.75</v>
      </c>
      <c r="F51" s="33">
        <v>22856.25</v>
      </c>
      <c r="G51" s="31" t="s">
        <v>620</v>
      </c>
    </row>
    <row r="52" spans="1:7">
      <c r="A52" s="31" t="s">
        <v>365</v>
      </c>
      <c r="B52" s="31" t="s">
        <v>260</v>
      </c>
      <c r="C52" s="31" t="s">
        <v>294</v>
      </c>
      <c r="D52" s="31">
        <v>168</v>
      </c>
      <c r="E52" s="33">
        <v>482.75</v>
      </c>
      <c r="F52" s="33">
        <v>81102.5</v>
      </c>
      <c r="G52" s="31" t="s">
        <v>620</v>
      </c>
    </row>
    <row r="53" spans="1:7">
      <c r="A53" s="31" t="s">
        <v>365</v>
      </c>
      <c r="B53" s="31" t="s">
        <v>257</v>
      </c>
      <c r="C53" s="31" t="s">
        <v>294</v>
      </c>
      <c r="D53" s="31">
        <v>19</v>
      </c>
      <c r="E53" s="33">
        <v>4056.8</v>
      </c>
      <c r="F53" s="33">
        <v>77079.199999999997</v>
      </c>
      <c r="G53" s="31" t="s">
        <v>620</v>
      </c>
    </row>
    <row r="54" spans="1:7">
      <c r="A54" s="31" t="s">
        <v>368</v>
      </c>
      <c r="B54" s="31" t="s">
        <v>68</v>
      </c>
      <c r="C54" s="31" t="s">
        <v>243</v>
      </c>
      <c r="D54" s="31">
        <v>12</v>
      </c>
      <c r="E54" s="33">
        <v>7775.42</v>
      </c>
      <c r="F54" s="33">
        <v>93305</v>
      </c>
      <c r="G54" s="31" t="s">
        <v>108</v>
      </c>
    </row>
    <row r="55" spans="1:7">
      <c r="A55" s="31" t="s">
        <v>370</v>
      </c>
      <c r="B55" s="31" t="s">
        <v>305</v>
      </c>
      <c r="C55" s="31" t="s">
        <v>243</v>
      </c>
      <c r="D55" s="31">
        <v>100</v>
      </c>
      <c r="E55" s="33">
        <v>268.67</v>
      </c>
      <c r="F55" s="33">
        <v>26867</v>
      </c>
      <c r="G55" s="31" t="s">
        <v>99</v>
      </c>
    </row>
    <row r="56" spans="1:7">
      <c r="A56" s="31" t="s">
        <v>373</v>
      </c>
      <c r="B56" s="31" t="s">
        <v>372</v>
      </c>
      <c r="C56" s="31" t="s">
        <v>243</v>
      </c>
      <c r="D56" s="31">
        <v>36</v>
      </c>
      <c r="E56" s="33">
        <v>1393.8</v>
      </c>
      <c r="F56" s="33">
        <v>50176.800000000003</v>
      </c>
      <c r="G56" s="31" t="s">
        <v>98</v>
      </c>
    </row>
    <row r="57" spans="1:7">
      <c r="A57" s="31" t="s">
        <v>373</v>
      </c>
      <c r="B57" s="31" t="s">
        <v>375</v>
      </c>
      <c r="C57" s="31" t="s">
        <v>243</v>
      </c>
      <c r="D57" s="31">
        <v>11</v>
      </c>
      <c r="E57" s="33">
        <v>4513.75</v>
      </c>
      <c r="F57" s="33">
        <v>49651.199999999997</v>
      </c>
      <c r="G57" s="31" t="s">
        <v>98</v>
      </c>
    </row>
    <row r="58" spans="1:7">
      <c r="A58" s="31" t="s">
        <v>378</v>
      </c>
      <c r="B58" s="31" t="s">
        <v>69</v>
      </c>
      <c r="C58" s="31" t="s">
        <v>243</v>
      </c>
      <c r="D58" s="31">
        <v>204</v>
      </c>
      <c r="E58" s="33">
        <v>246.27</v>
      </c>
      <c r="F58" s="33">
        <v>50240.04</v>
      </c>
      <c r="G58" s="31" t="s">
        <v>104</v>
      </c>
    </row>
    <row r="59" spans="1:7">
      <c r="A59" s="31" t="s">
        <v>378</v>
      </c>
      <c r="B59" s="31" t="s">
        <v>375</v>
      </c>
      <c r="C59" s="31" t="s">
        <v>243</v>
      </c>
      <c r="D59" s="31">
        <v>11</v>
      </c>
      <c r="E59" s="33">
        <v>4712.03</v>
      </c>
      <c r="F59" s="33">
        <v>51832.3</v>
      </c>
      <c r="G59" s="31" t="s">
        <v>104</v>
      </c>
    </row>
    <row r="60" spans="1:7">
      <c r="A60" s="31" t="s">
        <v>381</v>
      </c>
      <c r="B60" s="31" t="s">
        <v>383</v>
      </c>
      <c r="C60" s="31" t="s">
        <v>243</v>
      </c>
      <c r="D60" s="31">
        <v>920</v>
      </c>
      <c r="E60" s="33">
        <v>108.48</v>
      </c>
      <c r="F60" s="33">
        <v>99801.600000000006</v>
      </c>
      <c r="G60" s="31" t="s">
        <v>104</v>
      </c>
    </row>
    <row r="61" spans="1:7">
      <c r="A61" s="31" t="s">
        <v>381</v>
      </c>
      <c r="B61" s="31" t="s">
        <v>69</v>
      </c>
      <c r="C61" s="31" t="s">
        <v>243</v>
      </c>
      <c r="D61" s="31">
        <v>388</v>
      </c>
      <c r="E61" s="33">
        <v>257.7</v>
      </c>
      <c r="F61" s="33">
        <v>99987.74</v>
      </c>
      <c r="G61" s="31" t="s">
        <v>107</v>
      </c>
    </row>
    <row r="62" spans="1:7">
      <c r="A62" s="31" t="s">
        <v>388</v>
      </c>
      <c r="B62" s="31" t="s">
        <v>386</v>
      </c>
      <c r="C62" s="31" t="s">
        <v>243</v>
      </c>
      <c r="D62" s="31">
        <v>117</v>
      </c>
      <c r="E62" s="33">
        <v>426.6</v>
      </c>
      <c r="F62" s="33">
        <v>49912.2</v>
      </c>
      <c r="G62" s="31" t="s">
        <v>98</v>
      </c>
    </row>
    <row r="63" spans="1:7">
      <c r="A63" s="31" t="s">
        <v>388</v>
      </c>
      <c r="B63" s="31" t="s">
        <v>75</v>
      </c>
      <c r="C63" s="31" t="s">
        <v>243</v>
      </c>
      <c r="D63" s="31">
        <v>18</v>
      </c>
      <c r="E63" s="33">
        <v>2801.6</v>
      </c>
      <c r="F63" s="33">
        <v>50428.800000000003</v>
      </c>
      <c r="G63" s="31" t="s">
        <v>98</v>
      </c>
    </row>
    <row r="64" spans="1:7">
      <c r="A64" s="31" t="s">
        <v>394</v>
      </c>
      <c r="B64" s="31" t="s">
        <v>392</v>
      </c>
      <c r="C64" s="31" t="s">
        <v>243</v>
      </c>
      <c r="D64" s="31">
        <v>103</v>
      </c>
      <c r="E64" s="33">
        <v>485.05</v>
      </c>
      <c r="F64" s="33">
        <v>49960.15</v>
      </c>
      <c r="G64" s="31" t="s">
        <v>98</v>
      </c>
    </row>
    <row r="65" spans="1:7">
      <c r="A65" s="31" t="s">
        <v>394</v>
      </c>
      <c r="B65" s="31" t="s">
        <v>386</v>
      </c>
      <c r="C65" s="31" t="s">
        <v>243</v>
      </c>
      <c r="D65" s="31">
        <v>111</v>
      </c>
      <c r="E65" s="33">
        <v>450.45</v>
      </c>
      <c r="F65" s="33">
        <v>49999.95</v>
      </c>
      <c r="G65" s="31" t="s">
        <v>104</v>
      </c>
    </row>
    <row r="66" spans="1:7">
      <c r="A66" s="31" t="s">
        <v>399</v>
      </c>
      <c r="B66" s="31" t="s">
        <v>397</v>
      </c>
      <c r="C66" s="31" t="s">
        <v>243</v>
      </c>
      <c r="D66" s="31">
        <v>19</v>
      </c>
      <c r="E66" s="33">
        <v>1314.6</v>
      </c>
      <c r="F66" s="33">
        <v>24977.4</v>
      </c>
      <c r="G66" s="31" t="s">
        <v>98</v>
      </c>
    </row>
    <row r="67" spans="1:7">
      <c r="A67" s="31" t="s">
        <v>401</v>
      </c>
      <c r="B67" s="31" t="s">
        <v>305</v>
      </c>
      <c r="C67" s="31" t="s">
        <v>294</v>
      </c>
      <c r="D67" s="31">
        <v>220</v>
      </c>
      <c r="E67" s="33">
        <v>245.9</v>
      </c>
      <c r="F67" s="33">
        <v>54098</v>
      </c>
      <c r="G67" s="31" t="s">
        <v>620</v>
      </c>
    </row>
    <row r="68" spans="1:7">
      <c r="A68" s="31" t="s">
        <v>403</v>
      </c>
      <c r="B68" s="31" t="s">
        <v>46</v>
      </c>
      <c r="C68" s="31" t="s">
        <v>243</v>
      </c>
      <c r="D68" s="31">
        <v>108</v>
      </c>
      <c r="E68" s="33">
        <v>926.51</v>
      </c>
      <c r="F68" s="33">
        <v>100063.1</v>
      </c>
      <c r="G68" s="31" t="s">
        <v>108</v>
      </c>
    </row>
    <row r="69" spans="1:7">
      <c r="A69" s="31" t="s">
        <v>403</v>
      </c>
      <c r="B69" s="31" t="s">
        <v>118</v>
      </c>
      <c r="C69" s="31" t="s">
        <v>243</v>
      </c>
      <c r="D69" s="31">
        <v>182</v>
      </c>
      <c r="E69" s="33">
        <v>137.25</v>
      </c>
      <c r="F69" s="33">
        <v>24979.5</v>
      </c>
      <c r="G69" s="31" t="s">
        <v>98</v>
      </c>
    </row>
    <row r="70" spans="1:7">
      <c r="A70" s="31" t="s">
        <v>403</v>
      </c>
      <c r="B70" s="31" t="s">
        <v>140</v>
      </c>
      <c r="C70" s="31" t="s">
        <v>243</v>
      </c>
      <c r="D70" s="31">
        <v>300</v>
      </c>
      <c r="E70" s="33">
        <v>84.49</v>
      </c>
      <c r="F70" s="33">
        <v>25347</v>
      </c>
      <c r="G70" s="31" t="s">
        <v>98</v>
      </c>
    </row>
    <row r="71" spans="1:7">
      <c r="A71" s="31" t="s">
        <v>410</v>
      </c>
      <c r="B71" s="31" t="s">
        <v>283</v>
      </c>
      <c r="C71" s="31" t="s">
        <v>243</v>
      </c>
      <c r="D71" s="31">
        <v>324</v>
      </c>
      <c r="E71" s="33">
        <v>154.59</v>
      </c>
      <c r="F71" s="33">
        <v>50087.6</v>
      </c>
      <c r="G71" s="31" t="s">
        <v>98</v>
      </c>
    </row>
    <row r="72" spans="1:7">
      <c r="A72" s="31" t="s">
        <v>410</v>
      </c>
      <c r="B72" s="31" t="s">
        <v>48</v>
      </c>
      <c r="C72" s="31" t="s">
        <v>294</v>
      </c>
      <c r="D72" s="31">
        <v>665</v>
      </c>
      <c r="E72" s="33">
        <v>72.98</v>
      </c>
      <c r="F72" s="33">
        <v>48531.7</v>
      </c>
      <c r="G72" s="31" t="s">
        <v>620</v>
      </c>
    </row>
    <row r="73" spans="1:7">
      <c r="A73" s="31" t="s">
        <v>410</v>
      </c>
      <c r="B73" s="31" t="s">
        <v>346</v>
      </c>
      <c r="C73" s="31" t="s">
        <v>294</v>
      </c>
      <c r="D73" s="31">
        <v>52</v>
      </c>
      <c r="E73" s="33">
        <v>814.95</v>
      </c>
      <c r="F73" s="33">
        <v>42377.3</v>
      </c>
      <c r="G73" s="31" t="s">
        <v>620</v>
      </c>
    </row>
    <row r="74" spans="1:7">
      <c r="A74" s="31" t="s">
        <v>410</v>
      </c>
      <c r="B74" s="31" t="s">
        <v>267</v>
      </c>
      <c r="C74" s="31" t="s">
        <v>243</v>
      </c>
      <c r="D74" s="31">
        <v>41</v>
      </c>
      <c r="E74" s="33">
        <v>612</v>
      </c>
      <c r="F74" s="33">
        <v>25092</v>
      </c>
      <c r="G74" s="31" t="s">
        <v>98</v>
      </c>
    </row>
    <row r="75" spans="1:7">
      <c r="A75" s="31" t="s">
        <v>410</v>
      </c>
      <c r="B75" s="31" t="s">
        <v>61</v>
      </c>
      <c r="C75" s="31" t="s">
        <v>243</v>
      </c>
      <c r="D75" s="31">
        <v>4</v>
      </c>
      <c r="E75" s="33">
        <v>2936.3</v>
      </c>
      <c r="F75" s="33">
        <v>11745.2</v>
      </c>
      <c r="G75" s="31" t="s">
        <v>98</v>
      </c>
    </row>
    <row r="76" spans="1:7">
      <c r="A76" s="31" t="s">
        <v>410</v>
      </c>
      <c r="B76" s="31" t="s">
        <v>48</v>
      </c>
      <c r="C76" s="31" t="s">
        <v>243</v>
      </c>
      <c r="D76" s="31">
        <v>665</v>
      </c>
      <c r="E76" s="33">
        <v>75.5</v>
      </c>
      <c r="F76" s="33">
        <v>50207.5</v>
      </c>
      <c r="G76" s="31" t="s">
        <v>98</v>
      </c>
    </row>
    <row r="77" spans="1:7">
      <c r="A77" s="31" t="s">
        <v>418</v>
      </c>
      <c r="B77" s="31" t="s">
        <v>48</v>
      </c>
      <c r="C77" s="31" t="s">
        <v>243</v>
      </c>
      <c r="D77" s="31">
        <v>500</v>
      </c>
      <c r="E77" s="33">
        <v>84.92</v>
      </c>
      <c r="F77" s="33">
        <v>42460</v>
      </c>
      <c r="G77" s="31" t="s">
        <v>98</v>
      </c>
    </row>
    <row r="78" spans="1:7">
      <c r="A78" s="31" t="s">
        <v>420</v>
      </c>
      <c r="B78" s="31" t="s">
        <v>375</v>
      </c>
      <c r="C78" s="31" t="s">
        <v>294</v>
      </c>
      <c r="D78" s="31">
        <v>22</v>
      </c>
      <c r="E78" s="33">
        <v>4030.42</v>
      </c>
      <c r="F78" s="33">
        <v>88669.2</v>
      </c>
      <c r="G78" s="31" t="s">
        <v>620</v>
      </c>
    </row>
    <row r="79" spans="1:7">
      <c r="A79" s="31" t="s">
        <v>420</v>
      </c>
      <c r="B79" s="31" t="s">
        <v>425</v>
      </c>
      <c r="C79" s="31" t="s">
        <v>243</v>
      </c>
      <c r="D79" s="31">
        <v>600</v>
      </c>
      <c r="E79" s="33">
        <v>44.47</v>
      </c>
      <c r="F79" s="33">
        <v>26682</v>
      </c>
      <c r="G79" s="31" t="s">
        <v>98</v>
      </c>
    </row>
    <row r="80" spans="1:7">
      <c r="A80" s="31" t="s">
        <v>420</v>
      </c>
      <c r="B80" s="31" t="s">
        <v>355</v>
      </c>
      <c r="C80" s="31" t="s">
        <v>243</v>
      </c>
      <c r="D80" s="31">
        <v>24</v>
      </c>
      <c r="E80" s="33">
        <v>1043.0999999999999</v>
      </c>
      <c r="F80" s="33">
        <v>25034.400000000001</v>
      </c>
      <c r="G80" s="31" t="s">
        <v>99</v>
      </c>
    </row>
    <row r="81" spans="1:7">
      <c r="A81" s="31" t="s">
        <v>420</v>
      </c>
      <c r="B81" s="31" t="s">
        <v>69</v>
      </c>
      <c r="C81" s="31" t="s">
        <v>243</v>
      </c>
      <c r="D81" s="31">
        <v>370</v>
      </c>
      <c r="E81" s="33">
        <v>270.25</v>
      </c>
      <c r="F81" s="33">
        <v>99991.4</v>
      </c>
      <c r="G81" s="31" t="s">
        <v>108</v>
      </c>
    </row>
    <row r="82" spans="1:7">
      <c r="A82" s="31" t="s">
        <v>420</v>
      </c>
      <c r="B82" s="31" t="s">
        <v>48</v>
      </c>
      <c r="C82" s="31" t="s">
        <v>243</v>
      </c>
      <c r="D82" s="31">
        <v>525</v>
      </c>
      <c r="E82" s="33">
        <v>96.34</v>
      </c>
      <c r="F82" s="33">
        <v>50578.5</v>
      </c>
      <c r="G82" s="31" t="s">
        <v>104</v>
      </c>
    </row>
    <row r="83" spans="1:7">
      <c r="A83" s="31" t="s">
        <v>420</v>
      </c>
      <c r="B83" s="31" t="s">
        <v>118</v>
      </c>
      <c r="C83" s="31" t="s">
        <v>243</v>
      </c>
      <c r="D83" s="31">
        <v>180</v>
      </c>
      <c r="E83" s="33">
        <v>140.28</v>
      </c>
      <c r="F83" s="33">
        <v>25249.79</v>
      </c>
      <c r="G83" s="31" t="s">
        <v>99</v>
      </c>
    </row>
    <row r="84" spans="1:7">
      <c r="A84" s="31" t="s">
        <v>420</v>
      </c>
      <c r="B84" s="31" t="s">
        <v>431</v>
      </c>
      <c r="C84" s="31" t="s">
        <v>243</v>
      </c>
      <c r="D84" s="31">
        <v>160</v>
      </c>
      <c r="E84" s="33">
        <v>157.27000000000001</v>
      </c>
      <c r="F84" s="33">
        <v>25162.48</v>
      </c>
      <c r="G84" s="31" t="s">
        <v>98</v>
      </c>
    </row>
    <row r="85" spans="1:7">
      <c r="A85" s="31" t="s">
        <v>420</v>
      </c>
      <c r="B85" s="31" t="s">
        <v>428</v>
      </c>
      <c r="C85" s="31" t="s">
        <v>243</v>
      </c>
      <c r="D85" s="31">
        <v>10</v>
      </c>
      <c r="E85" s="33">
        <v>131.88999999999999</v>
      </c>
      <c r="F85" s="33">
        <v>1318.9</v>
      </c>
      <c r="G85" s="31" t="s">
        <v>98</v>
      </c>
    </row>
    <row r="86" spans="1:7">
      <c r="A86" s="31" t="s">
        <v>420</v>
      </c>
      <c r="B86" s="31" t="s">
        <v>434</v>
      </c>
      <c r="C86" s="31" t="s">
        <v>243</v>
      </c>
      <c r="D86" s="31">
        <v>20</v>
      </c>
      <c r="E86" s="33">
        <v>66.849999999999994</v>
      </c>
      <c r="F86" s="33">
        <v>1337</v>
      </c>
      <c r="G86" s="31" t="s">
        <v>98</v>
      </c>
    </row>
    <row r="87" spans="1:7">
      <c r="A87" s="31" t="s">
        <v>440</v>
      </c>
      <c r="B87" s="31" t="s">
        <v>397</v>
      </c>
      <c r="C87" s="31" t="s">
        <v>294</v>
      </c>
      <c r="D87" s="31">
        <v>19</v>
      </c>
      <c r="E87" s="33">
        <v>1130.3</v>
      </c>
      <c r="F87" s="33">
        <v>21475.7</v>
      </c>
      <c r="G87" s="31" t="s">
        <v>620</v>
      </c>
    </row>
    <row r="88" spans="1:7">
      <c r="A88" s="31" t="s">
        <v>440</v>
      </c>
      <c r="B88" s="31" t="s">
        <v>434</v>
      </c>
      <c r="C88" s="31" t="s">
        <v>243</v>
      </c>
      <c r="D88" s="31">
        <v>360</v>
      </c>
      <c r="E88" s="33">
        <v>66.84</v>
      </c>
      <c r="F88" s="33">
        <v>24062.69</v>
      </c>
      <c r="G88" s="31" t="s">
        <v>99</v>
      </c>
    </row>
    <row r="89" spans="1:7">
      <c r="A89" s="31" t="s">
        <v>440</v>
      </c>
      <c r="B89" s="31" t="s">
        <v>428</v>
      </c>
      <c r="C89" s="31" t="s">
        <v>243</v>
      </c>
      <c r="D89" s="31">
        <v>190</v>
      </c>
      <c r="E89" s="33">
        <v>127.48</v>
      </c>
      <c r="F89" s="33">
        <v>24221.200000000001</v>
      </c>
      <c r="G89" s="31" t="s">
        <v>99</v>
      </c>
    </row>
    <row r="90" spans="1:7">
      <c r="A90" s="31" t="s">
        <v>444</v>
      </c>
      <c r="B90" s="31" t="s">
        <v>383</v>
      </c>
      <c r="C90" s="31" t="s">
        <v>294</v>
      </c>
      <c r="D90" s="31">
        <v>920</v>
      </c>
      <c r="E90" s="33">
        <v>89.75</v>
      </c>
      <c r="F90" s="33">
        <v>82570</v>
      </c>
      <c r="G90" s="31" t="s">
        <v>620</v>
      </c>
    </row>
    <row r="91" spans="1:7">
      <c r="A91" s="31" t="s">
        <v>444</v>
      </c>
      <c r="B91" s="31" t="s">
        <v>386</v>
      </c>
      <c r="C91" s="31" t="s">
        <v>294</v>
      </c>
      <c r="D91" s="31">
        <v>228</v>
      </c>
      <c r="E91" s="33">
        <v>395.42</v>
      </c>
      <c r="F91" s="33">
        <v>90155.4</v>
      </c>
      <c r="G91" s="31" t="s">
        <v>620</v>
      </c>
    </row>
    <row r="92" spans="1:7">
      <c r="A92" s="31" t="s">
        <v>447</v>
      </c>
      <c r="B92" s="31" t="s">
        <v>52</v>
      </c>
      <c r="C92" s="31" t="s">
        <v>243</v>
      </c>
      <c r="D92" s="31">
        <v>10</v>
      </c>
      <c r="E92" s="33">
        <v>1282.3599999999999</v>
      </c>
      <c r="F92" s="33">
        <v>12823.6</v>
      </c>
      <c r="G92" s="31" t="s">
        <v>98</v>
      </c>
    </row>
    <row r="93" spans="1:7">
      <c r="A93" s="31" t="s">
        <v>447</v>
      </c>
      <c r="B93" s="31" t="s">
        <v>450</v>
      </c>
      <c r="C93" s="31" t="s">
        <v>243</v>
      </c>
      <c r="D93" s="31">
        <v>168</v>
      </c>
      <c r="E93" s="33">
        <v>449.35</v>
      </c>
      <c r="F93" s="33">
        <v>75490.05</v>
      </c>
      <c r="G93" s="31" t="s">
        <v>104</v>
      </c>
    </row>
    <row r="94" spans="1:7">
      <c r="A94" s="31" t="s">
        <v>447</v>
      </c>
      <c r="B94" s="31" t="s">
        <v>46</v>
      </c>
      <c r="C94" s="31" t="s">
        <v>294</v>
      </c>
      <c r="D94" s="31">
        <v>103</v>
      </c>
      <c r="E94" s="33">
        <v>968.1</v>
      </c>
      <c r="F94" s="33">
        <v>99714.35</v>
      </c>
      <c r="G94" s="31" t="s">
        <v>620</v>
      </c>
    </row>
    <row r="95" spans="1:7">
      <c r="A95" s="31" t="s">
        <v>447</v>
      </c>
      <c r="B95" s="31" t="s">
        <v>355</v>
      </c>
      <c r="C95" s="31" t="s">
        <v>243</v>
      </c>
      <c r="D95" s="31">
        <v>93</v>
      </c>
      <c r="E95" s="33">
        <v>1078</v>
      </c>
      <c r="F95" s="33">
        <v>100254</v>
      </c>
      <c r="G95" s="31" t="s">
        <v>104</v>
      </c>
    </row>
    <row r="96" spans="1:7">
      <c r="A96" s="31" t="s">
        <v>447</v>
      </c>
      <c r="B96" s="31" t="s">
        <v>425</v>
      </c>
      <c r="C96" s="31" t="s">
        <v>294</v>
      </c>
      <c r="D96" s="31">
        <v>600</v>
      </c>
      <c r="E96" s="33">
        <v>37.549999999999997</v>
      </c>
      <c r="F96" s="33">
        <v>22532.01</v>
      </c>
      <c r="G96" s="31" t="s">
        <v>620</v>
      </c>
    </row>
    <row r="97" spans="1:7">
      <c r="A97" s="31" t="s">
        <v>457</v>
      </c>
      <c r="B97" s="31" t="s">
        <v>318</v>
      </c>
      <c r="C97" s="31" t="s">
        <v>294</v>
      </c>
      <c r="D97" s="31">
        <v>94</v>
      </c>
      <c r="E97" s="33">
        <v>898.15</v>
      </c>
      <c r="F97" s="33">
        <v>84426.1</v>
      </c>
      <c r="G97" s="31" t="s">
        <v>620</v>
      </c>
    </row>
    <row r="98" spans="1:7">
      <c r="A98" s="31" t="s">
        <v>457</v>
      </c>
      <c r="B98" s="31" t="s">
        <v>283</v>
      </c>
      <c r="C98" s="31" t="s">
        <v>294</v>
      </c>
      <c r="D98" s="31">
        <v>324</v>
      </c>
      <c r="E98" s="33">
        <v>140.33000000000001</v>
      </c>
      <c r="F98" s="33">
        <v>45468</v>
      </c>
      <c r="G98" s="31" t="s">
        <v>620</v>
      </c>
    </row>
    <row r="99" spans="1:7">
      <c r="A99" s="31" t="s">
        <v>457</v>
      </c>
      <c r="B99" s="31" t="s">
        <v>358</v>
      </c>
      <c r="C99" s="31" t="s">
        <v>294</v>
      </c>
      <c r="D99" s="31">
        <v>260</v>
      </c>
      <c r="E99" s="33">
        <v>271.56</v>
      </c>
      <c r="F99" s="33">
        <v>70604.55</v>
      </c>
      <c r="G99" s="31" t="s">
        <v>620</v>
      </c>
    </row>
    <row r="100" spans="1:7">
      <c r="A100" s="31" t="s">
        <v>457</v>
      </c>
      <c r="B100" s="31" t="s">
        <v>372</v>
      </c>
      <c r="C100" s="31" t="s">
        <v>294</v>
      </c>
      <c r="D100" s="31">
        <v>36</v>
      </c>
      <c r="E100" s="33">
        <v>1416.6</v>
      </c>
      <c r="F100" s="33">
        <v>50997.599999999999</v>
      </c>
      <c r="G100" s="31" t="s">
        <v>620</v>
      </c>
    </row>
    <row r="101" spans="1:7">
      <c r="A101" s="31" t="s">
        <v>457</v>
      </c>
      <c r="B101" s="31" t="s">
        <v>428</v>
      </c>
      <c r="C101" s="31" t="s">
        <v>294</v>
      </c>
      <c r="D101" s="31">
        <v>200</v>
      </c>
      <c r="E101" s="33">
        <v>119.56</v>
      </c>
      <c r="F101" s="33">
        <v>23912</v>
      </c>
      <c r="G101" s="31" t="s">
        <v>620</v>
      </c>
    </row>
    <row r="102" spans="1:7">
      <c r="A102" s="31" t="s">
        <v>457</v>
      </c>
      <c r="B102" s="31" t="s">
        <v>245</v>
      </c>
      <c r="C102" s="31" t="s">
        <v>294</v>
      </c>
      <c r="D102" s="31">
        <v>64</v>
      </c>
      <c r="E102" s="33">
        <v>1299.4000000000001</v>
      </c>
      <c r="F102" s="33">
        <v>83161.600000000006</v>
      </c>
      <c r="G102" s="31" t="s">
        <v>620</v>
      </c>
    </row>
    <row r="103" spans="1:7">
      <c r="A103" s="31" t="s">
        <v>465</v>
      </c>
      <c r="B103" s="31" t="s">
        <v>431</v>
      </c>
      <c r="C103" s="31" t="s">
        <v>243</v>
      </c>
      <c r="D103" s="31">
        <v>305</v>
      </c>
      <c r="E103" s="33">
        <v>163.99</v>
      </c>
      <c r="F103" s="33">
        <v>50016.95</v>
      </c>
      <c r="G103" s="31" t="s">
        <v>99</v>
      </c>
    </row>
    <row r="104" spans="1:7">
      <c r="A104" s="31" t="s">
        <v>468</v>
      </c>
      <c r="B104" s="31" t="s">
        <v>80</v>
      </c>
      <c r="C104" s="31" t="s">
        <v>243</v>
      </c>
      <c r="D104" s="31">
        <v>45</v>
      </c>
      <c r="E104" s="33">
        <v>2237.6</v>
      </c>
      <c r="F104" s="33">
        <v>100692</v>
      </c>
      <c r="G104" s="31" t="s">
        <v>104</v>
      </c>
    </row>
    <row r="105" spans="1:7">
      <c r="A105" s="31" t="s">
        <v>471</v>
      </c>
      <c r="B105" s="31" t="s">
        <v>474</v>
      </c>
      <c r="C105" s="31" t="s">
        <v>243</v>
      </c>
      <c r="D105" s="31">
        <v>10</v>
      </c>
      <c r="E105" s="33">
        <v>483.55</v>
      </c>
      <c r="F105" s="33">
        <v>4835.5</v>
      </c>
      <c r="G105" s="31" t="s">
        <v>98</v>
      </c>
    </row>
    <row r="106" spans="1:7">
      <c r="A106" s="31" t="s">
        <v>471</v>
      </c>
      <c r="B106" s="31" t="s">
        <v>67</v>
      </c>
      <c r="C106" s="31" t="s">
        <v>243</v>
      </c>
      <c r="D106" s="31">
        <v>10</v>
      </c>
      <c r="E106" s="33">
        <v>853.85</v>
      </c>
      <c r="F106" s="33">
        <v>8538.5</v>
      </c>
      <c r="G106" s="31" t="s">
        <v>98</v>
      </c>
    </row>
    <row r="107" spans="1:7">
      <c r="A107" s="31" t="s">
        <v>471</v>
      </c>
      <c r="B107" s="31" t="s">
        <v>52</v>
      </c>
      <c r="C107" s="31" t="s">
        <v>243</v>
      </c>
      <c r="D107" s="31">
        <v>10</v>
      </c>
      <c r="E107" s="33">
        <v>1368</v>
      </c>
      <c r="F107" s="33">
        <v>13680</v>
      </c>
      <c r="G107" s="31" t="s">
        <v>99</v>
      </c>
    </row>
    <row r="108" spans="1:7">
      <c r="A108" s="31" t="s">
        <v>471</v>
      </c>
      <c r="B108" s="31" t="s">
        <v>88</v>
      </c>
      <c r="C108" s="31" t="s">
        <v>243</v>
      </c>
      <c r="D108" s="31">
        <v>10</v>
      </c>
      <c r="E108" s="33">
        <v>684</v>
      </c>
      <c r="F108" s="33">
        <v>6840</v>
      </c>
      <c r="G108" s="31" t="s">
        <v>98</v>
      </c>
    </row>
    <row r="109" spans="1:7">
      <c r="A109" s="31" t="s">
        <v>478</v>
      </c>
      <c r="B109" s="31" t="s">
        <v>52</v>
      </c>
      <c r="C109" s="31" t="s">
        <v>243</v>
      </c>
      <c r="D109" s="31">
        <v>14</v>
      </c>
      <c r="E109" s="33">
        <v>1380.66</v>
      </c>
      <c r="F109" s="33">
        <v>19329.3</v>
      </c>
      <c r="G109" s="31" t="s">
        <v>173</v>
      </c>
    </row>
    <row r="110" spans="1:7">
      <c r="A110" s="31" t="s">
        <v>480</v>
      </c>
      <c r="B110" s="31" t="s">
        <v>355</v>
      </c>
      <c r="C110" s="31" t="s">
        <v>243</v>
      </c>
      <c r="D110" s="31">
        <v>82</v>
      </c>
      <c r="E110" s="33">
        <v>1213.74</v>
      </c>
      <c r="F110" s="33">
        <v>99527</v>
      </c>
      <c r="G110" s="31" t="s">
        <v>107</v>
      </c>
    </row>
    <row r="111" spans="1:7">
      <c r="A111" s="31" t="s">
        <v>480</v>
      </c>
      <c r="B111" s="31" t="s">
        <v>484</v>
      </c>
      <c r="C111" s="31" t="s">
        <v>243</v>
      </c>
      <c r="D111" s="31">
        <v>80</v>
      </c>
      <c r="E111" s="33">
        <v>314.7</v>
      </c>
      <c r="F111" s="33">
        <v>25175.98</v>
      </c>
      <c r="G111" s="31" t="s">
        <v>98</v>
      </c>
    </row>
    <row r="112" spans="1:7">
      <c r="A112" s="31" t="s">
        <v>480</v>
      </c>
      <c r="B112" s="31" t="s">
        <v>392</v>
      </c>
      <c r="C112" s="31" t="s">
        <v>243</v>
      </c>
      <c r="D112" s="31">
        <v>93</v>
      </c>
      <c r="E112" s="33">
        <v>538.91999999999996</v>
      </c>
      <c r="F112" s="33">
        <v>50119.35</v>
      </c>
      <c r="G112" s="31" t="s">
        <v>104</v>
      </c>
    </row>
    <row r="113" spans="1:7">
      <c r="A113" s="31" t="s">
        <v>480</v>
      </c>
      <c r="B113" s="31" t="s">
        <v>88</v>
      </c>
      <c r="C113" s="31" t="s">
        <v>243</v>
      </c>
      <c r="D113" s="31">
        <v>27</v>
      </c>
      <c r="E113" s="33">
        <v>714.9</v>
      </c>
      <c r="F113" s="33">
        <v>19302.3</v>
      </c>
      <c r="G113" s="31" t="s">
        <v>99</v>
      </c>
    </row>
    <row r="114" spans="1:7">
      <c r="A114" s="31" t="s">
        <v>487</v>
      </c>
      <c r="B114" s="31" t="s">
        <v>352</v>
      </c>
      <c r="C114" s="31" t="s">
        <v>243</v>
      </c>
      <c r="D114" s="31">
        <v>266</v>
      </c>
      <c r="E114" s="33">
        <v>188.15</v>
      </c>
      <c r="F114" s="33">
        <v>50047.9</v>
      </c>
      <c r="G114" s="31" t="s">
        <v>99</v>
      </c>
    </row>
    <row r="115" spans="1:7">
      <c r="A115" s="31" t="s">
        <v>487</v>
      </c>
      <c r="B115" s="31" t="s">
        <v>434</v>
      </c>
      <c r="C115" s="31" t="s">
        <v>243</v>
      </c>
      <c r="D115" s="31">
        <v>340</v>
      </c>
      <c r="E115" s="33">
        <v>75</v>
      </c>
      <c r="F115" s="33">
        <v>25500</v>
      </c>
      <c r="G115" s="31" t="s">
        <v>173</v>
      </c>
    </row>
    <row r="116" spans="1:7">
      <c r="A116" s="31" t="s">
        <v>487</v>
      </c>
      <c r="B116" s="31" t="s">
        <v>67</v>
      </c>
      <c r="C116" s="31" t="s">
        <v>243</v>
      </c>
      <c r="D116" s="31">
        <v>45</v>
      </c>
      <c r="E116" s="33">
        <v>908</v>
      </c>
      <c r="F116" s="33">
        <v>40860</v>
      </c>
      <c r="G116" s="31" t="s">
        <v>99</v>
      </c>
    </row>
    <row r="117" spans="1:7">
      <c r="A117" s="31" t="s">
        <v>487</v>
      </c>
      <c r="B117" s="31" t="s">
        <v>474</v>
      </c>
      <c r="C117" s="31" t="s">
        <v>294</v>
      </c>
      <c r="D117" s="31">
        <v>10</v>
      </c>
      <c r="E117" s="33">
        <v>419.3</v>
      </c>
      <c r="F117" s="33">
        <v>4193</v>
      </c>
      <c r="G117" s="31" t="s">
        <v>620</v>
      </c>
    </row>
    <row r="118" spans="1:7">
      <c r="A118" s="31" t="s">
        <v>492</v>
      </c>
      <c r="B118" s="31" t="s">
        <v>392</v>
      </c>
      <c r="C118" s="31" t="s">
        <v>294</v>
      </c>
      <c r="D118" s="31">
        <v>196</v>
      </c>
      <c r="E118" s="33">
        <v>420.4</v>
      </c>
      <c r="F118" s="33">
        <v>82398.399999999994</v>
      </c>
      <c r="G118" s="31" t="s">
        <v>620</v>
      </c>
    </row>
    <row r="119" spans="1:7">
      <c r="A119" s="31" t="s">
        <v>494</v>
      </c>
      <c r="B119" s="31" t="s">
        <v>450</v>
      </c>
      <c r="C119" s="31" t="s">
        <v>243</v>
      </c>
      <c r="D119" s="31">
        <v>54</v>
      </c>
      <c r="E119" s="33">
        <v>468.3</v>
      </c>
      <c r="F119" s="33">
        <v>25288.2</v>
      </c>
      <c r="G119" s="31" t="s">
        <v>98</v>
      </c>
    </row>
    <row r="120" spans="1:7">
      <c r="A120" s="31" t="s">
        <v>494</v>
      </c>
      <c r="B120" s="31" t="s">
        <v>496</v>
      </c>
      <c r="C120" s="31" t="s">
        <v>243</v>
      </c>
      <c r="D120" s="31">
        <v>121</v>
      </c>
      <c r="E120" s="33">
        <v>206.6</v>
      </c>
      <c r="F120" s="33">
        <v>24998.6</v>
      </c>
      <c r="G120" s="31" t="s">
        <v>98</v>
      </c>
    </row>
    <row r="121" spans="1:7">
      <c r="A121" s="31" t="s">
        <v>499</v>
      </c>
      <c r="B121" s="31" t="s">
        <v>71</v>
      </c>
      <c r="C121" s="31" t="s">
        <v>243</v>
      </c>
      <c r="D121" s="31">
        <v>13</v>
      </c>
      <c r="E121" s="33">
        <v>3775.7</v>
      </c>
      <c r="F121" s="33">
        <v>49084.1</v>
      </c>
      <c r="G121" s="31" t="s">
        <v>98</v>
      </c>
    </row>
    <row r="122" spans="1:7">
      <c r="A122" s="31" t="s">
        <v>499</v>
      </c>
      <c r="B122" s="31" t="s">
        <v>77</v>
      </c>
      <c r="C122" s="31" t="s">
        <v>243</v>
      </c>
      <c r="D122" s="31">
        <v>49</v>
      </c>
      <c r="E122" s="33">
        <v>1033.1600000000001</v>
      </c>
      <c r="F122" s="33">
        <v>50624.6</v>
      </c>
      <c r="G122" s="31" t="s">
        <v>98</v>
      </c>
    </row>
    <row r="123" spans="1:7">
      <c r="A123" s="31" t="s">
        <v>499</v>
      </c>
      <c r="B123" s="31" t="s">
        <v>67</v>
      </c>
      <c r="C123" s="31" t="s">
        <v>243</v>
      </c>
      <c r="D123" s="31">
        <v>118</v>
      </c>
      <c r="E123" s="33">
        <v>846.96</v>
      </c>
      <c r="F123" s="33">
        <v>99941</v>
      </c>
      <c r="G123" s="31" t="s">
        <v>104</v>
      </c>
    </row>
    <row r="124" spans="1:7">
      <c r="A124" s="31" t="s">
        <v>499</v>
      </c>
      <c r="B124" s="31" t="s">
        <v>68</v>
      </c>
      <c r="C124" s="31" t="s">
        <v>243</v>
      </c>
      <c r="D124" s="31">
        <v>12</v>
      </c>
      <c r="E124" s="33">
        <v>8230.5</v>
      </c>
      <c r="F124" s="33">
        <v>98766</v>
      </c>
      <c r="G124" s="31" t="s">
        <v>109</v>
      </c>
    </row>
    <row r="125" spans="1:7">
      <c r="A125" s="31" t="s">
        <v>499</v>
      </c>
      <c r="B125" s="31" t="s">
        <v>501</v>
      </c>
      <c r="C125" s="31" t="s">
        <v>243</v>
      </c>
      <c r="D125" s="31">
        <v>92</v>
      </c>
      <c r="E125" s="33">
        <v>272.58999999999997</v>
      </c>
      <c r="F125" s="33">
        <v>25078.28</v>
      </c>
      <c r="G125" s="31" t="s">
        <v>98</v>
      </c>
    </row>
    <row r="126" spans="1:7">
      <c r="A126" s="31" t="s">
        <v>509</v>
      </c>
      <c r="B126" s="31" t="s">
        <v>431</v>
      </c>
      <c r="C126" s="31" t="s">
        <v>294</v>
      </c>
      <c r="D126" s="31">
        <v>465</v>
      </c>
      <c r="E126" s="33">
        <v>152.81</v>
      </c>
      <c r="F126" s="33">
        <v>71056.850000000006</v>
      </c>
      <c r="G126" s="31" t="s">
        <v>620</v>
      </c>
    </row>
    <row r="127" spans="1:7">
      <c r="A127" s="31" t="s">
        <v>511</v>
      </c>
      <c r="B127" s="31" t="s">
        <v>52</v>
      </c>
      <c r="C127" s="31" t="s">
        <v>243</v>
      </c>
      <c r="D127" s="31">
        <v>8</v>
      </c>
      <c r="E127" s="33">
        <v>1378.7</v>
      </c>
      <c r="F127" s="33">
        <v>11029.6</v>
      </c>
      <c r="G127" s="31" t="s">
        <v>101</v>
      </c>
    </row>
    <row r="128" spans="1:7">
      <c r="A128" s="31" t="s">
        <v>511</v>
      </c>
      <c r="B128" s="31" t="s">
        <v>80</v>
      </c>
      <c r="C128" s="31" t="s">
        <v>243</v>
      </c>
      <c r="D128" s="31">
        <v>51</v>
      </c>
      <c r="E128" s="33">
        <v>1980.1</v>
      </c>
      <c r="F128" s="33">
        <v>100985.1</v>
      </c>
      <c r="G128" s="31" t="s">
        <v>107</v>
      </c>
    </row>
    <row r="129" spans="1:7">
      <c r="A129" s="31" t="s">
        <v>511</v>
      </c>
      <c r="B129" s="31" t="s">
        <v>248</v>
      </c>
      <c r="C129" s="31" t="s">
        <v>294</v>
      </c>
      <c r="D129" s="31">
        <v>226</v>
      </c>
      <c r="E129" s="33">
        <v>661.78</v>
      </c>
      <c r="F129" s="33">
        <v>149562.45000000001</v>
      </c>
      <c r="G129" s="31" t="s">
        <v>620</v>
      </c>
    </row>
    <row r="130" spans="1:7">
      <c r="A130" s="31" t="s">
        <v>511</v>
      </c>
      <c r="B130" s="31" t="s">
        <v>67</v>
      </c>
      <c r="C130" s="31" t="s">
        <v>243</v>
      </c>
      <c r="D130" s="31">
        <v>58</v>
      </c>
      <c r="E130" s="33">
        <v>862.95</v>
      </c>
      <c r="F130" s="33">
        <v>50051.1</v>
      </c>
      <c r="G130" s="31" t="s">
        <v>107</v>
      </c>
    </row>
    <row r="131" spans="1:7">
      <c r="A131" s="31" t="s">
        <v>511</v>
      </c>
      <c r="B131" s="31" t="s">
        <v>71</v>
      </c>
      <c r="C131" s="31" t="s">
        <v>243</v>
      </c>
      <c r="D131" s="31">
        <v>14</v>
      </c>
      <c r="E131" s="33">
        <v>3676.8</v>
      </c>
      <c r="F131" s="33">
        <v>51475.199999999997</v>
      </c>
      <c r="G131" s="31" t="s">
        <v>104</v>
      </c>
    </row>
    <row r="132" spans="1:7">
      <c r="A132" s="31" t="s">
        <v>511</v>
      </c>
      <c r="B132" s="31" t="s">
        <v>516</v>
      </c>
      <c r="C132" s="31" t="s">
        <v>243</v>
      </c>
      <c r="D132" s="31">
        <v>2</v>
      </c>
      <c r="E132" s="33">
        <v>13021</v>
      </c>
      <c r="F132" s="33">
        <v>26042</v>
      </c>
      <c r="G132" s="31" t="s">
        <v>98</v>
      </c>
    </row>
    <row r="133" spans="1:7">
      <c r="A133" s="31" t="s">
        <v>522</v>
      </c>
      <c r="B133" s="31" t="s">
        <v>176</v>
      </c>
      <c r="C133" s="31" t="s">
        <v>243</v>
      </c>
      <c r="D133" s="31">
        <v>44</v>
      </c>
      <c r="E133" s="33">
        <v>1141.55</v>
      </c>
      <c r="F133" s="33">
        <v>50228.2</v>
      </c>
      <c r="G133" s="31" t="s">
        <v>98</v>
      </c>
    </row>
    <row r="134" spans="1:7">
      <c r="A134" s="31" t="s">
        <v>522</v>
      </c>
      <c r="B134" s="31" t="s">
        <v>520</v>
      </c>
      <c r="C134" s="31" t="s">
        <v>243</v>
      </c>
      <c r="D134" s="31">
        <v>19</v>
      </c>
      <c r="E134" s="33">
        <v>2683</v>
      </c>
      <c r="F134" s="33">
        <v>50977</v>
      </c>
      <c r="G134" s="31" t="s">
        <v>98</v>
      </c>
    </row>
    <row r="135" spans="1:7">
      <c r="A135" s="31" t="s">
        <v>526</v>
      </c>
      <c r="B135" s="31" t="s">
        <v>50</v>
      </c>
      <c r="C135" s="31" t="s">
        <v>243</v>
      </c>
      <c r="D135" s="31">
        <v>171</v>
      </c>
      <c r="E135" s="33">
        <v>293.85000000000002</v>
      </c>
      <c r="F135" s="33">
        <v>50248.35</v>
      </c>
      <c r="G135" s="31" t="s">
        <v>98</v>
      </c>
    </row>
    <row r="136" spans="1:7">
      <c r="A136" s="31" t="s">
        <v>526</v>
      </c>
      <c r="B136" s="31" t="s">
        <v>349</v>
      </c>
      <c r="C136" s="31" t="s">
        <v>294</v>
      </c>
      <c r="D136" s="31">
        <v>82</v>
      </c>
      <c r="E136" s="33">
        <v>301.64999999999998</v>
      </c>
      <c r="F136" s="33">
        <v>24735.3</v>
      </c>
      <c r="G136" s="31" t="s">
        <v>620</v>
      </c>
    </row>
    <row r="137" spans="1:7">
      <c r="A137" s="31" t="s">
        <v>526</v>
      </c>
      <c r="B137" s="31" t="s">
        <v>496</v>
      </c>
      <c r="C137" s="31" t="s">
        <v>294</v>
      </c>
      <c r="D137" s="31">
        <v>121</v>
      </c>
      <c r="E137" s="33">
        <v>159.46</v>
      </c>
      <c r="F137" s="33">
        <v>19294.599999999999</v>
      </c>
      <c r="G137" s="31" t="s">
        <v>620</v>
      </c>
    </row>
    <row r="138" spans="1:7">
      <c r="A138" s="31" t="s">
        <v>526</v>
      </c>
      <c r="B138" s="31" t="s">
        <v>161</v>
      </c>
      <c r="C138" s="31" t="s">
        <v>243</v>
      </c>
      <c r="D138" s="31">
        <v>54</v>
      </c>
      <c r="E138" s="33">
        <v>1375</v>
      </c>
      <c r="F138" s="33">
        <v>74250</v>
      </c>
      <c r="G138" s="31" t="s">
        <v>98</v>
      </c>
    </row>
    <row r="139" spans="1:7">
      <c r="A139" s="31" t="s">
        <v>535</v>
      </c>
      <c r="B139" s="31" t="s">
        <v>533</v>
      </c>
      <c r="C139" s="31" t="s">
        <v>243</v>
      </c>
      <c r="D139" s="31">
        <v>10</v>
      </c>
      <c r="E139" s="33">
        <v>10033</v>
      </c>
      <c r="F139" s="33">
        <v>100330</v>
      </c>
      <c r="G139" s="31" t="s">
        <v>104</v>
      </c>
    </row>
    <row r="140" spans="1:7">
      <c r="A140" s="31" t="s">
        <v>537</v>
      </c>
      <c r="B140" s="31" t="s">
        <v>533</v>
      </c>
      <c r="C140" s="31" t="s">
        <v>294</v>
      </c>
      <c r="D140" s="31">
        <v>10</v>
      </c>
      <c r="E140" s="33">
        <v>9901</v>
      </c>
      <c r="F140" s="33">
        <v>99010</v>
      </c>
      <c r="G140" s="31" t="s">
        <v>620</v>
      </c>
    </row>
    <row r="141" spans="1:7">
      <c r="A141" s="31" t="s">
        <v>537</v>
      </c>
      <c r="B141" s="31" t="s">
        <v>71</v>
      </c>
      <c r="C141" s="31" t="s">
        <v>243</v>
      </c>
      <c r="D141" s="31">
        <v>22</v>
      </c>
      <c r="E141" s="33">
        <v>4534.75</v>
      </c>
      <c r="F141" s="33">
        <v>99764.5</v>
      </c>
      <c r="G141" s="31" t="s">
        <v>107</v>
      </c>
    </row>
    <row r="142" spans="1:7">
      <c r="A142" s="31" t="s">
        <v>537</v>
      </c>
      <c r="B142" s="31" t="s">
        <v>67</v>
      </c>
      <c r="C142" s="31" t="s">
        <v>243</v>
      </c>
      <c r="D142" s="31">
        <v>65</v>
      </c>
      <c r="E142" s="33">
        <v>1159.76</v>
      </c>
      <c r="F142" s="33">
        <v>75384.149999999994</v>
      </c>
      <c r="G142" s="31" t="s">
        <v>108</v>
      </c>
    </row>
    <row r="143" spans="1:7">
      <c r="A143" s="31" t="s">
        <v>537</v>
      </c>
      <c r="B143" s="31" t="s">
        <v>270</v>
      </c>
      <c r="C143" s="31" t="s">
        <v>294</v>
      </c>
      <c r="D143" s="31">
        <v>71</v>
      </c>
      <c r="E143" s="33">
        <v>1091.8</v>
      </c>
      <c r="F143" s="33">
        <v>77517.8</v>
      </c>
      <c r="G143" s="31" t="s">
        <v>620</v>
      </c>
    </row>
    <row r="144" spans="1:7">
      <c r="A144" s="31" t="s">
        <v>541</v>
      </c>
      <c r="B144" s="31" t="s">
        <v>88</v>
      </c>
      <c r="C144" s="31" t="s">
        <v>243</v>
      </c>
      <c r="D144" s="31">
        <v>57</v>
      </c>
      <c r="E144" s="33">
        <v>870.95</v>
      </c>
      <c r="F144" s="33">
        <v>49644.15</v>
      </c>
      <c r="G144" s="31" t="s">
        <v>173</v>
      </c>
    </row>
    <row r="145" spans="1:7">
      <c r="A145" s="31" t="s">
        <v>541</v>
      </c>
      <c r="B145" s="31" t="s">
        <v>434</v>
      </c>
      <c r="C145" s="31" t="s">
        <v>294</v>
      </c>
      <c r="D145" s="31">
        <v>595</v>
      </c>
      <c r="E145" s="33">
        <v>83.95</v>
      </c>
      <c r="F145" s="33">
        <v>49950.85</v>
      </c>
      <c r="G145" s="31" t="s">
        <v>620</v>
      </c>
    </row>
    <row r="146" spans="1:7">
      <c r="A146" s="31" t="s">
        <v>541</v>
      </c>
      <c r="B146" s="31" t="s">
        <v>434</v>
      </c>
      <c r="C146" s="31" t="s">
        <v>243</v>
      </c>
      <c r="D146" s="31">
        <v>595</v>
      </c>
      <c r="E146" s="33">
        <v>84.05</v>
      </c>
      <c r="F146" s="33">
        <v>50007.71</v>
      </c>
      <c r="G146" s="31" t="s">
        <v>104</v>
      </c>
    </row>
    <row r="147" spans="1:7">
      <c r="A147" s="31" t="s">
        <v>546</v>
      </c>
      <c r="B147" s="31" t="s">
        <v>484</v>
      </c>
      <c r="C147" s="31" t="s">
        <v>294</v>
      </c>
      <c r="D147" s="31">
        <v>80</v>
      </c>
      <c r="E147" s="33">
        <v>304.10000000000002</v>
      </c>
      <c r="F147" s="33">
        <v>24328</v>
      </c>
      <c r="G147" s="31" t="s">
        <v>620</v>
      </c>
    </row>
    <row r="148" spans="1:7">
      <c r="A148" s="31" t="s">
        <v>546</v>
      </c>
      <c r="B148" s="31" t="s">
        <v>355</v>
      </c>
      <c r="C148" s="31" t="s">
        <v>294</v>
      </c>
      <c r="D148" s="31">
        <v>278</v>
      </c>
      <c r="E148" s="33">
        <v>970.3</v>
      </c>
      <c r="F148" s="33">
        <v>269743.40000000002</v>
      </c>
      <c r="G148" s="31" t="s">
        <v>620</v>
      </c>
    </row>
    <row r="149" spans="1:7">
      <c r="A149" s="31" t="s">
        <v>546</v>
      </c>
      <c r="B149" s="31" t="s">
        <v>161</v>
      </c>
      <c r="C149" s="31" t="s">
        <v>243</v>
      </c>
      <c r="D149" s="31">
        <v>16</v>
      </c>
      <c r="E149" s="33">
        <v>1583.29</v>
      </c>
      <c r="F149" s="33">
        <v>25332.6</v>
      </c>
      <c r="G149" s="31" t="s">
        <v>104</v>
      </c>
    </row>
    <row r="150" spans="1:7">
      <c r="A150" s="31" t="s">
        <v>546</v>
      </c>
      <c r="B150" s="31" t="s">
        <v>76</v>
      </c>
      <c r="C150" s="31" t="s">
        <v>243</v>
      </c>
      <c r="D150" s="31">
        <v>18</v>
      </c>
      <c r="E150" s="33">
        <v>2730</v>
      </c>
      <c r="F150" s="33">
        <v>49140</v>
      </c>
      <c r="G150" s="31" t="s">
        <v>98</v>
      </c>
    </row>
    <row r="151" spans="1:7">
      <c r="A151" s="31" t="s">
        <v>546</v>
      </c>
      <c r="B151" s="31" t="s">
        <v>352</v>
      </c>
      <c r="C151" s="31" t="s">
        <v>294</v>
      </c>
      <c r="D151" s="31">
        <v>386</v>
      </c>
      <c r="E151" s="33">
        <v>136.25</v>
      </c>
      <c r="F151" s="33">
        <v>52592.5</v>
      </c>
      <c r="G151" s="31" t="s">
        <v>620</v>
      </c>
    </row>
    <row r="152" spans="1:7">
      <c r="A152" s="31" t="s">
        <v>546</v>
      </c>
      <c r="B152" s="31" t="s">
        <v>342</v>
      </c>
      <c r="C152" s="31" t="s">
        <v>294</v>
      </c>
      <c r="D152" s="31">
        <v>205</v>
      </c>
      <c r="E152" s="33">
        <v>367</v>
      </c>
      <c r="F152" s="33">
        <v>75235</v>
      </c>
      <c r="G152" s="31" t="s">
        <v>620</v>
      </c>
    </row>
    <row r="153" spans="1:7">
      <c r="A153" s="31" t="s">
        <v>546</v>
      </c>
      <c r="B153" s="31" t="s">
        <v>131</v>
      </c>
      <c r="C153" s="31" t="s">
        <v>243</v>
      </c>
      <c r="D153" s="31">
        <v>19</v>
      </c>
      <c r="E153" s="33">
        <v>2727.2</v>
      </c>
      <c r="F153" s="33">
        <v>51816.800000000003</v>
      </c>
      <c r="G153" s="31" t="s">
        <v>98</v>
      </c>
    </row>
    <row r="154" spans="1:7">
      <c r="A154" s="31" t="s">
        <v>546</v>
      </c>
      <c r="B154" s="31" t="s">
        <v>79</v>
      </c>
      <c r="C154" s="31" t="s">
        <v>243</v>
      </c>
      <c r="D154" s="31">
        <v>16</v>
      </c>
      <c r="E154" s="33">
        <v>3127</v>
      </c>
      <c r="F154" s="33">
        <v>50032</v>
      </c>
      <c r="G154" s="31" t="s">
        <v>98</v>
      </c>
    </row>
    <row r="155" spans="1:7">
      <c r="A155" s="31" t="s">
        <v>546</v>
      </c>
      <c r="B155" s="31" t="s">
        <v>520</v>
      </c>
      <c r="C155" s="31" t="s">
        <v>294</v>
      </c>
      <c r="D155" s="31">
        <v>19</v>
      </c>
      <c r="E155" s="33">
        <v>2505.9</v>
      </c>
      <c r="F155" s="33">
        <v>47612.05</v>
      </c>
      <c r="G155" s="31" t="s">
        <v>620</v>
      </c>
    </row>
    <row r="156" spans="1:7">
      <c r="A156" s="31" t="s">
        <v>546</v>
      </c>
      <c r="B156" s="31" t="s">
        <v>450</v>
      </c>
      <c r="C156" s="31" t="s">
        <v>294</v>
      </c>
      <c r="D156" s="31">
        <v>222</v>
      </c>
      <c r="E156" s="33">
        <v>425.25</v>
      </c>
      <c r="F156" s="33">
        <v>94405.5</v>
      </c>
      <c r="G156" s="31" t="s">
        <v>620</v>
      </c>
    </row>
    <row r="157" spans="1:7">
      <c r="A157" s="31" t="s">
        <v>546</v>
      </c>
      <c r="B157" s="31" t="s">
        <v>93</v>
      </c>
      <c r="C157" s="31" t="s">
        <v>243</v>
      </c>
      <c r="D157" s="31">
        <v>38</v>
      </c>
      <c r="E157" s="33">
        <v>1325.5</v>
      </c>
      <c r="F157" s="33">
        <v>50369</v>
      </c>
      <c r="G157" s="31" t="s">
        <v>98</v>
      </c>
    </row>
    <row r="158" spans="1:7">
      <c r="A158" s="31" t="s">
        <v>563</v>
      </c>
      <c r="B158" s="31" t="s">
        <v>57</v>
      </c>
      <c r="C158" s="31" t="s">
        <v>243</v>
      </c>
      <c r="D158" s="31">
        <v>26</v>
      </c>
      <c r="E158" s="33">
        <v>1899.2</v>
      </c>
      <c r="F158" s="33">
        <v>49379.199999999997</v>
      </c>
      <c r="G158" s="31" t="s">
        <v>98</v>
      </c>
    </row>
    <row r="159" spans="1:7">
      <c r="A159" s="31" t="s">
        <v>563</v>
      </c>
      <c r="B159" s="31" t="s">
        <v>48</v>
      </c>
      <c r="C159" s="31" t="s">
        <v>243</v>
      </c>
      <c r="D159" s="31">
        <v>411</v>
      </c>
      <c r="E159" s="33">
        <v>121.7</v>
      </c>
      <c r="F159" s="33">
        <v>50018.7</v>
      </c>
      <c r="G159" s="31" t="s">
        <v>98</v>
      </c>
    </row>
    <row r="160" spans="1:7">
      <c r="A160" s="31" t="s">
        <v>563</v>
      </c>
      <c r="B160" s="31" t="s">
        <v>55</v>
      </c>
      <c r="C160" s="31" t="s">
        <v>243</v>
      </c>
      <c r="D160" s="31">
        <v>33</v>
      </c>
      <c r="E160" s="33">
        <v>1505.6</v>
      </c>
      <c r="F160" s="33">
        <v>49684.800000000003</v>
      </c>
      <c r="G160" s="31" t="s">
        <v>98</v>
      </c>
    </row>
    <row r="161" spans="1:7">
      <c r="A161" s="31" t="s">
        <v>563</v>
      </c>
      <c r="B161" s="31" t="s">
        <v>61</v>
      </c>
      <c r="C161" s="31" t="s">
        <v>243</v>
      </c>
      <c r="D161" s="31">
        <v>10</v>
      </c>
      <c r="E161" s="33">
        <v>3214</v>
      </c>
      <c r="F161" s="33">
        <v>32140</v>
      </c>
      <c r="G161" s="31" t="s">
        <v>99</v>
      </c>
    </row>
    <row r="162" spans="1:7">
      <c r="A162" s="31" t="s">
        <v>563</v>
      </c>
      <c r="B162" s="31" t="s">
        <v>51</v>
      </c>
      <c r="C162" s="31" t="s">
        <v>243</v>
      </c>
      <c r="D162" s="31">
        <v>29</v>
      </c>
      <c r="E162" s="33">
        <v>1713.42</v>
      </c>
      <c r="F162" s="33">
        <v>49689.3</v>
      </c>
      <c r="G162" s="31" t="s">
        <v>98</v>
      </c>
    </row>
    <row r="163" spans="1:7">
      <c r="A163" s="31" t="s">
        <v>572</v>
      </c>
      <c r="B163" s="31" t="s">
        <v>128</v>
      </c>
      <c r="C163" s="31" t="s">
        <v>243</v>
      </c>
      <c r="D163" s="31">
        <v>75</v>
      </c>
      <c r="E163" s="33">
        <v>670.55</v>
      </c>
      <c r="F163" s="33">
        <v>50291.25</v>
      </c>
      <c r="G163" s="31" t="s">
        <v>98</v>
      </c>
    </row>
    <row r="164" spans="1:7">
      <c r="A164" s="31" t="s">
        <v>574</v>
      </c>
      <c r="B164" s="31" t="s">
        <v>434</v>
      </c>
      <c r="C164" s="31" t="s">
        <v>294</v>
      </c>
      <c r="D164" s="31">
        <v>720</v>
      </c>
      <c r="E164" s="33">
        <v>77.709999999999994</v>
      </c>
      <c r="F164" s="33">
        <v>55951.199999999997</v>
      </c>
      <c r="G164" s="31" t="s">
        <v>620</v>
      </c>
    </row>
    <row r="165" spans="1:7">
      <c r="A165" s="31" t="s">
        <v>574</v>
      </c>
      <c r="B165" s="31" t="s">
        <v>501</v>
      </c>
      <c r="C165" s="31" t="s">
        <v>294</v>
      </c>
      <c r="D165" s="31">
        <v>92</v>
      </c>
      <c r="E165" s="33">
        <v>266.3</v>
      </c>
      <c r="F165" s="33">
        <v>24499.599999999999</v>
      </c>
      <c r="G165" s="31" t="s">
        <v>620</v>
      </c>
    </row>
    <row r="166" spans="1:7">
      <c r="A166" s="31" t="s">
        <v>574</v>
      </c>
      <c r="B166" s="31" t="s">
        <v>267</v>
      </c>
      <c r="C166" s="31" t="s">
        <v>294</v>
      </c>
      <c r="D166" s="31">
        <v>41</v>
      </c>
      <c r="E166" s="33">
        <v>633.57000000000005</v>
      </c>
      <c r="F166" s="33">
        <v>25976.400000000001</v>
      </c>
      <c r="G166" s="31" t="s">
        <v>620</v>
      </c>
    </row>
    <row r="167" spans="1:7">
      <c r="A167" s="31" t="s">
        <v>578</v>
      </c>
      <c r="B167" s="31" t="s">
        <v>51</v>
      </c>
      <c r="C167" s="31" t="s">
        <v>243</v>
      </c>
      <c r="D167" s="31">
        <v>27</v>
      </c>
      <c r="E167" s="33">
        <v>1814.76</v>
      </c>
      <c r="F167" s="33">
        <v>48998.400000000001</v>
      </c>
      <c r="G167" s="31" t="s">
        <v>104</v>
      </c>
    </row>
    <row r="168" spans="1:7">
      <c r="A168" s="31" t="s">
        <v>578</v>
      </c>
      <c r="B168" s="31" t="s">
        <v>50</v>
      </c>
      <c r="C168" s="31" t="s">
        <v>243</v>
      </c>
      <c r="D168" s="31">
        <v>141</v>
      </c>
      <c r="E168" s="33">
        <v>355.5</v>
      </c>
      <c r="F168" s="33">
        <v>50125.5</v>
      </c>
      <c r="G168" s="31" t="s">
        <v>104</v>
      </c>
    </row>
    <row r="169" spans="1:7">
      <c r="A169" s="31" t="s">
        <v>578</v>
      </c>
      <c r="B169" s="31" t="s">
        <v>75</v>
      </c>
      <c r="C169" s="31" t="s">
        <v>243</v>
      </c>
      <c r="D169" s="31">
        <v>12</v>
      </c>
      <c r="E169" s="33">
        <v>4195.1000000000004</v>
      </c>
      <c r="F169" s="33">
        <v>50341.2</v>
      </c>
      <c r="G169" s="31" t="s">
        <v>104</v>
      </c>
    </row>
    <row r="170" spans="1:7">
      <c r="A170" s="31" t="s">
        <v>578</v>
      </c>
      <c r="B170" s="31" t="s">
        <v>59</v>
      </c>
      <c r="C170" s="31" t="s">
        <v>243</v>
      </c>
      <c r="D170" s="31">
        <v>67</v>
      </c>
      <c r="E170" s="33">
        <v>374</v>
      </c>
      <c r="F170" s="33">
        <v>25058</v>
      </c>
      <c r="G170" s="31" t="s">
        <v>98</v>
      </c>
    </row>
    <row r="171" spans="1:7">
      <c r="A171" s="31" t="s">
        <v>578</v>
      </c>
      <c r="B171" s="31" t="s">
        <v>53</v>
      </c>
      <c r="C171" s="31" t="s">
        <v>243</v>
      </c>
      <c r="D171" s="31">
        <v>40</v>
      </c>
      <c r="E171" s="33">
        <v>639.20000000000005</v>
      </c>
      <c r="F171" s="33">
        <v>25568</v>
      </c>
      <c r="G171" s="31" t="s">
        <v>98</v>
      </c>
    </row>
    <row r="172" spans="1:7">
      <c r="A172" s="31" t="s">
        <v>586</v>
      </c>
      <c r="B172" s="31" t="s">
        <v>59</v>
      </c>
      <c r="C172" s="31" t="s">
        <v>243</v>
      </c>
      <c r="D172" s="31">
        <v>66</v>
      </c>
      <c r="E172" s="33">
        <v>382</v>
      </c>
      <c r="F172" s="33">
        <v>25212</v>
      </c>
      <c r="G172" s="31" t="s">
        <v>99</v>
      </c>
    </row>
    <row r="173" spans="1:7">
      <c r="A173" s="31" t="s">
        <v>588</v>
      </c>
      <c r="B173" s="31" t="s">
        <v>48</v>
      </c>
      <c r="C173" s="31" t="s">
        <v>243</v>
      </c>
      <c r="D173" s="31">
        <v>389</v>
      </c>
      <c r="E173" s="33">
        <v>128.84</v>
      </c>
      <c r="F173" s="33">
        <v>50118.76</v>
      </c>
      <c r="G173" s="31" t="s">
        <v>107</v>
      </c>
    </row>
    <row r="174" spans="1:7">
      <c r="A174" s="31" t="s">
        <v>590</v>
      </c>
      <c r="B174" s="31" t="s">
        <v>88</v>
      </c>
      <c r="C174" s="31" t="s">
        <v>243</v>
      </c>
      <c r="D174" s="31">
        <v>28</v>
      </c>
      <c r="E174" s="33">
        <v>918.55</v>
      </c>
      <c r="F174" s="33">
        <v>25719.4</v>
      </c>
      <c r="G174" s="31" t="s">
        <v>104</v>
      </c>
    </row>
    <row r="175" spans="1:7">
      <c r="A175" s="31" t="s">
        <v>592</v>
      </c>
      <c r="B175" s="31" t="s">
        <v>176</v>
      </c>
      <c r="C175" s="31" t="s">
        <v>243</v>
      </c>
      <c r="D175" s="31">
        <v>36</v>
      </c>
      <c r="E175" s="33">
        <v>1403.56</v>
      </c>
      <c r="F175" s="33">
        <v>50528.2</v>
      </c>
      <c r="G175" s="31" t="s">
        <v>104</v>
      </c>
    </row>
    <row r="176" spans="1:7">
      <c r="A176" s="31" t="s">
        <v>592</v>
      </c>
      <c r="B176" s="31" t="s">
        <v>128</v>
      </c>
      <c r="C176" s="31" t="s">
        <v>243</v>
      </c>
      <c r="D176" s="31">
        <v>70</v>
      </c>
      <c r="E176" s="33">
        <v>713</v>
      </c>
      <c r="F176" s="33">
        <v>49910</v>
      </c>
      <c r="G176" s="31" t="s">
        <v>104</v>
      </c>
    </row>
    <row r="177" spans="1:7">
      <c r="A177" s="31" t="s">
        <v>592</v>
      </c>
      <c r="B177" s="31" t="s">
        <v>46</v>
      </c>
      <c r="C177" s="31" t="s">
        <v>243</v>
      </c>
      <c r="D177" s="31">
        <v>87</v>
      </c>
      <c r="E177" s="33">
        <v>1144.5</v>
      </c>
      <c r="F177" s="33">
        <v>99571.5</v>
      </c>
      <c r="G177" s="31" t="s">
        <v>109</v>
      </c>
    </row>
    <row r="178" spans="1:7">
      <c r="A178" s="31" t="s">
        <v>592</v>
      </c>
      <c r="B178" s="31" t="s">
        <v>140</v>
      </c>
      <c r="C178" s="31" t="s">
        <v>294</v>
      </c>
      <c r="D178" s="31">
        <v>300</v>
      </c>
      <c r="E178" s="33">
        <v>87.52</v>
      </c>
      <c r="F178" s="33">
        <v>26256</v>
      </c>
      <c r="G178" s="31" t="s">
        <v>620</v>
      </c>
    </row>
    <row r="179" spans="1:7">
      <c r="A179" s="31" t="s">
        <v>592</v>
      </c>
      <c r="B179" s="31" t="s">
        <v>131</v>
      </c>
      <c r="C179" s="31" t="s">
        <v>243</v>
      </c>
      <c r="D179" s="31">
        <v>17</v>
      </c>
      <c r="E179" s="33">
        <v>2954.27</v>
      </c>
      <c r="F179" s="33">
        <v>50222.6</v>
      </c>
      <c r="G179" s="31" t="s">
        <v>104</v>
      </c>
    </row>
    <row r="180" spans="1:7">
      <c r="A180" s="31" t="s">
        <v>592</v>
      </c>
      <c r="B180" s="31" t="s">
        <v>92</v>
      </c>
      <c r="C180" s="31" t="s">
        <v>243</v>
      </c>
      <c r="D180" s="31">
        <v>8</v>
      </c>
      <c r="E180" s="33">
        <v>4949.8</v>
      </c>
      <c r="F180" s="33">
        <v>39598.400000000001</v>
      </c>
      <c r="G180" s="31" t="s">
        <v>98</v>
      </c>
    </row>
    <row r="181" spans="1:7">
      <c r="A181" s="31" t="s">
        <v>592</v>
      </c>
      <c r="B181" s="31" t="s">
        <v>161</v>
      </c>
      <c r="C181" s="31" t="s">
        <v>294</v>
      </c>
      <c r="D181" s="31">
        <v>70</v>
      </c>
      <c r="E181" s="33">
        <v>1292.8599999999999</v>
      </c>
      <c r="F181" s="33">
        <v>90500.5</v>
      </c>
      <c r="G181" s="31" t="s">
        <v>620</v>
      </c>
    </row>
    <row r="182" spans="1:7">
      <c r="A182" s="31" t="s">
        <v>592</v>
      </c>
      <c r="B182" s="31" t="s">
        <v>50</v>
      </c>
      <c r="C182" s="31" t="s">
        <v>243</v>
      </c>
      <c r="D182" s="31">
        <v>244</v>
      </c>
      <c r="E182" s="33">
        <v>409.9</v>
      </c>
      <c r="F182" s="33">
        <v>100015.6</v>
      </c>
      <c r="G182" s="31" t="s">
        <v>107</v>
      </c>
    </row>
    <row r="183" spans="1:7">
      <c r="A183" s="31" t="s">
        <v>592</v>
      </c>
      <c r="B183" s="31" t="s">
        <v>93</v>
      </c>
      <c r="C183" s="31" t="s">
        <v>243</v>
      </c>
      <c r="D183" s="31">
        <v>37</v>
      </c>
      <c r="E183" s="33">
        <v>1376</v>
      </c>
      <c r="F183" s="33">
        <v>50912</v>
      </c>
      <c r="G183" s="31" t="s">
        <v>104</v>
      </c>
    </row>
    <row r="184" spans="1:7">
      <c r="A184" s="31" t="s">
        <v>592</v>
      </c>
      <c r="B184" s="31" t="s">
        <v>88</v>
      </c>
      <c r="C184" s="31" t="s">
        <v>243</v>
      </c>
      <c r="D184" s="31">
        <v>108</v>
      </c>
      <c r="E184" s="33">
        <v>925</v>
      </c>
      <c r="F184" s="33">
        <v>99899.95</v>
      </c>
      <c r="G184" s="31" t="s">
        <v>107</v>
      </c>
    </row>
    <row r="185" spans="1:7">
      <c r="A185" s="31" t="s">
        <v>604</v>
      </c>
      <c r="B185" s="31" t="s">
        <v>91</v>
      </c>
      <c r="C185" s="31" t="s">
        <v>243</v>
      </c>
      <c r="D185" s="31">
        <v>46</v>
      </c>
      <c r="E185" s="33">
        <v>1092.4000000000001</v>
      </c>
      <c r="F185" s="33">
        <v>50250.400000000001</v>
      </c>
      <c r="G185" s="31" t="s">
        <v>98</v>
      </c>
    </row>
    <row r="186" spans="1:7">
      <c r="A186" s="31" t="s">
        <v>604</v>
      </c>
      <c r="B186" s="31" t="s">
        <v>92</v>
      </c>
      <c r="C186" s="31" t="s">
        <v>243</v>
      </c>
      <c r="D186" s="31">
        <v>3</v>
      </c>
      <c r="E186" s="33">
        <v>4997.3999999999996</v>
      </c>
      <c r="F186" s="33">
        <v>14992.2</v>
      </c>
      <c r="G186" s="31" t="s">
        <v>99</v>
      </c>
    </row>
    <row r="187" spans="1:7">
      <c r="A187" s="31" t="s">
        <v>604</v>
      </c>
      <c r="B187" s="31" t="s">
        <v>78</v>
      </c>
      <c r="C187" s="31" t="s">
        <v>243</v>
      </c>
      <c r="D187" s="31">
        <v>72</v>
      </c>
      <c r="E187" s="33">
        <v>697.1</v>
      </c>
      <c r="F187" s="33">
        <v>50191.199999999997</v>
      </c>
      <c r="G187" s="31" t="s">
        <v>98</v>
      </c>
    </row>
    <row r="188" spans="1:7">
      <c r="A188" s="31" t="s">
        <v>604</v>
      </c>
      <c r="B188" s="31" t="s">
        <v>130</v>
      </c>
      <c r="C188" s="31" t="s">
        <v>243</v>
      </c>
      <c r="D188" s="31">
        <v>11</v>
      </c>
      <c r="E188" s="33">
        <v>4599.12</v>
      </c>
      <c r="F188" s="33">
        <v>50590.3</v>
      </c>
      <c r="G188" s="31" t="s">
        <v>98</v>
      </c>
    </row>
    <row r="189" spans="1:7">
      <c r="A189" s="31" t="s">
        <v>604</v>
      </c>
      <c r="B189" s="31" t="s">
        <v>129</v>
      </c>
      <c r="C189" s="31" t="s">
        <v>243</v>
      </c>
      <c r="D189" s="31">
        <v>92</v>
      </c>
      <c r="E189" s="33">
        <v>547</v>
      </c>
      <c r="F189" s="33">
        <v>50324</v>
      </c>
      <c r="G189" s="31" t="s">
        <v>98</v>
      </c>
    </row>
    <row r="190" spans="1:7">
      <c r="A190" s="31" t="s">
        <v>604</v>
      </c>
      <c r="B190" s="31" t="s">
        <v>127</v>
      </c>
      <c r="C190" s="31" t="s">
        <v>243</v>
      </c>
      <c r="D190" s="31">
        <v>129</v>
      </c>
      <c r="E190" s="33">
        <v>389.65</v>
      </c>
      <c r="F190" s="33">
        <v>50264.85</v>
      </c>
      <c r="G190" s="31" t="s">
        <v>98</v>
      </c>
    </row>
    <row r="191" spans="1:7">
      <c r="A191" s="31" t="s">
        <v>1019</v>
      </c>
      <c r="B191" s="31" t="s">
        <v>78</v>
      </c>
      <c r="C191" s="31" t="s">
        <v>243</v>
      </c>
      <c r="D191" s="31">
        <v>42</v>
      </c>
      <c r="E191" s="33">
        <v>678.75</v>
      </c>
      <c r="F191" s="33">
        <v>28507.5</v>
      </c>
      <c r="G191" s="31" t="s">
        <v>99</v>
      </c>
    </row>
    <row r="192" spans="1:7">
      <c r="A192" s="31" t="s">
        <v>1019</v>
      </c>
      <c r="B192" s="31" t="s">
        <v>661</v>
      </c>
      <c r="C192" s="31" t="s">
        <v>243</v>
      </c>
      <c r="D192" s="31">
        <v>4</v>
      </c>
      <c r="E192" s="33">
        <v>12829</v>
      </c>
      <c r="F192" s="33">
        <v>51316</v>
      </c>
      <c r="G192" s="31" t="s">
        <v>98</v>
      </c>
    </row>
    <row r="193" spans="1:7">
      <c r="A193" s="31" t="s">
        <v>1019</v>
      </c>
      <c r="B193" s="31" t="s">
        <v>657</v>
      </c>
      <c r="C193" s="31" t="s">
        <v>243</v>
      </c>
      <c r="D193" s="31">
        <v>43</v>
      </c>
      <c r="E193" s="33">
        <v>663.75</v>
      </c>
      <c r="F193" s="33">
        <v>28541.25</v>
      </c>
      <c r="G193" s="31" t="s">
        <v>98</v>
      </c>
    </row>
    <row r="194" spans="1:7">
      <c r="A194" s="31" t="s">
        <v>1019</v>
      </c>
      <c r="B194" s="31" t="s">
        <v>670</v>
      </c>
      <c r="C194" s="31" t="s">
        <v>243</v>
      </c>
      <c r="D194" s="31">
        <v>8</v>
      </c>
      <c r="E194" s="33">
        <v>3520.1</v>
      </c>
      <c r="F194" s="33">
        <v>28160.799999999999</v>
      </c>
      <c r="G194" s="31" t="s">
        <v>98</v>
      </c>
    </row>
    <row r="195" spans="1:7">
      <c r="A195" s="31" t="s">
        <v>1019</v>
      </c>
      <c r="B195" s="31" t="s">
        <v>659</v>
      </c>
      <c r="C195" s="31" t="s">
        <v>243</v>
      </c>
      <c r="D195" s="31">
        <v>6</v>
      </c>
      <c r="E195" s="33">
        <v>4554.1000000000004</v>
      </c>
      <c r="F195" s="33">
        <v>27324.6</v>
      </c>
      <c r="G195" s="31" t="s">
        <v>98</v>
      </c>
    </row>
    <row r="196" spans="1:7">
      <c r="A196" s="31" t="s">
        <v>1019</v>
      </c>
      <c r="B196" s="31" t="s">
        <v>67</v>
      </c>
      <c r="C196" s="31" t="s">
        <v>243</v>
      </c>
      <c r="D196" s="31">
        <v>25</v>
      </c>
      <c r="E196" s="33">
        <v>1209.4000000000001</v>
      </c>
      <c r="F196" s="33">
        <v>30235</v>
      </c>
      <c r="G196" s="31" t="s">
        <v>98</v>
      </c>
    </row>
    <row r="197" spans="1:7">
      <c r="A197" s="31" t="s">
        <v>1019</v>
      </c>
      <c r="B197" s="31" t="s">
        <v>654</v>
      </c>
      <c r="C197" s="31" t="s">
        <v>243</v>
      </c>
      <c r="D197" s="31">
        <v>55</v>
      </c>
      <c r="E197" s="33">
        <v>533.75</v>
      </c>
      <c r="F197" s="33">
        <v>29356.25</v>
      </c>
      <c r="G197" s="31" t="s">
        <v>98</v>
      </c>
    </row>
    <row r="198" spans="1:7">
      <c r="A198" s="31" t="s">
        <v>1019</v>
      </c>
      <c r="B198" s="31" t="s">
        <v>76</v>
      </c>
      <c r="C198" s="31" t="s">
        <v>243</v>
      </c>
      <c r="D198" s="31">
        <v>10</v>
      </c>
      <c r="E198" s="33">
        <v>2933.7</v>
      </c>
      <c r="F198" s="33">
        <v>29337</v>
      </c>
      <c r="G198" s="31" t="s">
        <v>99</v>
      </c>
    </row>
    <row r="199" spans="1:7">
      <c r="A199" s="31" t="s">
        <v>1019</v>
      </c>
      <c r="B199" s="31" t="s">
        <v>666</v>
      </c>
      <c r="C199" s="31" t="s">
        <v>243</v>
      </c>
      <c r="D199" s="31">
        <v>15</v>
      </c>
      <c r="E199" s="33">
        <v>1910.65</v>
      </c>
      <c r="F199" s="33">
        <v>28659.7</v>
      </c>
      <c r="G199" s="31" t="s">
        <v>98</v>
      </c>
    </row>
    <row r="200" spans="1:7">
      <c r="A200" s="31" t="s">
        <v>1019</v>
      </c>
      <c r="B200" s="31" t="s">
        <v>195</v>
      </c>
      <c r="C200" s="31" t="s">
        <v>243</v>
      </c>
      <c r="D200" s="31">
        <v>11</v>
      </c>
      <c r="E200" s="33">
        <v>2660</v>
      </c>
      <c r="F200" s="33">
        <v>29260</v>
      </c>
      <c r="G200" s="31" t="s">
        <v>98</v>
      </c>
    </row>
    <row r="201" spans="1:7">
      <c r="A201" s="31" t="s">
        <v>1019</v>
      </c>
      <c r="B201" s="31" t="s">
        <v>665</v>
      </c>
      <c r="C201" s="31" t="s">
        <v>243</v>
      </c>
      <c r="D201" s="31">
        <v>43</v>
      </c>
      <c r="E201" s="33">
        <v>679.8</v>
      </c>
      <c r="F201" s="33">
        <v>29231.4</v>
      </c>
      <c r="G201" s="31" t="s">
        <v>98</v>
      </c>
    </row>
    <row r="202" spans="1:7">
      <c r="A202" s="31" t="s">
        <v>1019</v>
      </c>
      <c r="B202" s="31" t="s">
        <v>671</v>
      </c>
      <c r="C202" s="31" t="s">
        <v>243</v>
      </c>
      <c r="D202" s="31">
        <v>4</v>
      </c>
      <c r="E202" s="33">
        <v>7050</v>
      </c>
      <c r="F202" s="33">
        <v>28200</v>
      </c>
      <c r="G202" s="31" t="s">
        <v>98</v>
      </c>
    </row>
    <row r="203" spans="1:7">
      <c r="A203" s="31" t="s">
        <v>1019</v>
      </c>
      <c r="B203" s="31" t="s">
        <v>664</v>
      </c>
      <c r="C203" s="31" t="s">
        <v>243</v>
      </c>
      <c r="D203" s="31">
        <v>6</v>
      </c>
      <c r="E203" s="33">
        <v>5189</v>
      </c>
      <c r="F203" s="33">
        <v>31134</v>
      </c>
      <c r="G203" s="31" t="s">
        <v>98</v>
      </c>
    </row>
    <row r="204" spans="1:7">
      <c r="A204" s="31" t="s">
        <v>1019</v>
      </c>
      <c r="B204" s="31" t="s">
        <v>663</v>
      </c>
      <c r="C204" s="31" t="s">
        <v>243</v>
      </c>
      <c r="D204" s="31">
        <v>18</v>
      </c>
      <c r="E204" s="33">
        <v>1562.2</v>
      </c>
      <c r="F204" s="33">
        <v>28119.599999999999</v>
      </c>
      <c r="G204" s="31" t="s">
        <v>98</v>
      </c>
    </row>
    <row r="205" spans="1:7">
      <c r="A205" s="31" t="s">
        <v>1019</v>
      </c>
      <c r="B205" s="31" t="s">
        <v>248</v>
      </c>
      <c r="C205" s="31" t="s">
        <v>243</v>
      </c>
      <c r="D205" s="31">
        <v>37</v>
      </c>
      <c r="E205" s="33">
        <v>787.96</v>
      </c>
      <c r="F205" s="33">
        <v>29154.400000000001</v>
      </c>
      <c r="G205" s="31" t="s">
        <v>98</v>
      </c>
    </row>
    <row r="206" spans="1:7">
      <c r="A206" s="31" t="s">
        <v>1019</v>
      </c>
      <c r="B206" s="31" t="s">
        <v>71</v>
      </c>
      <c r="C206" s="31" t="s">
        <v>243</v>
      </c>
      <c r="D206" s="31">
        <v>6</v>
      </c>
      <c r="E206" s="33">
        <v>4708</v>
      </c>
      <c r="F206" s="33">
        <v>28248</v>
      </c>
      <c r="G206" s="31" t="s">
        <v>98</v>
      </c>
    </row>
    <row r="207" spans="1:7">
      <c r="A207" s="31" t="s">
        <v>1019</v>
      </c>
      <c r="B207" s="31" t="s">
        <v>668</v>
      </c>
      <c r="C207" s="31" t="s">
        <v>243</v>
      </c>
      <c r="D207" s="31">
        <v>21</v>
      </c>
      <c r="E207" s="33">
        <v>1330.9</v>
      </c>
      <c r="F207" s="33">
        <v>27948.9</v>
      </c>
      <c r="G207" s="31" t="s">
        <v>98</v>
      </c>
    </row>
    <row r="208" spans="1:7">
      <c r="A208" s="31" t="s">
        <v>1019</v>
      </c>
      <c r="B208" s="31" t="s">
        <v>214</v>
      </c>
      <c r="C208" s="31" t="s">
        <v>243</v>
      </c>
      <c r="D208" s="31">
        <v>685</v>
      </c>
      <c r="E208" s="33">
        <v>42.36</v>
      </c>
      <c r="F208" s="33">
        <v>29016.6</v>
      </c>
      <c r="G208" s="31" t="s">
        <v>98</v>
      </c>
    </row>
    <row r="209" spans="1:7">
      <c r="A209" s="31" t="s">
        <v>1019</v>
      </c>
      <c r="B209" s="31" t="s">
        <v>667</v>
      </c>
      <c r="C209" s="31" t="s">
        <v>243</v>
      </c>
      <c r="D209" s="31">
        <v>35</v>
      </c>
      <c r="E209" s="33">
        <v>838.6</v>
      </c>
      <c r="F209" s="33">
        <v>29351</v>
      </c>
      <c r="G209" s="31" t="s">
        <v>98</v>
      </c>
    </row>
    <row r="210" spans="1:7">
      <c r="A210" s="31" t="s">
        <v>1019</v>
      </c>
      <c r="B210" s="31" t="s">
        <v>656</v>
      </c>
      <c r="C210" s="31" t="s">
        <v>243</v>
      </c>
      <c r="D210" s="31">
        <v>3</v>
      </c>
      <c r="E210" s="33">
        <v>10344</v>
      </c>
      <c r="F210" s="33">
        <v>31032</v>
      </c>
      <c r="G210" s="31" t="s">
        <v>98</v>
      </c>
    </row>
    <row r="211" spans="1:7">
      <c r="A211" s="31" t="s">
        <v>1019</v>
      </c>
      <c r="B211" s="31" t="s">
        <v>516</v>
      </c>
      <c r="C211" s="31" t="s">
        <v>243</v>
      </c>
      <c r="D211" s="31">
        <v>2</v>
      </c>
      <c r="E211" s="33">
        <v>18259</v>
      </c>
      <c r="F211" s="33">
        <v>36518</v>
      </c>
      <c r="G211" s="31" t="s">
        <v>99</v>
      </c>
    </row>
    <row r="212" spans="1:7">
      <c r="A212" s="31" t="s">
        <v>1019</v>
      </c>
      <c r="B212" s="31" t="s">
        <v>662</v>
      </c>
      <c r="C212" s="31" t="s">
        <v>243</v>
      </c>
      <c r="D212" s="31">
        <v>6</v>
      </c>
      <c r="E212" s="33">
        <v>8958</v>
      </c>
      <c r="F212" s="33">
        <v>53748</v>
      </c>
      <c r="G212" s="31" t="s">
        <v>98</v>
      </c>
    </row>
    <row r="213" spans="1:7">
      <c r="A213" s="31" t="s">
        <v>1019</v>
      </c>
      <c r="B213" s="31" t="s">
        <v>648</v>
      </c>
      <c r="C213" s="31" t="s">
        <v>243</v>
      </c>
      <c r="D213" s="31">
        <v>27</v>
      </c>
      <c r="E213" s="33">
        <v>1101.3</v>
      </c>
      <c r="F213" s="33">
        <v>29735.1</v>
      </c>
      <c r="G213" s="31" t="s">
        <v>98</v>
      </c>
    </row>
    <row r="214" spans="1:7">
      <c r="A214" s="31" t="s">
        <v>1019</v>
      </c>
      <c r="B214" s="31" t="s">
        <v>672</v>
      </c>
      <c r="C214" s="31" t="s">
        <v>243</v>
      </c>
      <c r="D214" s="31">
        <v>15</v>
      </c>
      <c r="E214" s="33">
        <v>1972.4</v>
      </c>
      <c r="F214" s="33">
        <v>29586</v>
      </c>
      <c r="G214" s="31" t="s">
        <v>98</v>
      </c>
    </row>
    <row r="215" spans="1:7">
      <c r="A215" s="31" t="s">
        <v>1019</v>
      </c>
      <c r="B215" s="31" t="s">
        <v>143</v>
      </c>
      <c r="C215" s="31" t="s">
        <v>243</v>
      </c>
      <c r="D215" s="31">
        <v>26</v>
      </c>
      <c r="E215" s="33">
        <v>1152.9000000000001</v>
      </c>
      <c r="F215" s="33">
        <v>29975.4</v>
      </c>
      <c r="G215" s="31" t="s">
        <v>98</v>
      </c>
    </row>
    <row r="216" spans="1:7">
      <c r="A216" s="31" t="s">
        <v>1019</v>
      </c>
      <c r="B216" s="31" t="s">
        <v>652</v>
      </c>
      <c r="C216" s="31" t="s">
        <v>243</v>
      </c>
      <c r="D216" s="31">
        <v>1</v>
      </c>
      <c r="E216" s="33">
        <v>35105</v>
      </c>
      <c r="F216" s="33">
        <v>35105</v>
      </c>
      <c r="G216" s="31" t="s">
        <v>98</v>
      </c>
    </row>
    <row r="217" spans="1:7">
      <c r="A217" s="31" t="s">
        <v>1019</v>
      </c>
      <c r="B217" s="31" t="s">
        <v>260</v>
      </c>
      <c r="C217" s="31" t="s">
        <v>243</v>
      </c>
      <c r="D217" s="31">
        <v>54</v>
      </c>
      <c r="E217" s="33">
        <v>549.48</v>
      </c>
      <c r="F217" s="33">
        <v>29672</v>
      </c>
      <c r="G217" s="31" t="s">
        <v>98</v>
      </c>
    </row>
    <row r="218" spans="1:7">
      <c r="A218" s="31" t="s">
        <v>1019</v>
      </c>
      <c r="B218" s="31" t="s">
        <v>669</v>
      </c>
      <c r="C218" s="31" t="s">
        <v>243</v>
      </c>
      <c r="D218" s="31">
        <v>40</v>
      </c>
      <c r="E218" s="33">
        <v>729.68</v>
      </c>
      <c r="F218" s="33">
        <v>29187.3</v>
      </c>
      <c r="G218" s="31" t="s">
        <v>98</v>
      </c>
    </row>
    <row r="219" spans="1:7">
      <c r="A219" s="31" t="s">
        <v>1019</v>
      </c>
      <c r="B219" s="31" t="s">
        <v>660</v>
      </c>
      <c r="C219" s="31" t="s">
        <v>243</v>
      </c>
      <c r="D219" s="31">
        <v>3</v>
      </c>
      <c r="E219" s="33">
        <v>10301</v>
      </c>
      <c r="F219" s="33">
        <v>30903</v>
      </c>
      <c r="G219" s="31" t="s">
        <v>98</v>
      </c>
    </row>
    <row r="220" spans="1:7">
      <c r="A220" s="31" t="s">
        <v>1019</v>
      </c>
      <c r="B220" s="31" t="s">
        <v>68</v>
      </c>
      <c r="C220" s="31" t="s">
        <v>243</v>
      </c>
      <c r="D220" s="31">
        <v>3</v>
      </c>
      <c r="E220" s="33">
        <v>9432</v>
      </c>
      <c r="F220" s="33">
        <v>28296</v>
      </c>
      <c r="G220" s="31" t="s">
        <v>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61"/>
  <sheetViews>
    <sheetView workbookViewId="0">
      <pane ySplit="1" topLeftCell="A2" activePane="bottomLeft" state="frozen"/>
      <selection pane="bottomLeft" sqref="A1:A61"/>
    </sheetView>
  </sheetViews>
  <sheetFormatPr defaultRowHeight="15"/>
  <cols>
    <col min="1" max="1" width="12" customWidth="1"/>
    <col min="2" max="2" width="11" customWidth="1"/>
    <col min="3" max="3" width="24" customWidth="1"/>
    <col min="4" max="4" width="19" customWidth="1"/>
    <col min="5" max="5" width="16" customWidth="1"/>
    <col min="6" max="6" width="18" customWidth="1"/>
    <col min="7" max="7" width="19" customWidth="1"/>
    <col min="8" max="8" width="40" customWidth="1"/>
    <col min="9" max="9" width="14" customWidth="1"/>
    <col min="10" max="10" width="15" customWidth="1"/>
    <col min="11" max="11" width="35" customWidth="1"/>
    <col min="12" max="12" width="16" customWidth="1"/>
    <col min="13" max="13" width="13" customWidth="1"/>
    <col min="14" max="14" width="20" customWidth="1"/>
    <col min="15" max="15" width="17" customWidth="1"/>
    <col min="16" max="20" width="15" customWidth="1"/>
    <col min="21" max="21" width="16" customWidth="1"/>
    <col min="22" max="22" width="29" customWidth="1"/>
    <col min="23" max="23" width="27" customWidth="1"/>
    <col min="24" max="24" width="16" customWidth="1"/>
    <col min="25" max="25" width="25" customWidth="1"/>
    <col min="26" max="26" width="14" customWidth="1"/>
  </cols>
  <sheetData>
    <row r="1" spans="1:27" ht="45">
      <c r="A1" s="51" t="s">
        <v>41</v>
      </c>
      <c r="B1" s="51" t="s">
        <v>89</v>
      </c>
      <c r="C1" s="51" t="s">
        <v>621</v>
      </c>
      <c r="D1" s="51" t="s">
        <v>145</v>
      </c>
      <c r="E1" s="51" t="s">
        <v>622</v>
      </c>
      <c r="F1" s="51" t="s">
        <v>623</v>
      </c>
      <c r="G1" s="51" t="s">
        <v>624</v>
      </c>
      <c r="H1" s="51" t="s">
        <v>625</v>
      </c>
      <c r="I1" s="51" t="s">
        <v>83</v>
      </c>
      <c r="J1" s="51" t="s">
        <v>626</v>
      </c>
      <c r="K1" s="51" t="s">
        <v>627</v>
      </c>
      <c r="L1" s="51" t="s">
        <v>628</v>
      </c>
      <c r="M1" s="51" t="s">
        <v>82</v>
      </c>
      <c r="N1" s="51" t="s">
        <v>629</v>
      </c>
      <c r="O1" s="51" t="s">
        <v>630</v>
      </c>
      <c r="P1" s="51" t="s">
        <v>631</v>
      </c>
      <c r="Q1" s="51" t="s">
        <v>632</v>
      </c>
      <c r="R1" s="51" t="s">
        <v>633</v>
      </c>
      <c r="S1" s="51" t="s">
        <v>634</v>
      </c>
      <c r="T1" s="51" t="s">
        <v>635</v>
      </c>
      <c r="U1" s="51" t="s">
        <v>636</v>
      </c>
      <c r="V1" s="51" t="s">
        <v>637</v>
      </c>
      <c r="W1" s="51" t="s">
        <v>116</v>
      </c>
      <c r="X1" s="51" t="s">
        <v>638</v>
      </c>
      <c r="Y1" s="51" t="s">
        <v>639</v>
      </c>
      <c r="Z1" s="51" t="s">
        <v>640</v>
      </c>
      <c r="AA1" s="51" t="s">
        <v>1079</v>
      </c>
    </row>
    <row r="2" spans="1:27">
      <c r="A2" s="34" t="s">
        <v>76</v>
      </c>
      <c r="B2" s="31" t="s">
        <v>32</v>
      </c>
      <c r="C2" s="31" t="s">
        <v>62</v>
      </c>
      <c r="D2" s="31" t="s">
        <v>49</v>
      </c>
      <c r="E2" s="31" t="s">
        <v>99</v>
      </c>
      <c r="F2" s="31">
        <v>28</v>
      </c>
      <c r="G2" s="33">
        <v>2802.75</v>
      </c>
      <c r="H2" s="35" t="str">
        <f t="shared" ref="H2:H61" ca="1" si="0">IF(M2&gt;N2, "▲", IF(M2&lt;N2, "▼", "─"))</f>
        <v>▲</v>
      </c>
      <c r="I2" s="33">
        <v>2522.4699999999998</v>
      </c>
      <c r="J2" s="33">
        <f t="shared" ref="J2:J61" ca="1" si="1">M2-I2</f>
        <v>613.23</v>
      </c>
      <c r="K2" s="36">
        <f t="shared" ref="K2:K61" ca="1" si="2">IF(M2&gt;0, (M2-I2)/M2, 0)</f>
        <v>0.19556398890199958</v>
      </c>
      <c r="L2" s="33">
        <v>78477</v>
      </c>
      <c r="M2" s="33">
        <f ca="1">IFERROR(INDEX(Price_Update!$F:$F, MATCH(A2, Price_Update!$A:$A, 0)), 3135.7)</f>
        <v>3135.7</v>
      </c>
      <c r="N2" s="33">
        <f ca="1">IFERROR(INDEX(Price_Update!$I:$I, MATCH(A2, Price_Update!$A:$A, 0)), 3037.6)</f>
        <v>3037.6</v>
      </c>
      <c r="O2" s="33">
        <v>3132.5</v>
      </c>
      <c r="P2" s="33">
        <v>3017.01</v>
      </c>
      <c r="Q2" s="33">
        <v>3005.33</v>
      </c>
      <c r="R2" s="33">
        <v>2993.69</v>
      </c>
      <c r="S2" s="33">
        <v>2883.89</v>
      </c>
      <c r="T2" s="33">
        <f t="shared" ref="T2:T61" ca="1" si="3">F2*M2</f>
        <v>87799.599999999991</v>
      </c>
      <c r="U2" s="33">
        <f t="shared" ref="U2:U61" ca="1" si="4">T2-L2</f>
        <v>9322.5999999999913</v>
      </c>
      <c r="V2" s="36">
        <f t="shared" ref="V2:V61" ca="1" si="5">IF(L2&gt;0, U2/L2, 0)</f>
        <v>0.11879404156631869</v>
      </c>
      <c r="W2" s="36">
        <v>19.429564909669061</v>
      </c>
      <c r="X2" s="31">
        <v>20</v>
      </c>
      <c r="Y2" s="31"/>
      <c r="Z2" s="31" t="s">
        <v>106</v>
      </c>
      <c r="AA2" s="33">
        <v>3132.5</v>
      </c>
    </row>
    <row r="3" spans="1:27">
      <c r="A3" s="34" t="s">
        <v>659</v>
      </c>
      <c r="B3" s="31" t="s">
        <v>36</v>
      </c>
      <c r="C3" s="31" t="s">
        <v>58</v>
      </c>
      <c r="D3" s="31" t="s">
        <v>49</v>
      </c>
      <c r="E3" s="31" t="s">
        <v>98</v>
      </c>
      <c r="F3" s="31">
        <v>6</v>
      </c>
      <c r="G3" s="33">
        <v>4554.1000000000004</v>
      </c>
      <c r="H3" s="35" t="str">
        <f t="shared" ca="1" si="0"/>
        <v>▼</v>
      </c>
      <c r="I3" s="33">
        <v>4098.6899999999996</v>
      </c>
      <c r="J3" s="33">
        <f t="shared" ca="1" si="1"/>
        <v>422.61000000000058</v>
      </c>
      <c r="K3" s="36">
        <f t="shared" ca="1" si="2"/>
        <v>9.3470904385906828E-2</v>
      </c>
      <c r="L3" s="33">
        <v>27324.6</v>
      </c>
      <c r="M3" s="33">
        <f ca="1">IFERROR(INDEX(Price_Update!$F:$F, MATCH(A3, Price_Update!$A:$A, 0)), 4521.3)</f>
        <v>4521.3</v>
      </c>
      <c r="N3" s="33">
        <f ca="1">IFERROR(INDEX(Price_Update!$I:$I, MATCH(A3, Price_Update!$A:$A, 0)), 4552.3)</f>
        <v>4552.3</v>
      </c>
      <c r="O3" s="33">
        <v>4503.6000000000004</v>
      </c>
      <c r="P3" s="33">
        <v>4371</v>
      </c>
      <c r="Q3" s="33">
        <v>4348.63</v>
      </c>
      <c r="R3" s="33">
        <v>4327.8599999999997</v>
      </c>
      <c r="S3" s="33">
        <v>4184.18</v>
      </c>
      <c r="T3" s="33">
        <f t="shared" ca="1" si="3"/>
        <v>27127.800000000003</v>
      </c>
      <c r="U3" s="33">
        <f t="shared" ca="1" si="4"/>
        <v>-196.79999999999563</v>
      </c>
      <c r="V3" s="36">
        <f t="shared" ca="1" si="5"/>
        <v>-7.2023012230735548E-3</v>
      </c>
      <c r="W3" s="36">
        <v>-0.73264562570933467</v>
      </c>
      <c r="X3" s="31">
        <v>2</v>
      </c>
      <c r="Y3" s="31"/>
      <c r="Z3" s="31" t="s">
        <v>106</v>
      </c>
      <c r="AA3" s="33">
        <v>4503.6000000000004</v>
      </c>
    </row>
    <row r="4" spans="1:27">
      <c r="A4" s="34" t="s">
        <v>661</v>
      </c>
      <c r="B4" s="31" t="s">
        <v>36</v>
      </c>
      <c r="C4" s="31" t="s">
        <v>58</v>
      </c>
      <c r="D4" s="31" t="s">
        <v>49</v>
      </c>
      <c r="E4" s="31" t="s">
        <v>98</v>
      </c>
      <c r="F4" s="31">
        <v>4</v>
      </c>
      <c r="G4" s="33">
        <v>12829</v>
      </c>
      <c r="H4" s="35" t="str">
        <f t="shared" ca="1" si="0"/>
        <v>▲</v>
      </c>
      <c r="I4" s="33">
        <v>11546.1</v>
      </c>
      <c r="J4" s="33">
        <f t="shared" ca="1" si="1"/>
        <v>1991.8999999999996</v>
      </c>
      <c r="K4" s="36">
        <f t="shared" ca="1" si="2"/>
        <v>0.14713399320431375</v>
      </c>
      <c r="L4" s="33">
        <v>51316</v>
      </c>
      <c r="M4" s="33">
        <f ca="1">IFERROR(INDEX(Price_Update!$F:$F, MATCH(A4, Price_Update!$A:$A, 0)), 13538)</f>
        <v>13538</v>
      </c>
      <c r="N4" s="33">
        <f ca="1">IFERROR(INDEX(Price_Update!$I:$I, MATCH(A4, Price_Update!$A:$A, 0)), 13270)</f>
        <v>13270</v>
      </c>
      <c r="O4" s="33">
        <v>13118</v>
      </c>
      <c r="P4" s="33">
        <v>13088.93</v>
      </c>
      <c r="Q4" s="33">
        <v>13058.94</v>
      </c>
      <c r="R4" s="33">
        <v>13030.22</v>
      </c>
      <c r="S4" s="33">
        <v>12756.29</v>
      </c>
      <c r="T4" s="33">
        <f t="shared" ca="1" si="3"/>
        <v>54152</v>
      </c>
      <c r="U4" s="33">
        <f t="shared" ca="1" si="4"/>
        <v>2836</v>
      </c>
      <c r="V4" s="36">
        <f t="shared" ca="1" si="5"/>
        <v>5.5265414295736226E-2</v>
      </c>
      <c r="W4" s="36">
        <v>18343.720290724868</v>
      </c>
      <c r="X4" s="31">
        <v>2</v>
      </c>
      <c r="Y4" s="31"/>
      <c r="Z4" s="31" t="s">
        <v>106</v>
      </c>
      <c r="AA4" s="33">
        <v>13118</v>
      </c>
    </row>
    <row r="5" spans="1:27">
      <c r="A5" s="37" t="s">
        <v>80</v>
      </c>
      <c r="B5" s="31" t="s">
        <v>36</v>
      </c>
      <c r="C5" s="31" t="s">
        <v>58</v>
      </c>
      <c r="D5" s="31" t="s">
        <v>49</v>
      </c>
      <c r="E5" s="31" t="s">
        <v>107</v>
      </c>
      <c r="F5" s="31">
        <v>96</v>
      </c>
      <c r="G5" s="33">
        <v>2100.8000000000002</v>
      </c>
      <c r="H5" s="35" t="str">
        <f t="shared" ca="1" si="0"/>
        <v>▲</v>
      </c>
      <c r="I5" s="33">
        <v>2237.6</v>
      </c>
      <c r="J5" s="33">
        <f t="shared" ca="1" si="1"/>
        <v>-432.19999999999982</v>
      </c>
      <c r="K5" s="36">
        <f t="shared" ca="1" si="2"/>
        <v>-0.2393929323141685</v>
      </c>
      <c r="L5" s="33">
        <v>201676.79999999999</v>
      </c>
      <c r="M5" s="33">
        <f ca="1">IFERROR(INDEX(Price_Update!$F:$F, MATCH(A5, Price_Update!$A:$A, 0)), 1805.4)</f>
        <v>1805.4</v>
      </c>
      <c r="N5" s="33">
        <f ca="1">IFERROR(INDEX(Price_Update!$I:$I, MATCH(A5, Price_Update!$A:$A, 0)), 1769.2)</f>
        <v>1769.2</v>
      </c>
      <c r="O5" s="33">
        <v>1831.1</v>
      </c>
      <c r="P5" s="33">
        <v>1829.68</v>
      </c>
      <c r="Q5" s="33">
        <v>1833.66</v>
      </c>
      <c r="R5" s="33">
        <v>1837.44</v>
      </c>
      <c r="S5" s="33">
        <v>1869.23</v>
      </c>
      <c r="T5" s="33">
        <f t="shared" ca="1" si="3"/>
        <v>173318.40000000002</v>
      </c>
      <c r="U5" s="33">
        <f t="shared" ca="1" si="4"/>
        <v>-28358.399999999965</v>
      </c>
      <c r="V5" s="36">
        <f t="shared" ca="1" si="5"/>
        <v>-0.14061309977151545</v>
      </c>
      <c r="W5" s="36">
        <v>-0.44076721213590198</v>
      </c>
      <c r="X5" s="31">
        <v>115</v>
      </c>
      <c r="Y5" s="31"/>
      <c r="Z5" s="31" t="s">
        <v>106</v>
      </c>
      <c r="AA5" s="33">
        <v>1831.1</v>
      </c>
    </row>
    <row r="6" spans="1:27">
      <c r="A6" s="34" t="s">
        <v>656</v>
      </c>
      <c r="B6" s="31" t="s">
        <v>34</v>
      </c>
      <c r="C6" s="31" t="s">
        <v>64</v>
      </c>
      <c r="D6" s="31" t="s">
        <v>49</v>
      </c>
      <c r="E6" s="31" t="s">
        <v>98</v>
      </c>
      <c r="F6" s="31">
        <v>3</v>
      </c>
      <c r="G6" s="33">
        <v>10344</v>
      </c>
      <c r="H6" s="35" t="str">
        <f t="shared" ca="1" si="0"/>
        <v>▼</v>
      </c>
      <c r="I6" s="33">
        <v>9309.6</v>
      </c>
      <c r="J6" s="33">
        <f t="shared" ca="1" si="1"/>
        <v>949.39999999999964</v>
      </c>
      <c r="K6" s="36">
        <f t="shared" ca="1" si="2"/>
        <v>9.2543132858953076E-2</v>
      </c>
      <c r="L6" s="33">
        <v>31032</v>
      </c>
      <c r="M6" s="33">
        <f ca="1">IFERROR(INDEX(Price_Update!$F:$F, MATCH(A6, Price_Update!$A:$A, 0)), 10259)</f>
        <v>10259</v>
      </c>
      <c r="N6" s="33">
        <f ca="1">IFERROR(INDEX(Price_Update!$I:$I, MATCH(A6, Price_Update!$A:$A, 0)), 10281)</f>
        <v>10281</v>
      </c>
      <c r="O6" s="33">
        <v>10460</v>
      </c>
      <c r="P6" s="33">
        <v>10373.86</v>
      </c>
      <c r="Q6" s="33">
        <v>10370.84</v>
      </c>
      <c r="R6" s="33">
        <v>10365.91</v>
      </c>
      <c r="S6" s="33">
        <v>10262.219999999999</v>
      </c>
      <c r="T6" s="33">
        <f t="shared" ca="1" si="3"/>
        <v>30777</v>
      </c>
      <c r="U6" s="33">
        <f t="shared" ca="1" si="4"/>
        <v>-255</v>
      </c>
      <c r="V6" s="36">
        <f t="shared" ca="1" si="5"/>
        <v>-8.2173240525908742E-3</v>
      </c>
      <c r="W6" s="36">
        <v>-0.77817293927294329</v>
      </c>
      <c r="X6" s="31">
        <v>2</v>
      </c>
      <c r="Y6" s="31"/>
      <c r="Z6" s="31" t="s">
        <v>106</v>
      </c>
      <c r="AA6" s="33">
        <v>10460</v>
      </c>
    </row>
    <row r="7" spans="1:27">
      <c r="A7" s="38" t="s">
        <v>75</v>
      </c>
      <c r="B7" s="31" t="s">
        <v>34</v>
      </c>
      <c r="C7" s="31" t="s">
        <v>63</v>
      </c>
      <c r="D7" s="31" t="s">
        <v>49</v>
      </c>
      <c r="E7" s="31" t="s">
        <v>104</v>
      </c>
      <c r="F7" s="31">
        <v>30</v>
      </c>
      <c r="G7" s="33">
        <v>3359</v>
      </c>
      <c r="H7" s="35" t="str">
        <f t="shared" ca="1" si="0"/>
        <v>▲</v>
      </c>
      <c r="I7" s="33">
        <v>3023.1</v>
      </c>
      <c r="J7" s="33">
        <f t="shared" ca="1" si="1"/>
        <v>943</v>
      </c>
      <c r="K7" s="36">
        <f t="shared" ca="1" si="2"/>
        <v>0.2377650588739568</v>
      </c>
      <c r="L7" s="33">
        <v>100770</v>
      </c>
      <c r="M7" s="33">
        <f ca="1">IFERROR(INDEX(Price_Update!$F:$F, MATCH(A7, Price_Update!$A:$A, 0)), 3966.1)</f>
        <v>3966.1</v>
      </c>
      <c r="N7" s="33">
        <f ca="1">IFERROR(INDEX(Price_Update!$I:$I, MATCH(A7, Price_Update!$A:$A, 0)), 3931.9)</f>
        <v>3931.9</v>
      </c>
      <c r="O7" s="33">
        <v>4146.1000000000004</v>
      </c>
      <c r="P7" s="33">
        <v>4090.96</v>
      </c>
      <c r="Q7" s="33">
        <v>4092.78</v>
      </c>
      <c r="R7" s="33">
        <v>4092.22</v>
      </c>
      <c r="S7" s="33">
        <v>4017.35</v>
      </c>
      <c r="T7" s="33">
        <f t="shared" ca="1" si="3"/>
        <v>118983</v>
      </c>
      <c r="U7" s="33">
        <f t="shared" ca="1" si="4"/>
        <v>18213</v>
      </c>
      <c r="V7" s="36">
        <f t="shared" ca="1" si="5"/>
        <v>0.18073831497469484</v>
      </c>
      <c r="W7" s="36">
        <v>0.82129969564179717</v>
      </c>
      <c r="X7" s="31">
        <v>178</v>
      </c>
      <c r="Y7" s="31"/>
      <c r="Z7" s="31" t="s">
        <v>106</v>
      </c>
      <c r="AA7" s="33">
        <v>4146.1000000000004</v>
      </c>
    </row>
    <row r="8" spans="1:27">
      <c r="A8" s="34" t="s">
        <v>672</v>
      </c>
      <c r="B8" s="31" t="s">
        <v>32</v>
      </c>
      <c r="C8" s="31" t="s">
        <v>62</v>
      </c>
      <c r="D8" s="31" t="s">
        <v>49</v>
      </c>
      <c r="E8" s="31" t="s">
        <v>98</v>
      </c>
      <c r="F8" s="31">
        <v>15</v>
      </c>
      <c r="G8" s="33">
        <v>1972.4</v>
      </c>
      <c r="H8" s="35" t="str">
        <f t="shared" ca="1" si="0"/>
        <v>▼</v>
      </c>
      <c r="I8" s="33">
        <v>1775.16</v>
      </c>
      <c r="J8" s="33">
        <f t="shared" ca="1" si="1"/>
        <v>197.74</v>
      </c>
      <c r="K8" s="36">
        <f t="shared" ca="1" si="2"/>
        <v>0.10022809062800953</v>
      </c>
      <c r="L8" s="33">
        <v>29586</v>
      </c>
      <c r="M8" s="33">
        <f ca="1">IFERROR(INDEX(Price_Update!$F:$F, MATCH(A8, Price_Update!$A:$A, 0)), 1972.9)</f>
        <v>1972.9</v>
      </c>
      <c r="N8" s="33">
        <f ca="1">IFERROR(INDEX(Price_Update!$I:$I, MATCH(A8, Price_Update!$A:$A, 0)), 1988.1)</f>
        <v>1988.1</v>
      </c>
      <c r="O8" s="33">
        <v>2024.5</v>
      </c>
      <c r="P8" s="33">
        <v>1998.51</v>
      </c>
      <c r="Q8" s="33">
        <v>1996.32</v>
      </c>
      <c r="R8" s="33">
        <v>1993.43</v>
      </c>
      <c r="S8" s="33">
        <v>1949.65</v>
      </c>
      <c r="T8" s="33">
        <f t="shared" ca="1" si="3"/>
        <v>29593.5</v>
      </c>
      <c r="U8" s="33">
        <f t="shared" ca="1" si="4"/>
        <v>7.5</v>
      </c>
      <c r="V8" s="36">
        <f t="shared" ca="1" si="5"/>
        <v>2.5349827621172174E-4</v>
      </c>
      <c r="W8" s="36">
        <v>4.7344143317836929E-2</v>
      </c>
      <c r="X8" s="31">
        <v>2</v>
      </c>
      <c r="Y8" s="31"/>
      <c r="Z8" s="31" t="s">
        <v>106</v>
      </c>
      <c r="AA8" s="33">
        <v>2024.5</v>
      </c>
    </row>
    <row r="9" spans="1:27">
      <c r="A9" s="34" t="s">
        <v>648</v>
      </c>
      <c r="B9" s="31" t="s">
        <v>32</v>
      </c>
      <c r="C9" s="31" t="s">
        <v>64</v>
      </c>
      <c r="D9" s="31" t="s">
        <v>49</v>
      </c>
      <c r="E9" s="31" t="s">
        <v>98</v>
      </c>
      <c r="F9" s="31">
        <v>27</v>
      </c>
      <c r="G9" s="33">
        <v>1101.3</v>
      </c>
      <c r="H9" s="35" t="str">
        <f t="shared" ca="1" si="0"/>
        <v>▲</v>
      </c>
      <c r="I9" s="33">
        <v>991.17</v>
      </c>
      <c r="J9" s="33">
        <f t="shared" ca="1" si="1"/>
        <v>146.83000000000004</v>
      </c>
      <c r="K9" s="36">
        <f t="shared" ca="1" si="2"/>
        <v>0.12902460456942008</v>
      </c>
      <c r="L9" s="33">
        <v>29735.1</v>
      </c>
      <c r="M9" s="33">
        <f ca="1">IFERROR(INDEX(Price_Update!$F:$F, MATCH(A9, Price_Update!$A:$A, 0)), 1138)</f>
        <v>1138</v>
      </c>
      <c r="N9" s="33">
        <f ca="1">IFERROR(INDEX(Price_Update!$I:$I, MATCH(A9, Price_Update!$A:$A, 0)), 1113.5)</f>
        <v>1113.5</v>
      </c>
      <c r="O9" s="33">
        <v>1077.55</v>
      </c>
      <c r="P9" s="33">
        <v>1082.69</v>
      </c>
      <c r="Q9" s="33">
        <v>1077.29</v>
      </c>
      <c r="R9" s="33">
        <v>1071.96</v>
      </c>
      <c r="S9" s="33">
        <v>1026.3699999999999</v>
      </c>
      <c r="T9" s="33">
        <f t="shared" ca="1" si="3"/>
        <v>30726</v>
      </c>
      <c r="U9" s="33">
        <f t="shared" ca="1" si="4"/>
        <v>990.90000000000146</v>
      </c>
      <c r="V9" s="36">
        <f t="shared" ca="1" si="5"/>
        <v>3.3324253155361895E-2</v>
      </c>
      <c r="W9" s="36">
        <v>395.44565962496051</v>
      </c>
      <c r="X9" s="31">
        <v>2</v>
      </c>
      <c r="Y9" s="31"/>
      <c r="Z9" s="31" t="s">
        <v>106</v>
      </c>
      <c r="AA9" s="33">
        <v>1077.55</v>
      </c>
    </row>
    <row r="10" spans="1:27">
      <c r="A10" s="37" t="s">
        <v>77</v>
      </c>
      <c r="B10" s="31" t="s">
        <v>32</v>
      </c>
      <c r="C10" s="31" t="s">
        <v>60</v>
      </c>
      <c r="D10" s="31" t="s">
        <v>49</v>
      </c>
      <c r="E10" s="31" t="s">
        <v>98</v>
      </c>
      <c r="F10" s="31">
        <v>49</v>
      </c>
      <c r="G10" s="33">
        <v>1033.1600000000001</v>
      </c>
      <c r="H10" s="35" t="str">
        <f t="shared" ca="1" si="0"/>
        <v>▲</v>
      </c>
      <c r="I10" s="33">
        <v>929.84</v>
      </c>
      <c r="J10" s="33">
        <f t="shared" ca="1" si="1"/>
        <v>148.36000000000001</v>
      </c>
      <c r="K10" s="36">
        <f t="shared" ca="1" si="2"/>
        <v>0.13759970320905213</v>
      </c>
      <c r="L10" s="33">
        <v>50624.84</v>
      </c>
      <c r="M10" s="33">
        <f ca="1">IFERROR(INDEX(Price_Update!$F:$F, MATCH(A10, Price_Update!$A:$A, 0)), 1078.2)</f>
        <v>1078.2</v>
      </c>
      <c r="N10" s="33">
        <f ca="1">IFERROR(INDEX(Price_Update!$I:$I, MATCH(A10, Price_Update!$A:$A, 0)), 1070.5)</f>
        <v>1070.5</v>
      </c>
      <c r="O10" s="33">
        <v>1053.8</v>
      </c>
      <c r="P10" s="33">
        <v>1073.76</v>
      </c>
      <c r="Q10" s="33">
        <v>1074.98</v>
      </c>
      <c r="R10" s="33">
        <v>1076.26</v>
      </c>
      <c r="S10" s="33">
        <v>1086.5899999999999</v>
      </c>
      <c r="T10" s="33">
        <f t="shared" ca="1" si="3"/>
        <v>52831.8</v>
      </c>
      <c r="U10" s="33">
        <f t="shared" ca="1" si="4"/>
        <v>2206.9600000000064</v>
      </c>
      <c r="V10" s="36">
        <f t="shared" ca="1" si="5"/>
        <v>4.3594409384800158E-2</v>
      </c>
      <c r="W10" s="36">
        <v>0.19607044418698391</v>
      </c>
      <c r="X10" s="31">
        <v>87</v>
      </c>
      <c r="Y10" s="31"/>
      <c r="Z10" s="31" t="s">
        <v>106</v>
      </c>
      <c r="AA10" s="33">
        <v>1053.8</v>
      </c>
    </row>
    <row r="11" spans="1:27">
      <c r="A11" s="34" t="s">
        <v>662</v>
      </c>
      <c r="B11" s="31" t="s">
        <v>32</v>
      </c>
      <c r="C11" s="31" t="s">
        <v>58</v>
      </c>
      <c r="D11" s="31" t="s">
        <v>49</v>
      </c>
      <c r="E11" s="31" t="s">
        <v>98</v>
      </c>
      <c r="F11" s="31">
        <v>6</v>
      </c>
      <c r="G11" s="33">
        <v>8958</v>
      </c>
      <c r="H11" s="35" t="str">
        <f t="shared" ca="1" si="0"/>
        <v>▼</v>
      </c>
      <c r="I11" s="33">
        <v>8062.2</v>
      </c>
      <c r="J11" s="33">
        <f t="shared" ca="1" si="1"/>
        <v>836.30000000000018</v>
      </c>
      <c r="K11" s="36">
        <f t="shared" ca="1" si="2"/>
        <v>9.3982131819969672E-2</v>
      </c>
      <c r="L11" s="33">
        <v>53748</v>
      </c>
      <c r="M11" s="33">
        <f ca="1">IFERROR(INDEX(Price_Update!$F:$F, MATCH(A11, Price_Update!$A:$A, 0)), 8898.5)</f>
        <v>8898.5</v>
      </c>
      <c r="N11" s="33">
        <f ca="1">IFERROR(INDEX(Price_Update!$I:$I, MATCH(A11, Price_Update!$A:$A, 0)), 8979)</f>
        <v>8979</v>
      </c>
      <c r="O11" s="33">
        <v>9074</v>
      </c>
      <c r="P11" s="33">
        <v>8799.61</v>
      </c>
      <c r="Q11" s="33">
        <v>8781.74</v>
      </c>
      <c r="R11" s="33">
        <v>8763.49</v>
      </c>
      <c r="S11" s="33">
        <v>8567.42</v>
      </c>
      <c r="T11" s="33">
        <f t="shared" ca="1" si="3"/>
        <v>53391</v>
      </c>
      <c r="U11" s="33">
        <f t="shared" ca="1" si="4"/>
        <v>-357</v>
      </c>
      <c r="V11" s="36">
        <f t="shared" ca="1" si="5"/>
        <v>-6.6421076133065414E-3</v>
      </c>
      <c r="W11" s="36">
        <v>-0.7036542065373822</v>
      </c>
      <c r="X11" s="31">
        <v>2</v>
      </c>
      <c r="Y11" s="31"/>
      <c r="Z11" s="31" t="s">
        <v>106</v>
      </c>
      <c r="AA11" s="33">
        <v>9074</v>
      </c>
    </row>
    <row r="12" spans="1:27">
      <c r="A12" s="34" t="s">
        <v>214</v>
      </c>
      <c r="B12" s="31" t="s">
        <v>32</v>
      </c>
      <c r="C12" s="31" t="s">
        <v>62</v>
      </c>
      <c r="D12" s="31" t="s">
        <v>49</v>
      </c>
      <c r="E12" s="31" t="s">
        <v>98</v>
      </c>
      <c r="F12" s="31">
        <v>685</v>
      </c>
      <c r="G12" s="33">
        <v>42.36</v>
      </c>
      <c r="H12" s="35" t="str">
        <f t="shared" ca="1" si="0"/>
        <v>▲</v>
      </c>
      <c r="I12" s="33">
        <v>38.119999999999997</v>
      </c>
      <c r="J12" s="33">
        <f t="shared" ca="1" si="1"/>
        <v>5.4200000000000017</v>
      </c>
      <c r="K12" s="36">
        <f t="shared" ca="1" si="2"/>
        <v>0.12448323380799269</v>
      </c>
      <c r="L12" s="33">
        <v>29016.6</v>
      </c>
      <c r="M12" s="33">
        <f ca="1">IFERROR(INDEX(Price_Update!$F:$F, MATCH(A12, Price_Update!$A:$A, 0)), 43.54)</f>
        <v>43.54</v>
      </c>
      <c r="N12" s="33">
        <f ca="1">IFERROR(INDEX(Price_Update!$I:$I, MATCH(A12, Price_Update!$A:$A, 0)), 42.36)</f>
        <v>42.36</v>
      </c>
      <c r="O12" s="33">
        <v>39.99</v>
      </c>
      <c r="P12" s="33">
        <v>39.32</v>
      </c>
      <c r="Q12" s="33">
        <v>38.85</v>
      </c>
      <c r="R12" s="33">
        <v>38.39</v>
      </c>
      <c r="S12" s="33">
        <v>34.67</v>
      </c>
      <c r="T12" s="33">
        <f t="shared" ca="1" si="3"/>
        <v>29824.899999999998</v>
      </c>
      <c r="U12" s="33">
        <f t="shared" ca="1" si="4"/>
        <v>808.29999999999927</v>
      </c>
      <c r="V12" s="36">
        <f t="shared" ca="1" si="5"/>
        <v>2.7856468366383356E-2</v>
      </c>
      <c r="W12" s="36">
        <v>149.5484788400168</v>
      </c>
      <c r="X12" s="31">
        <v>2</v>
      </c>
      <c r="Y12" s="31"/>
      <c r="Z12" s="31" t="s">
        <v>106</v>
      </c>
      <c r="AA12" s="33">
        <v>39.99</v>
      </c>
    </row>
    <row r="13" spans="1:27">
      <c r="A13" s="37" t="s">
        <v>69</v>
      </c>
      <c r="B13" s="31" t="s">
        <v>36</v>
      </c>
      <c r="C13" s="31" t="s">
        <v>63</v>
      </c>
      <c r="D13" s="31" t="s">
        <v>49</v>
      </c>
      <c r="E13" s="31" t="s">
        <v>108</v>
      </c>
      <c r="F13" s="31">
        <v>1172</v>
      </c>
      <c r="G13" s="33">
        <v>256.22000000000003</v>
      </c>
      <c r="H13" s="35" t="str">
        <f t="shared" ca="1" si="0"/>
        <v>▲</v>
      </c>
      <c r="I13" s="33">
        <v>260.10000000000002</v>
      </c>
      <c r="J13" s="33">
        <f t="shared" ca="1" si="1"/>
        <v>40.949999999999989</v>
      </c>
      <c r="K13" s="36">
        <f t="shared" ca="1" si="2"/>
        <v>0.13602391629297456</v>
      </c>
      <c r="L13" s="33">
        <v>300289.84000000003</v>
      </c>
      <c r="M13" s="33">
        <f ca="1">IFERROR(INDEX(Price_Update!$F:$F, MATCH(A13, Price_Update!$A:$A, 0)), 301.05)</f>
        <v>301.05</v>
      </c>
      <c r="N13" s="33">
        <f ca="1">IFERROR(INDEX(Price_Update!$I:$I, MATCH(A13, Price_Update!$A:$A, 0)), 293.05)</f>
        <v>293.05</v>
      </c>
      <c r="O13" s="33">
        <v>288.95</v>
      </c>
      <c r="P13" s="33">
        <v>291.55</v>
      </c>
      <c r="Q13" s="33">
        <v>291.23</v>
      </c>
      <c r="R13" s="33">
        <v>290.95</v>
      </c>
      <c r="S13" s="33">
        <v>289.39</v>
      </c>
      <c r="T13" s="33">
        <f t="shared" ca="1" si="3"/>
        <v>352830.60000000003</v>
      </c>
      <c r="U13" s="33">
        <f t="shared" ca="1" si="4"/>
        <v>52540.760000000009</v>
      </c>
      <c r="V13" s="36">
        <f t="shared" ca="1" si="5"/>
        <v>0.17496682538443525</v>
      </c>
      <c r="W13" s="36">
        <v>0.39349740241606301</v>
      </c>
      <c r="X13" s="31">
        <v>213</v>
      </c>
      <c r="Y13" s="31"/>
      <c r="Z13" s="31" t="s">
        <v>106</v>
      </c>
      <c r="AA13" s="33">
        <v>288.95</v>
      </c>
    </row>
    <row r="14" spans="1:27">
      <c r="A14" s="34" t="s">
        <v>71</v>
      </c>
      <c r="B14" s="31" t="s">
        <v>34</v>
      </c>
      <c r="C14" s="31" t="s">
        <v>60</v>
      </c>
      <c r="D14" s="31" t="s">
        <v>49</v>
      </c>
      <c r="E14" s="31" t="s">
        <v>107</v>
      </c>
      <c r="F14" s="31">
        <v>55</v>
      </c>
      <c r="G14" s="33">
        <v>4155.8500000000004</v>
      </c>
      <c r="H14" s="35" t="str">
        <f t="shared" ca="1" si="0"/>
        <v>▲</v>
      </c>
      <c r="I14" s="33">
        <v>3676.8</v>
      </c>
      <c r="J14" s="33">
        <f t="shared" ca="1" si="1"/>
        <v>1287.6999999999998</v>
      </c>
      <c r="K14" s="36">
        <f t="shared" ca="1" si="2"/>
        <v>0.25938160942693117</v>
      </c>
      <c r="L14" s="33">
        <v>228571.75</v>
      </c>
      <c r="M14" s="33">
        <f ca="1">IFERROR(INDEX(Price_Update!$F:$F, MATCH(A14, Price_Update!$A:$A, 0)), 4964.5)</f>
        <v>4964.5</v>
      </c>
      <c r="N14" s="33">
        <f ca="1">IFERROR(INDEX(Price_Update!$I:$I, MATCH(A14, Price_Update!$A:$A, 0)), 4781)</f>
        <v>4781</v>
      </c>
      <c r="O14" s="33">
        <v>5148.6000000000004</v>
      </c>
      <c r="P14" s="33">
        <v>4870.62</v>
      </c>
      <c r="Q14" s="33">
        <v>4858.0200000000004</v>
      </c>
      <c r="R14" s="33">
        <v>4845.0600000000004</v>
      </c>
      <c r="S14" s="33">
        <v>4717.29</v>
      </c>
      <c r="T14" s="33">
        <f t="shared" ca="1" si="3"/>
        <v>273047.5</v>
      </c>
      <c r="U14" s="33">
        <f t="shared" ca="1" si="4"/>
        <v>44475.75</v>
      </c>
      <c r="V14" s="36">
        <f t="shared" ca="1" si="5"/>
        <v>0.19458113262028226</v>
      </c>
      <c r="W14" s="36">
        <v>2.6305917480239862</v>
      </c>
      <c r="X14" s="31">
        <v>87</v>
      </c>
      <c r="Y14" s="31"/>
      <c r="Z14" s="31" t="s">
        <v>106</v>
      </c>
      <c r="AA14" s="33">
        <v>5148.6000000000004</v>
      </c>
    </row>
    <row r="15" spans="1:27">
      <c r="A15" s="34" t="s">
        <v>248</v>
      </c>
      <c r="B15" s="31" t="s">
        <v>32</v>
      </c>
      <c r="C15" s="31" t="s">
        <v>58</v>
      </c>
      <c r="D15" s="31" t="s">
        <v>49</v>
      </c>
      <c r="E15" s="31" t="s">
        <v>98</v>
      </c>
      <c r="F15" s="31">
        <v>37</v>
      </c>
      <c r="G15" s="33">
        <v>865.69</v>
      </c>
      <c r="H15" s="35" t="str">
        <f t="shared" ca="1" si="0"/>
        <v>▼</v>
      </c>
      <c r="I15" s="33">
        <v>844.15</v>
      </c>
      <c r="J15" s="33">
        <f t="shared" ca="1" si="1"/>
        <v>-57.899999999999977</v>
      </c>
      <c r="K15" s="36">
        <f t="shared" ca="1" si="2"/>
        <v>-7.3640699523052439E-2</v>
      </c>
      <c r="L15" s="33">
        <v>32030.53</v>
      </c>
      <c r="M15" s="33">
        <f ca="1">IFERROR(INDEX(Price_Update!$F:$F, MATCH(A15, Price_Update!$A:$A, 0)), 786.25)</f>
        <v>786.25</v>
      </c>
      <c r="N15" s="33">
        <f ca="1">IFERROR(INDEX(Price_Update!$I:$I, MATCH(A15, Price_Update!$A:$A, 0)), 802.7)</f>
        <v>802.7</v>
      </c>
      <c r="O15" s="33">
        <v>822.6</v>
      </c>
      <c r="P15" s="33">
        <v>796.93</v>
      </c>
      <c r="Q15" s="33">
        <v>796.51</v>
      </c>
      <c r="R15" s="33">
        <v>796.13</v>
      </c>
      <c r="S15" s="33">
        <v>791.88</v>
      </c>
      <c r="T15" s="33">
        <f t="shared" ca="1" si="3"/>
        <v>29091.25</v>
      </c>
      <c r="U15" s="33">
        <f t="shared" ca="1" si="4"/>
        <v>-2939.2799999999988</v>
      </c>
      <c r="V15" s="36">
        <f t="shared" ca="1" si="5"/>
        <v>-9.1764950501911732E-2</v>
      </c>
      <c r="W15" s="36">
        <v>-0.44866775108589579</v>
      </c>
      <c r="X15" s="31">
        <v>2</v>
      </c>
      <c r="Y15" s="31"/>
      <c r="Z15" s="31" t="s">
        <v>106</v>
      </c>
      <c r="AA15" s="33">
        <v>822.6</v>
      </c>
    </row>
    <row r="16" spans="1:27">
      <c r="A16" s="34" t="s">
        <v>248</v>
      </c>
      <c r="B16" s="31" t="s">
        <v>32</v>
      </c>
      <c r="C16" s="31" t="s">
        <v>58</v>
      </c>
      <c r="D16" s="31" t="s">
        <v>49</v>
      </c>
      <c r="E16" s="31" t="s">
        <v>98</v>
      </c>
      <c r="F16" s="31">
        <v>37</v>
      </c>
      <c r="G16" s="33">
        <v>865.69</v>
      </c>
      <c r="H16" s="35" t="str">
        <f t="shared" ca="1" si="0"/>
        <v>▼</v>
      </c>
      <c r="I16" s="33">
        <v>844.15</v>
      </c>
      <c r="J16" s="33">
        <f t="shared" ca="1" si="1"/>
        <v>-57.899999999999977</v>
      </c>
      <c r="K16" s="36">
        <f t="shared" ca="1" si="2"/>
        <v>-7.3640699523052439E-2</v>
      </c>
      <c r="L16" s="33">
        <v>32030.53</v>
      </c>
      <c r="M16" s="33">
        <f ca="1">IFERROR(INDEX(Price_Update!$F:$F, MATCH(A16, Price_Update!$A:$A, 0)), 786.25)</f>
        <v>786.25</v>
      </c>
      <c r="N16" s="33">
        <f ca="1">IFERROR(INDEX(Price_Update!$I:$I, MATCH(A16, Price_Update!$A:$A, 0)), 802.7)</f>
        <v>802.7</v>
      </c>
      <c r="O16" s="33">
        <v>822.6</v>
      </c>
      <c r="P16" s="33">
        <v>796.93</v>
      </c>
      <c r="Q16" s="33">
        <v>796.51</v>
      </c>
      <c r="R16" s="33">
        <v>796.13</v>
      </c>
      <c r="S16" s="33">
        <v>791.88</v>
      </c>
      <c r="T16" s="33">
        <f t="shared" ca="1" si="3"/>
        <v>29091.25</v>
      </c>
      <c r="U16" s="33">
        <f t="shared" ca="1" si="4"/>
        <v>-2939.2799999999988</v>
      </c>
      <c r="V16" s="36">
        <f t="shared" ca="1" si="5"/>
        <v>-9.1764950501911732E-2</v>
      </c>
      <c r="W16" s="36">
        <v>-0.44866775108589579</v>
      </c>
      <c r="X16" s="31">
        <v>2</v>
      </c>
      <c r="Y16" s="31"/>
      <c r="Z16" s="31" t="s">
        <v>106</v>
      </c>
      <c r="AA16" s="33">
        <v>822.6</v>
      </c>
    </row>
    <row r="17" spans="1:27">
      <c r="A17" s="34" t="s">
        <v>664</v>
      </c>
      <c r="B17" s="31" t="s">
        <v>36</v>
      </c>
      <c r="C17" s="31" t="s">
        <v>64</v>
      </c>
      <c r="D17" s="31" t="s">
        <v>49</v>
      </c>
      <c r="E17" s="31" t="s">
        <v>98</v>
      </c>
      <c r="F17" s="31">
        <v>6</v>
      </c>
      <c r="G17" s="33">
        <v>5189</v>
      </c>
      <c r="H17" s="35" t="str">
        <f t="shared" ca="1" si="0"/>
        <v>▼</v>
      </c>
      <c r="I17" s="33">
        <v>4670.1000000000004</v>
      </c>
      <c r="J17" s="33">
        <f t="shared" ca="1" si="1"/>
        <v>551.89999999999964</v>
      </c>
      <c r="K17" s="36">
        <f t="shared" ca="1" si="2"/>
        <v>0.10568747606281112</v>
      </c>
      <c r="L17" s="33">
        <v>31134</v>
      </c>
      <c r="M17" s="33">
        <f ca="1">IFERROR(INDEX(Price_Update!$F:$F, MATCH(A17, Price_Update!$A:$A, 0)), 5222)</f>
        <v>5222</v>
      </c>
      <c r="N17" s="33">
        <f ca="1">IFERROR(INDEX(Price_Update!$I:$I, MATCH(A17, Price_Update!$A:$A, 0)), 5261.5)</f>
        <v>5261.5</v>
      </c>
      <c r="O17" s="33">
        <v>5267.5</v>
      </c>
      <c r="P17" s="33">
        <v>5252.56</v>
      </c>
      <c r="Q17" s="33">
        <v>5248.07</v>
      </c>
      <c r="R17" s="33">
        <v>5242.67</v>
      </c>
      <c r="S17" s="33">
        <v>5164.3599999999997</v>
      </c>
      <c r="T17" s="33">
        <f t="shared" ca="1" si="3"/>
        <v>31332</v>
      </c>
      <c r="U17" s="33">
        <f t="shared" ca="1" si="4"/>
        <v>198</v>
      </c>
      <c r="V17" s="36">
        <f t="shared" ca="1" si="5"/>
        <v>6.3596068606667951E-3</v>
      </c>
      <c r="W17" s="36">
        <v>2.180229153893265</v>
      </c>
      <c r="X17" s="31">
        <v>2</v>
      </c>
      <c r="Y17" s="31"/>
      <c r="Z17" s="31" t="s">
        <v>106</v>
      </c>
      <c r="AA17" s="33">
        <v>5267.5</v>
      </c>
    </row>
    <row r="18" spans="1:27">
      <c r="A18" s="34" t="s">
        <v>665</v>
      </c>
      <c r="B18" s="31" t="s">
        <v>32</v>
      </c>
      <c r="C18" s="31" t="s">
        <v>62</v>
      </c>
      <c r="D18" s="31" t="s">
        <v>49</v>
      </c>
      <c r="E18" s="31" t="s">
        <v>98</v>
      </c>
      <c r="F18" s="31">
        <v>43</v>
      </c>
      <c r="G18" s="33">
        <v>679.8</v>
      </c>
      <c r="H18" s="35" t="str">
        <f t="shared" ca="1" si="0"/>
        <v>▼</v>
      </c>
      <c r="I18" s="33">
        <v>611.82000000000005</v>
      </c>
      <c r="J18" s="33">
        <f t="shared" ca="1" si="1"/>
        <v>70.829999999999927</v>
      </c>
      <c r="K18" s="36">
        <f t="shared" ca="1" si="2"/>
        <v>0.1037574159525378</v>
      </c>
      <c r="L18" s="33">
        <v>29231.4</v>
      </c>
      <c r="M18" s="33">
        <f ca="1">IFERROR(INDEX(Price_Update!$F:$F, MATCH(A18, Price_Update!$A:$A, 0)), 682.65)</f>
        <v>682.65</v>
      </c>
      <c r="N18" s="33">
        <f ca="1">IFERROR(INDEX(Price_Update!$I:$I, MATCH(A18, Price_Update!$A:$A, 0)), 686.45)</f>
        <v>686.45</v>
      </c>
      <c r="O18" s="33">
        <v>668.1</v>
      </c>
      <c r="P18" s="33">
        <v>678.66</v>
      </c>
      <c r="Q18" s="33">
        <v>678.16</v>
      </c>
      <c r="R18" s="33">
        <v>677.6</v>
      </c>
      <c r="S18" s="33">
        <v>667.87</v>
      </c>
      <c r="T18" s="33">
        <f t="shared" ca="1" si="3"/>
        <v>29353.95</v>
      </c>
      <c r="U18" s="33">
        <f t="shared" ca="1" si="4"/>
        <v>122.54999999999927</v>
      </c>
      <c r="V18" s="36">
        <f t="shared" ca="1" si="5"/>
        <v>4.1924095322153319E-3</v>
      </c>
      <c r="W18" s="36">
        <v>1.145806282537102</v>
      </c>
      <c r="X18" s="31">
        <v>2</v>
      </c>
      <c r="Y18" s="31"/>
      <c r="Z18" s="31" t="s">
        <v>106</v>
      </c>
      <c r="AA18" s="33">
        <v>668.1</v>
      </c>
    </row>
    <row r="19" spans="1:27">
      <c r="A19" s="34" t="s">
        <v>663</v>
      </c>
      <c r="B19" s="31" t="s">
        <v>32</v>
      </c>
      <c r="C19" s="31" t="s">
        <v>62</v>
      </c>
      <c r="D19" s="31" t="s">
        <v>49</v>
      </c>
      <c r="E19" s="31" t="s">
        <v>98</v>
      </c>
      <c r="F19" s="31">
        <v>18</v>
      </c>
      <c r="G19" s="33">
        <v>1562.2</v>
      </c>
      <c r="H19" s="35" t="str">
        <f t="shared" ca="1" si="0"/>
        <v>▲</v>
      </c>
      <c r="I19" s="33">
        <v>1405.98</v>
      </c>
      <c r="J19" s="33">
        <f t="shared" ca="1" si="1"/>
        <v>163.61999999999989</v>
      </c>
      <c r="K19" s="36">
        <f t="shared" ca="1" si="2"/>
        <v>0.10424311926605498</v>
      </c>
      <c r="L19" s="33">
        <v>28119.599999999999</v>
      </c>
      <c r="M19" s="33">
        <f ca="1">IFERROR(INDEX(Price_Update!$F:$F, MATCH(A19, Price_Update!$A:$A, 0)), 1569.6)</f>
        <v>1569.6</v>
      </c>
      <c r="N19" s="33">
        <f ca="1">IFERROR(INDEX(Price_Update!$I:$I, MATCH(A19, Price_Update!$A:$A, 0)), 1561)</f>
        <v>1561</v>
      </c>
      <c r="O19" s="33">
        <v>1607.4</v>
      </c>
      <c r="P19" s="33">
        <v>1594.68</v>
      </c>
      <c r="Q19" s="33">
        <v>1595.96</v>
      </c>
      <c r="R19" s="33">
        <v>1596.63</v>
      </c>
      <c r="S19" s="33">
        <v>1583.38</v>
      </c>
      <c r="T19" s="33">
        <f t="shared" ca="1" si="3"/>
        <v>28252.799999999999</v>
      </c>
      <c r="U19" s="33">
        <f t="shared" ca="1" si="4"/>
        <v>133.20000000000073</v>
      </c>
      <c r="V19" s="36">
        <f t="shared" ca="1" si="5"/>
        <v>4.7369094866214576E-3</v>
      </c>
      <c r="W19" s="36">
        <v>1.368945521190384</v>
      </c>
      <c r="X19" s="31">
        <v>2</v>
      </c>
      <c r="Y19" s="31"/>
      <c r="Z19" s="31" t="s">
        <v>106</v>
      </c>
      <c r="AA19" s="33">
        <v>1607.4</v>
      </c>
    </row>
    <row r="20" spans="1:27">
      <c r="A20" s="37" t="s">
        <v>79</v>
      </c>
      <c r="B20" s="31" t="s">
        <v>34</v>
      </c>
      <c r="C20" s="31" t="s">
        <v>58</v>
      </c>
      <c r="D20" s="31" t="s">
        <v>49</v>
      </c>
      <c r="E20" s="31" t="s">
        <v>98</v>
      </c>
      <c r="F20" s="31">
        <v>16</v>
      </c>
      <c r="G20" s="33">
        <v>3127</v>
      </c>
      <c r="H20" s="35" t="str">
        <f t="shared" ca="1" si="0"/>
        <v>▲</v>
      </c>
      <c r="I20" s="33">
        <v>2814.3</v>
      </c>
      <c r="J20" s="33">
        <f t="shared" ca="1" si="1"/>
        <v>196.79999999999973</v>
      </c>
      <c r="K20" s="36">
        <f t="shared" ca="1" si="2"/>
        <v>6.5358174753412282E-2</v>
      </c>
      <c r="L20" s="33">
        <v>50032</v>
      </c>
      <c r="M20" s="33">
        <f ca="1">IFERROR(INDEX(Price_Update!$F:$F, MATCH(A20, Price_Update!$A:$A, 0)), 3011.1)</f>
        <v>3011.1</v>
      </c>
      <c r="N20" s="33">
        <f ca="1">IFERROR(INDEX(Price_Update!$I:$I, MATCH(A20, Price_Update!$A:$A, 0)), 2998.3)</f>
        <v>2998.3</v>
      </c>
      <c r="O20" s="33">
        <v>3045.6</v>
      </c>
      <c r="P20" s="33">
        <v>3052.89</v>
      </c>
      <c r="Q20" s="33">
        <v>3058.27</v>
      </c>
      <c r="R20" s="33">
        <v>3063.24</v>
      </c>
      <c r="S20" s="33">
        <v>3096.59</v>
      </c>
      <c r="T20" s="33">
        <f t="shared" ca="1" si="3"/>
        <v>48177.599999999999</v>
      </c>
      <c r="U20" s="33">
        <f t="shared" ca="1" si="4"/>
        <v>-1854.4000000000015</v>
      </c>
      <c r="V20" s="36">
        <f t="shared" ca="1" si="5"/>
        <v>-3.7064278861528653E-2</v>
      </c>
      <c r="W20" s="36">
        <v>-0.49806129982515812</v>
      </c>
      <c r="X20" s="31">
        <v>20</v>
      </c>
      <c r="Y20" s="31"/>
      <c r="Z20" s="31" t="s">
        <v>106</v>
      </c>
      <c r="AA20" s="33">
        <v>3045.6</v>
      </c>
    </row>
    <row r="21" spans="1:27">
      <c r="A21" s="34" t="s">
        <v>260</v>
      </c>
      <c r="B21" s="31" t="s">
        <v>32</v>
      </c>
      <c r="C21" s="31" t="s">
        <v>62</v>
      </c>
      <c r="D21" s="31" t="s">
        <v>49</v>
      </c>
      <c r="E21" s="31" t="s">
        <v>98</v>
      </c>
      <c r="F21" s="31">
        <v>54</v>
      </c>
      <c r="G21" s="33">
        <v>544.58000000000004</v>
      </c>
      <c r="H21" s="35" t="str">
        <f t="shared" ca="1" si="0"/>
        <v>▼</v>
      </c>
      <c r="I21" s="33">
        <v>490.12</v>
      </c>
      <c r="J21" s="33">
        <f t="shared" ca="1" si="1"/>
        <v>46.029999999999973</v>
      </c>
      <c r="K21" s="36">
        <f t="shared" ca="1" si="2"/>
        <v>8.585283969038511E-2</v>
      </c>
      <c r="L21" s="33">
        <v>29407.32</v>
      </c>
      <c r="M21" s="33">
        <f ca="1">IFERROR(INDEX(Price_Update!$F:$F, MATCH(A21, Price_Update!$A:$A, 0)), 536.15)</f>
        <v>536.15</v>
      </c>
      <c r="N21" s="33">
        <f ca="1">IFERROR(INDEX(Price_Update!$I:$I, MATCH(A21, Price_Update!$A:$A, 0)), 541.5)</f>
        <v>541.5</v>
      </c>
      <c r="O21" s="33">
        <v>555.35</v>
      </c>
      <c r="P21" s="33">
        <v>536.86</v>
      </c>
      <c r="Q21" s="33">
        <v>536.11</v>
      </c>
      <c r="R21" s="33">
        <v>535.32000000000005</v>
      </c>
      <c r="S21" s="33">
        <v>526.08000000000004</v>
      </c>
      <c r="T21" s="33">
        <f t="shared" ca="1" si="3"/>
        <v>28952.1</v>
      </c>
      <c r="U21" s="33">
        <f t="shared" ca="1" si="4"/>
        <v>-455.22000000000116</v>
      </c>
      <c r="V21" s="36">
        <f t="shared" ca="1" si="5"/>
        <v>-1.5479819310294211E-2</v>
      </c>
      <c r="W21" s="36">
        <v>-0.52044263210427888</v>
      </c>
      <c r="X21" s="31">
        <v>2</v>
      </c>
      <c r="Y21" s="31" t="s">
        <v>986</v>
      </c>
      <c r="Z21" s="31" t="s">
        <v>106</v>
      </c>
      <c r="AA21" s="33">
        <v>555.35</v>
      </c>
    </row>
    <row r="22" spans="1:27">
      <c r="A22" s="34" t="s">
        <v>260</v>
      </c>
      <c r="B22" s="31" t="s">
        <v>32</v>
      </c>
      <c r="C22" s="31" t="s">
        <v>62</v>
      </c>
      <c r="D22" s="31" t="s">
        <v>49</v>
      </c>
      <c r="E22" s="31" t="s">
        <v>98</v>
      </c>
      <c r="F22" s="31">
        <v>54</v>
      </c>
      <c r="G22" s="33">
        <v>544.58000000000004</v>
      </c>
      <c r="H22" s="35" t="str">
        <f t="shared" ca="1" si="0"/>
        <v>▼</v>
      </c>
      <c r="I22" s="33">
        <v>490.12</v>
      </c>
      <c r="J22" s="33">
        <f t="shared" ca="1" si="1"/>
        <v>46.029999999999973</v>
      </c>
      <c r="K22" s="36">
        <f t="shared" ca="1" si="2"/>
        <v>8.585283969038511E-2</v>
      </c>
      <c r="L22" s="33">
        <v>29407.32</v>
      </c>
      <c r="M22" s="33">
        <f ca="1">IFERROR(INDEX(Price_Update!$F:$F, MATCH(A22, Price_Update!$A:$A, 0)), 536.15)</f>
        <v>536.15</v>
      </c>
      <c r="N22" s="33">
        <f ca="1">IFERROR(INDEX(Price_Update!$I:$I, MATCH(A22, Price_Update!$A:$A, 0)), 541.5)</f>
        <v>541.5</v>
      </c>
      <c r="O22" s="33">
        <v>555.35</v>
      </c>
      <c r="P22" s="33">
        <v>536.86</v>
      </c>
      <c r="Q22" s="33">
        <v>536.11</v>
      </c>
      <c r="R22" s="33">
        <v>535.32000000000005</v>
      </c>
      <c r="S22" s="33">
        <v>526.08000000000004</v>
      </c>
      <c r="T22" s="33">
        <f t="shared" ca="1" si="3"/>
        <v>28952.1</v>
      </c>
      <c r="U22" s="33">
        <f t="shared" ca="1" si="4"/>
        <v>-455.22000000000116</v>
      </c>
      <c r="V22" s="36">
        <f t="shared" ca="1" si="5"/>
        <v>-1.5479819310294211E-2</v>
      </c>
      <c r="W22" s="36">
        <v>-0.52044263210427888</v>
      </c>
      <c r="X22" s="31">
        <v>2</v>
      </c>
      <c r="Y22" s="31" t="s">
        <v>986</v>
      </c>
      <c r="Z22" s="31" t="s">
        <v>106</v>
      </c>
      <c r="AA22" s="33">
        <v>555.35</v>
      </c>
    </row>
    <row r="23" spans="1:27">
      <c r="A23" s="34" t="s">
        <v>671</v>
      </c>
      <c r="B23" s="31" t="s">
        <v>36</v>
      </c>
      <c r="C23" s="31" t="s">
        <v>62</v>
      </c>
      <c r="D23" s="31" t="s">
        <v>49</v>
      </c>
      <c r="E23" s="31" t="s">
        <v>98</v>
      </c>
      <c r="F23" s="31">
        <v>4</v>
      </c>
      <c r="G23" s="33">
        <v>7050</v>
      </c>
      <c r="H23" s="35" t="str">
        <f t="shared" ca="1" si="0"/>
        <v>▼</v>
      </c>
      <c r="I23" s="33">
        <v>6345</v>
      </c>
      <c r="J23" s="33">
        <f t="shared" ca="1" si="1"/>
        <v>690.5</v>
      </c>
      <c r="K23" s="36">
        <f t="shared" ca="1" si="2"/>
        <v>9.8145121171203178E-2</v>
      </c>
      <c r="L23" s="33">
        <v>28200</v>
      </c>
      <c r="M23" s="33">
        <f ca="1">IFERROR(INDEX(Price_Update!$F:$F, MATCH(A23, Price_Update!$A:$A, 0)), 7035.5)</f>
        <v>7035.5</v>
      </c>
      <c r="N23" s="33">
        <f ca="1">IFERROR(INDEX(Price_Update!$I:$I, MATCH(A23, Price_Update!$A:$A, 0)), 7052)</f>
        <v>7052</v>
      </c>
      <c r="O23" s="33">
        <v>7129</v>
      </c>
      <c r="P23" s="33">
        <v>7108.64</v>
      </c>
      <c r="Q23" s="33">
        <v>7107.95</v>
      </c>
      <c r="R23" s="33">
        <v>7105.49</v>
      </c>
      <c r="S23" s="33">
        <v>7029.6</v>
      </c>
      <c r="T23" s="33">
        <f t="shared" ca="1" si="3"/>
        <v>28142</v>
      </c>
      <c r="U23" s="33">
        <f t="shared" ca="1" si="4"/>
        <v>-58</v>
      </c>
      <c r="V23" s="36">
        <f t="shared" ca="1" si="5"/>
        <v>-2.0567375886524821E-3</v>
      </c>
      <c r="W23" s="36">
        <v>-0.31321991212222389</v>
      </c>
      <c r="X23" s="31">
        <v>2</v>
      </c>
      <c r="Y23" s="31"/>
      <c r="Z23" s="31" t="s">
        <v>106</v>
      </c>
      <c r="AA23" s="33">
        <v>7129</v>
      </c>
    </row>
    <row r="24" spans="1:27">
      <c r="A24" s="34" t="s">
        <v>195</v>
      </c>
      <c r="B24" s="31" t="s">
        <v>32</v>
      </c>
      <c r="C24" s="31" t="s">
        <v>62</v>
      </c>
      <c r="D24" s="31" t="s">
        <v>49</v>
      </c>
      <c r="E24" s="31" t="s">
        <v>98</v>
      </c>
      <c r="F24" s="31">
        <v>11</v>
      </c>
      <c r="G24" s="33">
        <v>2660</v>
      </c>
      <c r="H24" s="35" t="str">
        <f t="shared" ca="1" si="0"/>
        <v>▼</v>
      </c>
      <c r="I24" s="33">
        <v>2394</v>
      </c>
      <c r="J24" s="33">
        <f t="shared" ca="1" si="1"/>
        <v>251.09999999999991</v>
      </c>
      <c r="K24" s="36">
        <f t="shared" ca="1" si="2"/>
        <v>9.4930248383803983E-2</v>
      </c>
      <c r="L24" s="33">
        <v>29260</v>
      </c>
      <c r="M24" s="33">
        <f ca="1">IFERROR(INDEX(Price_Update!$F:$F, MATCH(A24, Price_Update!$A:$A, 0)), 2645.1)</f>
        <v>2645.1</v>
      </c>
      <c r="N24" s="33">
        <f ca="1">IFERROR(INDEX(Price_Update!$I:$I, MATCH(A24, Price_Update!$A:$A, 0)), 2654.5)</f>
        <v>2654.5</v>
      </c>
      <c r="O24" s="33">
        <v>2785.1</v>
      </c>
      <c r="P24" s="33">
        <v>2655.07</v>
      </c>
      <c r="Q24" s="33">
        <v>2644.51</v>
      </c>
      <c r="R24" s="33">
        <v>2633.8</v>
      </c>
      <c r="S24" s="33">
        <v>2542.0300000000002</v>
      </c>
      <c r="T24" s="33">
        <f t="shared" ca="1" si="3"/>
        <v>29096.1</v>
      </c>
      <c r="U24" s="33">
        <f t="shared" ca="1" si="4"/>
        <v>-163.90000000000146</v>
      </c>
      <c r="V24" s="36">
        <f t="shared" ca="1" si="5"/>
        <v>-5.6015037593985456E-3</v>
      </c>
      <c r="W24" s="36">
        <v>-0.64125674381474773</v>
      </c>
      <c r="X24" s="31">
        <v>2</v>
      </c>
      <c r="Y24" s="31"/>
      <c r="Z24" s="31" t="s">
        <v>106</v>
      </c>
      <c r="AA24" s="33">
        <v>2785.1</v>
      </c>
    </row>
    <row r="25" spans="1:27">
      <c r="A25" s="34" t="s">
        <v>666</v>
      </c>
      <c r="B25" s="31" t="s">
        <v>36</v>
      </c>
      <c r="C25" s="31" t="s">
        <v>62</v>
      </c>
      <c r="D25" s="31" t="s">
        <v>49</v>
      </c>
      <c r="E25" s="31" t="s">
        <v>98</v>
      </c>
      <c r="F25" s="31">
        <v>15</v>
      </c>
      <c r="G25" s="33">
        <v>1910.65</v>
      </c>
      <c r="H25" s="35" t="str">
        <f t="shared" ca="1" si="0"/>
        <v>▲</v>
      </c>
      <c r="I25" s="33">
        <v>1719.59</v>
      </c>
      <c r="J25" s="33">
        <f t="shared" ca="1" si="1"/>
        <v>261.01</v>
      </c>
      <c r="K25" s="36">
        <f t="shared" ca="1" si="2"/>
        <v>0.13178329799050792</v>
      </c>
      <c r="L25" s="33">
        <v>28659.75</v>
      </c>
      <c r="M25" s="33">
        <f ca="1">IFERROR(INDEX(Price_Update!$F:$F, MATCH(A25, Price_Update!$A:$A, 0)), 1980.6)</f>
        <v>1980.6</v>
      </c>
      <c r="N25" s="33">
        <f ca="1">IFERROR(INDEX(Price_Update!$I:$I, MATCH(A25, Price_Update!$A:$A, 0)), 1934.2)</f>
        <v>1934.2</v>
      </c>
      <c r="O25" s="33">
        <v>1894</v>
      </c>
      <c r="P25" s="33">
        <v>1920.45</v>
      </c>
      <c r="Q25" s="33">
        <v>1917.04</v>
      </c>
      <c r="R25" s="33">
        <v>1913.73</v>
      </c>
      <c r="S25" s="33">
        <v>1884.13</v>
      </c>
      <c r="T25" s="33">
        <f t="shared" ca="1" si="3"/>
        <v>29709</v>
      </c>
      <c r="U25" s="33">
        <f t="shared" ca="1" si="4"/>
        <v>1049.25</v>
      </c>
      <c r="V25" s="36">
        <f t="shared" ca="1" si="5"/>
        <v>3.6610577552141942E-2</v>
      </c>
      <c r="W25" s="36">
        <v>706.93250894755033</v>
      </c>
      <c r="X25" s="31">
        <v>2</v>
      </c>
      <c r="Y25" s="31"/>
      <c r="Z25" s="31" t="s">
        <v>106</v>
      </c>
      <c r="AA25" s="33">
        <v>1894</v>
      </c>
    </row>
    <row r="26" spans="1:27">
      <c r="A26" s="34" t="s">
        <v>660</v>
      </c>
      <c r="B26" s="31" t="s">
        <v>36</v>
      </c>
      <c r="C26" s="31" t="s">
        <v>658</v>
      </c>
      <c r="D26" s="31" t="s">
        <v>49</v>
      </c>
      <c r="E26" s="31" t="s">
        <v>98</v>
      </c>
      <c r="F26" s="31">
        <v>3</v>
      </c>
      <c r="G26" s="33">
        <v>10301</v>
      </c>
      <c r="H26" s="35" t="str">
        <f t="shared" ca="1" si="0"/>
        <v>▼</v>
      </c>
      <c r="I26" s="33">
        <v>9270.9</v>
      </c>
      <c r="J26" s="33">
        <f t="shared" ca="1" si="1"/>
        <v>726.60000000000036</v>
      </c>
      <c r="K26" s="36">
        <f t="shared" ca="1" si="2"/>
        <v>7.2678169542385637E-2</v>
      </c>
      <c r="L26" s="33">
        <v>30903</v>
      </c>
      <c r="M26" s="33">
        <f ca="1">IFERROR(INDEX(Price_Update!$F:$F, MATCH(A26, Price_Update!$A:$A, 0)), 9997.5)</f>
        <v>9997.5</v>
      </c>
      <c r="N26" s="33">
        <f ca="1">IFERROR(INDEX(Price_Update!$I:$I, MATCH(A26, Price_Update!$A:$A, 0)), 10344.5)</f>
        <v>10344.5</v>
      </c>
      <c r="O26" s="33">
        <v>9964</v>
      </c>
      <c r="P26" s="33">
        <v>10006.700000000001</v>
      </c>
      <c r="Q26" s="33">
        <v>9977.64</v>
      </c>
      <c r="R26" s="33">
        <v>9948.0400000000009</v>
      </c>
      <c r="S26" s="33">
        <v>9632.57</v>
      </c>
      <c r="T26" s="33">
        <f t="shared" ca="1" si="3"/>
        <v>29992.5</v>
      </c>
      <c r="U26" s="33">
        <f t="shared" ca="1" si="4"/>
        <v>-910.5</v>
      </c>
      <c r="V26" s="36">
        <f t="shared" ca="1" si="5"/>
        <v>-2.9463158916610038E-2</v>
      </c>
      <c r="W26" s="36">
        <v>9.9999993449449534</v>
      </c>
      <c r="X26" s="31">
        <v>2</v>
      </c>
      <c r="Y26" s="31"/>
      <c r="Z26" s="31" t="s">
        <v>106</v>
      </c>
      <c r="AA26" s="33">
        <v>9964</v>
      </c>
    </row>
    <row r="27" spans="1:27">
      <c r="A27" s="34" t="s">
        <v>68</v>
      </c>
      <c r="B27" s="31" t="s">
        <v>34</v>
      </c>
      <c r="C27" s="31" t="s">
        <v>64</v>
      </c>
      <c r="D27" s="31" t="s">
        <v>49</v>
      </c>
      <c r="E27" s="31" t="s">
        <v>109</v>
      </c>
      <c r="F27" s="31">
        <v>53</v>
      </c>
      <c r="G27" s="33">
        <v>7825.34</v>
      </c>
      <c r="H27" s="35" t="str">
        <f t="shared" ca="1" si="0"/>
        <v>▲</v>
      </c>
      <c r="I27" s="33">
        <v>9146.7199999999993</v>
      </c>
      <c r="J27" s="33">
        <f t="shared" ca="1" si="1"/>
        <v>424.78000000000065</v>
      </c>
      <c r="K27" s="36">
        <f t="shared" ca="1" si="2"/>
        <v>4.4379668808441797E-2</v>
      </c>
      <c r="L27" s="33">
        <v>414743.02</v>
      </c>
      <c r="M27" s="33">
        <f ca="1">IFERROR(INDEX(Price_Update!$F:$F, MATCH(A27, Price_Update!$A:$A, 0)), 9571.5)</f>
        <v>9571.5</v>
      </c>
      <c r="N27" s="33">
        <f ca="1">IFERROR(INDEX(Price_Update!$I:$I, MATCH(A27, Price_Update!$A:$A, 0)), 9531.5)</f>
        <v>9531.5</v>
      </c>
      <c r="O27" s="33">
        <v>9477.5</v>
      </c>
      <c r="P27" s="33">
        <v>9447.26</v>
      </c>
      <c r="Q27" s="33">
        <v>9425.02</v>
      </c>
      <c r="R27" s="33">
        <v>9401.7099999999991</v>
      </c>
      <c r="S27" s="33">
        <v>9146.7199999999993</v>
      </c>
      <c r="T27" s="33">
        <f t="shared" ca="1" si="3"/>
        <v>507289.5</v>
      </c>
      <c r="U27" s="33">
        <f t="shared" ca="1" si="4"/>
        <v>92546.479999999981</v>
      </c>
      <c r="V27" s="36">
        <f t="shared" ca="1" si="5"/>
        <v>0.22314174208404997</v>
      </c>
      <c r="W27" s="36">
        <v>0.47606602978767409</v>
      </c>
      <c r="X27" s="31">
        <v>269</v>
      </c>
      <c r="Y27" s="31"/>
      <c r="Z27" s="31" t="s">
        <v>106</v>
      </c>
      <c r="AA27" s="33">
        <v>9477.5</v>
      </c>
    </row>
    <row r="28" spans="1:27">
      <c r="A28" s="34" t="s">
        <v>652</v>
      </c>
      <c r="B28" s="31" t="s">
        <v>34</v>
      </c>
      <c r="C28" s="31" t="s">
        <v>58</v>
      </c>
      <c r="D28" s="31" t="s">
        <v>49</v>
      </c>
      <c r="E28" s="31" t="s">
        <v>98</v>
      </c>
      <c r="F28" s="31">
        <v>1</v>
      </c>
      <c r="G28" s="33">
        <v>35105</v>
      </c>
      <c r="H28" s="35" t="str">
        <f t="shared" ca="1" si="0"/>
        <v>▲</v>
      </c>
      <c r="I28" s="33">
        <v>31594.5</v>
      </c>
      <c r="J28" s="33">
        <f t="shared" ca="1" si="1"/>
        <v>3595.5</v>
      </c>
      <c r="K28" s="36">
        <f t="shared" ca="1" si="2"/>
        <v>0.10217391304347827</v>
      </c>
      <c r="L28" s="33">
        <v>35105</v>
      </c>
      <c r="M28" s="33">
        <f ca="1">IFERROR(INDEX(Price_Update!$F:$F, MATCH(A28, Price_Update!$A:$A, 0)), 35190)</f>
        <v>35190</v>
      </c>
      <c r="N28" s="33">
        <f ca="1">IFERROR(INDEX(Price_Update!$I:$I, MATCH(A28, Price_Update!$A:$A, 0)), 35105)</f>
        <v>35105</v>
      </c>
      <c r="O28" s="33">
        <v>38445</v>
      </c>
      <c r="P28" s="33">
        <v>35923.08</v>
      </c>
      <c r="Q28" s="33">
        <v>35858.870000000003</v>
      </c>
      <c r="R28" s="33">
        <v>35784.449999999997</v>
      </c>
      <c r="S28" s="33">
        <v>34811.97</v>
      </c>
      <c r="T28" s="33">
        <f t="shared" ca="1" si="3"/>
        <v>35190</v>
      </c>
      <c r="U28" s="33">
        <f t="shared" ca="1" si="4"/>
        <v>85</v>
      </c>
      <c r="V28" s="36">
        <f t="shared" ca="1" si="5"/>
        <v>2.4213075060532689E-3</v>
      </c>
      <c r="W28" s="36">
        <v>0.55481179745584519</v>
      </c>
      <c r="X28" s="31">
        <v>2</v>
      </c>
      <c r="Y28" s="31"/>
      <c r="Z28" s="31" t="s">
        <v>106</v>
      </c>
      <c r="AA28" s="33">
        <v>38445</v>
      </c>
    </row>
    <row r="29" spans="1:27">
      <c r="A29" s="34" t="s">
        <v>667</v>
      </c>
      <c r="B29" s="31" t="s">
        <v>32</v>
      </c>
      <c r="C29" s="31" t="s">
        <v>58</v>
      </c>
      <c r="D29" s="31" t="s">
        <v>49</v>
      </c>
      <c r="E29" s="31" t="s">
        <v>98</v>
      </c>
      <c r="F29" s="31">
        <v>35</v>
      </c>
      <c r="G29" s="33">
        <v>838.6</v>
      </c>
      <c r="H29" s="35" t="str">
        <f t="shared" ca="1" si="0"/>
        <v>▼</v>
      </c>
      <c r="I29" s="33">
        <v>754.74</v>
      </c>
      <c r="J29" s="33">
        <f t="shared" ca="1" si="1"/>
        <v>65.309999999999945</v>
      </c>
      <c r="K29" s="36">
        <f t="shared" ca="1" si="2"/>
        <v>7.9641485275288026E-2</v>
      </c>
      <c r="L29" s="33">
        <v>29351</v>
      </c>
      <c r="M29" s="33">
        <f ca="1">IFERROR(INDEX(Price_Update!$F:$F, MATCH(A29, Price_Update!$A:$A, 0)), 820.05)</f>
        <v>820.05</v>
      </c>
      <c r="N29" s="33">
        <f ca="1">IFERROR(INDEX(Price_Update!$I:$I, MATCH(A29, Price_Update!$A:$A, 0)), 842.65)</f>
        <v>842.65</v>
      </c>
      <c r="O29" s="33">
        <v>854.7</v>
      </c>
      <c r="P29" s="33">
        <v>823.38</v>
      </c>
      <c r="Q29" s="33">
        <v>821.39</v>
      </c>
      <c r="R29" s="33">
        <v>819.46</v>
      </c>
      <c r="S29" s="33">
        <v>801.95</v>
      </c>
      <c r="T29" s="33">
        <f t="shared" ca="1" si="3"/>
        <v>28701.75</v>
      </c>
      <c r="U29" s="33">
        <f t="shared" ca="1" si="4"/>
        <v>-649.25</v>
      </c>
      <c r="V29" s="36">
        <f t="shared" ca="1" si="5"/>
        <v>-2.2120200333889815E-2</v>
      </c>
      <c r="W29" s="36">
        <v>-0.98313061828038995</v>
      </c>
      <c r="X29" s="31">
        <v>2</v>
      </c>
      <c r="Y29" s="31"/>
      <c r="Z29" s="31" t="s">
        <v>106</v>
      </c>
      <c r="AA29" s="33">
        <v>854.7</v>
      </c>
    </row>
    <row r="30" spans="1:27">
      <c r="A30" s="34" t="s">
        <v>668</v>
      </c>
      <c r="B30" s="31" t="s">
        <v>32</v>
      </c>
      <c r="C30" s="31" t="s">
        <v>62</v>
      </c>
      <c r="D30" s="31" t="s">
        <v>49</v>
      </c>
      <c r="E30" s="31" t="s">
        <v>98</v>
      </c>
      <c r="F30" s="31">
        <v>21</v>
      </c>
      <c r="G30" s="33">
        <v>1330.9</v>
      </c>
      <c r="H30" s="35" t="str">
        <f t="shared" ca="1" si="0"/>
        <v>▲</v>
      </c>
      <c r="I30" s="33">
        <v>1197.81</v>
      </c>
      <c r="J30" s="33">
        <f t="shared" ca="1" si="1"/>
        <v>156.3900000000001</v>
      </c>
      <c r="K30" s="36">
        <f t="shared" ca="1" si="2"/>
        <v>0.11548515728843604</v>
      </c>
      <c r="L30" s="33">
        <v>27948.9</v>
      </c>
      <c r="M30" s="33">
        <f ca="1">IFERROR(INDEX(Price_Update!$F:$F, MATCH(A30, Price_Update!$A:$A, 0)), 1354.2)</f>
        <v>1354.2</v>
      </c>
      <c r="N30" s="33">
        <f ca="1">IFERROR(INDEX(Price_Update!$I:$I, MATCH(A30, Price_Update!$A:$A, 0)), 1341.4)</f>
        <v>1341.4</v>
      </c>
      <c r="O30" s="33">
        <v>1380.3</v>
      </c>
      <c r="P30" s="33">
        <v>1356.91</v>
      </c>
      <c r="Q30" s="33">
        <v>1355.6</v>
      </c>
      <c r="R30" s="33">
        <v>1354.1</v>
      </c>
      <c r="S30" s="33">
        <v>1335.2</v>
      </c>
      <c r="T30" s="33">
        <f t="shared" ca="1" si="3"/>
        <v>28438.2</v>
      </c>
      <c r="U30" s="33">
        <f t="shared" ca="1" si="4"/>
        <v>489.29999999999927</v>
      </c>
      <c r="V30" s="36">
        <f t="shared" ca="1" si="5"/>
        <v>1.7506950184085931E-2</v>
      </c>
      <c r="W30" s="36">
        <v>22.74502619128819</v>
      </c>
      <c r="X30" s="31">
        <v>2</v>
      </c>
      <c r="Y30" s="31"/>
      <c r="Z30" s="31" t="s">
        <v>106</v>
      </c>
      <c r="AA30" s="33">
        <v>1380.3</v>
      </c>
    </row>
    <row r="31" spans="1:27">
      <c r="A31" s="34" t="s">
        <v>669</v>
      </c>
      <c r="B31" s="31" t="s">
        <v>32</v>
      </c>
      <c r="C31" s="31" t="s">
        <v>58</v>
      </c>
      <c r="D31" s="31" t="s">
        <v>49</v>
      </c>
      <c r="E31" s="31" t="s">
        <v>98</v>
      </c>
      <c r="F31" s="31">
        <v>40</v>
      </c>
      <c r="G31" s="33">
        <v>729.68</v>
      </c>
      <c r="H31" s="35" t="str">
        <f t="shared" ca="1" si="0"/>
        <v>▼</v>
      </c>
      <c r="I31" s="33">
        <v>656.71</v>
      </c>
      <c r="J31" s="33">
        <f t="shared" ca="1" si="1"/>
        <v>67.189999999999941</v>
      </c>
      <c r="K31" s="36">
        <f t="shared" ca="1" si="2"/>
        <v>9.2816687387760666E-2</v>
      </c>
      <c r="L31" s="33">
        <v>29187.200000000001</v>
      </c>
      <c r="M31" s="33">
        <f ca="1">IFERROR(INDEX(Price_Update!$F:$F, MATCH(A31, Price_Update!$A:$A, 0)), 723.9)</f>
        <v>723.9</v>
      </c>
      <c r="N31" s="33">
        <f ca="1">IFERROR(INDEX(Price_Update!$I:$I, MATCH(A31, Price_Update!$A:$A, 0)), 734.55)</f>
        <v>734.55</v>
      </c>
      <c r="O31" s="33">
        <v>740</v>
      </c>
      <c r="P31" s="33">
        <v>719.62</v>
      </c>
      <c r="Q31" s="33">
        <v>716.01</v>
      </c>
      <c r="R31" s="33">
        <v>712.29</v>
      </c>
      <c r="S31" s="33">
        <v>676.01</v>
      </c>
      <c r="T31" s="33">
        <f t="shared" ca="1" si="3"/>
        <v>28956</v>
      </c>
      <c r="U31" s="33">
        <f t="shared" ca="1" si="4"/>
        <v>-231.20000000000073</v>
      </c>
      <c r="V31" s="36">
        <f t="shared" ca="1" si="5"/>
        <v>-7.9212805613419826E-3</v>
      </c>
      <c r="W31" s="36">
        <v>-0.76590190160386673</v>
      </c>
      <c r="X31" s="31">
        <v>2</v>
      </c>
      <c r="Y31" s="31"/>
      <c r="Z31" s="31" t="s">
        <v>106</v>
      </c>
      <c r="AA31" s="33">
        <v>740</v>
      </c>
    </row>
    <row r="32" spans="1:27">
      <c r="A32" s="34" t="s">
        <v>516</v>
      </c>
      <c r="B32" s="31" t="s">
        <v>34</v>
      </c>
      <c r="C32" s="31" t="s">
        <v>58</v>
      </c>
      <c r="D32" s="31" t="s">
        <v>49</v>
      </c>
      <c r="E32" s="31" t="s">
        <v>99</v>
      </c>
      <c r="F32" s="31">
        <v>4</v>
      </c>
      <c r="G32" s="33">
        <v>15640</v>
      </c>
      <c r="H32" s="35" t="str">
        <f t="shared" ca="1" si="0"/>
        <v>▲</v>
      </c>
      <c r="I32" s="33">
        <v>14076</v>
      </c>
      <c r="J32" s="33">
        <f t="shared" ca="1" si="1"/>
        <v>4501</v>
      </c>
      <c r="K32" s="36">
        <f t="shared" ca="1" si="2"/>
        <v>0.24228885180599666</v>
      </c>
      <c r="L32" s="33">
        <v>62560</v>
      </c>
      <c r="M32" s="33">
        <f ca="1">IFERROR(INDEX(Price_Update!$F:$F, MATCH(A32, Price_Update!$A:$A, 0)), 18577)</f>
        <v>18577</v>
      </c>
      <c r="N32" s="33">
        <f ca="1">IFERROR(INDEX(Price_Update!$I:$I, MATCH(A32, Price_Update!$A:$A, 0)), 18386)</f>
        <v>18386</v>
      </c>
      <c r="O32" s="33">
        <v>18247</v>
      </c>
      <c r="P32" s="33">
        <v>18288.93</v>
      </c>
      <c r="Q32" s="33">
        <v>18239.490000000002</v>
      </c>
      <c r="R32" s="33">
        <v>18186.03</v>
      </c>
      <c r="S32" s="33">
        <v>17581.98</v>
      </c>
      <c r="T32" s="33">
        <f t="shared" ca="1" si="3"/>
        <v>74308</v>
      </c>
      <c r="U32" s="33">
        <f t="shared" ca="1" si="4"/>
        <v>11748</v>
      </c>
      <c r="V32" s="36">
        <f t="shared" ca="1" si="5"/>
        <v>0.18778772378516623</v>
      </c>
      <c r="W32" s="36">
        <v>4.7169008048867642</v>
      </c>
      <c r="X32" s="31">
        <v>76</v>
      </c>
      <c r="Y32" s="31"/>
      <c r="Z32" s="31" t="s">
        <v>106</v>
      </c>
      <c r="AA32" s="33">
        <v>18247</v>
      </c>
    </row>
    <row r="33" spans="1:27">
      <c r="A33" s="34" t="s">
        <v>516</v>
      </c>
      <c r="B33" s="31" t="s">
        <v>34</v>
      </c>
      <c r="C33" s="31" t="s">
        <v>58</v>
      </c>
      <c r="D33" s="31" t="s">
        <v>49</v>
      </c>
      <c r="E33" s="31" t="s">
        <v>99</v>
      </c>
      <c r="F33" s="31">
        <v>4</v>
      </c>
      <c r="G33" s="33">
        <v>15640</v>
      </c>
      <c r="H33" s="35" t="str">
        <f t="shared" ca="1" si="0"/>
        <v>▲</v>
      </c>
      <c r="I33" s="33">
        <v>14076</v>
      </c>
      <c r="J33" s="33">
        <f t="shared" ca="1" si="1"/>
        <v>4501</v>
      </c>
      <c r="K33" s="36">
        <f t="shared" ca="1" si="2"/>
        <v>0.24228885180599666</v>
      </c>
      <c r="L33" s="33">
        <v>62560</v>
      </c>
      <c r="M33" s="33">
        <f ca="1">IFERROR(INDEX(Price_Update!$F:$F, MATCH(A33, Price_Update!$A:$A, 0)), 18577)</f>
        <v>18577</v>
      </c>
      <c r="N33" s="33">
        <f ca="1">IFERROR(INDEX(Price_Update!$I:$I, MATCH(A33, Price_Update!$A:$A, 0)), 18386)</f>
        <v>18386</v>
      </c>
      <c r="O33" s="33">
        <v>18247</v>
      </c>
      <c r="P33" s="33">
        <v>18288.93</v>
      </c>
      <c r="Q33" s="33">
        <v>18239.490000000002</v>
      </c>
      <c r="R33" s="33">
        <v>18186.03</v>
      </c>
      <c r="S33" s="33">
        <v>17581.98</v>
      </c>
      <c r="T33" s="33">
        <f t="shared" ca="1" si="3"/>
        <v>74308</v>
      </c>
      <c r="U33" s="33">
        <f t="shared" ca="1" si="4"/>
        <v>11748</v>
      </c>
      <c r="V33" s="36">
        <f t="shared" ca="1" si="5"/>
        <v>0.18778772378516623</v>
      </c>
      <c r="W33" s="36">
        <v>4.7169008048867642</v>
      </c>
      <c r="X33" s="31">
        <v>76</v>
      </c>
      <c r="Y33" s="31"/>
      <c r="Z33" s="31" t="s">
        <v>106</v>
      </c>
      <c r="AA33" s="33">
        <v>18247</v>
      </c>
    </row>
    <row r="34" spans="1:27">
      <c r="A34" s="34" t="s">
        <v>143</v>
      </c>
      <c r="B34" s="31" t="s">
        <v>32</v>
      </c>
      <c r="C34" s="31" t="s">
        <v>58</v>
      </c>
      <c r="D34" s="31" t="s">
        <v>49</v>
      </c>
      <c r="E34" s="31" t="s">
        <v>98</v>
      </c>
      <c r="F34" s="31">
        <v>26</v>
      </c>
      <c r="G34" s="33">
        <v>1152.9000000000001</v>
      </c>
      <c r="H34" s="35" t="str">
        <f t="shared" ca="1" si="0"/>
        <v>▲</v>
      </c>
      <c r="I34" s="33">
        <v>1037.6099999999999</v>
      </c>
      <c r="J34" s="33">
        <f t="shared" ca="1" si="1"/>
        <v>157.69000000000005</v>
      </c>
      <c r="K34" s="36">
        <f t="shared" ca="1" si="2"/>
        <v>0.13192503973897771</v>
      </c>
      <c r="L34" s="33">
        <v>29975.4</v>
      </c>
      <c r="M34" s="33">
        <f ca="1">IFERROR(INDEX(Price_Update!$F:$F, MATCH(A34, Price_Update!$A:$A, 0)), 1195.3)</f>
        <v>1195.3</v>
      </c>
      <c r="N34" s="33">
        <f ca="1">IFERROR(INDEX(Price_Update!$I:$I, MATCH(A34, Price_Update!$A:$A, 0)), 1166.8)</f>
        <v>1166.8</v>
      </c>
      <c r="O34" s="33">
        <v>1088.55</v>
      </c>
      <c r="P34" s="33">
        <v>1105.51</v>
      </c>
      <c r="Q34" s="33">
        <v>1100.18</v>
      </c>
      <c r="R34" s="33">
        <v>1095.42</v>
      </c>
      <c r="S34" s="33">
        <v>1060.51</v>
      </c>
      <c r="T34" s="33">
        <f t="shared" ca="1" si="3"/>
        <v>31077.8</v>
      </c>
      <c r="U34" s="33">
        <f t="shared" ca="1" si="4"/>
        <v>1102.3999999999978</v>
      </c>
      <c r="V34" s="36">
        <f t="shared" ca="1" si="5"/>
        <v>3.677682366206949E-2</v>
      </c>
      <c r="W34" s="36">
        <v>727.72498248036948</v>
      </c>
      <c r="X34" s="31">
        <v>2</v>
      </c>
      <c r="Y34" s="31"/>
      <c r="Z34" s="31" t="s">
        <v>106</v>
      </c>
      <c r="AA34" s="33">
        <v>1088.55</v>
      </c>
    </row>
    <row r="35" spans="1:27">
      <c r="A35" s="34" t="s">
        <v>67</v>
      </c>
      <c r="B35" s="31" t="s">
        <v>32</v>
      </c>
      <c r="C35" s="31" t="s">
        <v>58</v>
      </c>
      <c r="D35" s="31" t="s">
        <v>49</v>
      </c>
      <c r="E35" s="31" t="s">
        <v>108</v>
      </c>
      <c r="F35" s="31">
        <v>321</v>
      </c>
      <c r="G35" s="33">
        <v>950.19</v>
      </c>
      <c r="H35" s="35" t="str">
        <f t="shared" ca="1" si="0"/>
        <v>▲</v>
      </c>
      <c r="I35" s="33">
        <v>935.17</v>
      </c>
      <c r="J35" s="33">
        <f t="shared" ca="1" si="1"/>
        <v>351.13</v>
      </c>
      <c r="K35" s="36">
        <f t="shared" ca="1" si="2"/>
        <v>0.27297675503381791</v>
      </c>
      <c r="L35" s="33">
        <v>305010.99</v>
      </c>
      <c r="M35" s="33">
        <f ca="1">IFERROR(INDEX(Price_Update!$F:$F, MATCH(A35, Price_Update!$A:$A, 0)), 1286.3)</f>
        <v>1286.3</v>
      </c>
      <c r="N35" s="33">
        <f ca="1">IFERROR(INDEX(Price_Update!$I:$I, MATCH(A35, Price_Update!$A:$A, 0)), 1235)</f>
        <v>1235</v>
      </c>
      <c r="O35" s="33">
        <v>1318.6</v>
      </c>
      <c r="P35" s="33">
        <v>1280.77</v>
      </c>
      <c r="Q35" s="33">
        <v>1279.8</v>
      </c>
      <c r="R35" s="33">
        <v>1278.28</v>
      </c>
      <c r="S35" s="33">
        <v>1246.07</v>
      </c>
      <c r="T35" s="33">
        <f t="shared" ca="1" si="3"/>
        <v>412902.3</v>
      </c>
      <c r="U35" s="33">
        <f t="shared" ca="1" si="4"/>
        <v>107891.31</v>
      </c>
      <c r="V35" s="36">
        <f t="shared" ca="1" si="5"/>
        <v>0.35372925414917017</v>
      </c>
      <c r="W35" s="36">
        <v>4.2247996474720519</v>
      </c>
      <c r="X35" s="31">
        <v>112</v>
      </c>
      <c r="Y35" s="31"/>
      <c r="Z35" s="31" t="s">
        <v>106</v>
      </c>
      <c r="AA35" s="33">
        <v>1318.6</v>
      </c>
    </row>
    <row r="36" spans="1:27">
      <c r="A36" s="34" t="s">
        <v>670</v>
      </c>
      <c r="B36" s="31" t="s">
        <v>32</v>
      </c>
      <c r="C36" s="31" t="s">
        <v>58</v>
      </c>
      <c r="D36" s="31" t="s">
        <v>49</v>
      </c>
      <c r="E36" s="31" t="s">
        <v>98</v>
      </c>
      <c r="F36" s="31">
        <v>8</v>
      </c>
      <c r="G36" s="33">
        <v>3520.1</v>
      </c>
      <c r="H36" s="35" t="str">
        <f t="shared" ca="1" si="0"/>
        <v>▼</v>
      </c>
      <c r="I36" s="33">
        <v>3168.09</v>
      </c>
      <c r="J36" s="33">
        <f t="shared" ca="1" si="1"/>
        <v>323.80999999999995</v>
      </c>
      <c r="K36" s="36">
        <f t="shared" ca="1" si="2"/>
        <v>9.2731750622870049E-2</v>
      </c>
      <c r="L36" s="33">
        <v>28160.799999999999</v>
      </c>
      <c r="M36" s="33">
        <f ca="1">IFERROR(INDEX(Price_Update!$F:$F, MATCH(A36, Price_Update!$A:$A, 0)), 3491.9)</f>
        <v>3491.9</v>
      </c>
      <c r="N36" s="33">
        <f ca="1">IFERROR(INDEX(Price_Update!$I:$I, MATCH(A36, Price_Update!$A:$A, 0)), 3529.2)</f>
        <v>3529.2</v>
      </c>
      <c r="O36" s="33">
        <v>3630.4</v>
      </c>
      <c r="P36" s="33">
        <v>3571.05</v>
      </c>
      <c r="Q36" s="33">
        <v>3572.74</v>
      </c>
      <c r="R36" s="33">
        <v>3573.63</v>
      </c>
      <c r="S36" s="33">
        <v>3562.31</v>
      </c>
      <c r="T36" s="33">
        <f t="shared" ca="1" si="3"/>
        <v>27935.200000000001</v>
      </c>
      <c r="U36" s="33">
        <f t="shared" ca="1" si="4"/>
        <v>-225.59999999999854</v>
      </c>
      <c r="V36" s="36">
        <f t="shared" ca="1" si="5"/>
        <v>-8.011136047271333E-3</v>
      </c>
      <c r="W36" s="36">
        <v>-0.76959698150418043</v>
      </c>
      <c r="X36" s="31">
        <v>2</v>
      </c>
      <c r="Y36" s="31"/>
      <c r="Z36" s="31" t="s">
        <v>106</v>
      </c>
      <c r="AA36" s="33">
        <v>3630.4</v>
      </c>
    </row>
    <row r="37" spans="1:27">
      <c r="A37" s="34" t="s">
        <v>657</v>
      </c>
      <c r="B37" s="31" t="s">
        <v>32</v>
      </c>
      <c r="C37" s="31" t="s">
        <v>658</v>
      </c>
      <c r="D37" s="31" t="s">
        <v>49</v>
      </c>
      <c r="E37" s="31" t="s">
        <v>98</v>
      </c>
      <c r="F37" s="31">
        <v>43</v>
      </c>
      <c r="G37" s="33">
        <v>663.75</v>
      </c>
      <c r="H37" s="35" t="str">
        <f t="shared" ca="1" si="0"/>
        <v>▼</v>
      </c>
      <c r="I37" s="33">
        <v>597.38</v>
      </c>
      <c r="J37" s="33">
        <f t="shared" ca="1" si="1"/>
        <v>62.470000000000027</v>
      </c>
      <c r="K37" s="36">
        <f t="shared" ca="1" si="2"/>
        <v>9.4673031749640105E-2</v>
      </c>
      <c r="L37" s="33">
        <v>28541.25</v>
      </c>
      <c r="M37" s="33">
        <f ca="1">IFERROR(INDEX(Price_Update!$F:$F, MATCH(A37, Price_Update!$A:$A, 0)), 659.85)</f>
        <v>659.85</v>
      </c>
      <c r="N37" s="33">
        <f ca="1">IFERROR(INDEX(Price_Update!$I:$I, MATCH(A37, Price_Update!$A:$A, 0)), 672.3)</f>
        <v>672.3</v>
      </c>
      <c r="O37" s="33">
        <v>662.45</v>
      </c>
      <c r="P37" s="33">
        <v>661.49</v>
      </c>
      <c r="Q37" s="33">
        <v>660.96</v>
      </c>
      <c r="R37" s="33">
        <v>660.38</v>
      </c>
      <c r="S37" s="33">
        <v>651.86</v>
      </c>
      <c r="T37" s="33">
        <f t="shared" ca="1" si="3"/>
        <v>28373.55</v>
      </c>
      <c r="U37" s="33">
        <f t="shared" ca="1" si="4"/>
        <v>-167.70000000000073</v>
      </c>
      <c r="V37" s="36">
        <f t="shared" ca="1" si="5"/>
        <v>-5.8757062146892912E-3</v>
      </c>
      <c r="W37" s="36">
        <v>-0.65886571686491979</v>
      </c>
      <c r="X37" s="31">
        <v>2</v>
      </c>
      <c r="Y37" s="31"/>
      <c r="Z37" s="31" t="s">
        <v>106</v>
      </c>
      <c r="AA37" s="33">
        <v>662.45</v>
      </c>
    </row>
    <row r="38" spans="1:27">
      <c r="A38" s="34" t="s">
        <v>78</v>
      </c>
      <c r="B38" s="31" t="s">
        <v>32</v>
      </c>
      <c r="C38" s="31" t="s">
        <v>58</v>
      </c>
      <c r="D38" s="31" t="s">
        <v>49</v>
      </c>
      <c r="E38" s="31" t="s">
        <v>99</v>
      </c>
      <c r="F38" s="31">
        <v>114</v>
      </c>
      <c r="G38" s="33">
        <v>690.34</v>
      </c>
      <c r="H38" s="35" t="str">
        <f t="shared" ca="1" si="0"/>
        <v>▼</v>
      </c>
      <c r="I38" s="33">
        <v>621.30999999999995</v>
      </c>
      <c r="J38" s="33">
        <f t="shared" ca="1" si="1"/>
        <v>47.540000000000077</v>
      </c>
      <c r="K38" s="36">
        <f t="shared" ca="1" si="2"/>
        <v>7.1077222097630371E-2</v>
      </c>
      <c r="L38" s="33">
        <v>78698.759999999995</v>
      </c>
      <c r="M38" s="33">
        <f ca="1">IFERROR(INDEX(Price_Update!$F:$F, MATCH(A38, Price_Update!$A:$A, 0)), 668.85)</f>
        <v>668.85</v>
      </c>
      <c r="N38" s="33">
        <f ca="1">IFERROR(INDEX(Price_Update!$I:$I, MATCH(A38, Price_Update!$A:$A, 0)), 689.25)</f>
        <v>689.25</v>
      </c>
      <c r="O38" s="33">
        <v>741.5</v>
      </c>
      <c r="P38" s="33">
        <v>687.91</v>
      </c>
      <c r="Q38" s="33">
        <v>685.59</v>
      </c>
      <c r="R38" s="33">
        <v>683</v>
      </c>
      <c r="S38" s="33">
        <v>653.74</v>
      </c>
      <c r="T38" s="33">
        <f t="shared" ca="1" si="3"/>
        <v>76248.900000000009</v>
      </c>
      <c r="U38" s="33">
        <f t="shared" ca="1" si="4"/>
        <v>-2449.859999999986</v>
      </c>
      <c r="V38" s="36">
        <f t="shared" ca="1" si="5"/>
        <v>-3.1129588318799258E-2</v>
      </c>
      <c r="W38" s="36">
        <v>-0.9874524909257888</v>
      </c>
      <c r="X38" s="31">
        <v>3</v>
      </c>
      <c r="Y38" s="31"/>
      <c r="Z38" s="31" t="s">
        <v>106</v>
      </c>
      <c r="AA38" s="33">
        <v>741.5</v>
      </c>
    </row>
    <row r="39" spans="1:27">
      <c r="A39" s="34" t="s">
        <v>654</v>
      </c>
      <c r="B39" s="31" t="s">
        <v>34</v>
      </c>
      <c r="C39" s="31" t="s">
        <v>64</v>
      </c>
      <c r="D39" s="31" t="s">
        <v>49</v>
      </c>
      <c r="E39" s="31" t="s">
        <v>98</v>
      </c>
      <c r="F39" s="31">
        <v>55</v>
      </c>
      <c r="G39" s="33">
        <v>533.75</v>
      </c>
      <c r="H39" s="35" t="str">
        <f t="shared" ca="1" si="0"/>
        <v>▼</v>
      </c>
      <c r="I39" s="33">
        <v>480.38</v>
      </c>
      <c r="J39" s="33">
        <f t="shared" ca="1" si="1"/>
        <v>53.019999999999982</v>
      </c>
      <c r="K39" s="36">
        <f t="shared" ca="1" si="2"/>
        <v>9.9400074990626142E-2</v>
      </c>
      <c r="L39" s="33">
        <v>29356.25</v>
      </c>
      <c r="M39" s="33">
        <f ca="1">IFERROR(INDEX(Price_Update!$F:$F, MATCH(A39, Price_Update!$A:$A, 0)), 533.4)</f>
        <v>533.4</v>
      </c>
      <c r="N39" s="33">
        <f ca="1">IFERROR(INDEX(Price_Update!$I:$I, MATCH(A39, Price_Update!$A:$A, 0)), 537)</f>
        <v>537</v>
      </c>
      <c r="O39" s="33">
        <v>528</v>
      </c>
      <c r="P39" s="33">
        <v>529.39</v>
      </c>
      <c r="Q39" s="33">
        <v>528.6</v>
      </c>
      <c r="R39" s="33">
        <v>527.77</v>
      </c>
      <c r="S39" s="33">
        <v>518.34</v>
      </c>
      <c r="T39" s="33">
        <f t="shared" ca="1" si="3"/>
        <v>29337</v>
      </c>
      <c r="U39" s="33">
        <f t="shared" ca="1" si="4"/>
        <v>-19.25</v>
      </c>
      <c r="V39" s="36">
        <f t="shared" ca="1" si="5"/>
        <v>-6.5573770491803279E-4</v>
      </c>
      <c r="W39" s="36">
        <v>-0.1128235478625623</v>
      </c>
      <c r="X39" s="31">
        <v>2</v>
      </c>
      <c r="Y39" s="31"/>
      <c r="Z39" s="31" t="s">
        <v>106</v>
      </c>
      <c r="AA39" s="33">
        <v>528</v>
      </c>
    </row>
    <row r="40" spans="1:27">
      <c r="A40" s="39" t="s">
        <v>131</v>
      </c>
      <c r="B40" s="31" t="s">
        <v>34</v>
      </c>
      <c r="C40" s="31" t="s">
        <v>58</v>
      </c>
      <c r="D40" s="31" t="s">
        <v>47</v>
      </c>
      <c r="E40" s="31" t="s">
        <v>104</v>
      </c>
      <c r="F40" s="31">
        <v>36</v>
      </c>
      <c r="G40" s="33">
        <v>2834.43</v>
      </c>
      <c r="H40" s="35" t="str">
        <f t="shared" ca="1" si="0"/>
        <v>▼</v>
      </c>
      <c r="I40" s="33">
        <v>2550.9899999999998</v>
      </c>
      <c r="J40" s="33">
        <f t="shared" ca="1" si="1"/>
        <v>374.61000000000013</v>
      </c>
      <c r="K40" s="36">
        <f t="shared" ca="1" si="2"/>
        <v>0.12804552912223138</v>
      </c>
      <c r="L40" s="33">
        <v>102039.48</v>
      </c>
      <c r="M40" s="33">
        <f ca="1">IFERROR(INDEX(Price_Update!$F:$F, MATCH(A40, Price_Update!$A:$A, 0)), 2925.6)</f>
        <v>2925.6</v>
      </c>
      <c r="N40" s="33">
        <f ca="1">IFERROR(INDEX(Price_Update!$I:$I, MATCH(A40, Price_Update!$A:$A, 0)), 2968.1)</f>
        <v>2968.1</v>
      </c>
      <c r="O40" s="33">
        <v>2937.4</v>
      </c>
      <c r="P40" s="33">
        <v>2592.96</v>
      </c>
      <c r="Q40" s="33">
        <v>2562.46</v>
      </c>
      <c r="R40" s="33">
        <v>2535.59</v>
      </c>
      <c r="S40" s="33">
        <v>2394.19</v>
      </c>
      <c r="T40" s="33">
        <f t="shared" ca="1" si="3"/>
        <v>105321.59999999999</v>
      </c>
      <c r="U40" s="33">
        <f t="shared" ca="1" si="4"/>
        <v>3282.1199999999953</v>
      </c>
      <c r="V40" s="36">
        <f t="shared" ca="1" si="5"/>
        <v>3.2165197235422952E-2</v>
      </c>
      <c r="W40" s="36">
        <v>1.4049884501525001</v>
      </c>
      <c r="X40" s="31">
        <v>20</v>
      </c>
      <c r="Y40" s="31"/>
      <c r="Z40" s="31" t="s">
        <v>106</v>
      </c>
      <c r="AA40" s="33">
        <v>2937.4</v>
      </c>
    </row>
    <row r="41" spans="1:27">
      <c r="A41" s="39" t="s">
        <v>61</v>
      </c>
      <c r="B41" s="31" t="s">
        <v>36</v>
      </c>
      <c r="C41" s="31" t="s">
        <v>62</v>
      </c>
      <c r="D41" s="31" t="s">
        <v>47</v>
      </c>
      <c r="E41" s="31" t="s">
        <v>99</v>
      </c>
      <c r="F41" s="31">
        <v>14</v>
      </c>
      <c r="G41" s="33">
        <v>3134.66</v>
      </c>
      <c r="H41" s="35" t="str">
        <f t="shared" ca="1" si="0"/>
        <v>▲</v>
      </c>
      <c r="I41" s="33">
        <v>2821.19</v>
      </c>
      <c r="J41" s="33">
        <f t="shared" ca="1" si="1"/>
        <v>108.00999999999976</v>
      </c>
      <c r="K41" s="36">
        <f t="shared" ca="1" si="2"/>
        <v>3.6873549091902144E-2</v>
      </c>
      <c r="L41" s="33">
        <v>43885.24</v>
      </c>
      <c r="M41" s="33">
        <f ca="1">IFERROR(INDEX(Price_Update!$F:$F, MATCH(A41, Price_Update!$A:$A, 0)), 2929.2)</f>
        <v>2929.2</v>
      </c>
      <c r="N41" s="33">
        <f ca="1">IFERROR(INDEX(Price_Update!$I:$I, MATCH(A41, Price_Update!$A:$A, 0)), 2912.2)</f>
        <v>2912.2</v>
      </c>
      <c r="O41" s="33">
        <v>2928.9</v>
      </c>
      <c r="P41" s="33">
        <v>2952.06</v>
      </c>
      <c r="Q41" s="33">
        <v>2946.35</v>
      </c>
      <c r="R41" s="33">
        <v>2940.55</v>
      </c>
      <c r="S41" s="33">
        <v>2882.15</v>
      </c>
      <c r="T41" s="33">
        <f t="shared" ca="1" si="3"/>
        <v>41008.799999999996</v>
      </c>
      <c r="U41" s="33">
        <f t="shared" ca="1" si="4"/>
        <v>-2876.4400000000023</v>
      </c>
      <c r="V41" s="36">
        <f t="shared" ca="1" si="5"/>
        <v>-6.5544588567819209E-2</v>
      </c>
      <c r="W41" s="36">
        <v>-0.38839257239524572</v>
      </c>
      <c r="X41" s="31">
        <v>150</v>
      </c>
      <c r="Y41" s="31"/>
      <c r="Z41" s="31" t="s">
        <v>106</v>
      </c>
      <c r="AA41" s="33">
        <v>2928.9</v>
      </c>
    </row>
    <row r="42" spans="1:27">
      <c r="A42" s="52" t="s">
        <v>50</v>
      </c>
      <c r="B42" s="31" t="s">
        <v>32</v>
      </c>
      <c r="C42" s="31" t="s">
        <v>58</v>
      </c>
      <c r="D42" s="31" t="s">
        <v>47</v>
      </c>
      <c r="E42" s="31" t="s">
        <v>107</v>
      </c>
      <c r="F42" s="31">
        <v>556</v>
      </c>
      <c r="G42" s="33">
        <v>360.41</v>
      </c>
      <c r="H42" s="35" t="str">
        <f t="shared" ca="1" si="0"/>
        <v>▼</v>
      </c>
      <c r="I42" s="33">
        <v>376.96</v>
      </c>
      <c r="J42" s="33">
        <f t="shared" ca="1" si="1"/>
        <v>30.590000000000032</v>
      </c>
      <c r="K42" s="36">
        <f t="shared" ca="1" si="2"/>
        <v>7.5058275058275128E-2</v>
      </c>
      <c r="L42" s="33">
        <v>200387.96</v>
      </c>
      <c r="M42" s="33">
        <f ca="1">IFERROR(INDEX(Price_Update!$F:$F, MATCH(A42, Price_Update!$A:$A, 0)), 407.55)</f>
        <v>407.55</v>
      </c>
      <c r="N42" s="33">
        <f ca="1">IFERROR(INDEX(Price_Update!$I:$I, MATCH(A42, Price_Update!$A:$A, 0)), 437)</f>
        <v>437</v>
      </c>
      <c r="O42" s="33">
        <v>409</v>
      </c>
      <c r="P42" s="33">
        <v>331.99</v>
      </c>
      <c r="Q42" s="33">
        <v>325.95999999999998</v>
      </c>
      <c r="R42" s="33">
        <v>320.63</v>
      </c>
      <c r="S42" s="33">
        <v>289.93</v>
      </c>
      <c r="T42" s="33">
        <f t="shared" ca="1" si="3"/>
        <v>226597.80000000002</v>
      </c>
      <c r="U42" s="33">
        <f t="shared" ca="1" si="4"/>
        <v>26209.840000000026</v>
      </c>
      <c r="V42" s="36">
        <f t="shared" ca="1" si="5"/>
        <v>0.13079548292222759</v>
      </c>
      <c r="W42" s="36">
        <v>21.181736458254999</v>
      </c>
      <c r="X42" s="31">
        <v>31</v>
      </c>
      <c r="Y42" s="31"/>
      <c r="Z42" s="31" t="s">
        <v>106</v>
      </c>
      <c r="AA42" s="33">
        <v>409</v>
      </c>
    </row>
    <row r="43" spans="1:27">
      <c r="A43" s="52" t="s">
        <v>176</v>
      </c>
      <c r="B43" s="31" t="s">
        <v>32</v>
      </c>
      <c r="C43" s="31" t="s">
        <v>58</v>
      </c>
      <c r="D43" s="31" t="s">
        <v>47</v>
      </c>
      <c r="E43" s="31" t="s">
        <v>104</v>
      </c>
      <c r="F43" s="31">
        <v>80</v>
      </c>
      <c r="G43" s="33">
        <v>1259.46</v>
      </c>
      <c r="H43" s="35" t="str">
        <f t="shared" ca="1" si="0"/>
        <v>▼</v>
      </c>
      <c r="I43" s="33">
        <v>1133.51</v>
      </c>
      <c r="J43" s="33">
        <f t="shared" ca="1" si="1"/>
        <v>190.19000000000005</v>
      </c>
      <c r="K43" s="36">
        <f t="shared" ca="1" si="2"/>
        <v>0.1436805922792174</v>
      </c>
      <c r="L43" s="33">
        <v>100756.8</v>
      </c>
      <c r="M43" s="33">
        <f ca="1">IFERROR(INDEX(Price_Update!$F:$F, MATCH(A43, Price_Update!$A:$A, 0)), 1323.7)</f>
        <v>1323.7</v>
      </c>
      <c r="N43" s="33">
        <f ca="1">IFERROR(INDEX(Price_Update!$I:$I, MATCH(A43, Price_Update!$A:$A, 0)), 1323.8)</f>
        <v>1323.8</v>
      </c>
      <c r="O43" s="33">
        <v>1401.7</v>
      </c>
      <c r="P43" s="33">
        <v>1185.2</v>
      </c>
      <c r="Q43" s="33">
        <v>1172.3599999999999</v>
      </c>
      <c r="R43" s="33">
        <v>1160.81</v>
      </c>
      <c r="S43" s="33">
        <v>1090.32</v>
      </c>
      <c r="T43" s="33">
        <f t="shared" ca="1" si="3"/>
        <v>105896</v>
      </c>
      <c r="U43" s="33">
        <f t="shared" ca="1" si="4"/>
        <v>5139.1999999999971</v>
      </c>
      <c r="V43" s="36">
        <f t="shared" ca="1" si="5"/>
        <v>5.1005986692709546E-2</v>
      </c>
      <c r="W43" s="36">
        <v>1.2627209614205619</v>
      </c>
      <c r="X43" s="31">
        <v>38</v>
      </c>
      <c r="Y43" s="31"/>
      <c r="Z43" s="31" t="s">
        <v>106</v>
      </c>
      <c r="AA43" s="33">
        <v>1401.7</v>
      </c>
    </row>
    <row r="44" spans="1:27">
      <c r="A44" s="39" t="s">
        <v>55</v>
      </c>
      <c r="B44" s="31" t="s">
        <v>36</v>
      </c>
      <c r="C44" s="31" t="s">
        <v>62</v>
      </c>
      <c r="D44" s="31" t="s">
        <v>47</v>
      </c>
      <c r="E44" s="31" t="s">
        <v>98</v>
      </c>
      <c r="F44" s="31">
        <v>33</v>
      </c>
      <c r="G44" s="33">
        <v>1505.6</v>
      </c>
      <c r="H44" s="35" t="str">
        <f t="shared" ca="1" si="0"/>
        <v>▲</v>
      </c>
      <c r="I44" s="33">
        <v>1355.04</v>
      </c>
      <c r="J44" s="33">
        <f t="shared" ca="1" si="1"/>
        <v>85.360000000000127</v>
      </c>
      <c r="K44" s="36">
        <f t="shared" ca="1" si="2"/>
        <v>5.9261316301027579E-2</v>
      </c>
      <c r="L44" s="33">
        <v>49684.800000000003</v>
      </c>
      <c r="M44" s="33">
        <f ca="1">IFERROR(INDEX(Price_Update!$F:$F, MATCH(A44, Price_Update!$A:$A, 0)), 1440.4)</f>
        <v>1440.4</v>
      </c>
      <c r="N44" s="33">
        <f ca="1">IFERROR(INDEX(Price_Update!$I:$I, MATCH(A44, Price_Update!$A:$A, 0)), 1429.2)</f>
        <v>1429.2</v>
      </c>
      <c r="O44" s="33">
        <v>1426.4</v>
      </c>
      <c r="P44" s="33">
        <v>1418.51</v>
      </c>
      <c r="Q44" s="33">
        <v>1411.57</v>
      </c>
      <c r="R44" s="33">
        <v>1404.61</v>
      </c>
      <c r="S44" s="33">
        <v>1344.75</v>
      </c>
      <c r="T44" s="33">
        <f t="shared" ca="1" si="3"/>
        <v>47533.200000000004</v>
      </c>
      <c r="U44" s="33">
        <f t="shared" ca="1" si="4"/>
        <v>-2151.5999999999985</v>
      </c>
      <c r="V44" s="36">
        <f t="shared" ca="1" si="5"/>
        <v>-4.3304994686503687E-2</v>
      </c>
      <c r="W44" s="36">
        <v>-0.61345872276442792</v>
      </c>
      <c r="X44" s="31">
        <v>17</v>
      </c>
      <c r="Y44" s="31"/>
      <c r="Z44" s="31" t="s">
        <v>106</v>
      </c>
      <c r="AA44" s="33">
        <v>1426.4</v>
      </c>
    </row>
    <row r="45" spans="1:27">
      <c r="A45" s="53" t="s">
        <v>51</v>
      </c>
      <c r="B45" s="31" t="s">
        <v>32</v>
      </c>
      <c r="C45" s="31" t="s">
        <v>62</v>
      </c>
      <c r="D45" s="31" t="s">
        <v>47</v>
      </c>
      <c r="E45" s="31" t="s">
        <v>104</v>
      </c>
      <c r="F45" s="31">
        <v>56</v>
      </c>
      <c r="G45" s="33">
        <v>1762.28</v>
      </c>
      <c r="H45" s="35" t="str">
        <f t="shared" ca="1" si="0"/>
        <v>▲</v>
      </c>
      <c r="I45" s="33">
        <v>1586.05</v>
      </c>
      <c r="J45" s="33">
        <f t="shared" ca="1" si="1"/>
        <v>536.14999999999986</v>
      </c>
      <c r="K45" s="36">
        <f t="shared" ca="1" si="2"/>
        <v>0.2526387710866082</v>
      </c>
      <c r="L45" s="33">
        <v>98687.679999999993</v>
      </c>
      <c r="M45" s="33">
        <f ca="1">IFERROR(INDEX(Price_Update!$F:$F, MATCH(A45, Price_Update!$A:$A, 0)), 2122.2)</f>
        <v>2122.1999999999998</v>
      </c>
      <c r="N45" s="33">
        <f ca="1">IFERROR(INDEX(Price_Update!$I:$I, MATCH(A45, Price_Update!$A:$A, 0)), 2016.1)</f>
        <v>2016.1</v>
      </c>
      <c r="O45" s="33">
        <v>1775.6</v>
      </c>
      <c r="P45" s="33">
        <v>1619.05</v>
      </c>
      <c r="Q45" s="33">
        <v>1587.03</v>
      </c>
      <c r="R45" s="33">
        <v>1558.86</v>
      </c>
      <c r="S45" s="33">
        <v>1408.16</v>
      </c>
      <c r="T45" s="33">
        <f t="shared" ca="1" si="3"/>
        <v>118843.19999999998</v>
      </c>
      <c r="U45" s="33">
        <f t="shared" ca="1" si="4"/>
        <v>20155.51999999999</v>
      </c>
      <c r="V45" s="36">
        <f t="shared" ca="1" si="5"/>
        <v>0.2042354222938465</v>
      </c>
      <c r="W45" s="36">
        <v>89.97452489181515</v>
      </c>
      <c r="X45" s="31">
        <v>17</v>
      </c>
      <c r="Y45" s="31"/>
      <c r="Z45" s="31" t="s">
        <v>106</v>
      </c>
      <c r="AA45" s="33">
        <v>1775.6</v>
      </c>
    </row>
    <row r="46" spans="1:27">
      <c r="A46" s="52" t="s">
        <v>88</v>
      </c>
      <c r="B46" s="31" t="s">
        <v>34</v>
      </c>
      <c r="C46" s="31" t="s">
        <v>58</v>
      </c>
      <c r="D46" s="31" t="s">
        <v>47</v>
      </c>
      <c r="E46" s="31" t="s">
        <v>107</v>
      </c>
      <c r="F46" s="31">
        <v>230</v>
      </c>
      <c r="G46" s="33">
        <v>864.34</v>
      </c>
      <c r="H46" s="35" t="str">
        <f t="shared" ca="1" si="0"/>
        <v>▼</v>
      </c>
      <c r="I46" s="33">
        <v>904.76</v>
      </c>
      <c r="J46" s="33">
        <f t="shared" ca="1" si="1"/>
        <v>1.8899999999999864</v>
      </c>
      <c r="K46" s="36">
        <f t="shared" ca="1" si="2"/>
        <v>2.0845971433298255E-3</v>
      </c>
      <c r="L46" s="33">
        <v>198798.2</v>
      </c>
      <c r="M46" s="33">
        <f ca="1">IFERROR(INDEX(Price_Update!$F:$F, MATCH(A46, Price_Update!$A:$A, 0)), 906.65)</f>
        <v>906.65</v>
      </c>
      <c r="N46" s="33">
        <f ca="1">IFERROR(INDEX(Price_Update!$I:$I, MATCH(A46, Price_Update!$A:$A, 0)), 907.7)</f>
        <v>907.7</v>
      </c>
      <c r="O46" s="33">
        <v>917.45</v>
      </c>
      <c r="P46" s="33">
        <v>841.07</v>
      </c>
      <c r="Q46" s="33">
        <v>833.28</v>
      </c>
      <c r="R46" s="33">
        <v>826.02</v>
      </c>
      <c r="S46" s="33">
        <v>776.79</v>
      </c>
      <c r="T46" s="33">
        <f t="shared" ca="1" si="3"/>
        <v>208529.5</v>
      </c>
      <c r="U46" s="33">
        <f t="shared" ca="1" si="4"/>
        <v>9731.2999999999884</v>
      </c>
      <c r="V46" s="36">
        <f t="shared" ca="1" si="5"/>
        <v>4.8950644422333746E-2</v>
      </c>
      <c r="W46" s="36">
        <v>0.42659116018802717</v>
      </c>
      <c r="X46" s="31">
        <v>112</v>
      </c>
      <c r="Y46" s="31"/>
      <c r="Z46" s="31" t="s">
        <v>106</v>
      </c>
      <c r="AA46" s="33">
        <v>917.45</v>
      </c>
    </row>
    <row r="47" spans="1:27">
      <c r="A47" s="52" t="s">
        <v>48</v>
      </c>
      <c r="B47" s="31" t="s">
        <v>32</v>
      </c>
      <c r="C47" s="31" t="s">
        <v>60</v>
      </c>
      <c r="D47" s="31" t="s">
        <v>47</v>
      </c>
      <c r="E47" s="31" t="s">
        <v>107</v>
      </c>
      <c r="F47" s="31">
        <v>1825</v>
      </c>
      <c r="G47" s="33">
        <v>97.74</v>
      </c>
      <c r="H47" s="35" t="str">
        <f t="shared" ca="1" si="0"/>
        <v>▲</v>
      </c>
      <c r="I47" s="33">
        <v>104.64</v>
      </c>
      <c r="J47" s="33">
        <f t="shared" ca="1" si="1"/>
        <v>25.160000000000011</v>
      </c>
      <c r="K47" s="36">
        <f t="shared" ca="1" si="2"/>
        <v>0.19383667180277356</v>
      </c>
      <c r="L47" s="33">
        <v>178375.5</v>
      </c>
      <c r="M47" s="33">
        <f ca="1">IFERROR(INDEX(Price_Update!$F:$F, MATCH(A47, Price_Update!$A:$A, 0)), 129.8)</f>
        <v>129.80000000000001</v>
      </c>
      <c r="N47" s="33">
        <f ca="1">IFERROR(INDEX(Price_Update!$I:$I, MATCH(A47, Price_Update!$A:$A, 0)), 128.35)</f>
        <v>128.35</v>
      </c>
      <c r="O47" s="33">
        <v>129.06</v>
      </c>
      <c r="P47" s="33">
        <v>117.59</v>
      </c>
      <c r="Q47" s="33">
        <v>115.99</v>
      </c>
      <c r="R47" s="33">
        <v>114.46</v>
      </c>
      <c r="S47" s="33">
        <v>101.7</v>
      </c>
      <c r="T47" s="33">
        <f t="shared" ca="1" si="3"/>
        <v>236885.00000000003</v>
      </c>
      <c r="U47" s="33">
        <f t="shared" ca="1" si="4"/>
        <v>58509.500000000029</v>
      </c>
      <c r="V47" s="36">
        <f t="shared" ca="1" si="5"/>
        <v>0.32801309596889722</v>
      </c>
      <c r="W47" s="36">
        <v>1.394810746545132</v>
      </c>
      <c r="X47" s="31">
        <v>149</v>
      </c>
      <c r="Y47" s="31" t="s">
        <v>105</v>
      </c>
      <c r="Z47" s="31" t="s">
        <v>106</v>
      </c>
      <c r="AA47" s="33">
        <v>129.06</v>
      </c>
    </row>
    <row r="48" spans="1:27">
      <c r="A48" s="53" t="s">
        <v>127</v>
      </c>
      <c r="B48" s="31" t="s">
        <v>32</v>
      </c>
      <c r="C48" s="31" t="s">
        <v>58</v>
      </c>
      <c r="D48" s="31" t="s">
        <v>47</v>
      </c>
      <c r="E48" s="31" t="s">
        <v>98</v>
      </c>
      <c r="F48" s="31">
        <v>129</v>
      </c>
      <c r="G48" s="33">
        <v>389.65</v>
      </c>
      <c r="H48" s="35" t="str">
        <f t="shared" ca="1" si="0"/>
        <v>▼</v>
      </c>
      <c r="I48" s="33">
        <v>350.69</v>
      </c>
      <c r="J48" s="33">
        <f t="shared" ca="1" si="1"/>
        <v>48.259999999999991</v>
      </c>
      <c r="K48" s="36">
        <f t="shared" ca="1" si="2"/>
        <v>0.12096753979195386</v>
      </c>
      <c r="L48" s="33">
        <v>50264.85</v>
      </c>
      <c r="M48" s="33">
        <f ca="1">IFERROR(INDEX(Price_Update!$F:$F, MATCH(A48, Price_Update!$A:$A, 0)), 398.95)</f>
        <v>398.95</v>
      </c>
      <c r="N48" s="33">
        <f ca="1">IFERROR(INDEX(Price_Update!$I:$I, MATCH(A48, Price_Update!$A:$A, 0)), 406.25)</f>
        <v>406.25</v>
      </c>
      <c r="O48" s="33">
        <v>386.5</v>
      </c>
      <c r="P48" s="33">
        <v>359.1</v>
      </c>
      <c r="Q48" s="33">
        <v>357.01</v>
      </c>
      <c r="R48" s="33">
        <v>355.28</v>
      </c>
      <c r="S48" s="33">
        <v>349.5</v>
      </c>
      <c r="T48" s="33">
        <f t="shared" ca="1" si="3"/>
        <v>51464.549999999996</v>
      </c>
      <c r="U48" s="33">
        <f t="shared" ca="1" si="4"/>
        <v>1199.6999999999971</v>
      </c>
      <c r="V48" s="36">
        <f t="shared" ca="1" si="5"/>
        <v>2.3867573463364499E-2</v>
      </c>
      <c r="W48" s="36">
        <v>16.633058220415091</v>
      </c>
      <c r="X48" s="31">
        <v>3</v>
      </c>
      <c r="Y48" s="31"/>
      <c r="Z48" s="31" t="s">
        <v>106</v>
      </c>
      <c r="AA48" s="33">
        <v>386.5</v>
      </c>
    </row>
    <row r="49" spans="1:27">
      <c r="A49" s="39" t="s">
        <v>118</v>
      </c>
      <c r="B49" s="31" t="s">
        <v>32</v>
      </c>
      <c r="C49" s="31" t="s">
        <v>60</v>
      </c>
      <c r="D49" s="31" t="s">
        <v>47</v>
      </c>
      <c r="E49" s="31" t="s">
        <v>99</v>
      </c>
      <c r="F49" s="31">
        <v>362</v>
      </c>
      <c r="G49" s="33">
        <v>138.75</v>
      </c>
      <c r="H49" s="35" t="str">
        <f t="shared" ca="1" si="0"/>
        <v>▼</v>
      </c>
      <c r="I49" s="33">
        <v>124.88</v>
      </c>
      <c r="J49" s="33">
        <f t="shared" ca="1" si="1"/>
        <v>28.120000000000005</v>
      </c>
      <c r="K49" s="36">
        <f t="shared" ca="1" si="2"/>
        <v>0.18379084967320264</v>
      </c>
      <c r="L49" s="33">
        <v>50227.5</v>
      </c>
      <c r="M49" s="33">
        <f ca="1">IFERROR(INDEX(Price_Update!$F:$F, MATCH(A49, Price_Update!$A:$A, 0)), 153)</f>
        <v>153</v>
      </c>
      <c r="N49" s="33">
        <f ca="1">IFERROR(INDEX(Price_Update!$I:$I, MATCH(A49, Price_Update!$A:$A, 0)), 155.62)</f>
        <v>155.62</v>
      </c>
      <c r="O49" s="33">
        <v>154.88999999999999</v>
      </c>
      <c r="P49" s="33">
        <v>154.29</v>
      </c>
      <c r="Q49" s="33">
        <v>153.57</v>
      </c>
      <c r="R49" s="33">
        <v>152.83000000000001</v>
      </c>
      <c r="S49" s="33">
        <v>145.63999999999999</v>
      </c>
      <c r="T49" s="33">
        <f t="shared" ca="1" si="3"/>
        <v>55386</v>
      </c>
      <c r="U49" s="33">
        <f t="shared" ca="1" si="4"/>
        <v>5158.5</v>
      </c>
      <c r="V49" s="36">
        <f t="shared" ca="1" si="5"/>
        <v>0.10270270270270271</v>
      </c>
      <c r="W49" s="36">
        <v>0.27679996646268001</v>
      </c>
      <c r="X49" s="31">
        <v>153</v>
      </c>
      <c r="Y49" s="31"/>
      <c r="Z49" s="31" t="s">
        <v>106</v>
      </c>
      <c r="AA49" s="33">
        <v>154.88999999999999</v>
      </c>
    </row>
    <row r="50" spans="1:27">
      <c r="A50" s="39" t="s">
        <v>95</v>
      </c>
      <c r="B50" s="31" t="s">
        <v>32</v>
      </c>
      <c r="C50" s="31" t="s">
        <v>58</v>
      </c>
      <c r="D50" s="31" t="s">
        <v>47</v>
      </c>
      <c r="E50" s="31" t="s">
        <v>99</v>
      </c>
      <c r="F50" s="31">
        <v>276</v>
      </c>
      <c r="G50" s="33">
        <v>278.74</v>
      </c>
      <c r="H50" s="35" t="str">
        <f t="shared" ca="1" si="0"/>
        <v>▼</v>
      </c>
      <c r="I50" s="33">
        <v>250.87</v>
      </c>
      <c r="J50" s="33">
        <f t="shared" ca="1" si="1"/>
        <v>35.379999999999995</v>
      </c>
      <c r="K50" s="36">
        <f t="shared" ca="1" si="2"/>
        <v>0.12359825327510915</v>
      </c>
      <c r="L50" s="33">
        <v>76932.240000000005</v>
      </c>
      <c r="M50" s="33">
        <f ca="1">IFERROR(INDEX(Price_Update!$F:$F, MATCH(A50, Price_Update!$A:$A, 0)), 286.25)</f>
        <v>286.25</v>
      </c>
      <c r="N50" s="33">
        <f ca="1">IFERROR(INDEX(Price_Update!$I:$I, MATCH(A50, Price_Update!$A:$A, 0)), 286.35)</f>
        <v>286.35000000000002</v>
      </c>
      <c r="O50" s="33">
        <v>288.05</v>
      </c>
      <c r="P50" s="33">
        <v>286.64</v>
      </c>
      <c r="Q50" s="33">
        <v>285.83</v>
      </c>
      <c r="R50" s="33">
        <v>284.97000000000003</v>
      </c>
      <c r="S50" s="33">
        <v>276</v>
      </c>
      <c r="T50" s="33">
        <f t="shared" ca="1" si="3"/>
        <v>79005</v>
      </c>
      <c r="U50" s="33">
        <f t="shared" ca="1" si="4"/>
        <v>2072.7599999999948</v>
      </c>
      <c r="V50" s="36">
        <f t="shared" ca="1" si="5"/>
        <v>2.694267058907936E-2</v>
      </c>
      <c r="W50" s="36">
        <v>4.5640341315576163E-2</v>
      </c>
      <c r="X50" s="31">
        <v>220</v>
      </c>
      <c r="Y50" s="31"/>
      <c r="Z50" s="31" t="s">
        <v>106</v>
      </c>
      <c r="AA50" s="33">
        <v>288.05</v>
      </c>
    </row>
    <row r="51" spans="1:27">
      <c r="A51" s="39" t="s">
        <v>46</v>
      </c>
      <c r="B51" s="31" t="s">
        <v>34</v>
      </c>
      <c r="C51" s="31" t="s">
        <v>58</v>
      </c>
      <c r="D51" s="31" t="s">
        <v>47</v>
      </c>
      <c r="E51" s="31" t="s">
        <v>109</v>
      </c>
      <c r="F51" s="31">
        <v>340</v>
      </c>
      <c r="G51" s="33">
        <v>902.46</v>
      </c>
      <c r="H51" s="35" t="str">
        <f t="shared" ca="1" si="0"/>
        <v>▼</v>
      </c>
      <c r="I51" s="33">
        <v>994.86</v>
      </c>
      <c r="J51" s="33">
        <f t="shared" ca="1" si="1"/>
        <v>144.04000000000008</v>
      </c>
      <c r="K51" s="36">
        <f t="shared" ca="1" si="2"/>
        <v>0.12647291245939069</v>
      </c>
      <c r="L51" s="33">
        <v>306836.40000000002</v>
      </c>
      <c r="M51" s="33">
        <f ca="1">IFERROR(INDEX(Price_Update!$F:$F, MATCH(A51, Price_Update!$A:$A, 0)), 1138.9)</f>
        <v>1138.9000000000001</v>
      </c>
      <c r="N51" s="33">
        <f ca="1">IFERROR(INDEX(Price_Update!$I:$I, MATCH(A51, Price_Update!$A:$A, 0)), 1146.3)</f>
        <v>1146.3</v>
      </c>
      <c r="O51" s="33">
        <v>1126.7</v>
      </c>
      <c r="P51" s="33">
        <v>1066.3900000000001</v>
      </c>
      <c r="Q51" s="33">
        <v>1058.8699999999999</v>
      </c>
      <c r="R51" s="33">
        <v>1051.77</v>
      </c>
      <c r="S51" s="33">
        <v>994.86</v>
      </c>
      <c r="T51" s="33">
        <f t="shared" ca="1" si="3"/>
        <v>387226.00000000006</v>
      </c>
      <c r="U51" s="33">
        <f t="shared" ca="1" si="4"/>
        <v>80389.600000000035</v>
      </c>
      <c r="V51" s="36">
        <f t="shared" ca="1" si="5"/>
        <v>0.261994991467766</v>
      </c>
      <c r="W51" s="36">
        <v>0.71356197429740242</v>
      </c>
      <c r="X51" s="31">
        <v>241</v>
      </c>
      <c r="Y51" s="31"/>
      <c r="Z51" s="31" t="s">
        <v>106</v>
      </c>
      <c r="AA51" s="33">
        <v>1126.7</v>
      </c>
    </row>
    <row r="52" spans="1:27">
      <c r="A52" s="52" t="s">
        <v>93</v>
      </c>
      <c r="B52" s="31" t="s">
        <v>36</v>
      </c>
      <c r="C52" s="31" t="s">
        <v>62</v>
      </c>
      <c r="D52" s="31" t="s">
        <v>47</v>
      </c>
      <c r="E52" s="31" t="s">
        <v>104</v>
      </c>
      <c r="F52" s="31">
        <v>75</v>
      </c>
      <c r="G52" s="33">
        <v>1350.41</v>
      </c>
      <c r="H52" s="35" t="str">
        <f t="shared" ca="1" si="0"/>
        <v>▲</v>
      </c>
      <c r="I52" s="33">
        <v>1215.3699999999999</v>
      </c>
      <c r="J52" s="33">
        <f t="shared" ca="1" si="1"/>
        <v>178.93000000000006</v>
      </c>
      <c r="K52" s="36">
        <f t="shared" ca="1" si="2"/>
        <v>0.12832962777020732</v>
      </c>
      <c r="L52" s="33">
        <v>101280.75</v>
      </c>
      <c r="M52" s="33">
        <f ca="1">IFERROR(INDEX(Price_Update!$F:$F, MATCH(A52, Price_Update!$A:$A, 0)), 1394.3)</f>
        <v>1394.3</v>
      </c>
      <c r="N52" s="33">
        <f ca="1">IFERROR(INDEX(Price_Update!$I:$I, MATCH(A52, Price_Update!$A:$A, 0)), 1382.6)</f>
        <v>1382.6</v>
      </c>
      <c r="O52" s="33">
        <v>1362</v>
      </c>
      <c r="P52" s="33">
        <v>1256.3599999999999</v>
      </c>
      <c r="Q52" s="33">
        <v>1243.43</v>
      </c>
      <c r="R52" s="33">
        <v>1231.6199999999999</v>
      </c>
      <c r="S52" s="33">
        <v>1148.9000000000001</v>
      </c>
      <c r="T52" s="33">
        <f t="shared" ca="1" si="3"/>
        <v>104572.5</v>
      </c>
      <c r="U52" s="33">
        <f t="shared" ca="1" si="4"/>
        <v>3291.75</v>
      </c>
      <c r="V52" s="36">
        <f t="shared" ca="1" si="5"/>
        <v>3.2501240364037585E-2</v>
      </c>
      <c r="W52" s="36">
        <v>1.4507374086788209</v>
      </c>
      <c r="X52" s="31">
        <v>20</v>
      </c>
      <c r="Y52" s="31"/>
      <c r="Z52" s="31" t="s">
        <v>106</v>
      </c>
      <c r="AA52" s="33">
        <v>1362</v>
      </c>
    </row>
    <row r="53" spans="1:27">
      <c r="A53" s="54" t="s">
        <v>130</v>
      </c>
      <c r="B53" s="31" t="s">
        <v>32</v>
      </c>
      <c r="C53" s="31" t="s">
        <v>66</v>
      </c>
      <c r="D53" s="31" t="s">
        <v>47</v>
      </c>
      <c r="E53" s="31" t="s">
        <v>98</v>
      </c>
      <c r="F53" s="31">
        <v>11</v>
      </c>
      <c r="G53" s="33">
        <v>4599.12</v>
      </c>
      <c r="H53" s="35" t="str">
        <f t="shared" ca="1" si="0"/>
        <v>▼</v>
      </c>
      <c r="I53" s="33">
        <v>4139.21</v>
      </c>
      <c r="J53" s="33">
        <f t="shared" ca="1" si="1"/>
        <v>566.09000000000015</v>
      </c>
      <c r="K53" s="36">
        <f t="shared" ca="1" si="2"/>
        <v>0.12030901324038852</v>
      </c>
      <c r="L53" s="33">
        <v>50590.32</v>
      </c>
      <c r="M53" s="33">
        <f ca="1">IFERROR(INDEX(Price_Update!$F:$F, MATCH(A53, Price_Update!$A:$A, 0)), 4705.3)</f>
        <v>4705.3</v>
      </c>
      <c r="N53" s="33">
        <f ca="1">IFERROR(INDEX(Price_Update!$I:$I, MATCH(A53, Price_Update!$A:$A, 0)), 4782.8)</f>
        <v>4782.8</v>
      </c>
      <c r="O53" s="33">
        <v>4670.7</v>
      </c>
      <c r="P53" s="33">
        <v>4113.3100000000004</v>
      </c>
      <c r="Q53" s="33">
        <v>4069.62</v>
      </c>
      <c r="R53" s="33">
        <v>4029.82</v>
      </c>
      <c r="S53" s="33">
        <v>3755.08</v>
      </c>
      <c r="T53" s="33">
        <f t="shared" ca="1" si="3"/>
        <v>51758.3</v>
      </c>
      <c r="U53" s="33">
        <f t="shared" ca="1" si="4"/>
        <v>1167.9800000000032</v>
      </c>
      <c r="V53" s="36">
        <f t="shared" ca="1" si="5"/>
        <v>2.3087025343978912E-2</v>
      </c>
      <c r="W53" s="36">
        <v>15.07125297009553</v>
      </c>
      <c r="X53" s="31">
        <v>3</v>
      </c>
      <c r="Y53" s="31"/>
      <c r="Z53" s="31" t="s">
        <v>106</v>
      </c>
      <c r="AA53" s="33">
        <v>4670.7</v>
      </c>
    </row>
    <row r="54" spans="1:27">
      <c r="A54" s="54" t="s">
        <v>59</v>
      </c>
      <c r="B54" s="31" t="s">
        <v>32</v>
      </c>
      <c r="C54" s="31" t="s">
        <v>58</v>
      </c>
      <c r="D54" s="31" t="s">
        <v>47</v>
      </c>
      <c r="E54" s="31" t="s">
        <v>99</v>
      </c>
      <c r="F54" s="31">
        <v>133</v>
      </c>
      <c r="G54" s="33">
        <v>377.97</v>
      </c>
      <c r="H54" s="35" t="str">
        <f t="shared" ca="1" si="0"/>
        <v>▲</v>
      </c>
      <c r="I54" s="33">
        <v>340.17</v>
      </c>
      <c r="J54" s="33">
        <f t="shared" ca="1" si="1"/>
        <v>17.180000000000007</v>
      </c>
      <c r="K54" s="36">
        <f t="shared" ca="1" si="2"/>
        <v>4.8076115852805391E-2</v>
      </c>
      <c r="L54" s="33">
        <v>50270.01</v>
      </c>
      <c r="M54" s="33">
        <f ca="1">IFERROR(INDEX(Price_Update!$F:$F, MATCH(A54, Price_Update!$A:$A, 0)), 357.35)</f>
        <v>357.35</v>
      </c>
      <c r="N54" s="33">
        <f ca="1">IFERROR(INDEX(Price_Update!$I:$I, MATCH(A54, Price_Update!$A:$A, 0)), 356.45)</f>
        <v>356.45</v>
      </c>
      <c r="O54" s="33">
        <v>370</v>
      </c>
      <c r="P54" s="33">
        <v>327.31</v>
      </c>
      <c r="Q54" s="33">
        <v>323.32</v>
      </c>
      <c r="R54" s="33">
        <v>319.73</v>
      </c>
      <c r="S54" s="33">
        <v>298.35000000000002</v>
      </c>
      <c r="T54" s="33">
        <f t="shared" ca="1" si="3"/>
        <v>47527.55</v>
      </c>
      <c r="U54" s="33">
        <f t="shared" ca="1" si="4"/>
        <v>-2742.4599999999991</v>
      </c>
      <c r="V54" s="36">
        <f t="shared" ca="1" si="5"/>
        <v>-5.4554594279969289E-2</v>
      </c>
      <c r="W54" s="36">
        <v>-0.8317147219691573</v>
      </c>
      <c r="X54" s="31">
        <v>13</v>
      </c>
      <c r="Y54" s="31"/>
      <c r="Z54" s="31" t="s">
        <v>106</v>
      </c>
      <c r="AA54" s="33">
        <v>370</v>
      </c>
    </row>
    <row r="55" spans="1:27">
      <c r="A55" s="39" t="s">
        <v>52</v>
      </c>
      <c r="B55" s="31" t="s">
        <v>32</v>
      </c>
      <c r="C55" s="31" t="s">
        <v>58</v>
      </c>
      <c r="D55" s="31" t="s">
        <v>47</v>
      </c>
      <c r="E55" s="31" t="s">
        <v>101</v>
      </c>
      <c r="F55" s="31">
        <v>42</v>
      </c>
      <c r="G55" s="33">
        <v>1353.87</v>
      </c>
      <c r="H55" s="35" t="str">
        <f t="shared" ca="1" si="0"/>
        <v>▼</v>
      </c>
      <c r="I55" s="33">
        <v>1218.48</v>
      </c>
      <c r="J55" s="33">
        <f t="shared" ca="1" si="1"/>
        <v>398.81999999999994</v>
      </c>
      <c r="K55" s="36">
        <f t="shared" ca="1" si="2"/>
        <v>0.24659617881654605</v>
      </c>
      <c r="L55" s="33">
        <v>56862.54</v>
      </c>
      <c r="M55" s="33">
        <f ca="1">IFERROR(INDEX(Price_Update!$F:$F, MATCH(A55, Price_Update!$A:$A, 0)), 1617.3)</f>
        <v>1617.3</v>
      </c>
      <c r="N55" s="33">
        <f ca="1">IFERROR(INDEX(Price_Update!$I:$I, MATCH(A55, Price_Update!$A:$A, 0)), 1643.3)</f>
        <v>1643.3</v>
      </c>
      <c r="O55" s="33">
        <v>1614.6</v>
      </c>
      <c r="P55" s="33">
        <v>1547.43</v>
      </c>
      <c r="Q55" s="33">
        <v>1536.93</v>
      </c>
      <c r="R55" s="33">
        <v>1526.2</v>
      </c>
      <c r="S55" s="33">
        <v>1420.41</v>
      </c>
      <c r="T55" s="33">
        <f t="shared" ca="1" si="3"/>
        <v>67926.599999999991</v>
      </c>
      <c r="U55" s="33">
        <f t="shared" ca="1" si="4"/>
        <v>11064.05999999999</v>
      </c>
      <c r="V55" s="36">
        <f t="shared" ca="1" si="5"/>
        <v>0.19457555008974256</v>
      </c>
      <c r="W55" s="36">
        <v>0.82543560020440632</v>
      </c>
      <c r="X55" s="31">
        <v>125</v>
      </c>
      <c r="Y55" s="31"/>
      <c r="Z55" s="31" t="s">
        <v>106</v>
      </c>
      <c r="AA55" s="33">
        <v>1614.6</v>
      </c>
    </row>
    <row r="56" spans="1:27">
      <c r="A56" s="55" t="s">
        <v>53</v>
      </c>
      <c r="B56" s="31" t="s">
        <v>32</v>
      </c>
      <c r="C56" s="31" t="s">
        <v>60</v>
      </c>
      <c r="D56" s="31" t="s">
        <v>47</v>
      </c>
      <c r="E56" s="31" t="s">
        <v>98</v>
      </c>
      <c r="F56" s="31">
        <v>40</v>
      </c>
      <c r="G56" s="33">
        <v>639.20000000000005</v>
      </c>
      <c r="H56" s="35" t="str">
        <f t="shared" ca="1" si="0"/>
        <v>▼</v>
      </c>
      <c r="I56" s="33">
        <v>575.28</v>
      </c>
      <c r="J56" s="33">
        <f t="shared" ca="1" si="1"/>
        <v>24.07000000000005</v>
      </c>
      <c r="K56" s="36">
        <f t="shared" ca="1" si="2"/>
        <v>4.0160173521314839E-2</v>
      </c>
      <c r="L56" s="33">
        <v>25568</v>
      </c>
      <c r="M56" s="33">
        <f ca="1">IFERROR(INDEX(Price_Update!$F:$F, MATCH(A56, Price_Update!$A:$A, 0)), 599.35)</f>
        <v>599.35</v>
      </c>
      <c r="N56" s="33">
        <f ca="1">IFERROR(INDEX(Price_Update!$I:$I, MATCH(A56, Price_Update!$A:$A, 0)), 604.95)</f>
        <v>604.95000000000005</v>
      </c>
      <c r="O56" s="33">
        <v>605</v>
      </c>
      <c r="P56" s="33">
        <v>579.99</v>
      </c>
      <c r="Q56" s="33">
        <v>577.39</v>
      </c>
      <c r="R56" s="33">
        <v>575.27</v>
      </c>
      <c r="S56" s="33">
        <v>571.71</v>
      </c>
      <c r="T56" s="33">
        <f t="shared" ca="1" si="3"/>
        <v>23974</v>
      </c>
      <c r="U56" s="33">
        <f t="shared" ca="1" si="4"/>
        <v>-1594</v>
      </c>
      <c r="V56" s="36">
        <f t="shared" ca="1" si="5"/>
        <v>-6.2343554443053818E-2</v>
      </c>
      <c r="W56" s="36">
        <v>-0.83591294035404773</v>
      </c>
      <c r="X56" s="31">
        <v>13</v>
      </c>
      <c r="Y56" s="31"/>
      <c r="Z56" s="31" t="s">
        <v>106</v>
      </c>
      <c r="AA56" s="33">
        <v>605</v>
      </c>
    </row>
    <row r="57" spans="1:27">
      <c r="A57" s="53" t="s">
        <v>129</v>
      </c>
      <c r="B57" s="31" t="s">
        <v>32</v>
      </c>
      <c r="C57" s="31" t="s">
        <v>58</v>
      </c>
      <c r="D57" s="31" t="s">
        <v>47</v>
      </c>
      <c r="E57" s="31" t="s">
        <v>98</v>
      </c>
      <c r="F57" s="31">
        <v>92</v>
      </c>
      <c r="G57" s="33">
        <v>547</v>
      </c>
      <c r="H57" s="35" t="str">
        <f t="shared" ca="1" si="0"/>
        <v>▼</v>
      </c>
      <c r="I57" s="33">
        <v>492.3</v>
      </c>
      <c r="J57" s="33">
        <f t="shared" ca="1" si="1"/>
        <v>78.199999999999989</v>
      </c>
      <c r="K57" s="36">
        <f t="shared" ca="1" si="2"/>
        <v>0.13707274320771251</v>
      </c>
      <c r="L57" s="33">
        <v>50324</v>
      </c>
      <c r="M57" s="33">
        <f ca="1">IFERROR(INDEX(Price_Update!$F:$F, MATCH(A57, Price_Update!$A:$A, 0)), 570.5)</f>
        <v>570.5</v>
      </c>
      <c r="N57" s="33">
        <f ca="1">IFERROR(INDEX(Price_Update!$I:$I, MATCH(A57, Price_Update!$A:$A, 0)), 572.4)</f>
        <v>572.4</v>
      </c>
      <c r="O57" s="33">
        <v>549.35</v>
      </c>
      <c r="P57" s="33">
        <v>480.95</v>
      </c>
      <c r="Q57" s="33">
        <v>475.13</v>
      </c>
      <c r="R57" s="33">
        <v>470.07</v>
      </c>
      <c r="S57" s="33">
        <v>446.37</v>
      </c>
      <c r="T57" s="33">
        <f t="shared" ca="1" si="3"/>
        <v>52486</v>
      </c>
      <c r="U57" s="33">
        <f t="shared" ca="1" si="4"/>
        <v>2162</v>
      </c>
      <c r="V57" s="36">
        <f t="shared" ca="1" si="5"/>
        <v>4.2961608775137113E-2</v>
      </c>
      <c r="W57" s="36">
        <v>165.97286325793439</v>
      </c>
      <c r="X57" s="31">
        <v>3</v>
      </c>
      <c r="Y57" s="31"/>
      <c r="Z57" s="31" t="s">
        <v>106</v>
      </c>
      <c r="AA57" s="33">
        <v>549.35</v>
      </c>
    </row>
    <row r="58" spans="1:27">
      <c r="A58" s="39" t="s">
        <v>57</v>
      </c>
      <c r="B58" s="31" t="s">
        <v>34</v>
      </c>
      <c r="C58" s="31" t="s">
        <v>62</v>
      </c>
      <c r="D58" s="31" t="s">
        <v>47</v>
      </c>
      <c r="E58" s="31" t="s">
        <v>98</v>
      </c>
      <c r="F58" s="31">
        <v>26</v>
      </c>
      <c r="G58" s="33">
        <v>1899.2</v>
      </c>
      <c r="H58" s="35" t="str">
        <f t="shared" ca="1" si="0"/>
        <v>▼</v>
      </c>
      <c r="I58" s="33">
        <v>1709.28</v>
      </c>
      <c r="J58" s="33">
        <f t="shared" ca="1" si="1"/>
        <v>79.220000000000027</v>
      </c>
      <c r="K58" s="36">
        <f t="shared" ca="1" si="2"/>
        <v>4.4294101202124701E-2</v>
      </c>
      <c r="L58" s="33">
        <v>49379.199999999997</v>
      </c>
      <c r="M58" s="33">
        <f ca="1">IFERROR(INDEX(Price_Update!$F:$F, MATCH(A58, Price_Update!$A:$A, 0)), 1788.5)</f>
        <v>1788.5</v>
      </c>
      <c r="N58" s="33">
        <f ca="1">IFERROR(INDEX(Price_Update!$I:$I, MATCH(A58, Price_Update!$A:$A, 0)), 1789.9)</f>
        <v>1789.9</v>
      </c>
      <c r="O58" s="33">
        <v>1799.2</v>
      </c>
      <c r="P58" s="33">
        <v>1788.47</v>
      </c>
      <c r="Q58" s="33">
        <v>1784.97</v>
      </c>
      <c r="R58" s="33">
        <v>1781.67</v>
      </c>
      <c r="S58" s="33">
        <v>1757.23</v>
      </c>
      <c r="T58" s="33">
        <f t="shared" ca="1" si="3"/>
        <v>46501</v>
      </c>
      <c r="U58" s="33">
        <f t="shared" ca="1" si="4"/>
        <v>-2878.1999999999971</v>
      </c>
      <c r="V58" s="36">
        <f t="shared" ca="1" si="5"/>
        <v>-5.8287700084245941E-2</v>
      </c>
      <c r="W58" s="36">
        <v>-0.72457121119862045</v>
      </c>
      <c r="X58" s="31">
        <v>17</v>
      </c>
      <c r="Y58" s="31"/>
      <c r="Z58" s="31" t="s">
        <v>106</v>
      </c>
      <c r="AA58" s="33">
        <v>1799.2</v>
      </c>
    </row>
    <row r="59" spans="1:27">
      <c r="A59" s="39" t="s">
        <v>128</v>
      </c>
      <c r="B59" s="31" t="s">
        <v>32</v>
      </c>
      <c r="C59" s="31" t="s">
        <v>66</v>
      </c>
      <c r="D59" s="31" t="s">
        <v>47</v>
      </c>
      <c r="E59" s="31" t="s">
        <v>104</v>
      </c>
      <c r="F59" s="31">
        <v>145</v>
      </c>
      <c r="G59" s="33">
        <v>691.04</v>
      </c>
      <c r="H59" s="35" t="str">
        <f t="shared" ca="1" si="0"/>
        <v>▼</v>
      </c>
      <c r="I59" s="33">
        <v>621.94000000000005</v>
      </c>
      <c r="J59" s="33">
        <f t="shared" ca="1" si="1"/>
        <v>109.1099999999999</v>
      </c>
      <c r="K59" s="36">
        <f t="shared" ca="1" si="2"/>
        <v>0.14925107721770045</v>
      </c>
      <c r="L59" s="33">
        <v>100200.8</v>
      </c>
      <c r="M59" s="33">
        <f ca="1">IFERROR(INDEX(Price_Update!$F:$F, MATCH(A59, Price_Update!$A:$A, 0)), 731.05)</f>
        <v>731.05</v>
      </c>
      <c r="N59" s="33">
        <f ca="1">IFERROR(INDEX(Price_Update!$I:$I, MATCH(A59, Price_Update!$A:$A, 0)), 737.95)</f>
        <v>737.95</v>
      </c>
      <c r="O59" s="33">
        <v>705.3</v>
      </c>
      <c r="P59" s="33">
        <v>648.42999999999995</v>
      </c>
      <c r="Q59" s="33">
        <v>643.94000000000005</v>
      </c>
      <c r="R59" s="33">
        <v>640.28</v>
      </c>
      <c r="S59" s="33">
        <v>628.76</v>
      </c>
      <c r="T59" s="33">
        <f t="shared" ca="1" si="3"/>
        <v>106002.25</v>
      </c>
      <c r="U59" s="33">
        <f t="shared" ca="1" si="4"/>
        <v>5801.4499999999971</v>
      </c>
      <c r="V59" s="36">
        <f t="shared" ca="1" si="5"/>
        <v>5.7898240333410483E-2</v>
      </c>
      <c r="W59" s="36">
        <v>5.382508646147854</v>
      </c>
      <c r="X59" s="31">
        <v>16</v>
      </c>
      <c r="Y59" s="31"/>
      <c r="Z59" s="31" t="s">
        <v>106</v>
      </c>
      <c r="AA59" s="33">
        <v>705.3</v>
      </c>
    </row>
    <row r="60" spans="1:27">
      <c r="A60" s="53" t="s">
        <v>92</v>
      </c>
      <c r="B60" s="31" t="s">
        <v>36</v>
      </c>
      <c r="C60" s="31" t="s">
        <v>58</v>
      </c>
      <c r="D60" s="31" t="s">
        <v>47</v>
      </c>
      <c r="E60" s="31" t="s">
        <v>99</v>
      </c>
      <c r="F60" s="31">
        <v>11</v>
      </c>
      <c r="G60" s="33">
        <v>4962.78</v>
      </c>
      <c r="H60" s="35" t="str">
        <f t="shared" ca="1" si="0"/>
        <v>▼</v>
      </c>
      <c r="I60" s="33">
        <v>4466.5</v>
      </c>
      <c r="J60" s="33">
        <f t="shared" ca="1" si="1"/>
        <v>318</v>
      </c>
      <c r="K60" s="36">
        <f t="shared" ca="1" si="2"/>
        <v>6.6464625352701437E-2</v>
      </c>
      <c r="L60" s="33">
        <v>54590.58</v>
      </c>
      <c r="M60" s="33">
        <f ca="1">IFERROR(INDEX(Price_Update!$F:$F, MATCH(A60, Price_Update!$A:$A, 0)), 4784.5)</f>
        <v>4784.5</v>
      </c>
      <c r="N60" s="33">
        <f ca="1">IFERROR(INDEX(Price_Update!$I:$I, MATCH(A60, Price_Update!$A:$A, 0)), 4969.7)</f>
        <v>4969.7</v>
      </c>
      <c r="O60" s="33">
        <v>4982.7</v>
      </c>
      <c r="P60" s="33">
        <v>4365.2700000000004</v>
      </c>
      <c r="Q60" s="33">
        <v>4307.8</v>
      </c>
      <c r="R60" s="33">
        <v>4253.88</v>
      </c>
      <c r="S60" s="33">
        <v>3883.95</v>
      </c>
      <c r="T60" s="33">
        <f t="shared" ca="1" si="3"/>
        <v>52629.5</v>
      </c>
      <c r="U60" s="33">
        <f t="shared" ca="1" si="4"/>
        <v>-1961.0800000000017</v>
      </c>
      <c r="V60" s="36">
        <f t="shared" ca="1" si="5"/>
        <v>-3.5923413893019666E-2</v>
      </c>
      <c r="W60" s="36">
        <v>-0.9244533055027605</v>
      </c>
      <c r="X60" s="31">
        <v>6</v>
      </c>
      <c r="Y60" s="31"/>
      <c r="Z60" s="31" t="s">
        <v>106</v>
      </c>
      <c r="AA60" s="33">
        <v>4982.7</v>
      </c>
    </row>
    <row r="61" spans="1:27">
      <c r="A61" s="53" t="s">
        <v>91</v>
      </c>
      <c r="B61" s="31" t="s">
        <v>34</v>
      </c>
      <c r="C61" s="31" t="s">
        <v>62</v>
      </c>
      <c r="D61" s="31" t="s">
        <v>47</v>
      </c>
      <c r="E61" s="31" t="s">
        <v>98</v>
      </c>
      <c r="F61" s="31">
        <v>46</v>
      </c>
      <c r="G61" s="33">
        <v>1092.4000000000001</v>
      </c>
      <c r="H61" s="35" t="str">
        <f t="shared" ca="1" si="0"/>
        <v>▼</v>
      </c>
      <c r="I61" s="33">
        <v>983.16</v>
      </c>
      <c r="J61" s="33">
        <f t="shared" ca="1" si="1"/>
        <v>93.439999999999941</v>
      </c>
      <c r="K61" s="36">
        <f t="shared" ca="1" si="2"/>
        <v>8.6791751811257617E-2</v>
      </c>
      <c r="L61" s="33">
        <v>50250.400000000001</v>
      </c>
      <c r="M61" s="33">
        <f ca="1">IFERROR(INDEX(Price_Update!$F:$F, MATCH(A61, Price_Update!$A:$A, 0)), 1076.6)</f>
        <v>1076.5999999999999</v>
      </c>
      <c r="N61" s="33">
        <f ca="1">IFERROR(INDEX(Price_Update!$I:$I, MATCH(A61, Price_Update!$A:$A, 0)), 1078.3)</f>
        <v>1078.3</v>
      </c>
      <c r="O61" s="33">
        <v>1077.7</v>
      </c>
      <c r="P61" s="33">
        <v>998.78</v>
      </c>
      <c r="Q61" s="33">
        <v>992.62</v>
      </c>
      <c r="R61" s="33">
        <v>987.25</v>
      </c>
      <c r="S61" s="33">
        <v>959.05</v>
      </c>
      <c r="T61" s="33">
        <f t="shared" ca="1" si="3"/>
        <v>49523.6</v>
      </c>
      <c r="U61" s="33">
        <f t="shared" ca="1" si="4"/>
        <v>-726.80000000000291</v>
      </c>
      <c r="V61" s="36">
        <f t="shared" ca="1" si="5"/>
        <v>-1.4463566459172522E-2</v>
      </c>
      <c r="W61" s="36">
        <v>-0.83010658160711204</v>
      </c>
      <c r="X61" s="31">
        <v>3</v>
      </c>
      <c r="Y61" s="31"/>
      <c r="Z61" s="31" t="s">
        <v>106</v>
      </c>
      <c r="AA61" s="33">
        <v>1077.7</v>
      </c>
    </row>
  </sheetData>
  <autoFilter ref="A1:Z61" xr:uid="{00000000-0001-0000-0400-000000000000}"/>
  <conditionalFormatting sqref="H2:H61">
    <cfRule type="cellIs" dxfId="25" priority="7" operator="equal">
      <formula>"▲"</formula>
    </cfRule>
    <cfRule type="cellIs" dxfId="24" priority="8" operator="equal">
      <formula>"▼"</formula>
    </cfRule>
  </conditionalFormatting>
  <conditionalFormatting sqref="N2:N61">
    <cfRule type="expression" dxfId="23" priority="1">
      <formula>$M2&gt;$N2</formula>
    </cfRule>
    <cfRule type="expression" dxfId="22" priority="2">
      <formula>$M2&lt;=$N2</formula>
    </cfRule>
  </conditionalFormatting>
  <conditionalFormatting sqref="O2:O61">
    <cfRule type="expression" dxfId="21" priority="3">
      <formula>$M2&gt;$O2</formula>
    </cfRule>
    <cfRule type="expression" dxfId="20" priority="4">
      <formula>$M2&lt;=$O2</formula>
    </cfRule>
  </conditionalFormatting>
  <conditionalFormatting sqref="AA2:AA61">
    <cfRule type="expression" dxfId="19" priority="5">
      <formula>$M2&gt;$AA2</formula>
    </cfRule>
    <cfRule type="expression" dxfId="18" priority="6">
      <formula>$M2&lt;=$AA2</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61"/>
  <sheetViews>
    <sheetView zoomScaleNormal="100" workbookViewId="0">
      <pane xSplit="2" ySplit="1" topLeftCell="C2" activePane="bottomRight" state="frozen"/>
      <selection pane="topRight"/>
      <selection pane="bottomLeft"/>
      <selection pane="bottomRight" activeCell="B2" sqref="B2:B32"/>
    </sheetView>
  </sheetViews>
  <sheetFormatPr defaultRowHeight="15"/>
  <cols>
    <col min="1" max="1" width="13.42578125" customWidth="1"/>
    <col min="2" max="2" width="33.42578125" customWidth="1"/>
    <col min="3" max="3" width="45.5703125" customWidth="1"/>
    <col min="4" max="4" width="37.7109375" customWidth="1"/>
    <col min="5" max="5" width="30.28515625" customWidth="1"/>
    <col min="6" max="6" width="28.140625" customWidth="1"/>
    <col min="7" max="7" width="22.85546875" customWidth="1"/>
    <col min="9" max="9" width="16" customWidth="1"/>
    <col min="10" max="10" width="11.5703125" customWidth="1"/>
    <col min="16" max="16" width="20.28515625" customWidth="1"/>
  </cols>
  <sheetData>
    <row r="1" spans="1:17" ht="30">
      <c r="A1" s="71" t="s">
        <v>641</v>
      </c>
      <c r="B1" s="71" t="s">
        <v>642</v>
      </c>
      <c r="C1" s="71" t="s">
        <v>643</v>
      </c>
      <c r="D1" s="71" t="s">
        <v>56</v>
      </c>
      <c r="E1" s="71" t="s">
        <v>644</v>
      </c>
      <c r="F1" s="71" t="s">
        <v>645</v>
      </c>
      <c r="G1" s="71" t="s">
        <v>646</v>
      </c>
      <c r="H1" s="71"/>
      <c r="I1" s="72"/>
      <c r="J1" s="51"/>
      <c r="K1" s="81"/>
      <c r="L1" s="81" t="s">
        <v>647</v>
      </c>
      <c r="P1">
        <v>3000000</v>
      </c>
    </row>
    <row r="2" spans="1:17">
      <c r="A2" s="73">
        <v>46143</v>
      </c>
      <c r="B2" s="74" t="s">
        <v>648</v>
      </c>
      <c r="C2" s="21" t="e" vm="1">
        <v>#VALUE!</v>
      </c>
      <c r="D2" s="21" t="str">
        <f t="array" aca="1" ref="D2" ca="1">_FV(C2,"Industry")</f>
        <v>Homebuilding &amp; Construction Supplies</v>
      </c>
      <c r="E2" s="21" t="s">
        <v>64</v>
      </c>
      <c r="F2" s="21" t="s">
        <v>649</v>
      </c>
      <c r="G2" s="21" t="s">
        <v>650</v>
      </c>
      <c r="H2" s="21"/>
      <c r="I2" s="80" cm="1">
        <f t="array" aca="1" ref="I2" ca="1">_FV(C2,"Price")</f>
        <v>1138</v>
      </c>
      <c r="J2" s="84">
        <f>$O$4/31</f>
        <v>29032.258064516129</v>
      </c>
      <c r="K2" s="82">
        <f ca="1">J2/I2</f>
        <v>25.511650320312942</v>
      </c>
      <c r="L2" s="83">
        <v>27.492668621700879</v>
      </c>
      <c r="P2">
        <v>100000</v>
      </c>
      <c r="Q2" s="83">
        <f ca="1">$P$2/I2</f>
        <v>87.873462214411248</v>
      </c>
    </row>
    <row r="3" spans="1:17">
      <c r="A3" s="73">
        <v>46143</v>
      </c>
      <c r="B3" s="21" t="s">
        <v>248</v>
      </c>
      <c r="C3" s="21" t="e" vm="2">
        <v>#VALUE!</v>
      </c>
      <c r="D3" s="21" t="str">
        <f t="array" aca="1" ref="D3" ca="1">_FV(C3,"Industry")</f>
        <v>Machinery, Equipment &amp; Components</v>
      </c>
      <c r="E3" s="21" t="s">
        <v>58</v>
      </c>
      <c r="F3" s="21" t="s">
        <v>649</v>
      </c>
      <c r="G3" s="21" t="s">
        <v>650</v>
      </c>
      <c r="H3" s="21"/>
      <c r="I3" s="80" cm="1">
        <f t="array" aca="1" ref="I3" ca="1">_FV(C3,"Price")</f>
        <v>786.25</v>
      </c>
      <c r="J3" s="84">
        <f t="shared" ref="J3:J32" si="0">$O$4/31</f>
        <v>29032.258064516129</v>
      </c>
      <c r="K3" s="82">
        <f t="shared" ref="K3:K32" ca="1" si="1">J3/I3</f>
        <v>36.924970511308274</v>
      </c>
      <c r="L3" s="83">
        <v>36.374438469606126</v>
      </c>
      <c r="M3">
        <v>7000000</v>
      </c>
      <c r="N3">
        <v>1600000</v>
      </c>
      <c r="Q3" s="83">
        <f t="shared" ref="Q3:Q32" ca="1" si="2">$P$2/I3</f>
        <v>127.18600953895071</v>
      </c>
    </row>
    <row r="4" spans="1:17">
      <c r="A4" s="73">
        <v>46143</v>
      </c>
      <c r="B4" s="21" t="s">
        <v>651</v>
      </c>
      <c r="C4" s="21" t="e" vm="3">
        <v>#VALUE!</v>
      </c>
      <c r="D4" s="21" t="str">
        <f t="array" aca="1" ref="D4" ca="1">_FV(C4,"Industry")</f>
        <v>Pharmaceuticals</v>
      </c>
      <c r="E4" s="21" t="s">
        <v>62</v>
      </c>
      <c r="F4" s="21" t="s">
        <v>649</v>
      </c>
      <c r="G4" s="21" t="s">
        <v>650</v>
      </c>
      <c r="H4" s="21"/>
      <c r="I4" s="80" cm="1">
        <f t="array" aca="1" ref="I4" ca="1">_FV(C4,"Price")</f>
        <v>16992</v>
      </c>
      <c r="J4" s="84">
        <f t="shared" si="0"/>
        <v>29032.258064516129</v>
      </c>
      <c r="K4" s="82">
        <f t="shared" ca="1" si="1"/>
        <v>1.7085839256424276</v>
      </c>
      <c r="L4" s="83">
        <v>1.6881182733176026</v>
      </c>
      <c r="M4">
        <f>M3-N3</f>
        <v>5400000</v>
      </c>
      <c r="N4">
        <v>6</v>
      </c>
      <c r="O4">
        <f>M4/N4</f>
        <v>900000</v>
      </c>
      <c r="Q4" s="83">
        <f t="shared" ca="1" si="2"/>
        <v>5.8851224105461393</v>
      </c>
    </row>
    <row r="5" spans="1:17">
      <c r="A5" s="73">
        <v>46143</v>
      </c>
      <c r="B5" s="21" t="s">
        <v>652</v>
      </c>
      <c r="C5" s="21" t="e" vm="4">
        <v>#VALUE!</v>
      </c>
      <c r="D5" s="21" t="str">
        <f t="array" aca="1" ref="D5" ca="1">_FV(C5,"Industry")</f>
        <v>Machinery, Equipment &amp; Components</v>
      </c>
      <c r="E5" s="21" t="s">
        <v>58</v>
      </c>
      <c r="F5" s="21" t="s">
        <v>653</v>
      </c>
      <c r="G5" s="21" t="s">
        <v>650</v>
      </c>
      <c r="H5" s="21"/>
      <c r="I5" s="80" cm="1">
        <f t="array" aca="1" ref="I5" ca="1">_FV(C5,"Price")</f>
        <v>35190</v>
      </c>
      <c r="J5" s="84">
        <f t="shared" si="0"/>
        <v>29032.258064516129</v>
      </c>
      <c r="K5" s="82">
        <f t="shared" ca="1" si="1"/>
        <v>0.8250144377526607</v>
      </c>
      <c r="L5" s="83">
        <v>0.79802798418131193</v>
      </c>
      <c r="Q5" s="83">
        <f t="shared" ca="1" si="2"/>
        <v>2.841716396703609</v>
      </c>
    </row>
    <row r="6" spans="1:17">
      <c r="A6" s="73">
        <v>46143</v>
      </c>
      <c r="B6" s="21" t="s">
        <v>143</v>
      </c>
      <c r="C6" s="21" t="e" vm="5">
        <v>#VALUE!</v>
      </c>
      <c r="D6" s="21" t="str">
        <f t="array" aca="1" ref="D6" ca="1">_FV(C6,"Industry")</f>
        <v>Electronic Equipment &amp; Parts</v>
      </c>
      <c r="E6" s="21" t="s">
        <v>58</v>
      </c>
      <c r="F6" s="21" t="s">
        <v>649</v>
      </c>
      <c r="G6" s="21" t="s">
        <v>650</v>
      </c>
      <c r="H6" s="21"/>
      <c r="I6" s="80" cm="1">
        <f t="array" aca="1" ref="I6" ca="1">_FV(C6,"Price")</f>
        <v>1195.3</v>
      </c>
      <c r="J6" s="84">
        <f t="shared" si="0"/>
        <v>29032.258064516129</v>
      </c>
      <c r="K6" s="82">
        <f t="shared" ca="1" si="1"/>
        <v>24.288679046696334</v>
      </c>
      <c r="L6" s="83">
        <v>26.218963302191032</v>
      </c>
      <c r="Q6" s="83">
        <f t="shared" ca="1" si="2"/>
        <v>83.661005605287386</v>
      </c>
    </row>
    <row r="7" spans="1:17">
      <c r="A7" s="73">
        <v>46143</v>
      </c>
      <c r="B7" s="21" t="s">
        <v>654</v>
      </c>
      <c r="C7" s="21" t="e" vm="6">
        <v>#VALUE!</v>
      </c>
      <c r="D7" s="21" t="str">
        <f t="array" aca="1" ref="D7" ca="1">_FV(C7,"Industry")</f>
        <v>Beverages</v>
      </c>
      <c r="E7" s="21" t="s">
        <v>64</v>
      </c>
      <c r="F7" s="21" t="s">
        <v>655</v>
      </c>
      <c r="G7" s="21" t="s">
        <v>650</v>
      </c>
      <c r="H7" s="21"/>
      <c r="I7" s="80" cm="1">
        <f t="array" aca="1" ref="I7" ca="1">_FV(C7,"Price")</f>
        <v>533.4</v>
      </c>
      <c r="J7" s="84">
        <f t="shared" si="0"/>
        <v>29032.258064516129</v>
      </c>
      <c r="K7" s="82">
        <f t="shared" ca="1" si="1"/>
        <v>54.428680285932003</v>
      </c>
      <c r="L7" s="83">
        <v>55.246923053313282</v>
      </c>
      <c r="Q7" s="83">
        <f t="shared" ca="1" si="2"/>
        <v>187.47656542932134</v>
      </c>
    </row>
    <row r="8" spans="1:17">
      <c r="A8" s="73">
        <v>46143</v>
      </c>
      <c r="B8" s="21" t="s">
        <v>656</v>
      </c>
      <c r="C8" s="21" t="e" vm="7">
        <v>#VALUE!</v>
      </c>
      <c r="D8" s="21" t="str">
        <f t="array" aca="1" ref="D8" ca="1">_FV(C8,"Industry")</f>
        <v>Automobiles &amp; Auto Parts</v>
      </c>
      <c r="E8" s="21" t="s">
        <v>64</v>
      </c>
      <c r="F8" s="21" t="s">
        <v>655</v>
      </c>
      <c r="G8" s="21" t="s">
        <v>650</v>
      </c>
      <c r="H8" s="21"/>
      <c r="I8" s="80" cm="1">
        <f t="array" aca="1" ref="I8" ca="1">_FV(C8,"Price")</f>
        <v>10259</v>
      </c>
      <c r="J8" s="84">
        <f t="shared" si="0"/>
        <v>29032.258064516129</v>
      </c>
      <c r="K8" s="82">
        <f t="shared" ca="1" si="1"/>
        <v>2.8299306038128598</v>
      </c>
      <c r="L8" s="83">
        <v>2.79802024523093</v>
      </c>
      <c r="Q8" s="83">
        <f t="shared" ca="1" si="2"/>
        <v>9.7475387464665175</v>
      </c>
    </row>
    <row r="9" spans="1:17">
      <c r="A9" s="73">
        <v>46143</v>
      </c>
      <c r="B9" s="21" t="s">
        <v>657</v>
      </c>
      <c r="C9" s="21" t="e" vm="8">
        <v>#VALUE!</v>
      </c>
      <c r="D9" s="21" t="str">
        <f t="array" aca="1" ref="D9" ca="1">_FV(C9,"Industry")</f>
        <v>Media &amp; Publishing</v>
      </c>
      <c r="E9" s="21" t="s">
        <v>658</v>
      </c>
      <c r="F9" s="21" t="s">
        <v>649</v>
      </c>
      <c r="G9" s="21" t="s">
        <v>650</v>
      </c>
      <c r="H9" s="21"/>
      <c r="I9" s="80" cm="1">
        <f t="array" aca="1" ref="I9" ca="1">_FV(C9,"Price")</f>
        <v>659.85</v>
      </c>
      <c r="J9" s="84">
        <f t="shared" si="0"/>
        <v>29032.258064516129</v>
      </c>
      <c r="K9" s="82">
        <f t="shared" ca="1" si="1"/>
        <v>43.99826940140354</v>
      </c>
      <c r="L9" s="83">
        <v>44.310528181495918</v>
      </c>
      <c r="Q9" s="83">
        <f t="shared" ca="1" si="2"/>
        <v>151.54959460483443</v>
      </c>
    </row>
    <row r="10" spans="1:17">
      <c r="A10" s="73">
        <v>46143</v>
      </c>
      <c r="B10" s="21" t="s">
        <v>659</v>
      </c>
      <c r="C10" s="21" t="e" vm="9">
        <v>#VALUE!</v>
      </c>
      <c r="D10" s="21" t="str">
        <f t="array" aca="1" ref="D10" ca="1">_FV(C10,"Industry")</f>
        <v>Machinery, Equipment &amp; Components</v>
      </c>
      <c r="E10" s="21" t="s">
        <v>58</v>
      </c>
      <c r="F10" s="21" t="s">
        <v>649</v>
      </c>
      <c r="G10" s="21" t="s">
        <v>650</v>
      </c>
      <c r="H10" s="21"/>
      <c r="I10" s="80" cm="1">
        <f t="array" aca="1" ref="I10" ca="1">_FV(C10,"Price")</f>
        <v>4521.3</v>
      </c>
      <c r="J10" s="84">
        <f t="shared" si="0"/>
        <v>29032.258064516129</v>
      </c>
      <c r="K10" s="82">
        <f t="shared" ca="1" si="1"/>
        <v>6.4212191326645272</v>
      </c>
      <c r="L10" s="83">
        <v>6.419231446816311</v>
      </c>
      <c r="Q10" s="83">
        <f t="shared" ca="1" si="2"/>
        <v>22.117532568066707</v>
      </c>
    </row>
    <row r="11" spans="1:17">
      <c r="A11" s="73">
        <v>46143</v>
      </c>
      <c r="B11" s="21" t="s">
        <v>76</v>
      </c>
      <c r="C11" s="21" t="e" vm="10">
        <v>#VALUE!</v>
      </c>
      <c r="D11" s="21" t="str">
        <f t="array" aca="1" ref="D11" ca="1">_FV(C11,"Industry")</f>
        <v>Chemicals</v>
      </c>
      <c r="E11" s="21" t="s">
        <v>62</v>
      </c>
      <c r="F11" s="21" t="s">
        <v>649</v>
      </c>
      <c r="G11" s="21" t="s">
        <v>650</v>
      </c>
      <c r="H11" s="21"/>
      <c r="I11" s="80" cm="1">
        <f t="array" aca="1" ref="I11" ca="1">_FV(C11,"Price")</f>
        <v>3135.7</v>
      </c>
      <c r="J11" s="84">
        <f t="shared" si="0"/>
        <v>29032.258064516129</v>
      </c>
      <c r="K11" s="82">
        <f t="shared" ca="1" si="1"/>
        <v>9.2586210621284337</v>
      </c>
      <c r="L11" s="83">
        <v>9.6168333050171011</v>
      </c>
      <c r="Q11" s="83">
        <f t="shared" ca="1" si="2"/>
        <v>31.890805880664605</v>
      </c>
    </row>
    <row r="12" spans="1:17">
      <c r="A12" s="73">
        <v>46143</v>
      </c>
      <c r="B12" s="21" t="s">
        <v>660</v>
      </c>
      <c r="C12" s="21" t="e" vm="11">
        <v>#VALUE!</v>
      </c>
      <c r="D12" s="21" t="str">
        <f t="array" aca="1" ref="D12" ca="1">_FV(C12,"Industry")</f>
        <v>Software &amp; IT Services</v>
      </c>
      <c r="E12" s="21" t="s">
        <v>658</v>
      </c>
      <c r="F12" s="21" t="s">
        <v>653</v>
      </c>
      <c r="G12" s="21" t="s">
        <v>650</v>
      </c>
      <c r="H12" s="21"/>
      <c r="I12" s="80" cm="1">
        <f t="array" aca="1" ref="I12" ca="1">_FV(C12,"Price")</f>
        <v>9997.5</v>
      </c>
      <c r="J12" s="84">
        <f t="shared" si="0"/>
        <v>29032.258064516129</v>
      </c>
      <c r="K12" s="82">
        <f t="shared" ca="1" si="1"/>
        <v>2.9039517944002129</v>
      </c>
      <c r="L12" s="83">
        <v>2.8488134691900822</v>
      </c>
      <c r="Q12" s="83">
        <f t="shared" ca="1" si="2"/>
        <v>10.002500625156289</v>
      </c>
    </row>
    <row r="13" spans="1:17">
      <c r="A13" s="73">
        <v>46143</v>
      </c>
      <c r="B13" s="21" t="s">
        <v>661</v>
      </c>
      <c r="C13" s="21" t="e" vm="12">
        <v>#VALUE!</v>
      </c>
      <c r="D13" s="21" t="str">
        <f t="array" aca="1" ref="D13" ca="1">_FV(C13,"Industry")</f>
        <v>Machinery, Equipment &amp; Components</v>
      </c>
      <c r="E13" s="21" t="s">
        <v>58</v>
      </c>
      <c r="F13" s="21" t="s">
        <v>653</v>
      </c>
      <c r="G13" s="21" t="s">
        <v>650</v>
      </c>
      <c r="H13" s="21"/>
      <c r="I13" s="80" cm="1">
        <f t="array" aca="1" ref="I13" ca="1">_FV(C13,"Price")</f>
        <v>13538</v>
      </c>
      <c r="J13" s="84">
        <f t="shared" si="0"/>
        <v>29032.258064516129</v>
      </c>
      <c r="K13" s="82">
        <f t="shared" ca="1" si="1"/>
        <v>2.1445012604901854</v>
      </c>
      <c r="L13" s="83">
        <v>2.2679679762921747</v>
      </c>
      <c r="Q13" s="83">
        <f t="shared" ca="1" si="2"/>
        <v>7.3866154527995276</v>
      </c>
    </row>
    <row r="14" spans="1:17">
      <c r="A14" s="73">
        <v>46143</v>
      </c>
      <c r="B14" s="21" t="s">
        <v>662</v>
      </c>
      <c r="C14" s="21" t="e" vm="13">
        <v>#VALUE!</v>
      </c>
      <c r="D14" s="21" t="str">
        <f t="array" aca="1" ref="D14" ca="1">_FV(C14,"Industry")</f>
        <v>Machinery, Equipment &amp; Components</v>
      </c>
      <c r="E14" s="21" t="s">
        <v>58</v>
      </c>
      <c r="F14" s="21" t="s">
        <v>649</v>
      </c>
      <c r="G14" s="21" t="s">
        <v>650</v>
      </c>
      <c r="H14" s="21"/>
      <c r="I14" s="80" cm="1">
        <f t="array" aca="1" ref="I14" ca="1">_FV(C14,"Price")</f>
        <v>8898.5</v>
      </c>
      <c r="J14" s="84">
        <f t="shared" si="0"/>
        <v>29032.258064516129</v>
      </c>
      <c r="K14" s="82">
        <f t="shared" ca="1" si="1"/>
        <v>3.2626013445542652</v>
      </c>
      <c r="L14" s="85">
        <v>3.309839601495312</v>
      </c>
      <c r="Q14" s="83">
        <f t="shared" ca="1" si="2"/>
        <v>11.237849075686913</v>
      </c>
    </row>
    <row r="15" spans="1:17">
      <c r="A15" s="73">
        <v>46143</v>
      </c>
      <c r="B15" s="21" t="s">
        <v>663</v>
      </c>
      <c r="C15" s="21" t="e" vm="14">
        <v>#VALUE!</v>
      </c>
      <c r="D15" s="21" t="str">
        <f t="array" aca="1" ref="D15" ca="1">_FV(C15,"Industry")</f>
        <v>Healthcare Providers &amp; Services</v>
      </c>
      <c r="E15" s="21" t="s">
        <v>62</v>
      </c>
      <c r="F15" s="21" t="s">
        <v>649</v>
      </c>
      <c r="G15" s="21" t="s">
        <v>650</v>
      </c>
      <c r="H15" s="21"/>
      <c r="I15" s="80" cm="1">
        <f t="array" aca="1" ref="I15" ca="1">_FV(C15,"Price")</f>
        <v>1569.6</v>
      </c>
      <c r="J15" s="84">
        <f t="shared" si="0"/>
        <v>29032.258064516129</v>
      </c>
      <c r="K15" s="82">
        <f t="shared" ca="1" si="1"/>
        <v>18.496596626220775</v>
      </c>
      <c r="L15" s="85">
        <v>18.406300681237639</v>
      </c>
      <c r="Q15" s="83">
        <f t="shared" ca="1" si="2"/>
        <v>63.71049949031601</v>
      </c>
    </row>
    <row r="16" spans="1:17">
      <c r="A16" s="73">
        <v>46143</v>
      </c>
      <c r="B16" s="21" t="s">
        <v>214</v>
      </c>
      <c r="C16" s="21" t="e" vm="15">
        <v>#VALUE!</v>
      </c>
      <c r="D16" s="21" t="str">
        <f t="array" aca="1" ref="D16" ca="1">_FV(C16,"Industry")</f>
        <v>Chemicals</v>
      </c>
      <c r="E16" s="21" t="s">
        <v>62</v>
      </c>
      <c r="F16" s="21" t="s">
        <v>649</v>
      </c>
      <c r="G16" s="21" t="s">
        <v>650</v>
      </c>
      <c r="H16" s="21"/>
      <c r="I16" s="80" cm="1">
        <f t="array" aca="1" ref="I16" ca="1">_FV(C16,"Price")</f>
        <v>43.54</v>
      </c>
      <c r="J16" s="84">
        <f t="shared" si="0"/>
        <v>29032.258064516129</v>
      </c>
      <c r="K16" s="82">
        <f t="shared" ca="1" si="1"/>
        <v>666.79508646109628</v>
      </c>
      <c r="L16" s="85">
        <v>710.00875677466684</v>
      </c>
      <c r="Q16" s="83">
        <f t="shared" ca="1" si="2"/>
        <v>2296.7386311437758</v>
      </c>
    </row>
    <row r="17" spans="1:17">
      <c r="A17" s="73">
        <v>46143</v>
      </c>
      <c r="B17" s="21" t="s">
        <v>664</v>
      </c>
      <c r="C17" s="21" t="e" vm="16">
        <v>#VALUE!</v>
      </c>
      <c r="D17" s="21" t="str">
        <f t="array" aca="1" ref="D17" ca="1">_FV(C17,"Industry")</f>
        <v>Machinery, Equipment &amp; Components</v>
      </c>
      <c r="E17" s="21" t="s">
        <v>64</v>
      </c>
      <c r="F17" s="21" t="s">
        <v>653</v>
      </c>
      <c r="G17" s="21" t="s">
        <v>650</v>
      </c>
      <c r="H17" s="21"/>
      <c r="I17" s="80" cm="1">
        <f t="array" aca="1" ref="I17" ca="1">_FV(C17,"Price")</f>
        <v>5222</v>
      </c>
      <c r="J17" s="84">
        <f t="shared" si="0"/>
        <v>29032.258064516129</v>
      </c>
      <c r="K17" s="82">
        <f t="shared" ca="1" si="1"/>
        <v>5.5596051444879606</v>
      </c>
      <c r="L17" s="85">
        <v>5.6111824631844085</v>
      </c>
      <c r="Q17" s="83">
        <f t="shared" ca="1" si="2"/>
        <v>19.149751053236308</v>
      </c>
    </row>
    <row r="18" spans="1:17">
      <c r="A18" s="73">
        <v>46143</v>
      </c>
      <c r="B18" s="21" t="s">
        <v>665</v>
      </c>
      <c r="C18" s="21" t="e" vm="17">
        <v>#VALUE!</v>
      </c>
      <c r="D18" s="21" t="str">
        <f t="array" aca="1" ref="D18" ca="1">_FV(C18,"Industry")</f>
        <v>Chemicals</v>
      </c>
      <c r="E18" s="21" t="s">
        <v>62</v>
      </c>
      <c r="F18" s="21" t="s">
        <v>649</v>
      </c>
      <c r="G18" s="21" t="s">
        <v>650</v>
      </c>
      <c r="H18" s="21"/>
      <c r="I18" s="80" cm="1">
        <f t="array" aca="1" ref="I18" ca="1">_FV(C18,"Price")</f>
        <v>682.65</v>
      </c>
      <c r="J18" s="84">
        <f t="shared" si="0"/>
        <v>29032.258064516129</v>
      </c>
      <c r="K18" s="82">
        <f t="shared" ca="1" si="1"/>
        <v>42.528760074000047</v>
      </c>
      <c r="L18" s="85">
        <v>42.710199432903465</v>
      </c>
      <c r="Q18" s="83">
        <f t="shared" ca="1" si="2"/>
        <v>146.48795136600015</v>
      </c>
    </row>
    <row r="19" spans="1:17">
      <c r="A19" s="73">
        <v>46143</v>
      </c>
      <c r="B19" s="21" t="s">
        <v>666</v>
      </c>
      <c r="C19" s="21" t="e" vm="18">
        <v>#VALUE!</v>
      </c>
      <c r="D19" s="21" t="str">
        <f t="array" aca="1" ref="D19" ca="1">_FV(C19,"Industry")</f>
        <v>Healthcare Providers &amp; Services</v>
      </c>
      <c r="E19" s="21" t="s">
        <v>62</v>
      </c>
      <c r="F19" s="21" t="s">
        <v>653</v>
      </c>
      <c r="G19" s="21" t="s">
        <v>650</v>
      </c>
      <c r="H19" s="21"/>
      <c r="I19" s="80" cm="1">
        <f t="array" aca="1" ref="I19" ca="1">_FV(C19,"Price")</f>
        <v>1980.6</v>
      </c>
      <c r="J19" s="84">
        <f t="shared" si="0"/>
        <v>29032.258064516129</v>
      </c>
      <c r="K19" s="82">
        <f t="shared" ca="1" si="1"/>
        <v>14.658314684699652</v>
      </c>
      <c r="L19" s="85">
        <v>15.244031538207471</v>
      </c>
      <c r="Q19" s="83">
        <f t="shared" ca="1" si="2"/>
        <v>50.489750580632133</v>
      </c>
    </row>
    <row r="20" spans="1:17">
      <c r="A20" s="73">
        <v>46143</v>
      </c>
      <c r="B20" s="21" t="s">
        <v>68</v>
      </c>
      <c r="C20" s="21" t="e" vm="19">
        <v>#VALUE!</v>
      </c>
      <c r="D20" s="21" t="str">
        <f t="array" aca="1" ref="D20" ca="1">_FV(C20,"Industry")</f>
        <v>Machinery, Equipment &amp; Components</v>
      </c>
      <c r="E20" s="21" t="s">
        <v>64</v>
      </c>
      <c r="F20" s="21" t="s">
        <v>655</v>
      </c>
      <c r="G20" s="21" t="s">
        <v>650</v>
      </c>
      <c r="H20" s="21"/>
      <c r="I20" s="80" cm="1">
        <f t="array" aca="1" ref="I20" ca="1">_FV(C20,"Price")</f>
        <v>9571.5</v>
      </c>
      <c r="J20" s="84">
        <f t="shared" si="0"/>
        <v>29032.258064516129</v>
      </c>
      <c r="K20" s="82">
        <f t="shared" ca="1" si="1"/>
        <v>3.033198356006491</v>
      </c>
      <c r="L20" s="85">
        <v>3.0623129649824512</v>
      </c>
      <c r="Q20" s="83">
        <f t="shared" ca="1" si="2"/>
        <v>10.44768322624458</v>
      </c>
    </row>
    <row r="21" spans="1:17">
      <c r="A21" s="73">
        <v>46143</v>
      </c>
      <c r="B21" s="21" t="s">
        <v>667</v>
      </c>
      <c r="C21" s="21" t="e" vm="20">
        <v>#VALUE!</v>
      </c>
      <c r="D21" s="21" t="str">
        <f t="array" aca="1" ref="D21" ca="1">_FV(C21,"Industry")</f>
        <v>Construction &amp; Engineering</v>
      </c>
      <c r="E21" s="21" t="s">
        <v>58</v>
      </c>
      <c r="F21" s="21" t="s">
        <v>649</v>
      </c>
      <c r="G21" s="21" t="s">
        <v>650</v>
      </c>
      <c r="H21" s="21"/>
      <c r="I21" s="80" cm="1">
        <f t="array" aca="1" ref="I21" ca="1">_FV(C21,"Price")</f>
        <v>820.05</v>
      </c>
      <c r="J21" s="84">
        <f t="shared" si="0"/>
        <v>29032.258064516129</v>
      </c>
      <c r="K21" s="82">
        <f t="shared" ca="1" si="1"/>
        <v>35.403034040017232</v>
      </c>
      <c r="L21" s="85">
        <v>34.568384907443146</v>
      </c>
      <c r="Q21" s="83">
        <f t="shared" ca="1" si="2"/>
        <v>121.94378391561492</v>
      </c>
    </row>
    <row r="22" spans="1:17">
      <c r="A22" s="73">
        <v>46143</v>
      </c>
      <c r="B22" s="21" t="s">
        <v>668</v>
      </c>
      <c r="C22" s="21" t="e" vm="21">
        <v>#VALUE!</v>
      </c>
      <c r="D22" s="21" t="str">
        <f t="array" aca="1" ref="D22" ca="1">_FV(C22,"Industry")</f>
        <v>Healthcare Providers &amp; Services</v>
      </c>
      <c r="E22" s="21" t="s">
        <v>62</v>
      </c>
      <c r="F22" s="21" t="s">
        <v>649</v>
      </c>
      <c r="G22" s="21" t="s">
        <v>650</v>
      </c>
      <c r="H22" s="21"/>
      <c r="I22" s="80" cm="1">
        <f t="array" aca="1" ref="I22" ca="1">_FV(C22,"Price")</f>
        <v>1354.2</v>
      </c>
      <c r="J22" s="84">
        <f t="shared" si="0"/>
        <v>29032.258064516129</v>
      </c>
      <c r="K22" s="82">
        <f t="shared" ca="1" si="1"/>
        <v>21.438678234024611</v>
      </c>
      <c r="L22" s="85">
        <v>21.197618329816102</v>
      </c>
      <c r="Q22" s="83">
        <f t="shared" ca="1" si="2"/>
        <v>73.844336139418104</v>
      </c>
    </row>
    <row r="23" spans="1:17">
      <c r="A23" s="73">
        <v>46143</v>
      </c>
      <c r="B23" s="21" t="s">
        <v>669</v>
      </c>
      <c r="C23" s="21" t="e" vm="22">
        <v>#VALUE!</v>
      </c>
      <c r="D23" s="21" t="str">
        <f t="array" aca="1" ref="D23" ca="1">_FV(C23,"Industry")</f>
        <v>Machinery, Equipment &amp; Components</v>
      </c>
      <c r="E23" s="21" t="s">
        <v>58</v>
      </c>
      <c r="F23" s="21" t="s">
        <v>649</v>
      </c>
      <c r="G23" s="21" t="s">
        <v>650</v>
      </c>
      <c r="H23" s="21"/>
      <c r="I23" s="80" cm="1">
        <f t="array" aca="1" ref="I23" ca="1">_FV(C23,"Price")</f>
        <v>723.9</v>
      </c>
      <c r="J23" s="84">
        <f t="shared" si="0"/>
        <v>29032.258064516129</v>
      </c>
      <c r="K23" s="82">
        <f t="shared" ca="1" si="1"/>
        <v>40.105343368581472</v>
      </c>
      <c r="L23" s="85">
        <v>39.726680438582555</v>
      </c>
      <c r="Q23" s="83">
        <f t="shared" ca="1" si="2"/>
        <v>138.1406271584473</v>
      </c>
    </row>
    <row r="24" spans="1:17">
      <c r="A24" s="73">
        <v>46143</v>
      </c>
      <c r="B24" s="21" t="s">
        <v>670</v>
      </c>
      <c r="C24" s="21" t="e" vm="23">
        <v>#VALUE!</v>
      </c>
      <c r="D24" s="21" t="str">
        <f t="array" aca="1" ref="D24" ca="1">_FV(C24,"Industry")</f>
        <v>Machinery, Equipment &amp; Components</v>
      </c>
      <c r="E24" s="21" t="s">
        <v>58</v>
      </c>
      <c r="F24" s="21" t="s">
        <v>649</v>
      </c>
      <c r="G24" s="21" t="s">
        <v>650</v>
      </c>
      <c r="H24" s="21"/>
      <c r="I24" s="80" cm="1">
        <f t="array" aca="1" ref="I24" ca="1">_FV(C24,"Price")</f>
        <v>3491.9</v>
      </c>
      <c r="J24" s="84">
        <f t="shared" si="0"/>
        <v>29032.258064516129</v>
      </c>
      <c r="K24" s="82">
        <f t="shared" ca="1" si="1"/>
        <v>8.3141722456302087</v>
      </c>
      <c r="L24" s="85">
        <v>8.1804052027377097</v>
      </c>
      <c r="Q24" s="83">
        <f t="shared" ca="1" si="2"/>
        <v>28.637704401615167</v>
      </c>
    </row>
    <row r="25" spans="1:17">
      <c r="A25" s="73">
        <v>46143</v>
      </c>
      <c r="B25" s="21" t="s">
        <v>516</v>
      </c>
      <c r="C25" s="21" t="e" vm="24">
        <v>#VALUE!</v>
      </c>
      <c r="D25" s="21" t="str">
        <f t="array" aca="1" ref="D25" ca="1">_FV(C25,"Industry")</f>
        <v>Chemicals</v>
      </c>
      <c r="E25" s="21" t="s">
        <v>58</v>
      </c>
      <c r="F25" s="21" t="s">
        <v>655</v>
      </c>
      <c r="G25" s="21" t="s">
        <v>650</v>
      </c>
      <c r="H25" s="21"/>
      <c r="I25" s="80" cm="1">
        <f t="array" aca="1" ref="I25" ca="1">_FV(C25,"Price")</f>
        <v>18577</v>
      </c>
      <c r="J25" s="84">
        <f t="shared" si="0"/>
        <v>29032.258064516129</v>
      </c>
      <c r="K25" s="82">
        <f t="shared" ca="1" si="1"/>
        <v>1.5628065922654966</v>
      </c>
      <c r="L25" s="85">
        <v>1.5949161162729291</v>
      </c>
      <c r="Q25" s="83">
        <f t="shared" ca="1" si="2"/>
        <v>5.3830004844700436</v>
      </c>
    </row>
    <row r="26" spans="1:17">
      <c r="A26" s="73">
        <v>46143</v>
      </c>
      <c r="B26" s="21" t="s">
        <v>260</v>
      </c>
      <c r="C26" s="21" t="e" vm="25">
        <v>#VALUE!</v>
      </c>
      <c r="D26" s="21" t="str">
        <f t="array" aca="1" ref="D26" ca="1">_FV(C26,"Industry")</f>
        <v>Healthcare Providers &amp; Services</v>
      </c>
      <c r="E26" s="21" t="s">
        <v>62</v>
      </c>
      <c r="F26" s="21" t="s">
        <v>649</v>
      </c>
      <c r="G26" s="21" t="s">
        <v>650</v>
      </c>
      <c r="H26" s="21"/>
      <c r="I26" s="80" cm="1">
        <f t="array" aca="1" ref="I26" ca="1">_FV(C26,"Price")</f>
        <v>536.15</v>
      </c>
      <c r="J26" s="84">
        <f t="shared" si="0"/>
        <v>29032.258064516129</v>
      </c>
      <c r="K26" s="82">
        <f t="shared" ca="1" si="1"/>
        <v>54.149506788242341</v>
      </c>
      <c r="L26" s="85">
        <v>53.678946222642374</v>
      </c>
      <c r="Q26" s="83">
        <f t="shared" ca="1" si="2"/>
        <v>186.51496782616806</v>
      </c>
    </row>
    <row r="27" spans="1:17">
      <c r="A27" s="73">
        <v>46143</v>
      </c>
      <c r="B27" s="21" t="s">
        <v>671</v>
      </c>
      <c r="C27" s="21" t="e" vm="26">
        <v>#VALUE!</v>
      </c>
      <c r="D27" s="21" t="str">
        <f t="array" aca="1" ref="D27" ca="1">_FV(C27,"Industry")</f>
        <v>Chemicals</v>
      </c>
      <c r="E27" s="21" t="s">
        <v>62</v>
      </c>
      <c r="F27" s="21" t="s">
        <v>649</v>
      </c>
      <c r="G27" s="21" t="s">
        <v>650</v>
      </c>
      <c r="H27" s="21"/>
      <c r="I27" s="80" cm="1">
        <f t="array" aca="1" ref="I27" ca="1">_FV(C27,"Price")</f>
        <v>7035.5</v>
      </c>
      <c r="J27" s="84">
        <f t="shared" si="0"/>
        <v>29032.258064516129</v>
      </c>
      <c r="K27" s="82">
        <f t="shared" ca="1" si="1"/>
        <v>4.1265379950985901</v>
      </c>
      <c r="L27" s="85">
        <v>4.1483543708674899</v>
      </c>
      <c r="Q27" s="83">
        <f t="shared" ca="1" si="2"/>
        <v>14.213630872006254</v>
      </c>
    </row>
    <row r="28" spans="1:17">
      <c r="A28" s="73">
        <v>46143</v>
      </c>
      <c r="B28" s="21" t="s">
        <v>195</v>
      </c>
      <c r="C28" s="21" t="e" vm="27">
        <v>#VALUE!</v>
      </c>
      <c r="D28" s="21" t="str">
        <f t="array" aca="1" ref="D28" ca="1">_FV(C28,"Industry")</f>
        <v>Pharmaceuticals</v>
      </c>
      <c r="E28" s="21" t="s">
        <v>62</v>
      </c>
      <c r="F28" s="21" t="s">
        <v>649</v>
      </c>
      <c r="G28" s="21" t="s">
        <v>650</v>
      </c>
      <c r="H28" s="21"/>
      <c r="I28" s="80" cm="1">
        <f t="array" aca="1" ref="I28" ca="1">_FV(C28,"Price")</f>
        <v>2645.1</v>
      </c>
      <c r="J28" s="84">
        <f t="shared" si="0"/>
        <v>29032.258064516129</v>
      </c>
      <c r="K28" s="82">
        <f t="shared" ca="1" si="1"/>
        <v>10.975864074899297</v>
      </c>
      <c r="L28" s="85">
        <v>10.595714622086179</v>
      </c>
      <c r="Q28" s="83">
        <f t="shared" ca="1" si="2"/>
        <v>37.805754035764245</v>
      </c>
    </row>
    <row r="29" spans="1:17">
      <c r="A29" s="73">
        <v>46143</v>
      </c>
      <c r="B29" s="21" t="s">
        <v>672</v>
      </c>
      <c r="C29" s="21" t="e" vm="28">
        <v>#VALUE!</v>
      </c>
      <c r="D29" s="21" t="str">
        <f t="array" aca="1" ref="D29" ca="1">_FV(C29,"Industry")</f>
        <v>Pharmaceuticals</v>
      </c>
      <c r="E29" s="21" t="s">
        <v>62</v>
      </c>
      <c r="F29" s="21" t="s">
        <v>649</v>
      </c>
      <c r="G29" s="21" t="s">
        <v>650</v>
      </c>
      <c r="H29" s="21"/>
      <c r="I29" s="80" cm="1">
        <f t="array" aca="1" ref="I29" ca="1">_FV(C29,"Price")</f>
        <v>1972.9</v>
      </c>
      <c r="J29" s="84">
        <f t="shared" si="0"/>
        <v>29032.258064516129</v>
      </c>
      <c r="K29" s="82">
        <f t="shared" ca="1" si="1"/>
        <v>14.715524387711556</v>
      </c>
      <c r="L29" s="85">
        <v>14.524117296771289</v>
      </c>
      <c r="Q29" s="83">
        <f t="shared" ca="1" si="2"/>
        <v>50.686806224339804</v>
      </c>
    </row>
    <row r="30" spans="1:17">
      <c r="A30" s="73">
        <v>46143</v>
      </c>
      <c r="B30" s="21" t="s">
        <v>78</v>
      </c>
      <c r="C30" s="21" t="e" vm="29">
        <v>#VALUE!</v>
      </c>
      <c r="D30" s="21" t="str">
        <f t="array" aca="1" ref="D30" ca="1">_FV(C30,"Industry")</f>
        <v>Machinery, Equipment &amp; Components</v>
      </c>
      <c r="E30" s="21" t="s">
        <v>58</v>
      </c>
      <c r="F30" s="21" t="s">
        <v>649</v>
      </c>
      <c r="G30" s="21" t="s">
        <v>650</v>
      </c>
      <c r="H30" s="21"/>
      <c r="I30" s="80" cm="1">
        <f t="array" aca="1" ref="I30" ca="1">_FV(C30,"Price")</f>
        <v>668.85</v>
      </c>
      <c r="J30" s="84">
        <f t="shared" si="0"/>
        <v>29032.258064516129</v>
      </c>
      <c r="K30" s="82">
        <f t="shared" ca="1" si="1"/>
        <v>43.406231687996005</v>
      </c>
      <c r="L30" s="85">
        <v>41.80310736431408</v>
      </c>
      <c r="Q30" s="83">
        <f t="shared" ca="1" si="2"/>
        <v>149.51035359198625</v>
      </c>
    </row>
    <row r="31" spans="1:17">
      <c r="A31" s="73">
        <v>46143</v>
      </c>
      <c r="B31" s="21" t="s">
        <v>67</v>
      </c>
      <c r="C31" s="21" t="e" vm="30">
        <v>#VALUE!</v>
      </c>
      <c r="D31" s="21" t="str">
        <f t="array" aca="1" ref="D31" ca="1">_FV(C31,"Industry")</f>
        <v>Machinery, Equipment &amp; Components</v>
      </c>
      <c r="E31" s="21" t="s">
        <v>58</v>
      </c>
      <c r="F31" s="21" t="s">
        <v>649</v>
      </c>
      <c r="G31" s="21" t="s">
        <v>650</v>
      </c>
      <c r="H31" s="21"/>
      <c r="I31" s="80" cm="1">
        <f t="array" aca="1" ref="I31" ca="1">_FV(C31,"Price")</f>
        <v>1286.3</v>
      </c>
      <c r="J31" s="84">
        <f t="shared" si="0"/>
        <v>29032.258064516129</v>
      </c>
      <c r="K31" s="82">
        <f t="shared" ca="1" si="1"/>
        <v>22.570363106986029</v>
      </c>
      <c r="L31" s="83">
        <v>23.590036616979059</v>
      </c>
      <c r="Q31" s="83">
        <f t="shared" ca="1" si="2"/>
        <v>77.742361812951884</v>
      </c>
    </row>
    <row r="32" spans="1:17">
      <c r="A32" s="73">
        <v>46143</v>
      </c>
      <c r="B32" s="21" t="s">
        <v>71</v>
      </c>
      <c r="C32" s="21" t="e" vm="31">
        <v>#VALUE!</v>
      </c>
      <c r="D32" s="21" t="str">
        <f t="array" aca="1" ref="D32" ca="1">_FV(C32,"Industry")</f>
        <v>Machinery, Equipment &amp; Components</v>
      </c>
      <c r="E32" s="21" t="s">
        <v>58</v>
      </c>
      <c r="F32" s="21" t="s">
        <v>653</v>
      </c>
      <c r="G32" s="21" t="s">
        <v>650</v>
      </c>
      <c r="H32" s="21"/>
      <c r="I32" s="80" cm="1">
        <f t="array" aca="1" ref="I32" ca="1">_FV(C32,"Price")</f>
        <v>4964.5</v>
      </c>
      <c r="J32" s="84">
        <f t="shared" si="0"/>
        <v>29032.258064516129</v>
      </c>
      <c r="K32" s="82">
        <f t="shared" ca="1" si="1"/>
        <v>5.8479722156342291</v>
      </c>
      <c r="L32" s="83">
        <v>6.1056273532105427</v>
      </c>
      <c r="Q32" s="83">
        <f t="shared" ca="1" si="2"/>
        <v>20.143015409406789</v>
      </c>
    </row>
    <row r="33" spans="1:8">
      <c r="A33" s="73">
        <v>46143</v>
      </c>
      <c r="B33" s="75" t="s">
        <v>673</v>
      </c>
      <c r="C33" s="21" t="e" vm="32">
        <v>#VALUE!</v>
      </c>
      <c r="D33" s="21" t="str">
        <f t="array" aca="1" ref="D33" ca="1">_FV(C33,"Industry")</f>
        <v>Electrical Utilities &amp; IPPs</v>
      </c>
      <c r="E33" s="21" t="s">
        <v>58</v>
      </c>
      <c r="F33" s="21" t="s">
        <v>655</v>
      </c>
      <c r="G33" s="21" t="s">
        <v>674</v>
      </c>
      <c r="H33" s="21"/>
    </row>
    <row r="34" spans="1:8">
      <c r="A34" s="73">
        <v>46143</v>
      </c>
      <c r="B34" s="21" t="s">
        <v>675</v>
      </c>
      <c r="C34" s="21" t="e" vm="33">
        <v>#VALUE!</v>
      </c>
      <c r="D34" s="21" t="str">
        <f t="array" aca="1" ref="D34" ca="1">_FV(C34,"Industry")</f>
        <v>Electrical Utilities &amp; IPPs</v>
      </c>
      <c r="E34" s="21" t="s">
        <v>58</v>
      </c>
      <c r="F34" s="21" t="s">
        <v>655</v>
      </c>
      <c r="G34" s="21" t="s">
        <v>674</v>
      </c>
      <c r="H34" s="21"/>
    </row>
    <row r="35" spans="1:8">
      <c r="A35" s="73">
        <v>46143</v>
      </c>
      <c r="B35" s="21" t="s">
        <v>676</v>
      </c>
      <c r="C35" s="21" t="e" vm="34">
        <v>#VALUE!</v>
      </c>
      <c r="D35" s="21" t="str">
        <f t="array" aca="1" ref="D35" ca="1">_FV(C35,"Industry")</f>
        <v>Machinery, Equipment &amp; Components</v>
      </c>
      <c r="E35" s="21" t="s">
        <v>58</v>
      </c>
      <c r="F35" s="21" t="s">
        <v>653</v>
      </c>
      <c r="G35" s="21" t="s">
        <v>674</v>
      </c>
      <c r="H35" s="21"/>
    </row>
    <row r="36" spans="1:8">
      <c r="A36" s="73">
        <v>46143</v>
      </c>
      <c r="B36" s="21" t="s">
        <v>57</v>
      </c>
      <c r="C36" s="21" t="e" vm="35">
        <v>#VALUE!</v>
      </c>
      <c r="D36" s="21" t="str">
        <f t="array" aca="1" ref="D36" ca="1">_FV(C36,"Industry")</f>
        <v>Pharmaceuticals</v>
      </c>
      <c r="E36" s="21" t="s">
        <v>62</v>
      </c>
      <c r="F36" s="21" t="s">
        <v>655</v>
      </c>
      <c r="G36" s="21" t="s">
        <v>674</v>
      </c>
      <c r="H36" s="21"/>
    </row>
    <row r="37" spans="1:8">
      <c r="A37" s="73">
        <v>46143</v>
      </c>
      <c r="B37" s="21" t="s">
        <v>80</v>
      </c>
      <c r="C37" s="21" t="e" vm="36">
        <v>#VALUE!</v>
      </c>
      <c r="D37" s="21" t="str">
        <f t="array" aca="1" ref="D37" ca="1">_FV(C37,"Industry")</f>
        <v>Metals &amp; Mining</v>
      </c>
      <c r="E37" s="21" t="s">
        <v>58</v>
      </c>
      <c r="F37" s="21" t="s">
        <v>653</v>
      </c>
      <c r="G37" s="21" t="s">
        <v>674</v>
      </c>
      <c r="H37" s="21"/>
    </row>
    <row r="38" spans="1:8">
      <c r="A38" s="73">
        <v>46143</v>
      </c>
      <c r="B38" s="21" t="s">
        <v>677</v>
      </c>
      <c r="C38" s="21" t="e" vm="37">
        <v>#VALUE!</v>
      </c>
      <c r="D38" s="21" t="str">
        <f t="array" aca="1" ref="D38" ca="1">_FV(C38,"Industry")</f>
        <v>Machinery, Equipment &amp; Components</v>
      </c>
      <c r="E38" s="21" t="s">
        <v>58</v>
      </c>
      <c r="F38" s="21" t="s">
        <v>649</v>
      </c>
      <c r="G38" s="21" t="s">
        <v>674</v>
      </c>
      <c r="H38" s="21"/>
    </row>
    <row r="39" spans="1:8">
      <c r="A39" s="73">
        <v>46143</v>
      </c>
      <c r="B39" s="21" t="s">
        <v>678</v>
      </c>
      <c r="C39" s="21" t="e" vm="38">
        <v>#VALUE!</v>
      </c>
      <c r="D39" s="21" t="str">
        <f t="array" aca="1" ref="D39" ca="1">_FV(C39,"Industry")</f>
        <v>Automobiles &amp; Auto Parts</v>
      </c>
      <c r="E39" s="21" t="s">
        <v>58</v>
      </c>
      <c r="F39" s="21" t="s">
        <v>649</v>
      </c>
      <c r="G39" s="21" t="s">
        <v>674</v>
      </c>
      <c r="H39" s="21"/>
    </row>
    <row r="40" spans="1:8">
      <c r="A40" s="73">
        <v>46143</v>
      </c>
      <c r="B40" s="21" t="s">
        <v>679</v>
      </c>
      <c r="C40" s="21" t="e" vm="39">
        <v>#VALUE!</v>
      </c>
      <c r="D40" s="21" t="str">
        <f t="array" aca="1" ref="D40" ca="1">_FV(C40,"Industry")</f>
        <v>Machinery, Equipment &amp; Components</v>
      </c>
      <c r="E40" s="21" t="s">
        <v>58</v>
      </c>
      <c r="F40" s="21" t="s">
        <v>655</v>
      </c>
      <c r="G40" s="21" t="s">
        <v>674</v>
      </c>
      <c r="H40" s="21"/>
    </row>
    <row r="41" spans="1:8">
      <c r="A41" s="73">
        <v>46143</v>
      </c>
      <c r="B41" s="21" t="s">
        <v>680</v>
      </c>
      <c r="C41" s="21" t="e" vm="40">
        <v>#VALUE!</v>
      </c>
      <c r="D41" s="21" t="str">
        <f t="array" aca="1" ref="D41" ca="1">_FV(C41,"Industry")</f>
        <v>Chemicals</v>
      </c>
      <c r="E41" s="21" t="s">
        <v>64</v>
      </c>
      <c r="F41" s="21" t="s">
        <v>649</v>
      </c>
      <c r="G41" s="21" t="s">
        <v>674</v>
      </c>
      <c r="H41" s="21"/>
    </row>
    <row r="42" spans="1:8">
      <c r="A42" s="73">
        <v>46143</v>
      </c>
      <c r="B42" s="21" t="s">
        <v>254</v>
      </c>
      <c r="C42" s="21" t="e" vm="41">
        <v>#VALUE!</v>
      </c>
      <c r="D42" s="21" t="str">
        <f t="array" aca="1" ref="D42" ca="1">_FV(C42,"Industry")</f>
        <v>Textiles &amp; Apparel</v>
      </c>
      <c r="E42" s="21" t="s">
        <v>64</v>
      </c>
      <c r="F42" s="21" t="s">
        <v>655</v>
      </c>
      <c r="G42" s="21" t="s">
        <v>674</v>
      </c>
      <c r="H42" s="21"/>
    </row>
    <row r="43" spans="1:8">
      <c r="A43" s="73">
        <v>46143</v>
      </c>
      <c r="B43" s="21" t="s">
        <v>681</v>
      </c>
      <c r="C43" s="21" t="e" vm="42">
        <v>#VALUE!</v>
      </c>
      <c r="D43" s="21" t="str">
        <f t="array" aca="1" ref="D43" ca="1">_FV(C43,"Industry")</f>
        <v>Aerospace &amp; Defense</v>
      </c>
      <c r="E43" s="21" t="s">
        <v>58</v>
      </c>
      <c r="F43" s="21" t="s">
        <v>649</v>
      </c>
      <c r="G43" s="21" t="s">
        <v>674</v>
      </c>
      <c r="H43" s="21"/>
    </row>
    <row r="44" spans="1:8">
      <c r="A44" s="73">
        <v>46143</v>
      </c>
      <c r="B44" s="21" t="s">
        <v>682</v>
      </c>
      <c r="C44" s="21" t="e" vm="43">
        <v>#VALUE!</v>
      </c>
      <c r="D44" s="21" t="str">
        <f t="array" aca="1" ref="D44" ca="1">_FV(C44,"Industry")</f>
        <v>Banking Services</v>
      </c>
      <c r="E44" s="21" t="s">
        <v>683</v>
      </c>
      <c r="F44" s="21" t="s">
        <v>649</v>
      </c>
      <c r="G44" s="21" t="s">
        <v>674</v>
      </c>
      <c r="H44" s="21"/>
    </row>
    <row r="45" spans="1:8">
      <c r="A45" s="73">
        <v>46143</v>
      </c>
      <c r="B45" s="21" t="s">
        <v>684</v>
      </c>
      <c r="C45" s="21" t="e" vm="44">
        <v>#VALUE!</v>
      </c>
      <c r="D45" s="21" t="str">
        <f t="array" aca="1" ref="D45" ca="1">_FV(C45,"Industry")</f>
        <v>Pharmaceuticals</v>
      </c>
      <c r="E45" s="21" t="s">
        <v>62</v>
      </c>
      <c r="F45" s="21" t="s">
        <v>655</v>
      </c>
      <c r="G45" s="21" t="s">
        <v>674</v>
      </c>
      <c r="H45" s="21"/>
    </row>
    <row r="46" spans="1:8">
      <c r="A46" s="73">
        <v>46143</v>
      </c>
      <c r="B46" s="21" t="s">
        <v>257</v>
      </c>
      <c r="C46" s="21" t="e" vm="45">
        <v>#VALUE!</v>
      </c>
      <c r="D46" s="21" t="str">
        <f t="array" aca="1" ref="D46" ca="1">_FV(C46,"Industry")</f>
        <v>Food &amp; Drug Retailing</v>
      </c>
      <c r="E46" s="21" t="s">
        <v>64</v>
      </c>
      <c r="F46" s="21" t="s">
        <v>655</v>
      </c>
      <c r="G46" s="21" t="s">
        <v>674</v>
      </c>
      <c r="H46" s="21"/>
    </row>
    <row r="47" spans="1:8">
      <c r="A47" s="73">
        <v>46143</v>
      </c>
      <c r="B47" s="21" t="s">
        <v>685</v>
      </c>
      <c r="C47" s="21" t="e" vm="46">
        <v>#VALUE!</v>
      </c>
      <c r="D47" s="21" t="str">
        <f t="array" aca="1" ref="D47" ca="1">_FV(C47,"Industry")</f>
        <v>Automobiles &amp; Auto Parts</v>
      </c>
      <c r="E47" s="21" t="s">
        <v>64</v>
      </c>
      <c r="F47" s="21" t="s">
        <v>655</v>
      </c>
      <c r="G47" s="21" t="s">
        <v>674</v>
      </c>
      <c r="H47" s="21"/>
    </row>
    <row r="48" spans="1:8">
      <c r="A48" s="73">
        <v>46143</v>
      </c>
      <c r="B48" s="21" t="s">
        <v>270</v>
      </c>
      <c r="C48" s="21" t="e" vm="47">
        <v>#VALUE!</v>
      </c>
      <c r="D48" s="21" t="str">
        <f t="array" aca="1" ref="D48" ca="1">_FV(C48,"Industry")</f>
        <v>Automobiles &amp; Auto Parts</v>
      </c>
      <c r="E48" s="21" t="s">
        <v>58</v>
      </c>
      <c r="F48" s="21" t="s">
        <v>653</v>
      </c>
      <c r="G48" s="21" t="s">
        <v>674</v>
      </c>
      <c r="H48" s="21"/>
    </row>
    <row r="49" spans="1:8">
      <c r="A49" s="73">
        <v>46143</v>
      </c>
      <c r="B49" s="21" t="s">
        <v>686</v>
      </c>
      <c r="C49" s="21" t="e" vm="48">
        <v>#VALUE!</v>
      </c>
      <c r="D49" s="21" t="str">
        <f t="array" aca="1" ref="D49" ca="1">_FV(C49,"Industry")</f>
        <v>Real Estate Operations</v>
      </c>
      <c r="E49" s="21" t="s">
        <v>58</v>
      </c>
      <c r="F49" s="21" t="s">
        <v>649</v>
      </c>
      <c r="G49" s="21" t="s">
        <v>674</v>
      </c>
      <c r="H49" s="21"/>
    </row>
    <row r="50" spans="1:8">
      <c r="A50" s="73">
        <v>46143</v>
      </c>
      <c r="B50" s="21" t="s">
        <v>687</v>
      </c>
      <c r="C50" s="21" t="e" vm="49">
        <v>#VALUE!</v>
      </c>
      <c r="D50" s="21" t="str">
        <f t="array" aca="1" ref="D50" ca="1">_FV(C50,"Industry")</f>
        <v>Food &amp; Tobacco</v>
      </c>
      <c r="E50" s="21" t="s">
        <v>64</v>
      </c>
      <c r="F50" s="21" t="s">
        <v>655</v>
      </c>
      <c r="G50" s="21" t="s">
        <v>674</v>
      </c>
      <c r="H50" s="21"/>
    </row>
    <row r="51" spans="1:8">
      <c r="A51" s="73">
        <v>46143</v>
      </c>
      <c r="B51" s="21" t="s">
        <v>688</v>
      </c>
      <c r="C51" s="21" t="e" vm="50">
        <v>#VALUE!</v>
      </c>
      <c r="D51" s="21" t="str">
        <f t="array" aca="1" ref="D51" ca="1">_FV(C51,"Industry")</f>
        <v>Chemicals</v>
      </c>
      <c r="E51" s="21" t="s">
        <v>62</v>
      </c>
      <c r="F51" s="21" t="s">
        <v>649</v>
      </c>
      <c r="G51" s="21" t="s">
        <v>674</v>
      </c>
      <c r="H51" s="21"/>
    </row>
    <row r="52" spans="1:8">
      <c r="A52" s="73">
        <v>46143</v>
      </c>
      <c r="B52" s="21" t="s">
        <v>689</v>
      </c>
      <c r="C52" s="21" t="e" vm="51">
        <v>#VALUE!</v>
      </c>
      <c r="D52" s="21" t="str">
        <f t="array" aca="1" ref="D52" ca="1">_FV(C52,"Industry")</f>
        <v>Food &amp; Tobacco</v>
      </c>
      <c r="E52" s="21" t="s">
        <v>64</v>
      </c>
      <c r="F52" s="21" t="s">
        <v>655</v>
      </c>
      <c r="G52" s="21" t="s">
        <v>674</v>
      </c>
      <c r="H52" s="21"/>
    </row>
    <row r="53" spans="1:8">
      <c r="A53" s="73">
        <v>46143</v>
      </c>
      <c r="B53" s="21" t="s">
        <v>690</v>
      </c>
      <c r="C53" s="21" t="e" vm="52">
        <v>#VALUE!</v>
      </c>
      <c r="D53" s="21" t="str">
        <f t="array" aca="1" ref="D53" ca="1">_FV(C53,"Industry")</f>
        <v>Pharmaceuticals</v>
      </c>
      <c r="E53" s="21" t="s">
        <v>62</v>
      </c>
      <c r="F53" s="21" t="s">
        <v>649</v>
      </c>
      <c r="G53" s="21" t="s">
        <v>674</v>
      </c>
      <c r="H53" s="21"/>
    </row>
    <row r="54" spans="1:8">
      <c r="A54" s="73">
        <v>46143</v>
      </c>
      <c r="B54" s="21" t="s">
        <v>691</v>
      </c>
      <c r="C54" s="21" t="e" vm="53">
        <v>#VALUE!</v>
      </c>
      <c r="D54" s="21" t="str">
        <f t="array" aca="1" ref="D54" ca="1">_FV(C54,"Industry")</f>
        <v>Pharmaceuticals</v>
      </c>
      <c r="E54" s="21" t="s">
        <v>62</v>
      </c>
      <c r="F54" s="21" t="s">
        <v>655</v>
      </c>
      <c r="G54" s="21" t="s">
        <v>674</v>
      </c>
      <c r="H54" s="21"/>
    </row>
    <row r="55" spans="1:8">
      <c r="A55" s="73">
        <v>46143</v>
      </c>
      <c r="B55" s="21" t="s">
        <v>77</v>
      </c>
      <c r="C55" s="21" t="e" vm="54">
        <v>#VALUE!</v>
      </c>
      <c r="D55" s="21" t="str">
        <f t="array" aca="1" ref="D55" ca="1">_FV(C55,"Industry")</f>
        <v>Food &amp; Tobacco</v>
      </c>
      <c r="E55" s="21" t="s">
        <v>64</v>
      </c>
      <c r="F55" s="21" t="s">
        <v>649</v>
      </c>
      <c r="G55" s="21" t="s">
        <v>674</v>
      </c>
      <c r="H55" s="21"/>
    </row>
    <row r="56" spans="1:8">
      <c r="A56" s="73">
        <v>46143</v>
      </c>
      <c r="B56" s="21" t="s">
        <v>692</v>
      </c>
      <c r="C56" s="21" t="e" vm="55">
        <v>#VALUE!</v>
      </c>
      <c r="D56" s="21" t="str">
        <f t="array" aca="1" ref="D56" ca="1">_FV(C56,"Industry")</f>
        <v>Food &amp; Tobacco</v>
      </c>
      <c r="E56" s="21" t="s">
        <v>64</v>
      </c>
      <c r="F56" s="21" t="s">
        <v>649</v>
      </c>
      <c r="G56" s="21" t="s">
        <v>674</v>
      </c>
      <c r="H56" s="21"/>
    </row>
    <row r="57" spans="1:8">
      <c r="A57" s="73">
        <v>46143</v>
      </c>
      <c r="B57" s="21" t="s">
        <v>450</v>
      </c>
      <c r="C57" s="21" t="e" vm="56">
        <v>#VALUE!</v>
      </c>
      <c r="D57" s="21" t="str">
        <f t="array" aca="1" ref="D57" ca="1">_FV(C57,"Industry")</f>
        <v>Aerospace &amp; Defense</v>
      </c>
      <c r="E57" s="21" t="s">
        <v>58</v>
      </c>
      <c r="F57" s="21" t="s">
        <v>655</v>
      </c>
      <c r="G57" s="21" t="s">
        <v>674</v>
      </c>
      <c r="H57" s="21"/>
    </row>
    <row r="58" spans="1:8">
      <c r="A58" s="73">
        <v>46143</v>
      </c>
      <c r="B58" s="21" t="s">
        <v>79</v>
      </c>
      <c r="C58" s="21" t="e" vm="57">
        <v>#VALUE!</v>
      </c>
      <c r="D58" s="21" t="str">
        <f t="array" aca="1" ref="D58" ca="1">_FV(C58,"Industry")</f>
        <v>Automobiles &amp; Auto Parts</v>
      </c>
      <c r="E58" s="21" t="s">
        <v>58</v>
      </c>
      <c r="F58" s="21" t="s">
        <v>655</v>
      </c>
      <c r="G58" s="21" t="s">
        <v>674</v>
      </c>
      <c r="H58" s="21"/>
    </row>
    <row r="59" spans="1:8">
      <c r="A59" s="73">
        <v>46143</v>
      </c>
      <c r="B59" s="21" t="s">
        <v>69</v>
      </c>
      <c r="C59" s="21" t="e" vm="58">
        <v>#VALUE!</v>
      </c>
      <c r="D59" s="21" t="str">
        <f t="array" aca="1" ref="D59" ca="1">_FV(C59,"Industry")</f>
        <v>Banking Services</v>
      </c>
      <c r="E59" s="21" t="s">
        <v>683</v>
      </c>
      <c r="F59" s="21" t="s">
        <v>653</v>
      </c>
      <c r="G59" s="21" t="s">
        <v>674</v>
      </c>
      <c r="H59" s="21"/>
    </row>
    <row r="60" spans="1:8">
      <c r="A60" s="73">
        <v>46143</v>
      </c>
      <c r="B60" s="21" t="s">
        <v>693</v>
      </c>
      <c r="C60" s="21" t="e" vm="59">
        <v>#VALUE!</v>
      </c>
      <c r="D60" s="21" t="str">
        <f t="array" aca="1" ref="D60" ca="1">_FV(C60,"Industry")</f>
        <v>Automobiles &amp; Auto Parts</v>
      </c>
      <c r="E60" s="21" t="s">
        <v>64</v>
      </c>
      <c r="F60" s="21" t="s">
        <v>655</v>
      </c>
      <c r="G60" s="21" t="s">
        <v>674</v>
      </c>
      <c r="H60" s="21"/>
    </row>
    <row r="61" spans="1:8">
      <c r="A61" s="73">
        <v>46143</v>
      </c>
      <c r="B61" s="21" t="s">
        <v>694</v>
      </c>
      <c r="C61" s="21" t="e" vm="60">
        <v>#VALUE!</v>
      </c>
      <c r="D61" s="21" t="str">
        <f t="array" aca="1" ref="D61" ca="1">_FV(C61,"Industry")</f>
        <v>Automobiles &amp; Auto Parts</v>
      </c>
      <c r="E61" s="21" t="s">
        <v>58</v>
      </c>
      <c r="F61" s="21" t="s">
        <v>649</v>
      </c>
      <c r="G61" s="21" t="s">
        <v>674</v>
      </c>
      <c r="H61" s="21"/>
    </row>
    <row r="62" spans="1:8">
      <c r="A62" s="73">
        <v>46143</v>
      </c>
      <c r="B62" s="21" t="s">
        <v>695</v>
      </c>
      <c r="C62" s="21" t="e" vm="61">
        <v>#VALUE!</v>
      </c>
      <c r="D62" s="21" t="str">
        <f t="array" aca="1" ref="D62" ca="1">_FV(C62,"Industry")</f>
        <v>Pharmaceuticals</v>
      </c>
      <c r="E62" s="21" t="s">
        <v>62</v>
      </c>
      <c r="F62" s="21" t="s">
        <v>653</v>
      </c>
      <c r="G62" s="21" t="s">
        <v>674</v>
      </c>
      <c r="H62" s="21"/>
    </row>
    <row r="63" spans="1:8">
      <c r="A63" s="73">
        <v>46143</v>
      </c>
      <c r="B63" s="76" t="s">
        <v>696</v>
      </c>
      <c r="C63" s="21" t="e" vm="62">
        <v>#VALUE!</v>
      </c>
      <c r="D63" s="21" t="str">
        <f t="array" aca="1" ref="D63" ca="1">_FV(C63,"Industry")</f>
        <v>Machinery, Equipment &amp; Components</v>
      </c>
      <c r="E63" s="21" t="s">
        <v>658</v>
      </c>
      <c r="F63" s="21" t="s">
        <v>649</v>
      </c>
      <c r="G63" s="21" t="s">
        <v>697</v>
      </c>
      <c r="H63" s="21"/>
    </row>
    <row r="64" spans="1:8">
      <c r="A64" s="73">
        <v>46143</v>
      </c>
      <c r="B64" s="21" t="s">
        <v>698</v>
      </c>
      <c r="C64" s="21" t="e" vm="63">
        <v>#VALUE!</v>
      </c>
      <c r="D64" s="21" t="str">
        <f t="array" aca="1" ref="D64" ca="1">_FV(C64,"Industry")</f>
        <v>Software &amp; IT Services</v>
      </c>
      <c r="E64" s="21" t="s">
        <v>658</v>
      </c>
      <c r="F64" s="21" t="s">
        <v>649</v>
      </c>
      <c r="G64" s="21" t="s">
        <v>697</v>
      </c>
      <c r="H64" s="21"/>
    </row>
    <row r="65" spans="1:8">
      <c r="A65" s="73">
        <v>46143</v>
      </c>
      <c r="B65" s="21" t="s">
        <v>699</v>
      </c>
      <c r="C65" s="21" t="e" vm="64">
        <v>#VALUE!</v>
      </c>
      <c r="D65" s="21" t="str">
        <f t="array" aca="1" ref="D65" ca="1">_FV(C65,"Industry")</f>
        <v>Diversified Retail</v>
      </c>
      <c r="E65" s="21" t="s">
        <v>64</v>
      </c>
      <c r="F65" s="21" t="s">
        <v>655</v>
      </c>
      <c r="G65" s="21" t="s">
        <v>697</v>
      </c>
      <c r="H65" s="21"/>
    </row>
    <row r="66" spans="1:8">
      <c r="A66" s="73">
        <v>46143</v>
      </c>
      <c r="B66" s="21" t="s">
        <v>700</v>
      </c>
      <c r="C66" s="21" t="e" vm="65">
        <v>#VALUE!</v>
      </c>
      <c r="D66" s="21" t="str">
        <f t="array" aca="1" ref="D66" ca="1">_FV(C66,"Industry")</f>
        <v>Machinery, Equipment &amp; Components</v>
      </c>
      <c r="E66" s="21" t="s">
        <v>64</v>
      </c>
      <c r="F66" s="21" t="s">
        <v>649</v>
      </c>
      <c r="G66" s="21" t="s">
        <v>697</v>
      </c>
      <c r="H66" s="21"/>
    </row>
    <row r="67" spans="1:8">
      <c r="A67" s="73">
        <v>46143</v>
      </c>
      <c r="B67" s="21" t="s">
        <v>701</v>
      </c>
      <c r="C67" s="21" t="e" vm="66">
        <v>#VALUE!</v>
      </c>
      <c r="D67" s="21" t="str">
        <f t="array" aca="1" ref="D67" ca="1">_FV(C67,"Industry")</f>
        <v>Healthcare Equipment &amp; Supplies</v>
      </c>
      <c r="E67" s="21" t="s">
        <v>62</v>
      </c>
      <c r="F67" s="21" t="s">
        <v>649</v>
      </c>
      <c r="G67" s="21" t="s">
        <v>697</v>
      </c>
      <c r="H67" s="21"/>
    </row>
    <row r="68" spans="1:8">
      <c r="A68" s="73">
        <v>46143</v>
      </c>
      <c r="B68" s="21" t="s">
        <v>702</v>
      </c>
      <c r="C68" s="21" t="e" vm="67">
        <v>#VALUE!</v>
      </c>
      <c r="D68" s="21" t="str">
        <f t="array" aca="1" ref="D68" ca="1">_FV(C68,"Industry")</f>
        <v>Machinery, Equipment &amp; Components</v>
      </c>
      <c r="E68" s="21" t="s">
        <v>58</v>
      </c>
      <c r="F68" s="21" t="s">
        <v>649</v>
      </c>
      <c r="G68" s="21" t="s">
        <v>697</v>
      </c>
      <c r="H68" s="21"/>
    </row>
    <row r="69" spans="1:8">
      <c r="A69" s="73">
        <v>46143</v>
      </c>
      <c r="B69" s="21" t="s">
        <v>703</v>
      </c>
      <c r="C69" s="21" t="e" vm="68">
        <v>#VALUE!</v>
      </c>
      <c r="D69" s="21" t="str">
        <f t="array" aca="1" ref="D69" ca="1">_FV(C69,"Industry")</f>
        <v>Personal &amp; Household Products &amp; Services</v>
      </c>
      <c r="E69" s="21" t="s">
        <v>64</v>
      </c>
      <c r="F69" s="21" t="s">
        <v>653</v>
      </c>
      <c r="G69" s="21" t="s">
        <v>697</v>
      </c>
      <c r="H69" s="21"/>
    </row>
    <row r="70" spans="1:8">
      <c r="A70" s="73">
        <v>46143</v>
      </c>
      <c r="B70" s="21" t="s">
        <v>704</v>
      </c>
      <c r="C70" s="21" t="e" vm="69">
        <v>#VALUE!</v>
      </c>
      <c r="D70" s="21" t="str">
        <f t="array" aca="1" ref="D70" ca="1">_FV(C70,"Industry")</f>
        <v>Chemicals</v>
      </c>
      <c r="E70" s="21" t="s">
        <v>62</v>
      </c>
      <c r="F70" s="21" t="s">
        <v>649</v>
      </c>
      <c r="G70" s="21" t="s">
        <v>697</v>
      </c>
      <c r="H70" s="21"/>
    </row>
    <row r="71" spans="1:8">
      <c r="A71" s="73">
        <v>46143</v>
      </c>
      <c r="B71" s="21" t="s">
        <v>705</v>
      </c>
      <c r="C71" s="21" t="e" vm="70">
        <v>#VALUE!</v>
      </c>
      <c r="D71" s="21" t="str">
        <f t="array" aca="1" ref="D71" ca="1">_FV(C71,"Industry")</f>
        <v>Pharmaceuticals</v>
      </c>
      <c r="E71" s="21" t="s">
        <v>62</v>
      </c>
      <c r="F71" s="21" t="s">
        <v>653</v>
      </c>
      <c r="G71" s="21" t="s">
        <v>697</v>
      </c>
      <c r="H71" s="21"/>
    </row>
    <row r="72" spans="1:8">
      <c r="A72" s="73">
        <v>46143</v>
      </c>
      <c r="B72" s="21" t="s">
        <v>706</v>
      </c>
      <c r="C72" s="21" t="e" vm="71">
        <v>#VALUE!</v>
      </c>
      <c r="D72" s="21" t="str">
        <f t="array" aca="1" ref="D72" ca="1">_FV(C72,"Industry")</f>
        <v>Software &amp; IT Services</v>
      </c>
      <c r="E72" s="21" t="s">
        <v>658</v>
      </c>
      <c r="F72" s="21" t="s">
        <v>649</v>
      </c>
      <c r="G72" s="21" t="s">
        <v>697</v>
      </c>
      <c r="H72" s="21"/>
    </row>
    <row r="73" spans="1:8">
      <c r="A73" s="73">
        <v>46143</v>
      </c>
      <c r="B73" s="21" t="s">
        <v>707</v>
      </c>
      <c r="C73" s="21" t="e" vm="72">
        <v>#VALUE!</v>
      </c>
      <c r="D73" s="21" t="str">
        <f t="array" aca="1" ref="D73" ca="1">_FV(C73,"Industry")</f>
        <v>Software &amp; IT Services</v>
      </c>
      <c r="E73" s="21" t="s">
        <v>658</v>
      </c>
      <c r="F73" s="21" t="s">
        <v>649</v>
      </c>
      <c r="G73" s="21" t="s">
        <v>697</v>
      </c>
      <c r="H73" s="21"/>
    </row>
    <row r="74" spans="1:8">
      <c r="A74" s="73">
        <v>46143</v>
      </c>
      <c r="B74" s="21" t="s">
        <v>51</v>
      </c>
      <c r="C74" s="21" t="e" vm="73">
        <v>#VALUE!</v>
      </c>
      <c r="D74" s="21" t="str">
        <f t="array" aca="1" ref="D74" ca="1">_FV(C74,"Industry")</f>
        <v>Chemicals</v>
      </c>
      <c r="E74" s="21" t="s">
        <v>62</v>
      </c>
      <c r="F74" s="21" t="s">
        <v>649</v>
      </c>
      <c r="G74" s="21" t="s">
        <v>697</v>
      </c>
      <c r="H74" s="21"/>
    </row>
    <row r="75" spans="1:8">
      <c r="A75" s="73">
        <v>46143</v>
      </c>
      <c r="B75" s="21" t="s">
        <v>708</v>
      </c>
      <c r="C75" s="21" t="e" vm="74">
        <v>#VALUE!</v>
      </c>
      <c r="D75" s="21" t="str">
        <f t="array" aca="1" ref="D75" ca="1">_FV(C75,"Industry")</f>
        <v>Machinery, Equipment &amp; Components</v>
      </c>
      <c r="E75" s="21" t="s">
        <v>58</v>
      </c>
      <c r="F75" s="21" t="s">
        <v>649</v>
      </c>
      <c r="G75" s="21" t="s">
        <v>697</v>
      </c>
      <c r="H75" s="21"/>
    </row>
    <row r="76" spans="1:8">
      <c r="A76" s="73">
        <v>46143</v>
      </c>
      <c r="B76" s="21" t="s">
        <v>709</v>
      </c>
      <c r="C76" s="21" t="e" vm="75">
        <v>#VALUE!</v>
      </c>
      <c r="D76" s="21" t="str">
        <f t="array" aca="1" ref="D76" ca="1">_FV(C76,"Industry")</f>
        <v>Software &amp; IT Services</v>
      </c>
      <c r="E76" s="21" t="s">
        <v>658</v>
      </c>
      <c r="F76" s="21" t="s">
        <v>653</v>
      </c>
      <c r="G76" s="21" t="s">
        <v>697</v>
      </c>
      <c r="H76" s="21"/>
    </row>
    <row r="77" spans="1:8">
      <c r="A77" s="73">
        <v>46143</v>
      </c>
      <c r="B77" s="21" t="s">
        <v>710</v>
      </c>
      <c r="C77" s="21" t="e" vm="76">
        <v>#VALUE!</v>
      </c>
      <c r="D77" s="21" t="str">
        <f t="array" aca="1" ref="D77" ca="1">_FV(C77,"Industry")</f>
        <v>Machinery, Equipment &amp; Components</v>
      </c>
      <c r="E77" s="21" t="s">
        <v>58</v>
      </c>
      <c r="F77" s="21" t="s">
        <v>649</v>
      </c>
      <c r="G77" s="21" t="s">
        <v>697</v>
      </c>
      <c r="H77" s="21"/>
    </row>
    <row r="78" spans="1:8">
      <c r="A78" s="73">
        <v>46143</v>
      </c>
      <c r="B78" s="21" t="s">
        <v>711</v>
      </c>
      <c r="C78" s="21" t="e" vm="77">
        <v>#VALUE!</v>
      </c>
      <c r="D78" s="21" t="str">
        <f t="array" aca="1" ref="D78" ca="1">_FV(C78,"Industry")</f>
        <v>Food &amp; Tobacco</v>
      </c>
      <c r="E78" s="21" t="s">
        <v>64</v>
      </c>
      <c r="F78" s="21" t="s">
        <v>649</v>
      </c>
      <c r="G78" s="21" t="s">
        <v>697</v>
      </c>
      <c r="H78" s="21"/>
    </row>
    <row r="79" spans="1:8">
      <c r="A79" s="73">
        <v>46143</v>
      </c>
      <c r="B79" s="21" t="s">
        <v>245</v>
      </c>
      <c r="C79" s="21" t="e" vm="78">
        <v>#VALUE!</v>
      </c>
      <c r="D79" s="21" t="str">
        <f t="array" aca="1" ref="D79" ca="1">_FV(C79,"Industry")</f>
        <v>Pharmaceuticals</v>
      </c>
      <c r="E79" s="21" t="s">
        <v>62</v>
      </c>
      <c r="F79" s="21" t="s">
        <v>655</v>
      </c>
      <c r="G79" s="21" t="s">
        <v>697</v>
      </c>
      <c r="H79" s="21"/>
    </row>
    <row r="80" spans="1:8">
      <c r="A80" s="73">
        <v>46143</v>
      </c>
      <c r="B80" s="21" t="s">
        <v>712</v>
      </c>
      <c r="C80" s="21" t="e" vm="79">
        <v>#VALUE!</v>
      </c>
      <c r="D80" s="21" t="str">
        <f t="array" aca="1" ref="D80" ca="1">_FV(C80,"Industry")</f>
        <v>Food &amp; Tobacco</v>
      </c>
      <c r="E80" s="21" t="s">
        <v>64</v>
      </c>
      <c r="F80" s="21" t="s">
        <v>655</v>
      </c>
      <c r="G80" s="21" t="s">
        <v>697</v>
      </c>
      <c r="H80" s="21"/>
    </row>
    <row r="81" spans="1:8">
      <c r="A81" s="73">
        <v>46143</v>
      </c>
      <c r="B81" s="21" t="s">
        <v>713</v>
      </c>
      <c r="C81" s="21" t="e" vm="80">
        <v>#VALUE!</v>
      </c>
      <c r="D81" s="21" t="str">
        <f t="array" aca="1" ref="D81" ca="1">_FV(C81,"Industry")</f>
        <v>Personal &amp; Household Products &amp; Services</v>
      </c>
      <c r="E81" s="21" t="s">
        <v>64</v>
      </c>
      <c r="F81" s="21" t="s">
        <v>649</v>
      </c>
      <c r="G81" s="21" t="s">
        <v>697</v>
      </c>
      <c r="H81" s="21"/>
    </row>
    <row r="82" spans="1:8">
      <c r="A82" s="73">
        <v>46143</v>
      </c>
      <c r="B82" s="21" t="s">
        <v>714</v>
      </c>
      <c r="C82" s="21" t="e" vm="81">
        <v>#VALUE!</v>
      </c>
      <c r="D82" s="21" t="str">
        <f t="array" aca="1" ref="D82" ca="1">_FV(C82,"Industry")</f>
        <v>Media &amp; Publishing</v>
      </c>
      <c r="E82" s="21" t="s">
        <v>658</v>
      </c>
      <c r="F82" s="21" t="s">
        <v>649</v>
      </c>
      <c r="G82" s="21" t="s">
        <v>697</v>
      </c>
      <c r="H82" s="21"/>
    </row>
    <row r="83" spans="1:8">
      <c r="A83" s="73">
        <v>46143</v>
      </c>
      <c r="B83" s="21" t="s">
        <v>715</v>
      </c>
      <c r="C83" s="21" t="e" vm="82">
        <v>#VALUE!</v>
      </c>
      <c r="D83" s="21" t="str">
        <f t="array" aca="1" ref="D83" ca="1">_FV(C83,"Industry")</f>
        <v>Chemicals</v>
      </c>
      <c r="E83" s="21" t="s">
        <v>64</v>
      </c>
      <c r="F83" s="21" t="s">
        <v>655</v>
      </c>
      <c r="G83" s="21" t="s">
        <v>697</v>
      </c>
      <c r="H83" s="21"/>
    </row>
    <row r="84" spans="1:8">
      <c r="A84" s="73">
        <v>46143</v>
      </c>
      <c r="B84" s="21" t="s">
        <v>716</v>
      </c>
      <c r="C84" s="21" t="e" vm="83">
        <v>#VALUE!</v>
      </c>
      <c r="D84" s="21" t="str">
        <f t="array" aca="1" ref="D84" ca="1">_FV(C84,"Industry")</f>
        <v>Chemicals</v>
      </c>
      <c r="E84" s="21" t="s">
        <v>62</v>
      </c>
      <c r="F84" s="21" t="s">
        <v>649</v>
      </c>
      <c r="G84" s="21" t="s">
        <v>697</v>
      </c>
      <c r="H84" s="21"/>
    </row>
    <row r="85" spans="1:8">
      <c r="A85" s="73">
        <v>46143</v>
      </c>
      <c r="B85" s="21" t="s">
        <v>717</v>
      </c>
      <c r="C85" s="21" t="e" vm="84">
        <v>#VALUE!</v>
      </c>
      <c r="D85" s="21" t="str">
        <f t="array" aca="1" ref="D85" ca="1">_FV(C85,"Industry")</f>
        <v>Homebuilding &amp; Construction Supplies</v>
      </c>
      <c r="E85" s="21" t="s">
        <v>64</v>
      </c>
      <c r="F85" s="21" t="s">
        <v>653</v>
      </c>
      <c r="G85" s="21" t="s">
        <v>697</v>
      </c>
      <c r="H85" s="21"/>
    </row>
    <row r="86" spans="1:8">
      <c r="A86" s="73">
        <v>46143</v>
      </c>
      <c r="B86" s="21" t="s">
        <v>718</v>
      </c>
      <c r="C86" s="21" t="e" vm="85">
        <v>#VALUE!</v>
      </c>
      <c r="D86" s="21" t="str">
        <f t="array" aca="1" ref="D86" ca="1">_FV(C86,"Industry")</f>
        <v>Automobiles &amp; Auto Parts</v>
      </c>
      <c r="E86" s="21" t="s">
        <v>58</v>
      </c>
      <c r="F86" s="21" t="s">
        <v>653</v>
      </c>
      <c r="G86" s="21" t="s">
        <v>697</v>
      </c>
      <c r="H86" s="21"/>
    </row>
    <row r="87" spans="1:8">
      <c r="A87" s="73">
        <v>46143</v>
      </c>
      <c r="B87" s="21" t="s">
        <v>719</v>
      </c>
      <c r="C87" s="21" t="e" vm="86">
        <v>#VALUE!</v>
      </c>
      <c r="D87" s="21" t="str">
        <f t="array" aca="1" ref="D87" ca="1">_FV(C87,"Industry")</f>
        <v>Banking Services</v>
      </c>
      <c r="E87" s="21" t="s">
        <v>683</v>
      </c>
      <c r="F87" s="21" t="s">
        <v>655</v>
      </c>
      <c r="G87" s="21" t="s">
        <v>697</v>
      </c>
      <c r="H87" s="21"/>
    </row>
    <row r="88" spans="1:8">
      <c r="A88" s="73">
        <v>46143</v>
      </c>
      <c r="B88" s="21" t="s">
        <v>720</v>
      </c>
      <c r="C88" s="21" t="e" vm="87">
        <v>#VALUE!</v>
      </c>
      <c r="D88" s="21" t="str">
        <f t="array" aca="1" ref="D88" ca="1">_FV(C88,"Industry")</f>
        <v>Chemicals</v>
      </c>
      <c r="E88" s="21" t="s">
        <v>62</v>
      </c>
      <c r="F88" s="21" t="s">
        <v>649</v>
      </c>
      <c r="G88" s="21" t="s">
        <v>697</v>
      </c>
      <c r="H88" s="21"/>
    </row>
    <row r="89" spans="1:8">
      <c r="A89" s="73">
        <v>46143</v>
      </c>
      <c r="B89" s="21" t="s">
        <v>721</v>
      </c>
      <c r="C89" s="21" t="e" vm="88">
        <v>#VALUE!</v>
      </c>
      <c r="D89" s="21" t="str">
        <f t="array" aca="1" ref="D89" ca="1">_FV(C89,"Industry")</f>
        <v>Machinery, Equipment &amp; Components</v>
      </c>
      <c r="E89" s="21" t="s">
        <v>58</v>
      </c>
      <c r="F89" s="21" t="s">
        <v>649</v>
      </c>
      <c r="G89" s="21" t="s">
        <v>697</v>
      </c>
      <c r="H89" s="21"/>
    </row>
    <row r="90" spans="1:8">
      <c r="A90" s="73">
        <v>46143</v>
      </c>
      <c r="B90" s="21" t="s">
        <v>722</v>
      </c>
      <c r="C90" s="21" t="e" vm="89">
        <v>#VALUE!</v>
      </c>
      <c r="D90" s="21" t="str">
        <f t="array" aca="1" ref="D90" ca="1">_FV(C90,"Industry")</f>
        <v>Pharmaceuticals</v>
      </c>
      <c r="E90" s="21" t="s">
        <v>62</v>
      </c>
      <c r="F90" s="21" t="s">
        <v>649</v>
      </c>
      <c r="G90" s="21" t="s">
        <v>697</v>
      </c>
      <c r="H90" s="21"/>
    </row>
    <row r="91" spans="1:8">
      <c r="A91" s="73">
        <v>46143</v>
      </c>
      <c r="B91" s="21" t="s">
        <v>723</v>
      </c>
      <c r="C91" s="21" t="e" vm="90">
        <v>#VALUE!</v>
      </c>
      <c r="D91" s="21" t="str">
        <f t="array" aca="1" ref="D91" ca="1">_FV(C91,"Industry")</f>
        <v>Aerospace &amp; Defense</v>
      </c>
      <c r="E91" s="21" t="s">
        <v>58</v>
      </c>
      <c r="F91" s="21" t="s">
        <v>655</v>
      </c>
      <c r="G91" s="21" t="s">
        <v>697</v>
      </c>
      <c r="H91" s="21"/>
    </row>
    <row r="92" spans="1:8">
      <c r="A92" s="73">
        <v>46143</v>
      </c>
      <c r="B92" s="21" t="s">
        <v>724</v>
      </c>
      <c r="C92" s="21" t="e" vm="91">
        <v>#VALUE!</v>
      </c>
      <c r="D92" s="21" t="str">
        <f t="array" aca="1" ref="D92" ca="1">_FV(C92,"Industry")</f>
        <v>Food &amp; Tobacco</v>
      </c>
      <c r="E92" s="21" t="s">
        <v>64</v>
      </c>
      <c r="F92" s="21" t="s">
        <v>649</v>
      </c>
      <c r="G92" s="21" t="s">
        <v>697</v>
      </c>
      <c r="H92" s="21"/>
    </row>
    <row r="93" spans="1:8">
      <c r="A93" s="73">
        <v>46143</v>
      </c>
      <c r="B93" s="21" t="s">
        <v>725</v>
      </c>
      <c r="C93" s="21" t="e" vm="92">
        <v>#VALUE!</v>
      </c>
      <c r="D93" s="21" t="str">
        <f t="array" aca="1" ref="D93" ca="1">_FV(C93,"Industry")</f>
        <v>Professional &amp; Commercial Services</v>
      </c>
      <c r="E93" s="21" t="s">
        <v>58</v>
      </c>
      <c r="F93" s="21" t="s">
        <v>649</v>
      </c>
      <c r="G93" s="21" t="s">
        <v>697</v>
      </c>
      <c r="H93" s="21"/>
    </row>
    <row r="94" spans="1:8">
      <c r="A94" s="73">
        <v>46143</v>
      </c>
      <c r="B94" s="21" t="s">
        <v>726</v>
      </c>
      <c r="C94" s="21" t="e" vm="93">
        <v>#VALUE!</v>
      </c>
      <c r="D94" s="21" t="str">
        <f t="array" aca="1" ref="D94" ca="1">_FV(C94,"Industry")</f>
        <v>Software &amp; IT Services</v>
      </c>
      <c r="E94" s="21" t="s">
        <v>658</v>
      </c>
      <c r="F94" s="21" t="s">
        <v>649</v>
      </c>
      <c r="G94" s="21" t="s">
        <v>697</v>
      </c>
      <c r="H94" s="21"/>
    </row>
    <row r="95" spans="1:8">
      <c r="A95" s="73">
        <v>46143</v>
      </c>
      <c r="B95" s="21" t="s">
        <v>727</v>
      </c>
      <c r="C95" s="21" t="e" vm="94">
        <v>#VALUE!</v>
      </c>
      <c r="D95" s="21" t="str">
        <f t="array" aca="1" ref="D95" ca="1">_FV(C95,"Industry")</f>
        <v>Software &amp; IT Services</v>
      </c>
      <c r="E95" s="21" t="s">
        <v>658</v>
      </c>
      <c r="F95" s="21" t="s">
        <v>655</v>
      </c>
      <c r="G95" s="21" t="s">
        <v>697</v>
      </c>
      <c r="H95" s="21"/>
    </row>
    <row r="96" spans="1:8">
      <c r="A96" s="73">
        <v>46143</v>
      </c>
      <c r="B96" s="21" t="s">
        <v>220</v>
      </c>
      <c r="C96" s="21" t="e" vm="95">
        <v>#VALUE!</v>
      </c>
      <c r="D96" s="21" t="str">
        <f t="array" aca="1" ref="D96" ca="1">_FV(C96,"Industry")</f>
        <v>Containers &amp; Packaging</v>
      </c>
      <c r="E96" s="21" t="s">
        <v>64</v>
      </c>
      <c r="F96" s="21" t="s">
        <v>649</v>
      </c>
      <c r="G96" s="21" t="s">
        <v>697</v>
      </c>
      <c r="H96" s="21"/>
    </row>
    <row r="97" spans="1:8">
      <c r="A97" s="73">
        <v>46143</v>
      </c>
      <c r="B97" s="21" t="s">
        <v>728</v>
      </c>
      <c r="C97" s="21" t="e" vm="96">
        <v>#VALUE!</v>
      </c>
      <c r="D97" s="21" t="str">
        <f t="array" aca="1" ref="D97" ca="1">_FV(C97,"Industry")</f>
        <v>Textiles &amp; Apparel</v>
      </c>
      <c r="E97" s="21" t="s">
        <v>64</v>
      </c>
      <c r="F97" s="21" t="s">
        <v>653</v>
      </c>
      <c r="G97" s="21" t="s">
        <v>697</v>
      </c>
      <c r="H97" s="21"/>
    </row>
    <row r="98" spans="1:8">
      <c r="A98" s="73">
        <v>46143</v>
      </c>
      <c r="B98" s="21" t="s">
        <v>729</v>
      </c>
      <c r="C98" s="21" t="e" vm="97">
        <v>#VALUE!</v>
      </c>
      <c r="D98" s="21" t="str">
        <f t="array" aca="1" ref="D98" ca="1">_FV(C98,"Industry")</f>
        <v>Software &amp; IT Services</v>
      </c>
      <c r="E98" s="21" t="s">
        <v>658</v>
      </c>
      <c r="F98" s="21" t="s">
        <v>653</v>
      </c>
      <c r="G98" s="21" t="s">
        <v>697</v>
      </c>
      <c r="H98" s="21"/>
    </row>
    <row r="99" spans="1:8">
      <c r="A99" s="73">
        <v>46143</v>
      </c>
      <c r="B99" s="21" t="s">
        <v>730</v>
      </c>
      <c r="C99" s="21" t="e" vm="98">
        <v>#VALUE!</v>
      </c>
      <c r="D99" s="21" t="str">
        <f t="array" aca="1" ref="D99" ca="1">_FV(C99,"Industry")</f>
        <v>Chemicals</v>
      </c>
      <c r="E99" s="21" t="s">
        <v>62</v>
      </c>
      <c r="F99" s="21" t="s">
        <v>653</v>
      </c>
      <c r="G99" s="21" t="s">
        <v>697</v>
      </c>
      <c r="H99" s="21"/>
    </row>
    <row r="100" spans="1:8">
      <c r="A100" s="73">
        <v>46143</v>
      </c>
      <c r="B100" s="21" t="s">
        <v>273</v>
      </c>
      <c r="C100" s="21" t="e" vm="99">
        <v>#VALUE!</v>
      </c>
      <c r="D100" s="21" t="str">
        <f t="array" aca="1" ref="D100" ca="1">_FV(C100,"Industry")</f>
        <v>Chemicals</v>
      </c>
      <c r="E100" s="21" t="s">
        <v>62</v>
      </c>
      <c r="F100" s="21" t="s">
        <v>655</v>
      </c>
      <c r="G100" s="21" t="s">
        <v>697</v>
      </c>
      <c r="H100" s="21"/>
    </row>
    <row r="101" spans="1:8">
      <c r="A101" s="73">
        <v>46143</v>
      </c>
      <c r="B101" s="21" t="s">
        <v>474</v>
      </c>
      <c r="C101" s="21" t="e" vm="100">
        <v>#VALUE!</v>
      </c>
      <c r="D101" s="21" t="str">
        <f t="array" aca="1" ref="D101" ca="1">_FV(C101,"Industry")</f>
        <v>Metals &amp; Mining</v>
      </c>
      <c r="E101" s="21" t="s">
        <v>58</v>
      </c>
      <c r="F101" s="21" t="s">
        <v>649</v>
      </c>
      <c r="G101" s="21" t="s">
        <v>697</v>
      </c>
      <c r="H101" s="21"/>
    </row>
    <row r="102" spans="1:8">
      <c r="A102" s="73">
        <v>46143</v>
      </c>
      <c r="B102" s="21" t="s">
        <v>731</v>
      </c>
      <c r="C102" s="21" t="e" vm="101">
        <v>#VALUE!</v>
      </c>
      <c r="D102" s="21" t="str">
        <f t="array" aca="1" ref="D102" ca="1">_FV(C102,"Industry")</f>
        <v>Construction Materials</v>
      </c>
      <c r="E102" s="21" t="s">
        <v>58</v>
      </c>
      <c r="F102" s="21" t="s">
        <v>649</v>
      </c>
      <c r="G102" s="21" t="s">
        <v>697</v>
      </c>
      <c r="H102" s="21"/>
    </row>
    <row r="103" spans="1:8">
      <c r="A103" s="73">
        <v>46143</v>
      </c>
      <c r="B103" s="21" t="s">
        <v>732</v>
      </c>
      <c r="C103" s="21" t="e" vm="102">
        <v>#VALUE!</v>
      </c>
      <c r="D103" s="21" t="str">
        <f t="array" aca="1" ref="D103" ca="1">_FV(C103,"Industry")</f>
        <v>Software &amp; IT Services</v>
      </c>
      <c r="E103" s="21" t="s">
        <v>658</v>
      </c>
      <c r="F103" s="21" t="s">
        <v>649</v>
      </c>
      <c r="G103" s="21" t="s">
        <v>697</v>
      </c>
      <c r="H103" s="21"/>
    </row>
    <row r="104" spans="1:8">
      <c r="A104" s="73">
        <v>46143</v>
      </c>
      <c r="B104" s="21" t="s">
        <v>733</v>
      </c>
      <c r="C104" s="21" t="e" vm="103">
        <v>#VALUE!</v>
      </c>
      <c r="D104" s="21" t="str">
        <f t="array" aca="1" ref="D104" ca="1">_FV(C104,"Industry")</f>
        <v>Chemicals</v>
      </c>
      <c r="E104" s="21" t="s">
        <v>62</v>
      </c>
      <c r="F104" s="21" t="s">
        <v>653</v>
      </c>
      <c r="G104" s="21" t="s">
        <v>697</v>
      </c>
      <c r="H104" s="21"/>
    </row>
    <row r="105" spans="1:8">
      <c r="A105" s="73">
        <v>46143</v>
      </c>
      <c r="B105" s="21" t="s">
        <v>734</v>
      </c>
      <c r="C105" s="21" t="e" vm="104">
        <v>#VALUE!</v>
      </c>
      <c r="D105" s="21" t="str">
        <f t="array" aca="1" ref="D105" ca="1">_FV(C105,"Industry")</f>
        <v>Chemicals</v>
      </c>
      <c r="E105" s="21" t="s">
        <v>62</v>
      </c>
      <c r="F105" s="21" t="s">
        <v>649</v>
      </c>
      <c r="G105" s="21" t="s">
        <v>697</v>
      </c>
      <c r="H105" s="21"/>
    </row>
    <row r="106" spans="1:8">
      <c r="A106" s="73">
        <v>46143</v>
      </c>
      <c r="B106" s="21" t="s">
        <v>251</v>
      </c>
      <c r="C106" s="21" t="e" vm="105">
        <v>#VALUE!</v>
      </c>
      <c r="D106" s="21" t="str">
        <f t="array" aca="1" ref="D106" ca="1">_FV(C106,"Industry")</f>
        <v>Chemicals</v>
      </c>
      <c r="E106" s="21" t="s">
        <v>58</v>
      </c>
      <c r="F106" s="21" t="s">
        <v>653</v>
      </c>
      <c r="G106" s="21" t="s">
        <v>697</v>
      </c>
      <c r="H106" s="21"/>
    </row>
    <row r="107" spans="1:8">
      <c r="A107" s="73">
        <v>46143</v>
      </c>
      <c r="B107" s="21" t="s">
        <v>735</v>
      </c>
      <c r="C107" s="21" t="e" vm="106">
        <v>#VALUE!</v>
      </c>
      <c r="D107" s="21" t="str">
        <f t="array" aca="1" ref="D107" ca="1">_FV(C107,"Industry")</f>
        <v>Software &amp; IT Services</v>
      </c>
      <c r="E107" s="21" t="s">
        <v>658</v>
      </c>
      <c r="F107" s="21" t="s">
        <v>649</v>
      </c>
      <c r="G107" s="21" t="s">
        <v>697</v>
      </c>
      <c r="H107" s="21"/>
    </row>
    <row r="108" spans="1:8">
      <c r="A108" s="73">
        <v>46143</v>
      </c>
      <c r="B108" s="21" t="s">
        <v>736</v>
      </c>
      <c r="C108" s="21" t="e" vm="107">
        <v>#VALUE!</v>
      </c>
      <c r="D108" s="21" t="str">
        <f t="array" aca="1" ref="D108" ca="1">_FV(C108,"Industry")</f>
        <v>Freight &amp; Logistics Services</v>
      </c>
      <c r="E108" s="21" t="s">
        <v>64</v>
      </c>
      <c r="F108" s="21" t="s">
        <v>649</v>
      </c>
      <c r="G108" s="21" t="s">
        <v>697</v>
      </c>
      <c r="H108" s="21"/>
    </row>
    <row r="109" spans="1:8">
      <c r="A109" s="73">
        <v>46143</v>
      </c>
      <c r="B109" s="21" t="s">
        <v>737</v>
      </c>
      <c r="C109" s="21" t="e" vm="108">
        <v>#VALUE!</v>
      </c>
      <c r="D109" s="21" t="str">
        <f t="array" aca="1" ref="D109" ca="1">_FV(C109,"Industry")</f>
        <v>Automobiles &amp; Auto Parts</v>
      </c>
      <c r="E109" s="21" t="s">
        <v>58</v>
      </c>
      <c r="F109" s="21" t="s">
        <v>653</v>
      </c>
      <c r="G109" s="21" t="s">
        <v>697</v>
      </c>
      <c r="H109" s="21"/>
    </row>
    <row r="110" spans="1:8">
      <c r="A110" s="73">
        <v>46143</v>
      </c>
      <c r="B110" s="21" t="s">
        <v>738</v>
      </c>
      <c r="C110" s="21" t="e" vm="109">
        <v>#VALUE!</v>
      </c>
      <c r="D110" s="21" t="str">
        <f t="array" aca="1" ref="D110" ca="1">_FV(C110,"Industry")</f>
        <v>Machinery, Equipment &amp; Components</v>
      </c>
      <c r="E110" s="21" t="s">
        <v>64</v>
      </c>
      <c r="F110" s="21" t="s">
        <v>649</v>
      </c>
      <c r="G110" s="21" t="s">
        <v>697</v>
      </c>
      <c r="H110" s="21"/>
    </row>
    <row r="111" spans="1:8">
      <c r="A111" s="73">
        <v>46143</v>
      </c>
      <c r="B111" s="21" t="s">
        <v>739</v>
      </c>
      <c r="C111" s="21" t="e" vm="110">
        <v>#VALUE!</v>
      </c>
      <c r="D111" s="21" t="str">
        <f t="array" aca="1" ref="D111" ca="1">_FV(C111,"Industry")</f>
        <v>Chemicals</v>
      </c>
      <c r="E111" s="21" t="s">
        <v>62</v>
      </c>
      <c r="F111" s="21" t="s">
        <v>649</v>
      </c>
      <c r="G111" s="21" t="s">
        <v>697</v>
      </c>
      <c r="H111" s="21"/>
    </row>
    <row r="112" spans="1:8">
      <c r="A112" s="73">
        <v>46143</v>
      </c>
      <c r="B112" s="21" t="s">
        <v>740</v>
      </c>
      <c r="C112" s="21" t="e" vm="111">
        <v>#VALUE!</v>
      </c>
      <c r="D112" s="21" t="str">
        <f t="array" aca="1" ref="D112" ca="1">_FV(C112,"Industry")</f>
        <v>Media &amp; Publishing</v>
      </c>
      <c r="E112" s="21" t="s">
        <v>658</v>
      </c>
      <c r="F112" s="21" t="s">
        <v>649</v>
      </c>
      <c r="G112" s="21" t="s">
        <v>697</v>
      </c>
      <c r="H112" s="21"/>
    </row>
    <row r="113" spans="1:8">
      <c r="A113" s="73">
        <v>46143</v>
      </c>
      <c r="B113" s="21" t="s">
        <v>741</v>
      </c>
      <c r="C113" s="21" t="e" vm="112">
        <v>#VALUE!</v>
      </c>
      <c r="D113" s="21" t="str">
        <f t="array" aca="1" ref="D113" ca="1">_FV(C113,"Industry")</f>
        <v>Construction &amp; Engineering</v>
      </c>
      <c r="E113" s="21" t="s">
        <v>58</v>
      </c>
      <c r="F113" s="21" t="s">
        <v>649</v>
      </c>
      <c r="G113" s="21" t="s">
        <v>697</v>
      </c>
      <c r="H113" s="21"/>
    </row>
    <row r="114" spans="1:8">
      <c r="A114" s="73">
        <v>46143</v>
      </c>
      <c r="B114" s="21" t="s">
        <v>742</v>
      </c>
      <c r="C114" s="21" t="e" vm="113">
        <v>#VALUE!</v>
      </c>
      <c r="D114" s="21" t="str">
        <f t="array" aca="1" ref="D114" ca="1">_FV(C114,"Industry")</f>
        <v>Banking Services</v>
      </c>
      <c r="E114" s="21" t="s">
        <v>683</v>
      </c>
      <c r="F114" s="21" t="s">
        <v>655</v>
      </c>
      <c r="G114" s="21" t="s">
        <v>697</v>
      </c>
      <c r="H114" s="21"/>
    </row>
    <row r="115" spans="1:8">
      <c r="A115" s="73">
        <v>46143</v>
      </c>
      <c r="B115" s="21" t="s">
        <v>743</v>
      </c>
      <c r="C115" s="21" t="e" vm="114">
        <v>#VALUE!</v>
      </c>
      <c r="D115" s="21" t="str">
        <f t="array" aca="1" ref="D115" ca="1">_FV(C115,"Industry")</f>
        <v>Consumer Goods Conglomerates</v>
      </c>
      <c r="E115" s="21" t="s">
        <v>58</v>
      </c>
      <c r="F115" s="21" t="s">
        <v>653</v>
      </c>
      <c r="G115" s="21" t="s">
        <v>697</v>
      </c>
      <c r="H115" s="21"/>
    </row>
    <row r="116" spans="1:8">
      <c r="A116" s="73">
        <v>46143</v>
      </c>
      <c r="B116" s="21" t="s">
        <v>744</v>
      </c>
      <c r="C116" s="21" t="e" vm="115">
        <v>#VALUE!</v>
      </c>
      <c r="D116" s="21" t="str">
        <f t="array" aca="1" ref="D116" ca="1">_FV(C116,"Industry")</f>
        <v>Chemicals</v>
      </c>
      <c r="E116" s="21" t="s">
        <v>62</v>
      </c>
      <c r="F116" s="21" t="s">
        <v>649</v>
      </c>
      <c r="G116" s="21" t="s">
        <v>697</v>
      </c>
      <c r="H116" s="21"/>
    </row>
    <row r="117" spans="1:8">
      <c r="A117" s="73">
        <v>46143</v>
      </c>
      <c r="B117" s="21" t="s">
        <v>141</v>
      </c>
      <c r="C117" s="21" t="e" vm="116">
        <v>#VALUE!</v>
      </c>
      <c r="D117" s="21" t="str">
        <f t="array" aca="1" ref="D117" ca="1">_FV(C117,"Industry")</f>
        <v>Chemicals</v>
      </c>
      <c r="E117" s="21" t="s">
        <v>62</v>
      </c>
      <c r="F117" s="21" t="s">
        <v>649</v>
      </c>
      <c r="G117" s="21" t="s">
        <v>697</v>
      </c>
      <c r="H117" s="21"/>
    </row>
    <row r="118" spans="1:8">
      <c r="A118" s="73">
        <v>46143</v>
      </c>
      <c r="B118" s="21" t="s">
        <v>318</v>
      </c>
      <c r="C118" s="21" t="e" vm="117">
        <v>#VALUE!</v>
      </c>
      <c r="D118" s="21" t="str">
        <f t="array" aca="1" ref="D118" ca="1">_FV(C118,"Industry")</f>
        <v>Banking Services</v>
      </c>
      <c r="E118" s="21" t="s">
        <v>683</v>
      </c>
      <c r="F118" s="21" t="s">
        <v>655</v>
      </c>
      <c r="G118" s="21" t="s">
        <v>697</v>
      </c>
      <c r="H118" s="21"/>
    </row>
    <row r="119" spans="1:8">
      <c r="A119" s="73">
        <v>46143</v>
      </c>
      <c r="B119" s="21" t="s">
        <v>745</v>
      </c>
      <c r="C119" s="21" t="e" vm="118">
        <v>#VALUE!</v>
      </c>
      <c r="D119" s="21" t="str">
        <f t="array" aca="1" ref="D119" ca="1">_FV(C119,"Industry")</f>
        <v>Chemicals</v>
      </c>
      <c r="E119" s="21" t="s">
        <v>62</v>
      </c>
      <c r="F119" s="21" t="s">
        <v>649</v>
      </c>
      <c r="G119" s="21" t="s">
        <v>697</v>
      </c>
      <c r="H119" s="21"/>
    </row>
    <row r="120" spans="1:8">
      <c r="A120" s="73">
        <v>46143</v>
      </c>
      <c r="B120" s="21" t="s">
        <v>746</v>
      </c>
      <c r="C120" s="21" t="e" vm="119">
        <v>#VALUE!</v>
      </c>
      <c r="D120" s="21" t="str">
        <f t="array" aca="1" ref="D120" ca="1">_FV(C120,"Industry")</f>
        <v>Homebuilding &amp; Construction Supplies</v>
      </c>
      <c r="E120" s="21" t="s">
        <v>64</v>
      </c>
      <c r="F120" s="21" t="s">
        <v>649</v>
      </c>
      <c r="G120" s="21" t="s">
        <v>697</v>
      </c>
      <c r="H120" s="21"/>
    </row>
    <row r="121" spans="1:8">
      <c r="A121" s="73">
        <v>46143</v>
      </c>
      <c r="B121" s="21" t="s">
        <v>747</v>
      </c>
      <c r="C121" s="21" t="e" vm="120">
        <v>#VALUE!</v>
      </c>
      <c r="D121" s="21" t="str">
        <f t="array" aca="1" ref="D121" ca="1">_FV(C121,"Industry")</f>
        <v>Professional &amp; Commercial Services</v>
      </c>
      <c r="E121" s="21" t="s">
        <v>683</v>
      </c>
      <c r="F121" s="21" t="s">
        <v>653</v>
      </c>
      <c r="G121" s="21" t="s">
        <v>697</v>
      </c>
      <c r="H121" s="21"/>
    </row>
    <row r="122" spans="1:8">
      <c r="A122" s="73">
        <v>46143</v>
      </c>
      <c r="B122" s="21" t="s">
        <v>748</v>
      </c>
      <c r="C122" s="21" t="e" vm="121">
        <v>#VALUE!</v>
      </c>
      <c r="D122" s="21" t="str">
        <f t="array" aca="1" ref="D122" ca="1">_FV(C122,"Industry")</f>
        <v>Computers, Phones &amp; Household Electronics</v>
      </c>
      <c r="E122" s="21" t="s">
        <v>64</v>
      </c>
      <c r="F122" s="21" t="s">
        <v>653</v>
      </c>
      <c r="G122" s="21" t="s">
        <v>697</v>
      </c>
      <c r="H122" s="21"/>
    </row>
    <row r="123" spans="1:8">
      <c r="A123" s="73">
        <v>46143</v>
      </c>
      <c r="B123" s="21" t="s">
        <v>749</v>
      </c>
      <c r="C123" s="21" t="e" vm="122">
        <v>#VALUE!</v>
      </c>
      <c r="D123" s="21" t="str">
        <f t="array" aca="1" ref="D123" ca="1">_FV(C123,"Industry")</f>
        <v>Chemicals</v>
      </c>
      <c r="E123" s="21" t="s">
        <v>62</v>
      </c>
      <c r="F123" s="21" t="s">
        <v>649</v>
      </c>
      <c r="G123" s="21" t="s">
        <v>697</v>
      </c>
      <c r="H123" s="21"/>
    </row>
    <row r="124" spans="1:8">
      <c r="A124" s="73">
        <v>46143</v>
      </c>
      <c r="B124" s="21" t="s">
        <v>750</v>
      </c>
      <c r="C124" s="21" t="e" vm="123">
        <v>#VALUE!</v>
      </c>
      <c r="D124" s="21" t="str">
        <f t="array" aca="1" ref="D124" ca="1">_FV(C124,"Industry")</f>
        <v>Chemicals</v>
      </c>
      <c r="E124" s="21" t="s">
        <v>62</v>
      </c>
      <c r="F124" s="21" t="s">
        <v>649</v>
      </c>
      <c r="G124" s="21" t="s">
        <v>697</v>
      </c>
      <c r="H124" s="21"/>
    </row>
    <row r="125" spans="1:8">
      <c r="A125" s="73">
        <v>46143</v>
      </c>
      <c r="B125" s="21" t="s">
        <v>751</v>
      </c>
      <c r="C125" s="21" t="e" vm="124">
        <v>#VALUE!</v>
      </c>
      <c r="D125" s="21" t="str">
        <f t="array" aca="1" ref="D125" ca="1">_FV(C125,"Industry")</f>
        <v>Natural Gas Utilities</v>
      </c>
      <c r="E125" s="21" t="s">
        <v>58</v>
      </c>
      <c r="F125" s="21" t="s">
        <v>649</v>
      </c>
      <c r="G125" s="21" t="s">
        <v>697</v>
      </c>
      <c r="H125" s="21"/>
    </row>
    <row r="126" spans="1:8">
      <c r="A126" s="73">
        <v>46143</v>
      </c>
      <c r="B126" s="21" t="s">
        <v>752</v>
      </c>
      <c r="C126" s="21" t="e" vm="125">
        <v>#VALUE!</v>
      </c>
      <c r="D126" s="21" t="str">
        <f t="array" aca="1" ref="D126" ca="1">_FV(C126,"Industry")</f>
        <v>Machinery, Equipment &amp; Components</v>
      </c>
      <c r="E126" s="21" t="s">
        <v>64</v>
      </c>
      <c r="F126" s="21" t="s">
        <v>653</v>
      </c>
      <c r="G126" s="21" t="s">
        <v>697</v>
      </c>
      <c r="H126" s="21"/>
    </row>
    <row r="127" spans="1:8">
      <c r="A127" s="73">
        <v>46143</v>
      </c>
      <c r="B127" s="21" t="s">
        <v>753</v>
      </c>
      <c r="C127" s="21" t="e" vm="126">
        <v>#VALUE!</v>
      </c>
      <c r="D127" s="21" t="str">
        <f t="array" aca="1" ref="D127" ca="1">_FV(C127,"Industry")</f>
        <v>Banking Services</v>
      </c>
      <c r="E127" s="21" t="s">
        <v>683</v>
      </c>
      <c r="F127" s="21" t="s">
        <v>655</v>
      </c>
      <c r="G127" s="21" t="s">
        <v>697</v>
      </c>
      <c r="H127" s="21"/>
    </row>
    <row r="128" spans="1:8">
      <c r="A128" s="73">
        <v>46143</v>
      </c>
      <c r="B128" s="21" t="s">
        <v>754</v>
      </c>
      <c r="C128" s="21" t="e" vm="127">
        <v>#VALUE!</v>
      </c>
      <c r="D128" s="21" t="str">
        <f t="array" aca="1" ref="D128" ca="1">_FV(C128,"Industry")</f>
        <v>Insurance</v>
      </c>
      <c r="E128" s="21" t="s">
        <v>683</v>
      </c>
      <c r="F128" s="21" t="s">
        <v>655</v>
      </c>
      <c r="G128" s="21" t="s">
        <v>697</v>
      </c>
      <c r="H128" s="21"/>
    </row>
    <row r="129" spans="1:8">
      <c r="A129" s="73">
        <v>46143</v>
      </c>
      <c r="B129" s="21" t="s">
        <v>754</v>
      </c>
      <c r="C129" s="21" t="e" vm="127">
        <v>#VALUE!</v>
      </c>
      <c r="D129" s="21" t="str">
        <f t="array" aca="1" ref="D129" ca="1">_FV(C129,"Industry")</f>
        <v>Insurance</v>
      </c>
      <c r="E129" s="21" t="s">
        <v>58</v>
      </c>
      <c r="F129" s="21" t="s">
        <v>649</v>
      </c>
      <c r="G129" s="21" t="s">
        <v>697</v>
      </c>
      <c r="H129" s="21"/>
    </row>
    <row r="130" spans="1:8">
      <c r="A130" s="73">
        <v>46143</v>
      </c>
      <c r="B130" s="21" t="s">
        <v>755</v>
      </c>
      <c r="C130" s="21" t="e" vm="128">
        <v>#VALUE!</v>
      </c>
      <c r="D130" s="21" t="str">
        <f t="array" aca="1" ref="D130" ca="1">_FV(C130,"Industry")</f>
        <v>Insurance</v>
      </c>
      <c r="E130" s="21" t="s">
        <v>683</v>
      </c>
      <c r="F130" s="21" t="s">
        <v>653</v>
      </c>
      <c r="G130" s="21" t="s">
        <v>697</v>
      </c>
      <c r="H130" s="21"/>
    </row>
    <row r="131" spans="1:8">
      <c r="A131" s="73">
        <v>46143</v>
      </c>
      <c r="B131" s="21" t="s">
        <v>756</v>
      </c>
      <c r="C131" s="21" t="e" vm="129">
        <v>#VALUE!</v>
      </c>
      <c r="D131" s="21" t="str">
        <f t="array" aca="1" ref="D131" ca="1">_FV(C131,"Industry")</f>
        <v>Investment Banking &amp; Investment Services</v>
      </c>
      <c r="E131" s="21" t="s">
        <v>658</v>
      </c>
      <c r="F131" s="21" t="s">
        <v>649</v>
      </c>
      <c r="G131" s="21" t="s">
        <v>697</v>
      </c>
      <c r="H131" s="21"/>
    </row>
    <row r="132" spans="1:8">
      <c r="A132" s="73">
        <v>46143</v>
      </c>
      <c r="B132" s="21" t="s">
        <v>757</v>
      </c>
      <c r="C132" s="21" t="e" vm="130">
        <v>#VALUE!</v>
      </c>
      <c r="D132" s="21" t="str">
        <f t="array" aca="1" ref="D132" ca="1">_FV(C132,"Industry")</f>
        <v>Natural Gas Utilities</v>
      </c>
      <c r="E132" s="21" t="s">
        <v>58</v>
      </c>
      <c r="F132" s="21" t="s">
        <v>649</v>
      </c>
      <c r="G132" s="21" t="s">
        <v>697</v>
      </c>
      <c r="H132" s="21"/>
    </row>
    <row r="133" spans="1:8">
      <c r="A133" s="73">
        <v>46143</v>
      </c>
      <c r="B133" s="21" t="s">
        <v>758</v>
      </c>
      <c r="C133" s="21" t="e" vm="131">
        <v>#VALUE!</v>
      </c>
      <c r="D133" s="21" t="str">
        <f t="array" aca="1" ref="D133" ca="1">_FV(C133,"Industry")</f>
        <v>Software &amp; IT Services</v>
      </c>
      <c r="E133" s="21" t="s">
        <v>658</v>
      </c>
      <c r="F133" s="21" t="s">
        <v>653</v>
      </c>
      <c r="G133" s="21" t="s">
        <v>697</v>
      </c>
      <c r="H133" s="21"/>
    </row>
    <row r="134" spans="1:8">
      <c r="A134" s="73">
        <v>46143</v>
      </c>
      <c r="B134" s="21" t="s">
        <v>759</v>
      </c>
      <c r="C134" s="21" t="e" vm="132">
        <v>#VALUE!</v>
      </c>
      <c r="D134" s="21" t="str">
        <f t="array" aca="1" ref="D134" ca="1">_FV(C134,"Industry")</f>
        <v>Passenger Transportation Services</v>
      </c>
      <c r="E134" s="21" t="s">
        <v>658</v>
      </c>
      <c r="F134" s="21" t="s">
        <v>653</v>
      </c>
      <c r="G134" s="21" t="s">
        <v>697</v>
      </c>
      <c r="H134" s="21"/>
    </row>
    <row r="135" spans="1:8">
      <c r="A135" s="73">
        <v>46143</v>
      </c>
      <c r="B135" s="21" t="s">
        <v>760</v>
      </c>
      <c r="C135" s="21" t="e" vm="133">
        <v>#VALUE!</v>
      </c>
      <c r="D135" s="21" t="str">
        <f t="array" aca="1" ref="D135" ca="1">_FV(C135,"Industry")</f>
        <v>Homebuilding &amp; Construction Supplies</v>
      </c>
      <c r="E135" s="21" t="s">
        <v>64</v>
      </c>
      <c r="F135" s="21" t="s">
        <v>649</v>
      </c>
      <c r="G135" s="21" t="s">
        <v>697</v>
      </c>
      <c r="H135" s="21"/>
    </row>
    <row r="136" spans="1:8">
      <c r="A136" s="73">
        <v>46143</v>
      </c>
      <c r="B136" s="21" t="s">
        <v>761</v>
      </c>
      <c r="C136" s="21" t="e" vm="134">
        <v>#VALUE!</v>
      </c>
      <c r="D136" s="21" t="str">
        <f t="array" aca="1" ref="D136" ca="1">_FV(C136,"Industry")</f>
        <v>Banking Services</v>
      </c>
      <c r="E136" s="21" t="s">
        <v>683</v>
      </c>
      <c r="F136" s="21" t="s">
        <v>655</v>
      </c>
      <c r="G136" s="21" t="s">
        <v>697</v>
      </c>
      <c r="H136" s="21"/>
    </row>
    <row r="137" spans="1:8">
      <c r="A137" s="73">
        <v>46143</v>
      </c>
      <c r="B137" s="21" t="s">
        <v>762</v>
      </c>
      <c r="C137" s="21" t="e" vm="135">
        <v>#VALUE!</v>
      </c>
      <c r="D137" s="21" t="str">
        <f t="array" aca="1" ref="D137" ca="1">_FV(C137,"Industry")</f>
        <v>Software &amp; IT Services</v>
      </c>
      <c r="E137" s="21" t="s">
        <v>658</v>
      </c>
      <c r="F137" s="21" t="s">
        <v>649</v>
      </c>
      <c r="G137" s="21" t="s">
        <v>697</v>
      </c>
      <c r="H137" s="21"/>
    </row>
    <row r="138" spans="1:8">
      <c r="A138" s="73">
        <v>46143</v>
      </c>
      <c r="B138" s="21" t="s">
        <v>763</v>
      </c>
      <c r="C138" s="21" t="e" vm="136">
        <v>#VALUE!</v>
      </c>
      <c r="D138" s="21" t="str">
        <f t="array" aca="1" ref="D138" ca="1">_FV(C138,"Industry")</f>
        <v>Natural Gas Utilities</v>
      </c>
      <c r="E138" s="21" t="s">
        <v>58</v>
      </c>
      <c r="F138" s="21" t="s">
        <v>649</v>
      </c>
      <c r="G138" s="21" t="s">
        <v>697</v>
      </c>
      <c r="H138" s="21"/>
    </row>
    <row r="139" spans="1:8">
      <c r="A139" s="73">
        <v>46143</v>
      </c>
      <c r="B139" s="21" t="s">
        <v>764</v>
      </c>
      <c r="C139" s="21" t="e" vm="137">
        <v>#VALUE!</v>
      </c>
      <c r="D139" s="21" t="str">
        <f t="array" aca="1" ref="D139" ca="1">_FV(C139,"Industry")</f>
        <v>Automobiles &amp; Auto Parts</v>
      </c>
      <c r="E139" s="21" t="s">
        <v>58</v>
      </c>
      <c r="F139" s="21" t="s">
        <v>653</v>
      </c>
      <c r="G139" s="21" t="s">
        <v>697</v>
      </c>
      <c r="H139" s="21"/>
    </row>
    <row r="140" spans="1:8">
      <c r="A140" s="73">
        <v>46143</v>
      </c>
      <c r="B140" s="21" t="s">
        <v>765</v>
      </c>
      <c r="C140" s="21" t="e" vm="138">
        <v>#VALUE!</v>
      </c>
      <c r="D140" s="21" t="str">
        <f t="array" aca="1" ref="D140" ca="1">_FV(C140,"Industry")</f>
        <v>Textiles &amp; Apparel</v>
      </c>
      <c r="E140" s="21" t="s">
        <v>64</v>
      </c>
      <c r="F140" s="21" t="s">
        <v>649</v>
      </c>
      <c r="G140" s="21" t="s">
        <v>697</v>
      </c>
      <c r="H140" s="21"/>
    </row>
    <row r="141" spans="1:8">
      <c r="A141" s="73">
        <v>46143</v>
      </c>
      <c r="B141" s="21" t="s">
        <v>766</v>
      </c>
      <c r="C141" s="21" t="e" vm="139">
        <v>#VALUE!</v>
      </c>
      <c r="D141" s="21" t="str">
        <f t="array" aca="1" ref="D141" ca="1">_FV(C141,"Industry")</f>
        <v>Software &amp; IT Services</v>
      </c>
      <c r="E141" s="21" t="s">
        <v>658</v>
      </c>
      <c r="F141" s="21" t="s">
        <v>655</v>
      </c>
      <c r="G141" s="21" t="s">
        <v>697</v>
      </c>
      <c r="H141" s="21"/>
    </row>
    <row r="142" spans="1:8">
      <c r="A142" s="73">
        <v>46143</v>
      </c>
      <c r="B142" s="21" t="s">
        <v>767</v>
      </c>
      <c r="C142" s="21" t="e" vm="140">
        <v>#VALUE!</v>
      </c>
      <c r="D142" s="21" t="str">
        <f t="array" aca="1" ref="D142" ca="1">_FV(C142,"Industry")</f>
        <v>Software &amp; IT Services</v>
      </c>
      <c r="E142" s="21" t="s">
        <v>658</v>
      </c>
      <c r="F142" s="21" t="s">
        <v>649</v>
      </c>
      <c r="G142" s="21" t="s">
        <v>697</v>
      </c>
      <c r="H142" s="21"/>
    </row>
    <row r="143" spans="1:8">
      <c r="A143" s="73">
        <v>46143</v>
      </c>
      <c r="B143" s="21" t="s">
        <v>768</v>
      </c>
      <c r="C143" s="21" t="e" vm="141">
        <v>#VALUE!</v>
      </c>
      <c r="D143" s="21" t="str">
        <f t="array" aca="1" ref="D143" ca="1">_FV(C143,"Industry")</f>
        <v>Textiles &amp; Apparel</v>
      </c>
      <c r="E143" s="21" t="s">
        <v>64</v>
      </c>
      <c r="F143" s="21" t="s">
        <v>649</v>
      </c>
      <c r="G143" s="21" t="s">
        <v>697</v>
      </c>
      <c r="H143" s="21"/>
    </row>
    <row r="144" spans="1:8">
      <c r="A144" s="73">
        <v>46143</v>
      </c>
      <c r="B144" s="21" t="s">
        <v>769</v>
      </c>
      <c r="C144" s="21" t="e" vm="142">
        <v>#VALUE!</v>
      </c>
      <c r="D144" s="21" t="str">
        <f t="array" aca="1" ref="D144" ca="1">_FV(C144,"Industry")</f>
        <v>Textiles &amp; Apparel</v>
      </c>
      <c r="E144" s="21" t="s">
        <v>64</v>
      </c>
      <c r="F144" s="21" t="s">
        <v>649</v>
      </c>
      <c r="G144" s="21" t="s">
        <v>697</v>
      </c>
      <c r="H144" s="21"/>
    </row>
    <row r="145" spans="1:8">
      <c r="A145" s="73">
        <v>46143</v>
      </c>
      <c r="B145" s="21" t="s">
        <v>770</v>
      </c>
      <c r="C145" s="21" t="e" vm="143">
        <v>#VALUE!</v>
      </c>
      <c r="D145" s="21" t="str">
        <f t="array" aca="1" ref="D145" ca="1">_FV(C145,"Industry")</f>
        <v>Machinery, Equipment &amp; Components</v>
      </c>
      <c r="E145" s="21" t="s">
        <v>58</v>
      </c>
      <c r="F145" s="21" t="s">
        <v>649</v>
      </c>
      <c r="G145" s="21" t="s">
        <v>697</v>
      </c>
      <c r="H145" s="21"/>
    </row>
    <row r="146" spans="1:8">
      <c r="A146" s="73">
        <v>46143</v>
      </c>
      <c r="B146" s="21" t="s">
        <v>771</v>
      </c>
      <c r="C146" s="21" t="e" vm="144">
        <v>#VALUE!</v>
      </c>
      <c r="D146" s="21" t="str">
        <f t="array" aca="1" ref="D146" ca="1">_FV(C146,"Industry")</f>
        <v>Construction Materials</v>
      </c>
      <c r="E146" s="21" t="s">
        <v>58</v>
      </c>
      <c r="F146" s="21" t="s">
        <v>649</v>
      </c>
      <c r="G146" s="21" t="s">
        <v>697</v>
      </c>
      <c r="H146" s="21"/>
    </row>
    <row r="147" spans="1:8">
      <c r="A147" s="73">
        <v>46143</v>
      </c>
      <c r="B147" s="21" t="s">
        <v>772</v>
      </c>
      <c r="C147" s="21" t="e" vm="145">
        <v>#VALUE!</v>
      </c>
      <c r="D147" s="21" t="str">
        <f t="array" aca="1" ref="D147" ca="1">_FV(C147,"Industry")</f>
        <v>Banking Services</v>
      </c>
      <c r="E147" s="21" t="s">
        <v>683</v>
      </c>
      <c r="F147" s="21" t="s">
        <v>655</v>
      </c>
      <c r="G147" s="21" t="s">
        <v>697</v>
      </c>
      <c r="H147" s="21"/>
    </row>
    <row r="148" spans="1:8">
      <c r="A148" s="73">
        <v>46143</v>
      </c>
      <c r="B148" s="21" t="s">
        <v>773</v>
      </c>
      <c r="C148" s="21" t="e" vm="146">
        <v>#VALUE!</v>
      </c>
      <c r="D148" s="21" t="str">
        <f t="array" aca="1" ref="D148" ca="1">_FV(C148,"Industry")</f>
        <v>Professional &amp; Commercial Services</v>
      </c>
      <c r="E148" s="21" t="s">
        <v>658</v>
      </c>
      <c r="F148" s="21" t="s">
        <v>649</v>
      </c>
      <c r="G148" s="21" t="s">
        <v>697</v>
      </c>
      <c r="H148" s="21"/>
    </row>
    <row r="149" spans="1:8">
      <c r="A149" s="73">
        <v>46143</v>
      </c>
      <c r="B149" s="21" t="s">
        <v>774</v>
      </c>
      <c r="C149" s="21" t="e" vm="147">
        <v>#VALUE!</v>
      </c>
      <c r="D149" s="21" t="str">
        <f t="array" aca="1" ref="D149" ca="1">_FV(C149,"Industry")</f>
        <v>Machinery, Equipment &amp; Components</v>
      </c>
      <c r="E149" s="21" t="s">
        <v>64</v>
      </c>
      <c r="F149" s="21" t="s">
        <v>653</v>
      </c>
      <c r="G149" s="21" t="s">
        <v>697</v>
      </c>
      <c r="H149" s="21"/>
    </row>
    <row r="150" spans="1:8">
      <c r="A150" s="73">
        <v>46143</v>
      </c>
      <c r="B150" s="21" t="s">
        <v>775</v>
      </c>
      <c r="C150" s="21" t="e" vm="148">
        <v>#VALUE!</v>
      </c>
      <c r="D150" s="21" t="str">
        <f t="array" aca="1" ref="D150" ca="1">_FV(C150,"Industry")</f>
        <v>Healthcare Providers &amp; Services</v>
      </c>
      <c r="E150" s="21" t="s">
        <v>62</v>
      </c>
      <c r="F150" s="21" t="s">
        <v>649</v>
      </c>
      <c r="G150" s="21" t="s">
        <v>697</v>
      </c>
      <c r="H150" s="21"/>
    </row>
    <row r="151" spans="1:8">
      <c r="A151" s="73">
        <v>46143</v>
      </c>
      <c r="B151" s="21" t="s">
        <v>776</v>
      </c>
      <c r="C151" s="21" t="e" vm="149">
        <v>#VALUE!</v>
      </c>
      <c r="D151" s="21" t="str">
        <f t="array" aca="1" ref="D151" ca="1">_FV(C151,"Industry")</f>
        <v>Machinery, Equipment &amp; Components</v>
      </c>
      <c r="E151" s="21" t="s">
        <v>58</v>
      </c>
      <c r="F151" s="21" t="s">
        <v>649</v>
      </c>
      <c r="G151" s="21" t="s">
        <v>697</v>
      </c>
      <c r="H151" s="21"/>
    </row>
    <row r="152" spans="1:8">
      <c r="A152" s="73">
        <v>46143</v>
      </c>
      <c r="B152" s="21" t="s">
        <v>777</v>
      </c>
      <c r="C152" s="21" t="e" vm="150">
        <v>#VALUE!</v>
      </c>
      <c r="D152" s="21" t="str">
        <f t="array" aca="1" ref="D152" ca="1">_FV(C152,"Industry")</f>
        <v>Food &amp; Tobacco</v>
      </c>
      <c r="E152" s="21" t="s">
        <v>64</v>
      </c>
      <c r="F152" s="21" t="s">
        <v>649</v>
      </c>
      <c r="G152" s="21" t="s">
        <v>697</v>
      </c>
      <c r="H152" s="21"/>
    </row>
    <row r="153" spans="1:8">
      <c r="A153" s="73">
        <v>46143</v>
      </c>
      <c r="B153" s="77" t="s">
        <v>778</v>
      </c>
      <c r="C153" s="21" t="e" vm="151">
        <v>#VALUE!</v>
      </c>
      <c r="D153" s="21" t="str">
        <f t="array" aca="1" ref="D153" ca="1">_FV(C153,"Industry")</f>
        <v>Investment Banking &amp; Investment Services</v>
      </c>
      <c r="E153" s="21" t="s">
        <v>683</v>
      </c>
      <c r="F153" s="21" t="s">
        <v>649</v>
      </c>
      <c r="G153" s="21" t="s">
        <v>779</v>
      </c>
      <c r="H153" s="21"/>
    </row>
    <row r="154" spans="1:8">
      <c r="A154" s="73">
        <v>46143</v>
      </c>
      <c r="B154" s="21" t="s">
        <v>780</v>
      </c>
      <c r="C154" s="21" t="e" vm="152">
        <v>#VALUE!</v>
      </c>
      <c r="D154" s="21" t="str">
        <f t="array" aca="1" ref="D154" ca="1">_FV(C154,"Industry")</f>
        <v>Investment Banking &amp; Investment Services</v>
      </c>
      <c r="E154" s="21" t="s">
        <v>658</v>
      </c>
      <c r="F154" s="21" t="s">
        <v>649</v>
      </c>
      <c r="G154" s="21" t="s">
        <v>779</v>
      </c>
      <c r="H154" s="21"/>
    </row>
    <row r="155" spans="1:8">
      <c r="A155" s="73">
        <v>46143</v>
      </c>
      <c r="B155" s="21" t="s">
        <v>781</v>
      </c>
      <c r="C155" s="21" t="e" vm="153">
        <v>#VALUE!</v>
      </c>
      <c r="D155" s="21" t="str">
        <f t="array" aca="1" ref="D155" ca="1">_FV(C155,"Industry")</f>
        <v>Professional &amp; Commercial Services</v>
      </c>
      <c r="E155" s="21" t="s">
        <v>658</v>
      </c>
      <c r="F155" s="21" t="s">
        <v>649</v>
      </c>
      <c r="G155" s="21" t="s">
        <v>779</v>
      </c>
      <c r="H155" s="21"/>
    </row>
    <row r="156" spans="1:8">
      <c r="A156" s="73">
        <v>46143</v>
      </c>
      <c r="B156" s="21" t="s">
        <v>75</v>
      </c>
      <c r="C156" s="21" t="e" vm="154">
        <v>#VALUE!</v>
      </c>
      <c r="D156" s="21" t="str">
        <f t="array" aca="1" ref="D156" ca="1">_FV(C156,"Industry")</f>
        <v>Investment Banking &amp; Investment Services</v>
      </c>
      <c r="E156" s="21" t="s">
        <v>658</v>
      </c>
      <c r="F156" s="21" t="s">
        <v>653</v>
      </c>
      <c r="G156" s="21" t="s">
        <v>779</v>
      </c>
      <c r="H156" s="21"/>
    </row>
    <row r="157" spans="1:8">
      <c r="A157" s="73">
        <v>46143</v>
      </c>
      <c r="B157" s="21" t="s">
        <v>782</v>
      </c>
      <c r="C157" s="21" t="e" vm="155">
        <v>#VALUE!</v>
      </c>
      <c r="D157" s="21" t="str">
        <f t="array" aca="1" ref="D157" ca="1">_FV(C157,"Industry")</f>
        <v>Investment Banking &amp; Investment Services</v>
      </c>
      <c r="E157" s="21" t="s">
        <v>683</v>
      </c>
      <c r="F157" s="21" t="s">
        <v>653</v>
      </c>
      <c r="G157" s="21" t="s">
        <v>779</v>
      </c>
      <c r="H157" s="21"/>
    </row>
    <row r="158" spans="1:8">
      <c r="A158" s="73">
        <v>46143</v>
      </c>
      <c r="B158" s="21" t="s">
        <v>783</v>
      </c>
      <c r="C158" s="21" t="e" vm="156">
        <v>#VALUE!</v>
      </c>
      <c r="D158" s="21" t="str">
        <f t="array" aca="1" ref="D158" ca="1">_FV(C158,"Industry")</f>
        <v>Financial Technology (Fintech) &amp; Infrastructure</v>
      </c>
      <c r="E158" s="21" t="s">
        <v>658</v>
      </c>
      <c r="F158" s="21" t="s">
        <v>649</v>
      </c>
      <c r="G158" s="21" t="s">
        <v>779</v>
      </c>
      <c r="H158" s="21"/>
    </row>
    <row r="159" spans="1:8">
      <c r="A159" s="21"/>
      <c r="B159" s="21"/>
      <c r="C159" s="21"/>
      <c r="D159" s="21"/>
      <c r="E159" s="21"/>
      <c r="F159" s="21"/>
      <c r="G159" s="21"/>
      <c r="H159" s="21"/>
    </row>
    <row r="160" spans="1:8">
      <c r="A160" s="21"/>
      <c r="B160" s="21"/>
      <c r="C160" s="21"/>
      <c r="D160" s="21"/>
      <c r="E160" s="21"/>
      <c r="F160" s="21"/>
      <c r="G160" s="21"/>
      <c r="H160" s="21"/>
    </row>
    <row r="161" spans="1:8">
      <c r="A161" s="21"/>
      <c r="B161" s="21"/>
      <c r="C161" s="21"/>
      <c r="D161" s="21"/>
      <c r="E161" s="21"/>
      <c r="F161" s="21"/>
      <c r="G161" s="21"/>
      <c r="H161" s="21"/>
    </row>
  </sheetData>
  <autoFilter ref="A1:G15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Q272"/>
  <sheetViews>
    <sheetView workbookViewId="0">
      <pane ySplit="1" topLeftCell="A186" activePane="bottomLeft" state="frozen"/>
      <selection pane="bottomLeft" activeCell="G191" sqref="G191"/>
    </sheetView>
  </sheetViews>
  <sheetFormatPr defaultRowHeight="15"/>
  <cols>
    <col min="1" max="1" width="10.42578125" bestFit="1" customWidth="1"/>
    <col min="2" max="2" width="16.42578125" bestFit="1" customWidth="1"/>
    <col min="3" max="3" width="10.28515625" bestFit="1" customWidth="1"/>
    <col min="4" max="4" width="96.5703125" bestFit="1" customWidth="1"/>
    <col min="5" max="5" width="11.5703125" style="12" bestFit="1" customWidth="1"/>
    <col min="6" max="6" width="18.7109375" bestFit="1" customWidth="1"/>
    <col min="7" max="7" width="24.140625" bestFit="1" customWidth="1"/>
    <col min="8" max="8" width="19.5703125" bestFit="1" customWidth="1"/>
    <col min="9" max="10" width="20.5703125" bestFit="1" customWidth="1"/>
    <col min="11" max="11" width="10" customWidth="1"/>
    <col min="12" max="12" width="6.42578125" bestFit="1" customWidth="1"/>
    <col min="13" max="13" width="9.7109375" bestFit="1" customWidth="1"/>
    <col min="14" max="14" width="14.140625" bestFit="1" customWidth="1"/>
    <col min="15" max="15" width="18.42578125" bestFit="1" customWidth="1"/>
    <col min="16" max="16" width="16.140625" bestFit="1" customWidth="1"/>
    <col min="17" max="17" width="20.42578125" bestFit="1" customWidth="1"/>
  </cols>
  <sheetData>
    <row r="1" spans="1:17">
      <c r="A1" s="51" t="s">
        <v>144</v>
      </c>
      <c r="B1" s="51" t="s">
        <v>784</v>
      </c>
      <c r="C1" s="51" t="s">
        <v>785</v>
      </c>
      <c r="D1" s="51" t="s">
        <v>643</v>
      </c>
      <c r="E1" s="51" t="s">
        <v>133</v>
      </c>
      <c r="F1" s="51" t="s">
        <v>786</v>
      </c>
      <c r="G1" s="51" t="s">
        <v>787</v>
      </c>
      <c r="H1" s="51" t="s">
        <v>788</v>
      </c>
      <c r="I1" s="51" t="s">
        <v>789</v>
      </c>
      <c r="J1" s="51" t="s">
        <v>790</v>
      </c>
      <c r="K1" s="51"/>
      <c r="L1" s="51"/>
      <c r="M1" s="51"/>
      <c r="N1" s="51"/>
      <c r="O1" s="51"/>
      <c r="P1" s="51"/>
      <c r="Q1" s="51"/>
    </row>
    <row r="2" spans="1:17" hidden="1">
      <c r="A2" s="40">
        <v>46158</v>
      </c>
      <c r="B2" s="41" t="s">
        <v>51</v>
      </c>
      <c r="C2" s="41" t="s">
        <v>791</v>
      </c>
      <c r="D2" s="41" t="e" vm="73">
        <v>#VALUE!</v>
      </c>
      <c r="E2" s="42">
        <f t="array" aca="1" ref="E2" ca="1">_FV(D2,"Price")</f>
        <v>2122.1999999999998</v>
      </c>
      <c r="F2" s="43">
        <f t="array" aca="1" ref="F2" ca="1">_FV(D2,"Previous close",TRUE)</f>
        <v>2016.1</v>
      </c>
      <c r="G2" s="33">
        <v>1775.6</v>
      </c>
      <c r="H2" s="33">
        <v>1597.83</v>
      </c>
      <c r="I2" s="33">
        <v>1541.17</v>
      </c>
      <c r="J2" s="33">
        <v>1398.52</v>
      </c>
      <c r="K2" s="31"/>
      <c r="L2" s="44" t="s">
        <v>785</v>
      </c>
      <c r="M2" s="44" t="s">
        <v>133</v>
      </c>
      <c r="N2" s="44" t="s">
        <v>792</v>
      </c>
      <c r="O2" s="44" t="s">
        <v>793</v>
      </c>
      <c r="P2" s="44" t="s">
        <v>125</v>
      </c>
      <c r="Q2" s="44" t="s">
        <v>794</v>
      </c>
    </row>
    <row r="3" spans="1:17" hidden="1">
      <c r="A3" s="40">
        <v>46158</v>
      </c>
      <c r="B3" s="41" t="s">
        <v>795</v>
      </c>
      <c r="C3" s="41" t="s">
        <v>791</v>
      </c>
      <c r="D3" s="41" t="e" vm="157">
        <v>#VALUE!</v>
      </c>
      <c r="E3" s="42">
        <f t="array" aca="1" ref="E3" ca="1">_FV(D3,"Price")</f>
        <v>857.15</v>
      </c>
      <c r="F3" s="43">
        <f t="array" aca="1" ref="F3" ca="1">_FV(D3,"Previous close",TRUE)</f>
        <v>828.9</v>
      </c>
      <c r="G3" s="33">
        <v>845</v>
      </c>
      <c r="H3" s="33">
        <v>707.85</v>
      </c>
      <c r="I3" s="33">
        <v>679.19</v>
      </c>
      <c r="J3" s="33">
        <v>595.27</v>
      </c>
      <c r="K3" s="31"/>
      <c r="L3" s="45" t="s">
        <v>791</v>
      </c>
      <c r="M3" s="46" t="s">
        <v>796</v>
      </c>
      <c r="N3" s="46" t="s">
        <v>797</v>
      </c>
      <c r="O3" s="47">
        <v>4.5400000000000003E-2</v>
      </c>
      <c r="P3" s="46" t="s">
        <v>798</v>
      </c>
      <c r="Q3" s="47">
        <v>0.14119999999999999</v>
      </c>
    </row>
    <row r="4" spans="1:17" hidden="1">
      <c r="A4" s="40">
        <v>46158</v>
      </c>
      <c r="B4" s="41" t="s">
        <v>799</v>
      </c>
      <c r="C4" s="41" t="s">
        <v>791</v>
      </c>
      <c r="D4" s="41" t="e" vm="158">
        <v>#VALUE!</v>
      </c>
      <c r="E4" s="42">
        <f t="array" aca="1" ref="E4" ca="1">_FV(D4,"Price")</f>
        <v>490.95</v>
      </c>
      <c r="F4" s="43">
        <f t="array" aca="1" ref="F4" ca="1">_FV(D4,"Previous close",TRUE)</f>
        <v>484.1</v>
      </c>
      <c r="G4" s="33">
        <v>476.15</v>
      </c>
      <c r="H4" s="33">
        <v>483.08</v>
      </c>
      <c r="I4" s="33">
        <v>481.34</v>
      </c>
      <c r="J4" s="33">
        <v>470.71</v>
      </c>
      <c r="K4" s="31"/>
      <c r="L4" s="45" t="s">
        <v>791</v>
      </c>
      <c r="M4" s="46" t="s">
        <v>800</v>
      </c>
      <c r="N4" s="46" t="s">
        <v>801</v>
      </c>
      <c r="O4" s="47">
        <v>3.8300000000000001E-2</v>
      </c>
      <c r="P4" s="46" t="s">
        <v>802</v>
      </c>
      <c r="Q4" s="47">
        <v>1.41E-2</v>
      </c>
    </row>
    <row r="5" spans="1:17" hidden="1">
      <c r="A5" s="40">
        <v>46158</v>
      </c>
      <c r="B5" s="41" t="s">
        <v>803</v>
      </c>
      <c r="C5" s="41" t="s">
        <v>791</v>
      </c>
      <c r="D5" s="41" t="e" vm="159">
        <v>#VALUE!</v>
      </c>
      <c r="E5" s="42">
        <f t="array" aca="1" ref="E5" ca="1">_FV(D5,"Price")</f>
        <v>1867</v>
      </c>
      <c r="F5" s="43">
        <f t="array" aca="1" ref="F5" ca="1">_FV(D5,"Previous close",TRUE)</f>
        <v>1859</v>
      </c>
      <c r="G5" s="33">
        <v>1839.8</v>
      </c>
      <c r="H5" s="33">
        <v>1747.71</v>
      </c>
      <c r="I5" s="33">
        <v>1723.56</v>
      </c>
      <c r="J5" s="33">
        <v>1661.98</v>
      </c>
      <c r="K5" s="31"/>
      <c r="L5" s="45" t="s">
        <v>791</v>
      </c>
      <c r="M5" s="46" t="s">
        <v>804</v>
      </c>
      <c r="N5" s="46" t="s">
        <v>805</v>
      </c>
      <c r="O5" s="47">
        <v>8.8999999999999999E-3</v>
      </c>
      <c r="P5" s="46" t="s">
        <v>806</v>
      </c>
      <c r="Q5" s="47">
        <v>4.7800000000000002E-2</v>
      </c>
    </row>
    <row r="6" spans="1:17" hidden="1">
      <c r="A6" s="40">
        <v>46158</v>
      </c>
      <c r="B6" s="41" t="s">
        <v>807</v>
      </c>
      <c r="C6" s="41" t="s">
        <v>791</v>
      </c>
      <c r="D6" s="41" t="e" vm="160">
        <v>#VALUE!</v>
      </c>
      <c r="E6" s="42">
        <f t="array" aca="1" ref="E6" ca="1">_FV(D6,"Price")</f>
        <v>267.75</v>
      </c>
      <c r="F6" s="43">
        <f t="array" aca="1" ref="F6" ca="1">_FV(D6,"Previous close",TRUE)</f>
        <v>265.05</v>
      </c>
      <c r="G6" s="33">
        <v>265.39999999999998</v>
      </c>
      <c r="H6" s="33">
        <v>278.64999999999998</v>
      </c>
      <c r="I6" s="33">
        <v>278.27999999999997</v>
      </c>
      <c r="J6" s="33">
        <v>272.2</v>
      </c>
      <c r="K6" s="31"/>
      <c r="L6" s="45" t="s">
        <v>791</v>
      </c>
      <c r="M6" s="46" t="s">
        <v>808</v>
      </c>
      <c r="N6" s="46" t="s">
        <v>809</v>
      </c>
      <c r="O6" s="47">
        <v>1.35E-2</v>
      </c>
      <c r="P6" s="46" t="s">
        <v>810</v>
      </c>
      <c r="Q6" s="47">
        <v>0.23480000000000001</v>
      </c>
    </row>
    <row r="7" spans="1:17" hidden="1">
      <c r="A7" s="40">
        <v>46158</v>
      </c>
      <c r="B7" s="41" t="s">
        <v>771</v>
      </c>
      <c r="C7" s="41" t="s">
        <v>791</v>
      </c>
      <c r="D7" s="41" t="e" vm="144">
        <v>#VALUE!</v>
      </c>
      <c r="E7" s="42">
        <f t="array" aca="1" ref="E7" ca="1">_FV(D7,"Price")</f>
        <v>1011.7</v>
      </c>
      <c r="F7" s="43">
        <f t="array" aca="1" ref="F7" ca="1">_FV(D7,"Previous close",TRUE)</f>
        <v>1023.1</v>
      </c>
      <c r="G7" s="33">
        <v>1029.05</v>
      </c>
      <c r="H7" s="33">
        <v>989.91</v>
      </c>
      <c r="I7" s="33">
        <v>974.91</v>
      </c>
      <c r="J7" s="33">
        <v>930.72</v>
      </c>
      <c r="K7" s="31"/>
      <c r="L7" s="45" t="s">
        <v>791</v>
      </c>
      <c r="M7" s="46" t="s">
        <v>811</v>
      </c>
      <c r="N7" s="46" t="s">
        <v>812</v>
      </c>
      <c r="O7" s="47">
        <v>2.7199999999999998E-2</v>
      </c>
      <c r="P7" s="46" t="s">
        <v>813</v>
      </c>
      <c r="Q7" s="47">
        <v>0.1406</v>
      </c>
    </row>
    <row r="8" spans="1:17" hidden="1">
      <c r="A8" s="40">
        <v>46158</v>
      </c>
      <c r="B8" s="41" t="s">
        <v>814</v>
      </c>
      <c r="C8" s="41" t="s">
        <v>791</v>
      </c>
      <c r="D8" s="41" t="e" vm="161">
        <v>#VALUE!</v>
      </c>
      <c r="E8" s="42">
        <f t="array" aca="1" ref="E8" ca="1">_FV(D8,"Price")</f>
        <v>486.45</v>
      </c>
      <c r="F8" s="43">
        <f t="array" aca="1" ref="F8" ca="1">_FV(D8,"Previous close",TRUE)</f>
        <v>478.85</v>
      </c>
      <c r="G8" s="33">
        <v>508.85</v>
      </c>
      <c r="H8" s="33">
        <v>475.54</v>
      </c>
      <c r="I8" s="33">
        <v>466.15</v>
      </c>
      <c r="J8" s="33">
        <v>429.08</v>
      </c>
      <c r="K8" s="31"/>
      <c r="L8" s="45" t="s">
        <v>791</v>
      </c>
      <c r="M8" s="46" t="s">
        <v>815</v>
      </c>
      <c r="N8" s="46" t="s">
        <v>816</v>
      </c>
      <c r="O8" s="47">
        <v>6.7999999999999996E-3</v>
      </c>
      <c r="P8" s="46" t="s">
        <v>817</v>
      </c>
      <c r="Q8" s="47">
        <v>2.9499999999999998E-2</v>
      </c>
    </row>
    <row r="9" spans="1:17" hidden="1">
      <c r="A9" s="40">
        <v>46158</v>
      </c>
      <c r="B9" s="41" t="s">
        <v>818</v>
      </c>
      <c r="C9" s="41" t="s">
        <v>791</v>
      </c>
      <c r="D9" s="41" t="e" vm="162">
        <v>#VALUE!</v>
      </c>
      <c r="E9" s="42">
        <f t="array" aca="1" ref="E9" ca="1">_FV(D9,"Price")</f>
        <v>545.4</v>
      </c>
      <c r="F9" s="43">
        <f t="array" aca="1" ref="F9" ca="1">_FV(D9,"Previous close",TRUE)</f>
        <v>546.20000000000005</v>
      </c>
      <c r="G9" s="33">
        <v>538.70000000000005</v>
      </c>
      <c r="H9" s="33">
        <v>544.89</v>
      </c>
      <c r="I9" s="33">
        <v>542.84</v>
      </c>
      <c r="J9" s="33">
        <v>522.07000000000005</v>
      </c>
      <c r="K9" s="31"/>
      <c r="L9" s="45" t="s">
        <v>791</v>
      </c>
      <c r="M9" s="46" t="s">
        <v>819</v>
      </c>
      <c r="N9" s="46" t="s">
        <v>820</v>
      </c>
      <c r="O9" s="47">
        <v>3.6400000000000002E-2</v>
      </c>
      <c r="P9" s="46" t="s">
        <v>821</v>
      </c>
      <c r="Q9" s="47">
        <v>4.5600000000000002E-2</v>
      </c>
    </row>
    <row r="10" spans="1:17" hidden="1">
      <c r="A10" s="40">
        <v>46158</v>
      </c>
      <c r="B10" s="41" t="s">
        <v>50</v>
      </c>
      <c r="C10" s="41" t="s">
        <v>791</v>
      </c>
      <c r="D10" s="41" t="e" vm="163">
        <v>#VALUE!</v>
      </c>
      <c r="E10" s="42">
        <f t="array" aca="1" ref="E10" ca="1">_FV(D10,"Price")</f>
        <v>407.55</v>
      </c>
      <c r="F10" s="43">
        <f t="array" aca="1" ref="F10" ca="1">_FV(D10,"Previous close",TRUE)</f>
        <v>437</v>
      </c>
      <c r="G10" s="33">
        <v>409</v>
      </c>
      <c r="H10" s="33">
        <v>337.88</v>
      </c>
      <c r="I10" s="33">
        <v>325.54000000000002</v>
      </c>
      <c r="J10" s="33">
        <v>292.60000000000002</v>
      </c>
      <c r="K10" s="31"/>
      <c r="L10" s="45" t="s">
        <v>791</v>
      </c>
      <c r="M10" s="46" t="s">
        <v>822</v>
      </c>
      <c r="N10" s="46" t="s">
        <v>823</v>
      </c>
      <c r="O10" s="47">
        <v>1.26E-2</v>
      </c>
      <c r="P10" s="46" t="s">
        <v>824</v>
      </c>
      <c r="Q10" s="47">
        <v>4.41E-2</v>
      </c>
    </row>
    <row r="11" spans="1:17" hidden="1">
      <c r="A11" s="40">
        <v>46158</v>
      </c>
      <c r="B11" s="41" t="s">
        <v>191</v>
      </c>
      <c r="C11" s="41" t="s">
        <v>791</v>
      </c>
      <c r="D11" s="41" t="e" vm="164">
        <v>#VALUE!</v>
      </c>
      <c r="E11" s="42">
        <f t="array" aca="1" ref="E11" ca="1">_FV(D11,"Price")</f>
        <v>199.41</v>
      </c>
      <c r="F11" s="43">
        <f t="array" aca="1" ref="F11" ca="1">_FV(D11,"Previous close",TRUE)</f>
        <v>189.94</v>
      </c>
      <c r="G11" s="33">
        <v>179.94</v>
      </c>
      <c r="H11" s="33">
        <v>141.59</v>
      </c>
      <c r="I11" s="33">
        <v>134.09</v>
      </c>
      <c r="J11" s="33">
        <v>111.74</v>
      </c>
      <c r="K11" s="31"/>
      <c r="L11" s="45" t="s">
        <v>791</v>
      </c>
      <c r="M11" s="46" t="s">
        <v>825</v>
      </c>
      <c r="N11" s="46" t="s">
        <v>826</v>
      </c>
      <c r="O11" s="47">
        <v>4.7699999999999999E-2</v>
      </c>
      <c r="P11" s="46" t="s">
        <v>827</v>
      </c>
      <c r="Q11" s="47">
        <v>9.4700000000000006E-2</v>
      </c>
    </row>
    <row r="12" spans="1:17" hidden="1">
      <c r="A12" s="40">
        <v>46158</v>
      </c>
      <c r="B12" s="41" t="s">
        <v>720</v>
      </c>
      <c r="C12" s="41" t="s">
        <v>791</v>
      </c>
      <c r="D12" s="41" t="e" vm="87">
        <v>#VALUE!</v>
      </c>
      <c r="E12" s="42">
        <f t="array" aca="1" ref="E12" ca="1">_FV(D12,"Price")</f>
        <v>1698.9</v>
      </c>
      <c r="F12" s="43">
        <f t="array" aca="1" ref="F12" ca="1">_FV(D12,"Previous close",TRUE)</f>
        <v>1686.5</v>
      </c>
      <c r="G12" s="33">
        <v>1682</v>
      </c>
      <c r="H12" s="33">
        <v>1683.33</v>
      </c>
      <c r="I12" s="33">
        <v>1670.99</v>
      </c>
      <c r="J12" s="33">
        <v>1648.2</v>
      </c>
      <c r="K12" s="31"/>
      <c r="L12" s="45" t="s">
        <v>791</v>
      </c>
      <c r="M12" s="46" t="s">
        <v>828</v>
      </c>
      <c r="N12" s="46" t="s">
        <v>829</v>
      </c>
      <c r="O12" s="47">
        <v>5.0000000000000001E-3</v>
      </c>
      <c r="P12" s="46" t="s">
        <v>830</v>
      </c>
      <c r="Q12" s="47">
        <v>8.8999999999999999E-3</v>
      </c>
    </row>
    <row r="13" spans="1:17" hidden="1">
      <c r="A13" s="40">
        <v>46158</v>
      </c>
      <c r="B13" s="41" t="s">
        <v>55</v>
      </c>
      <c r="C13" s="41" t="s">
        <v>791</v>
      </c>
      <c r="D13" s="41" t="e" vm="165">
        <v>#VALUE!</v>
      </c>
      <c r="E13" s="42">
        <f t="array" aca="1" ref="E13" ca="1">_FV(D13,"Price")</f>
        <v>1440.4</v>
      </c>
      <c r="F13" s="43">
        <f t="array" aca="1" ref="F13" ca="1">_FV(D13,"Previous close",TRUE)</f>
        <v>1429.2</v>
      </c>
      <c r="G13" s="33">
        <v>1426.4</v>
      </c>
      <c r="H13" s="33">
        <v>1416.27</v>
      </c>
      <c r="I13" s="33">
        <v>1402.75</v>
      </c>
      <c r="J13" s="33">
        <v>1343.73</v>
      </c>
      <c r="K13" s="31"/>
      <c r="L13" s="45" t="s">
        <v>791</v>
      </c>
      <c r="M13" s="46" t="s">
        <v>831</v>
      </c>
      <c r="N13" s="46" t="s">
        <v>832</v>
      </c>
      <c r="O13" s="47">
        <v>2.47E-2</v>
      </c>
      <c r="P13" s="46" t="s">
        <v>833</v>
      </c>
      <c r="Q13" s="47">
        <v>2.0400000000000001E-2</v>
      </c>
    </row>
    <row r="14" spans="1:17" hidden="1">
      <c r="A14" s="40">
        <v>46158</v>
      </c>
      <c r="B14" s="41" t="s">
        <v>137</v>
      </c>
      <c r="C14" s="41" t="s">
        <v>791</v>
      </c>
      <c r="D14" s="41" t="e" vm="166">
        <v>#VALUE!</v>
      </c>
      <c r="E14" s="42">
        <f t="array" aca="1" ref="E14" ca="1">_FV(D14,"Price")</f>
        <v>871.8</v>
      </c>
      <c r="F14" s="43">
        <f t="array" aca="1" ref="F14" ca="1">_FV(D14,"Previous close",TRUE)</f>
        <v>854.2</v>
      </c>
      <c r="G14" s="33">
        <v>774.85</v>
      </c>
      <c r="H14" s="33">
        <v>712.21</v>
      </c>
      <c r="I14" s="33">
        <v>693.88</v>
      </c>
      <c r="J14" s="33">
        <v>635.62</v>
      </c>
      <c r="K14" s="31"/>
      <c r="L14" s="45" t="s">
        <v>791</v>
      </c>
      <c r="M14" s="46" t="s">
        <v>834</v>
      </c>
      <c r="N14" s="46" t="s">
        <v>835</v>
      </c>
      <c r="O14" s="47">
        <v>1.23E-2</v>
      </c>
      <c r="P14" s="46" t="s">
        <v>836</v>
      </c>
      <c r="Q14" s="47">
        <v>2.4E-2</v>
      </c>
    </row>
    <row r="15" spans="1:17" hidden="1">
      <c r="A15" s="40">
        <v>46158</v>
      </c>
      <c r="B15" s="41" t="s">
        <v>837</v>
      </c>
      <c r="C15" s="41" t="s">
        <v>791</v>
      </c>
      <c r="D15" s="41" t="e" vm="167">
        <v>#VALUE!</v>
      </c>
      <c r="E15" s="42">
        <f t="array" aca="1" ref="E15" ca="1">_FV(D15,"Price")</f>
        <v>1622.6</v>
      </c>
      <c r="F15" s="43">
        <f t="array" aca="1" ref="F15" ca="1">_FV(D15,"Previous close",TRUE)</f>
        <v>1639.2</v>
      </c>
      <c r="G15" s="33">
        <v>1618.2</v>
      </c>
      <c r="H15" s="33">
        <v>1647.94</v>
      </c>
      <c r="I15" s="33">
        <v>1641.97</v>
      </c>
      <c r="J15" s="33">
        <v>1621.78</v>
      </c>
      <c r="K15" s="31"/>
      <c r="L15" s="45" t="s">
        <v>791</v>
      </c>
      <c r="M15" s="46" t="s">
        <v>838</v>
      </c>
      <c r="N15" s="46" t="s">
        <v>839</v>
      </c>
      <c r="O15" s="47">
        <v>4.5400000000000003E-2</v>
      </c>
      <c r="P15" s="46" t="s">
        <v>840</v>
      </c>
      <c r="Q15" s="47">
        <v>0.11840000000000001</v>
      </c>
    </row>
    <row r="16" spans="1:17" hidden="1">
      <c r="A16" s="40">
        <v>46158</v>
      </c>
      <c r="B16" s="41" t="s">
        <v>141</v>
      </c>
      <c r="C16" s="41" t="s">
        <v>791</v>
      </c>
      <c r="D16" s="41" t="e" vm="116">
        <v>#VALUE!</v>
      </c>
      <c r="E16" s="42">
        <f t="array" aca="1" ref="E16" ca="1">_FV(D16,"Price")</f>
        <v>1836.8</v>
      </c>
      <c r="F16" s="43">
        <f t="array" aca="1" ref="F16" ca="1">_FV(D16,"Previous close",TRUE)</f>
        <v>1778.7</v>
      </c>
      <c r="G16" s="33">
        <v>1651.3</v>
      </c>
      <c r="H16" s="33">
        <v>1626.6</v>
      </c>
      <c r="I16" s="33">
        <v>1607.17</v>
      </c>
      <c r="J16" s="33">
        <v>1585.02</v>
      </c>
      <c r="K16" s="31"/>
      <c r="L16" s="48" t="s">
        <v>841</v>
      </c>
      <c r="M16" s="46" t="s">
        <v>842</v>
      </c>
      <c r="N16" s="46" t="s">
        <v>843</v>
      </c>
      <c r="O16" s="47">
        <v>3.0000000000000001E-3</v>
      </c>
      <c r="P16" s="46" t="s">
        <v>844</v>
      </c>
      <c r="Q16" s="47">
        <v>3.1699999999999999E-2</v>
      </c>
    </row>
    <row r="17" spans="1:17" hidden="1">
      <c r="A17" s="40">
        <v>46158</v>
      </c>
      <c r="B17" s="41" t="s">
        <v>91</v>
      </c>
      <c r="C17" s="41" t="s">
        <v>791</v>
      </c>
      <c r="D17" s="41" t="e" vm="168">
        <v>#VALUE!</v>
      </c>
      <c r="E17" s="42">
        <f t="array" aca="1" ref="E17" ca="1">_FV(D17,"Price")</f>
        <v>1076.5999999999999</v>
      </c>
      <c r="F17" s="43">
        <f t="array" aca="1" ref="F17" ca="1">_FV(D17,"Previous close",TRUE)</f>
        <v>1078.3</v>
      </c>
      <c r="G17" s="33">
        <v>1077.7</v>
      </c>
      <c r="H17" s="33">
        <v>999.12</v>
      </c>
      <c r="I17" s="33">
        <v>987.53</v>
      </c>
      <c r="J17" s="33">
        <v>959.21</v>
      </c>
      <c r="K17" s="31"/>
      <c r="L17" s="48" t="s">
        <v>841</v>
      </c>
      <c r="M17" s="46" t="s">
        <v>845</v>
      </c>
      <c r="N17" s="46" t="s">
        <v>846</v>
      </c>
      <c r="O17" s="47">
        <v>3.6799999999999999E-2</v>
      </c>
      <c r="P17" s="46" t="s">
        <v>847</v>
      </c>
      <c r="Q17" s="47">
        <v>3.6499999999999998E-2</v>
      </c>
    </row>
    <row r="18" spans="1:17" hidden="1">
      <c r="A18" s="40">
        <v>46158</v>
      </c>
      <c r="B18" s="41" t="s">
        <v>848</v>
      </c>
      <c r="C18" s="41" t="s">
        <v>791</v>
      </c>
      <c r="D18" s="41" t="e" vm="169">
        <v>#VALUE!</v>
      </c>
      <c r="E18" s="42">
        <f t="array" aca="1" ref="E18" ca="1">_FV(D18,"Price")</f>
        <v>73.819999999999993</v>
      </c>
      <c r="F18" s="43">
        <f t="array" aca="1" ref="F18" ca="1">_FV(D18,"Previous close",TRUE)</f>
        <v>75.319999999999993</v>
      </c>
      <c r="G18" s="33">
        <v>78.41</v>
      </c>
      <c r="H18" s="33">
        <v>63.22</v>
      </c>
      <c r="I18" s="33">
        <v>60.86</v>
      </c>
      <c r="J18" s="33">
        <v>54.33</v>
      </c>
      <c r="K18" s="31"/>
      <c r="L18" s="48" t="s">
        <v>841</v>
      </c>
      <c r="M18" s="46" t="s">
        <v>849</v>
      </c>
      <c r="N18" s="46" t="s">
        <v>850</v>
      </c>
      <c r="O18" s="47">
        <v>2.4799999999999999E-2</v>
      </c>
      <c r="P18" s="46" t="s">
        <v>851</v>
      </c>
      <c r="Q18" s="47">
        <v>0.18940000000000001</v>
      </c>
    </row>
    <row r="19" spans="1:17" hidden="1">
      <c r="A19" s="40">
        <v>46158</v>
      </c>
      <c r="B19" s="41" t="s">
        <v>57</v>
      </c>
      <c r="C19" s="41" t="s">
        <v>791</v>
      </c>
      <c r="D19" s="41" t="e" vm="35">
        <v>#VALUE!</v>
      </c>
      <c r="E19" s="42">
        <f t="array" aca="1" ref="E19" ca="1">_FV(D19,"Price")</f>
        <v>1788.5</v>
      </c>
      <c r="F19" s="43">
        <f t="array" aca="1" ref="F19" ca="1">_FV(D19,"Previous close",TRUE)</f>
        <v>1789.9</v>
      </c>
      <c r="G19" s="33">
        <v>1799.2</v>
      </c>
      <c r="H19" s="33">
        <v>1788.75</v>
      </c>
      <c r="I19" s="33">
        <v>1781.91</v>
      </c>
      <c r="J19" s="33">
        <v>1757.35</v>
      </c>
      <c r="K19" s="31"/>
      <c r="L19" s="48" t="s">
        <v>841</v>
      </c>
      <c r="M19" s="46" t="s">
        <v>852</v>
      </c>
      <c r="N19" s="46" t="s">
        <v>853</v>
      </c>
      <c r="O19" s="47">
        <v>8.5000000000000006E-3</v>
      </c>
      <c r="P19" s="46" t="s">
        <v>854</v>
      </c>
      <c r="Q19" s="47">
        <v>3.95E-2</v>
      </c>
    </row>
    <row r="20" spans="1:17" hidden="1">
      <c r="A20" s="40">
        <v>46158</v>
      </c>
      <c r="B20" s="41" t="s">
        <v>61</v>
      </c>
      <c r="C20" s="41" t="s">
        <v>791</v>
      </c>
      <c r="D20" s="41" t="e" vm="170">
        <v>#VALUE!</v>
      </c>
      <c r="E20" s="42">
        <f t="array" aca="1" ref="E20" ca="1">_FV(D20,"Price")</f>
        <v>2929.2</v>
      </c>
      <c r="F20" s="43">
        <f t="array" aca="1" ref="F20" ca="1">_FV(D20,"Previous close",TRUE)</f>
        <v>2912.2</v>
      </c>
      <c r="G20" s="33">
        <v>2928.9</v>
      </c>
      <c r="H20" s="33">
        <v>2948.66</v>
      </c>
      <c r="I20" s="33">
        <v>2937.72</v>
      </c>
      <c r="J20" s="33">
        <v>2880.61</v>
      </c>
      <c r="K20" s="31"/>
      <c r="L20" s="48" t="s">
        <v>841</v>
      </c>
      <c r="M20" s="46" t="s">
        <v>855</v>
      </c>
      <c r="N20" s="46" t="s">
        <v>856</v>
      </c>
      <c r="O20" s="47">
        <v>4.9000000000000002E-2</v>
      </c>
      <c r="P20" s="46" t="s">
        <v>857</v>
      </c>
      <c r="Q20" s="47">
        <v>4.7300000000000002E-2</v>
      </c>
    </row>
    <row r="21" spans="1:17" hidden="1">
      <c r="A21" s="40">
        <v>46158</v>
      </c>
      <c r="B21" s="41" t="s">
        <v>858</v>
      </c>
      <c r="C21" s="41" t="s">
        <v>791</v>
      </c>
      <c r="D21" s="41" t="e" vm="171">
        <v>#VALUE!</v>
      </c>
      <c r="E21" s="42">
        <f t="array" aca="1" ref="E21" ca="1">_FV(D21,"Price")</f>
        <v>141.9</v>
      </c>
      <c r="F21" s="43">
        <f t="array" aca="1" ref="F21" ca="1">_FV(D21,"Previous close",TRUE)</f>
        <v>142.28</v>
      </c>
      <c r="G21" s="33">
        <v>145.16999999999999</v>
      </c>
      <c r="H21" s="33">
        <v>136.44999999999999</v>
      </c>
      <c r="I21" s="33">
        <v>134.43</v>
      </c>
      <c r="J21" s="33">
        <v>128.25</v>
      </c>
      <c r="K21" s="31"/>
      <c r="L21" s="48" t="s">
        <v>841</v>
      </c>
      <c r="M21" s="46" t="s">
        <v>859</v>
      </c>
      <c r="N21" s="46" t="s">
        <v>860</v>
      </c>
      <c r="O21" s="47">
        <v>4.3099999999999999E-2</v>
      </c>
      <c r="P21" s="46" t="s">
        <v>861</v>
      </c>
      <c r="Q21" s="47">
        <v>5.9299999999999999E-2</v>
      </c>
    </row>
    <row r="22" spans="1:17" hidden="1">
      <c r="A22" s="40">
        <v>46158</v>
      </c>
      <c r="B22" s="41" t="s">
        <v>53</v>
      </c>
      <c r="C22" s="41" t="s">
        <v>791</v>
      </c>
      <c r="D22" s="41" t="e" vm="172">
        <v>#VALUE!</v>
      </c>
      <c r="E22" s="42">
        <f t="array" aca="1" ref="E22" ca="1">_FV(D22,"Price")</f>
        <v>599.35</v>
      </c>
      <c r="F22" s="43">
        <f t="array" aca="1" ref="F22" ca="1">_FV(D22,"Previous close",TRUE)</f>
        <v>604.95000000000005</v>
      </c>
      <c r="G22" s="33">
        <v>605</v>
      </c>
      <c r="H22" s="33">
        <v>581.11</v>
      </c>
      <c r="I22" s="33">
        <v>576.21</v>
      </c>
      <c r="J22" s="33">
        <v>572.22</v>
      </c>
      <c r="K22" s="31"/>
      <c r="L22" s="48" t="s">
        <v>841</v>
      </c>
      <c r="M22" s="46" t="s">
        <v>862</v>
      </c>
      <c r="N22" s="46" t="s">
        <v>863</v>
      </c>
      <c r="O22" s="47">
        <v>1.6199999999999999E-2</v>
      </c>
      <c r="P22" s="46" t="s">
        <v>864</v>
      </c>
      <c r="Q22" s="47">
        <v>0.17369999999999999</v>
      </c>
    </row>
    <row r="23" spans="1:17" hidden="1">
      <c r="A23" s="40">
        <v>46158</v>
      </c>
      <c r="B23" s="41" t="s">
        <v>865</v>
      </c>
      <c r="C23" s="41" t="s">
        <v>791</v>
      </c>
      <c r="D23" s="41" t="e" vm="173">
        <v>#VALUE!</v>
      </c>
      <c r="E23" s="42">
        <f t="array" aca="1" ref="E23" ca="1">_FV(D23,"Price")</f>
        <v>1201.3</v>
      </c>
      <c r="F23" s="43">
        <f t="array" aca="1" ref="F23" ca="1">_FV(D23,"Previous close",TRUE)</f>
        <v>1198.8</v>
      </c>
      <c r="G23" s="33">
        <v>1189</v>
      </c>
      <c r="H23" s="33">
        <v>1168.98</v>
      </c>
      <c r="I23" s="33">
        <v>1161.01</v>
      </c>
      <c r="J23" s="33">
        <v>1151.26</v>
      </c>
      <c r="K23" s="31"/>
      <c r="L23" s="48" t="s">
        <v>841</v>
      </c>
      <c r="M23" s="46" t="s">
        <v>866</v>
      </c>
      <c r="N23" s="46" t="s">
        <v>867</v>
      </c>
      <c r="O23" s="47">
        <v>2.6700000000000002E-2</v>
      </c>
      <c r="P23" s="46" t="s">
        <v>868</v>
      </c>
      <c r="Q23" s="47">
        <v>8.7300000000000003E-2</v>
      </c>
    </row>
    <row r="24" spans="1:17" hidden="1">
      <c r="A24" s="40">
        <v>46158</v>
      </c>
      <c r="B24" s="41" t="s">
        <v>869</v>
      </c>
      <c r="C24" s="41" t="s">
        <v>791</v>
      </c>
      <c r="D24" s="41" t="e" vm="174">
        <v>#VALUE!</v>
      </c>
      <c r="E24" s="42">
        <f t="array" aca="1" ref="E24" ca="1">_FV(D24,"Price")</f>
        <v>2369.5</v>
      </c>
      <c r="F24" s="43">
        <f t="array" aca="1" ref="F24" ca="1">_FV(D24,"Previous close",TRUE)</f>
        <v>2299</v>
      </c>
      <c r="G24" s="33">
        <v>2375.6</v>
      </c>
      <c r="H24" s="33">
        <v>2317.16</v>
      </c>
      <c r="I24" s="33">
        <v>2299.46</v>
      </c>
      <c r="J24" s="33">
        <v>2259.9</v>
      </c>
      <c r="K24" s="31"/>
      <c r="L24" s="48" t="s">
        <v>841</v>
      </c>
      <c r="M24" s="46" t="s">
        <v>870</v>
      </c>
      <c r="N24" s="46" t="s">
        <v>871</v>
      </c>
      <c r="O24" s="47">
        <v>4.1999999999999997E-3</v>
      </c>
      <c r="P24" s="46" t="s">
        <v>872</v>
      </c>
      <c r="Q24" s="47">
        <v>1.9300000000000001E-2</v>
      </c>
    </row>
    <row r="25" spans="1:17" hidden="1">
      <c r="A25" s="40">
        <v>46158</v>
      </c>
      <c r="B25" s="41" t="s">
        <v>873</v>
      </c>
      <c r="C25" s="41" t="s">
        <v>791</v>
      </c>
      <c r="D25" s="41" t="e" vm="175">
        <v>#VALUE!</v>
      </c>
      <c r="E25" s="42">
        <f t="array" aca="1" ref="E25" ca="1">_FV(D25,"Price")</f>
        <v>1554.7</v>
      </c>
      <c r="F25" s="43">
        <f t="array" aca="1" ref="F25" ca="1">_FV(D25,"Previous close",TRUE)</f>
        <v>1507.7</v>
      </c>
      <c r="G25" s="33">
        <v>1524.4</v>
      </c>
      <c r="H25" s="33">
        <v>1537.6</v>
      </c>
      <c r="I25" s="33">
        <v>1534.3</v>
      </c>
      <c r="J25" s="33">
        <v>1513.46</v>
      </c>
      <c r="K25" s="31"/>
      <c r="L25" s="48" t="s">
        <v>841</v>
      </c>
      <c r="M25" s="46" t="s">
        <v>874</v>
      </c>
      <c r="N25" s="46" t="s">
        <v>875</v>
      </c>
      <c r="O25" s="47">
        <v>3.5400000000000001E-2</v>
      </c>
      <c r="P25" s="46" t="s">
        <v>876</v>
      </c>
      <c r="Q25" s="47">
        <v>3.5499999999999997E-2</v>
      </c>
    </row>
    <row r="26" spans="1:17" hidden="1">
      <c r="A26" s="40">
        <v>46158</v>
      </c>
      <c r="B26" s="41" t="s">
        <v>877</v>
      </c>
      <c r="C26" s="41" t="s">
        <v>791</v>
      </c>
      <c r="D26" s="41" t="e" vm="176">
        <v>#VALUE!</v>
      </c>
      <c r="E26" s="42">
        <f t="array" aca="1" ref="E26" ca="1">_FV(D26,"Price")</f>
        <v>346</v>
      </c>
      <c r="F26" s="43">
        <f t="array" aca="1" ref="F26" ca="1">_FV(D26,"Previous close",TRUE)</f>
        <v>349.1</v>
      </c>
      <c r="G26" s="33">
        <v>347.55</v>
      </c>
      <c r="H26" s="33">
        <v>326.08999999999997</v>
      </c>
      <c r="I26" s="33">
        <v>320</v>
      </c>
      <c r="J26" s="33">
        <v>298.8</v>
      </c>
      <c r="K26" s="31"/>
      <c r="L26" s="48" t="s">
        <v>841</v>
      </c>
      <c r="M26" s="46" t="s">
        <v>878</v>
      </c>
      <c r="N26" s="46" t="s">
        <v>879</v>
      </c>
      <c r="O26" s="47">
        <v>1.8700000000000001E-2</v>
      </c>
      <c r="P26" s="46" t="s">
        <v>880</v>
      </c>
      <c r="Q26" s="47">
        <v>5.1499999999999997E-2</v>
      </c>
    </row>
    <row r="27" spans="1:17" hidden="1">
      <c r="A27" s="40">
        <v>46158</v>
      </c>
      <c r="B27" s="41" t="s">
        <v>657</v>
      </c>
      <c r="C27" s="41" t="s">
        <v>791</v>
      </c>
      <c r="D27" s="41" t="e" vm="8">
        <v>#VALUE!</v>
      </c>
      <c r="E27" s="42">
        <f t="array" aca="1" ref="E27" ca="1">_FV(D27,"Price")</f>
        <v>659.85</v>
      </c>
      <c r="F27" s="43">
        <f t="array" aca="1" ref="F27" ca="1">_FV(D27,"Previous close",TRUE)</f>
        <v>672.3</v>
      </c>
      <c r="G27" s="33">
        <v>662.45</v>
      </c>
      <c r="H27" s="33">
        <v>637.19000000000005</v>
      </c>
      <c r="I27" s="33">
        <v>627.74</v>
      </c>
      <c r="J27" s="33">
        <v>598.25</v>
      </c>
      <c r="K27" s="31"/>
      <c r="L27" s="31"/>
      <c r="M27" s="31"/>
      <c r="N27" s="31"/>
      <c r="O27" s="31"/>
      <c r="P27" s="31"/>
      <c r="Q27" s="31"/>
    </row>
    <row r="28" spans="1:17" hidden="1">
      <c r="A28" s="40">
        <v>46158</v>
      </c>
      <c r="B28" s="41" t="s">
        <v>220</v>
      </c>
      <c r="C28" s="41" t="s">
        <v>791</v>
      </c>
      <c r="D28" s="41" t="e" vm="95">
        <v>#VALUE!</v>
      </c>
      <c r="E28" s="42">
        <f t="array" aca="1" ref="E28" ca="1">_FV(D28,"Price")</f>
        <v>706.45</v>
      </c>
      <c r="F28" s="43">
        <f t="array" aca="1" ref="F28" ca="1">_FV(D28,"Previous close",TRUE)</f>
        <v>707.05</v>
      </c>
      <c r="G28" s="33">
        <v>702.6</v>
      </c>
      <c r="H28" s="33">
        <v>642.27</v>
      </c>
      <c r="I28" s="33">
        <v>631.74</v>
      </c>
      <c r="J28" s="33">
        <v>612.01</v>
      </c>
      <c r="K28" s="31"/>
      <c r="L28" s="31"/>
      <c r="M28" s="31"/>
      <c r="N28" s="31"/>
      <c r="O28" s="31"/>
      <c r="P28" s="31"/>
      <c r="Q28" s="31"/>
    </row>
    <row r="29" spans="1:17" hidden="1">
      <c r="A29" s="40">
        <v>46158</v>
      </c>
      <c r="B29" s="41" t="s">
        <v>218</v>
      </c>
      <c r="C29" s="41" t="s">
        <v>791</v>
      </c>
      <c r="D29" s="41" t="e" vm="177">
        <v>#VALUE!</v>
      </c>
      <c r="E29" s="42">
        <f t="array" aca="1" ref="E29" ca="1">_FV(D29,"Price")</f>
        <v>242.37</v>
      </c>
      <c r="F29" s="43">
        <f t="array" aca="1" ref="F29" ca="1">_FV(D29,"Previous close",TRUE)</f>
        <v>241.19</v>
      </c>
      <c r="G29" s="33">
        <v>246.19</v>
      </c>
      <c r="H29" s="33">
        <v>210.63</v>
      </c>
      <c r="I29" s="33">
        <v>206.24</v>
      </c>
      <c r="J29" s="33">
        <v>195.43</v>
      </c>
      <c r="K29" s="31"/>
      <c r="L29" s="31"/>
      <c r="M29" s="31"/>
      <c r="N29" s="31"/>
      <c r="O29" s="31"/>
      <c r="P29" s="31"/>
      <c r="Q29" s="31"/>
    </row>
    <row r="30" spans="1:17" hidden="1">
      <c r="A30" s="40">
        <v>46158</v>
      </c>
      <c r="B30" s="41" t="s">
        <v>881</v>
      </c>
      <c r="C30" s="41" t="s">
        <v>791</v>
      </c>
      <c r="D30" s="41" t="e" vm="178">
        <v>#VALUE!</v>
      </c>
      <c r="E30" s="42">
        <f t="array" aca="1" ref="E30" ca="1">_FV(D30,"Price")</f>
        <v>538.85</v>
      </c>
      <c r="F30" s="43">
        <f t="array" aca="1" ref="F30" ca="1">_FV(D30,"Previous close",TRUE)</f>
        <v>543.04999999999995</v>
      </c>
      <c r="G30" s="33">
        <v>532.70000000000005</v>
      </c>
      <c r="H30" s="33">
        <v>524.44000000000005</v>
      </c>
      <c r="I30" s="33">
        <v>520.57000000000005</v>
      </c>
      <c r="J30" s="33">
        <v>517.54</v>
      </c>
      <c r="K30" s="31"/>
      <c r="L30" s="31"/>
      <c r="M30" s="31"/>
      <c r="N30" s="31"/>
      <c r="O30" s="31"/>
      <c r="P30" s="31"/>
      <c r="Q30" s="31"/>
    </row>
    <row r="31" spans="1:17" hidden="1">
      <c r="A31" s="40">
        <v>46158</v>
      </c>
      <c r="B31" s="41" t="s">
        <v>882</v>
      </c>
      <c r="C31" s="41" t="s">
        <v>791</v>
      </c>
      <c r="D31" s="41" t="e" vm="179">
        <v>#VALUE!</v>
      </c>
      <c r="E31" s="42">
        <f t="array" aca="1" ref="E31" ca="1">_FV(D31,"Price")</f>
        <v>268.35000000000002</v>
      </c>
      <c r="F31" s="43">
        <f t="array" aca="1" ref="F31" ca="1">_FV(D31,"Previous close",TRUE)</f>
        <v>270.89999999999998</v>
      </c>
      <c r="G31" s="33">
        <v>273.36</v>
      </c>
      <c r="H31" s="33">
        <v>259.5</v>
      </c>
      <c r="I31" s="33">
        <v>256.95</v>
      </c>
      <c r="J31" s="33">
        <v>251.43</v>
      </c>
      <c r="K31" s="31"/>
      <c r="L31" s="31"/>
      <c r="M31" s="31"/>
      <c r="N31" s="31"/>
      <c r="O31" s="31"/>
      <c r="P31" s="31"/>
      <c r="Q31" s="31"/>
    </row>
    <row r="32" spans="1:17" hidden="1">
      <c r="A32" s="40">
        <v>46158</v>
      </c>
      <c r="B32" s="41" t="s">
        <v>883</v>
      </c>
      <c r="C32" s="41" t="s">
        <v>791</v>
      </c>
      <c r="D32" s="41" t="e" vm="180">
        <v>#VALUE!</v>
      </c>
      <c r="E32" s="42">
        <f t="array" aca="1" ref="E32" ca="1">_FV(D32,"Price")</f>
        <v>235.25</v>
      </c>
      <c r="F32" s="43">
        <f t="array" aca="1" ref="F32" ca="1">_FV(D32,"Previous close",TRUE)</f>
        <v>231.12</v>
      </c>
      <c r="G32" s="33">
        <v>217.82</v>
      </c>
      <c r="H32" s="33">
        <v>201.15</v>
      </c>
      <c r="I32" s="33">
        <v>195.96</v>
      </c>
      <c r="J32" s="33">
        <v>180.01</v>
      </c>
      <c r="K32" s="31"/>
      <c r="L32" s="31"/>
      <c r="M32" s="31"/>
      <c r="N32" s="31"/>
      <c r="O32" s="31"/>
      <c r="P32" s="31"/>
      <c r="Q32" s="31"/>
    </row>
    <row r="33" spans="1:17" hidden="1">
      <c r="A33" s="40">
        <v>46158</v>
      </c>
      <c r="B33" s="41" t="s">
        <v>694</v>
      </c>
      <c r="C33" s="41" t="s">
        <v>791</v>
      </c>
      <c r="D33" s="41" t="e" vm="60">
        <v>#VALUE!</v>
      </c>
      <c r="E33" s="42">
        <f t="array" aca="1" ref="E33" ca="1">_FV(D33,"Price")</f>
        <v>571.15</v>
      </c>
      <c r="F33" s="43">
        <f t="array" aca="1" ref="F33" ca="1">_FV(D33,"Previous close",TRUE)</f>
        <v>565.85</v>
      </c>
      <c r="G33" s="33">
        <v>562.1</v>
      </c>
      <c r="H33" s="33">
        <v>575.67999999999995</v>
      </c>
      <c r="I33" s="33">
        <v>576.09</v>
      </c>
      <c r="J33" s="33">
        <v>574.92999999999995</v>
      </c>
      <c r="K33" s="31"/>
      <c r="L33" s="31"/>
      <c r="M33" s="31"/>
      <c r="N33" s="31"/>
      <c r="O33" s="31"/>
      <c r="P33" s="31"/>
      <c r="Q33" s="31"/>
    </row>
    <row r="34" spans="1:17" hidden="1">
      <c r="A34" s="40">
        <v>46158</v>
      </c>
      <c r="B34" s="41" t="s">
        <v>884</v>
      </c>
      <c r="C34" s="41" t="s">
        <v>791</v>
      </c>
      <c r="D34" s="41" t="e" vm="181">
        <v>#VALUE!</v>
      </c>
      <c r="E34" s="42">
        <f t="array" aca="1" ref="E34" ca="1">_FV(D34,"Price")</f>
        <v>1688.1</v>
      </c>
      <c r="F34" s="43">
        <f t="array" aca="1" ref="F34" ca="1">_FV(D34,"Previous close",TRUE)</f>
        <v>1672.4</v>
      </c>
      <c r="G34" s="33">
        <v>1664.7</v>
      </c>
      <c r="H34" s="33">
        <v>1597.63</v>
      </c>
      <c r="I34" s="33">
        <v>1580.49</v>
      </c>
      <c r="J34" s="33">
        <v>1524.98</v>
      </c>
      <c r="K34" s="31"/>
      <c r="L34" s="31"/>
      <c r="M34" s="31"/>
      <c r="N34" s="31"/>
      <c r="O34" s="31"/>
      <c r="P34" s="31"/>
      <c r="Q34" s="31"/>
    </row>
    <row r="35" spans="1:17" hidden="1">
      <c r="A35" s="40">
        <v>46158</v>
      </c>
      <c r="B35" s="41" t="s">
        <v>67</v>
      </c>
      <c r="C35" s="41" t="s">
        <v>885</v>
      </c>
      <c r="D35" s="41" t="e" vm="30">
        <v>#VALUE!</v>
      </c>
      <c r="E35" s="42">
        <f t="array" aca="1" ref="E35" ca="1">_FV(D35,"Price")</f>
        <v>1286.3</v>
      </c>
      <c r="F35" s="43">
        <f t="array" aca="1" ref="F35" ca="1">_FV(D35,"Previous close",TRUE)</f>
        <v>1235</v>
      </c>
      <c r="G35" s="33">
        <v>1318.6</v>
      </c>
      <c r="H35" s="33">
        <v>1176.1099999999999</v>
      </c>
      <c r="I35" s="33">
        <v>1143.8</v>
      </c>
      <c r="J35" s="33">
        <v>1018.52</v>
      </c>
      <c r="K35" s="31"/>
      <c r="L35" s="31"/>
      <c r="M35" s="31"/>
      <c r="N35" s="31"/>
      <c r="O35" s="31"/>
      <c r="P35" s="31"/>
      <c r="Q35" s="31"/>
    </row>
    <row r="36" spans="1:17" hidden="1">
      <c r="A36" s="40">
        <v>46158</v>
      </c>
      <c r="B36" s="41" t="s">
        <v>886</v>
      </c>
      <c r="C36" s="41" t="s">
        <v>885</v>
      </c>
      <c r="D36" s="41" t="e" vm="182">
        <v>#VALUE!</v>
      </c>
      <c r="E36" s="42">
        <f t="array" aca="1" ref="E36" ca="1">_FV(D36,"Price")</f>
        <v>7468</v>
      </c>
      <c r="F36" s="43">
        <f t="array" aca="1" ref="F36" ca="1">_FV(D36,"Previous close",TRUE)</f>
        <v>7216</v>
      </c>
      <c r="G36" s="33">
        <v>7879.5</v>
      </c>
      <c r="H36" s="33">
        <v>6506.47</v>
      </c>
      <c r="I36" s="33">
        <v>6210.04</v>
      </c>
      <c r="J36" s="33">
        <v>5134.9399999999996</v>
      </c>
      <c r="K36" s="31"/>
      <c r="L36" s="31"/>
      <c r="M36" s="31"/>
      <c r="N36" s="31"/>
      <c r="O36" s="31"/>
      <c r="P36" s="31"/>
      <c r="Q36" s="31"/>
    </row>
    <row r="37" spans="1:17" hidden="1">
      <c r="A37" s="40">
        <v>46158</v>
      </c>
      <c r="B37" s="41" t="s">
        <v>887</v>
      </c>
      <c r="C37" s="41" t="s">
        <v>885</v>
      </c>
      <c r="D37" s="41" t="e" vm="183">
        <v>#VALUE!</v>
      </c>
      <c r="E37" s="42">
        <f t="array" aca="1" ref="E37" ca="1">_FV(D37,"Price")</f>
        <v>2833.6</v>
      </c>
      <c r="F37" s="43">
        <f t="array" aca="1" ref="F37" ca="1">_FV(D37,"Previous close",TRUE)</f>
        <v>2878.7</v>
      </c>
      <c r="G37" s="33">
        <v>2954.5</v>
      </c>
      <c r="H37" s="33">
        <v>2940.36</v>
      </c>
      <c r="I37" s="33">
        <v>2897.27</v>
      </c>
      <c r="J37" s="33">
        <v>2690.47</v>
      </c>
      <c r="K37" s="31"/>
      <c r="L37" s="31"/>
      <c r="M37" s="31"/>
      <c r="N37" s="31"/>
      <c r="O37" s="31"/>
      <c r="P37" s="31"/>
      <c r="Q37" s="31"/>
    </row>
    <row r="38" spans="1:17" hidden="1">
      <c r="A38" s="40">
        <v>46158</v>
      </c>
      <c r="B38" s="41" t="s">
        <v>888</v>
      </c>
      <c r="C38" s="41" t="s">
        <v>885</v>
      </c>
      <c r="D38" s="41" t="e" vm="184">
        <v>#VALUE!</v>
      </c>
      <c r="E38" s="42">
        <f t="array" aca="1" ref="E38" ca="1">_FV(D38,"Price")</f>
        <v>1056.3</v>
      </c>
      <c r="F38" s="43">
        <f t="array" aca="1" ref="F38" ca="1">_FV(D38,"Previous close",TRUE)</f>
        <v>1031.8</v>
      </c>
      <c r="G38" s="33">
        <v>1037.1500000000001</v>
      </c>
      <c r="H38" s="33">
        <v>823.68</v>
      </c>
      <c r="I38" s="33">
        <v>787.59</v>
      </c>
      <c r="J38" s="33">
        <v>685.09</v>
      </c>
      <c r="K38" s="31"/>
      <c r="L38" s="31"/>
      <c r="M38" s="31"/>
      <c r="N38" s="31"/>
      <c r="O38" s="31"/>
      <c r="P38" s="31"/>
      <c r="Q38" s="31"/>
    </row>
    <row r="39" spans="1:17" hidden="1">
      <c r="A39" s="40">
        <v>46158</v>
      </c>
      <c r="B39" s="41" t="s">
        <v>889</v>
      </c>
      <c r="C39" s="41" t="s">
        <v>885</v>
      </c>
      <c r="D39" s="41" t="e" vm="185">
        <v>#VALUE!</v>
      </c>
      <c r="E39" s="42">
        <f t="array" aca="1" ref="E39" ca="1">_FV(D39,"Price")</f>
        <v>1497.7</v>
      </c>
      <c r="F39" s="43">
        <f t="array" aca="1" ref="F39" ca="1">_FV(D39,"Previous close",TRUE)</f>
        <v>1517.9</v>
      </c>
      <c r="G39" s="33">
        <v>1575.8</v>
      </c>
      <c r="H39" s="33">
        <v>1371.31</v>
      </c>
      <c r="I39" s="33">
        <v>1325.4</v>
      </c>
      <c r="J39" s="33">
        <v>1171.7</v>
      </c>
      <c r="K39" s="31"/>
      <c r="L39" s="31"/>
      <c r="M39" s="31"/>
      <c r="N39" s="31"/>
      <c r="O39" s="31"/>
      <c r="P39" s="31"/>
      <c r="Q39" s="31"/>
    </row>
    <row r="40" spans="1:17" hidden="1">
      <c r="A40" s="40">
        <v>46158</v>
      </c>
      <c r="B40" s="41" t="s">
        <v>138</v>
      </c>
      <c r="C40" s="41" t="s">
        <v>885</v>
      </c>
      <c r="D40" s="41" t="e" vm="186">
        <v>#VALUE!</v>
      </c>
      <c r="E40" s="42">
        <f t="array" aca="1" ref="E40" ca="1">_FV(D40,"Price")</f>
        <v>620.6</v>
      </c>
      <c r="F40" s="43">
        <f t="array" aca="1" ref="F40" ca="1">_FV(D40,"Previous close",TRUE)</f>
        <v>591.04999999999995</v>
      </c>
      <c r="G40" s="33">
        <v>536.15</v>
      </c>
      <c r="H40" s="33">
        <v>408.71</v>
      </c>
      <c r="I40" s="33">
        <v>381.86</v>
      </c>
      <c r="J40" s="33">
        <v>296.70999999999998</v>
      </c>
      <c r="K40" s="31"/>
      <c r="L40" s="31"/>
      <c r="M40" s="31"/>
      <c r="N40" s="31"/>
      <c r="O40" s="31"/>
      <c r="P40" s="31"/>
      <c r="Q40" s="31"/>
    </row>
    <row r="41" spans="1:17" hidden="1">
      <c r="A41" s="40">
        <v>46158</v>
      </c>
      <c r="B41" s="41" t="s">
        <v>48</v>
      </c>
      <c r="C41" s="41" t="s">
        <v>885</v>
      </c>
      <c r="D41" s="41" t="e" vm="187">
        <v>#VALUE!</v>
      </c>
      <c r="E41" s="42">
        <f t="array" aca="1" ref="E41" ca="1">_FV(D41,"Price")</f>
        <v>129.80000000000001</v>
      </c>
      <c r="F41" s="43">
        <f t="array" aca="1" ref="F41" ca="1">_FV(D41,"Previous close",TRUE)</f>
        <v>128.35</v>
      </c>
      <c r="G41" s="33">
        <v>129.06</v>
      </c>
      <c r="H41" s="33">
        <v>117.3</v>
      </c>
      <c r="I41" s="33">
        <v>114.21</v>
      </c>
      <c r="J41" s="33">
        <v>101.57</v>
      </c>
      <c r="K41" s="31"/>
      <c r="L41" s="31"/>
      <c r="M41" s="31"/>
      <c r="N41" s="31"/>
      <c r="O41" s="31"/>
      <c r="P41" s="31"/>
      <c r="Q41" s="31"/>
    </row>
    <row r="42" spans="1:17" hidden="1">
      <c r="A42" s="40">
        <v>46158</v>
      </c>
      <c r="B42" s="41" t="s">
        <v>93</v>
      </c>
      <c r="C42" s="41" t="s">
        <v>885</v>
      </c>
      <c r="D42" s="41" t="e" vm="188">
        <v>#VALUE!</v>
      </c>
      <c r="E42" s="42">
        <f t="array" aca="1" ref="E42" ca="1">_FV(D42,"Price")</f>
        <v>1394.3</v>
      </c>
      <c r="F42" s="43">
        <f t="array" aca="1" ref="F42" ca="1">_FV(D42,"Previous close",TRUE)</f>
        <v>1382.6</v>
      </c>
      <c r="G42" s="33">
        <v>1362</v>
      </c>
      <c r="H42" s="33">
        <v>1254.02</v>
      </c>
      <c r="I42" s="33">
        <v>1229.67</v>
      </c>
      <c r="J42" s="33">
        <v>1147.8399999999999</v>
      </c>
      <c r="K42" s="31"/>
      <c r="L42" s="31"/>
      <c r="M42" s="31"/>
      <c r="N42" s="31"/>
      <c r="O42" s="31"/>
      <c r="P42" s="31"/>
      <c r="Q42" s="31"/>
    </row>
    <row r="43" spans="1:17" hidden="1">
      <c r="A43" s="40">
        <v>46158</v>
      </c>
      <c r="B43" s="41" t="s">
        <v>397</v>
      </c>
      <c r="C43" s="41" t="s">
        <v>885</v>
      </c>
      <c r="D43" s="41" t="e" vm="189">
        <v>#VALUE!</v>
      </c>
      <c r="E43" s="42">
        <f t="array" aca="1" ref="E43" ca="1">_FV(D43,"Price")</f>
        <v>1889.5</v>
      </c>
      <c r="F43" s="43">
        <f t="array" aca="1" ref="F43" ca="1">_FV(D43,"Previous close",TRUE)</f>
        <v>1856.9</v>
      </c>
      <c r="G43" s="33">
        <v>1928</v>
      </c>
      <c r="H43" s="33">
        <v>1707.89</v>
      </c>
      <c r="I43" s="33">
        <v>1672.41</v>
      </c>
      <c r="J43" s="33">
        <v>1529.2</v>
      </c>
      <c r="K43" s="31"/>
      <c r="L43" s="31"/>
      <c r="M43" s="31"/>
      <c r="N43" s="31"/>
      <c r="O43" s="31"/>
      <c r="P43" s="31"/>
      <c r="Q43" s="31"/>
    </row>
    <row r="44" spans="1:17" hidden="1">
      <c r="A44" s="40">
        <v>46158</v>
      </c>
      <c r="B44" s="41" t="s">
        <v>75</v>
      </c>
      <c r="C44" s="41" t="s">
        <v>885</v>
      </c>
      <c r="D44" s="41" t="e" vm="154">
        <v>#VALUE!</v>
      </c>
      <c r="E44" s="42">
        <f t="array" aca="1" ref="E44" ca="1">_FV(D44,"Price")</f>
        <v>3966.1</v>
      </c>
      <c r="F44" s="43">
        <f t="array" aca="1" ref="F44" ca="1">_FV(D44,"Previous close",TRUE)</f>
        <v>3931.9</v>
      </c>
      <c r="G44" s="33">
        <v>4146.1000000000004</v>
      </c>
      <c r="H44" s="33">
        <v>3769.07</v>
      </c>
      <c r="I44" s="33">
        <v>3684.5</v>
      </c>
      <c r="J44" s="33">
        <v>3375.34</v>
      </c>
      <c r="K44" s="31"/>
      <c r="L44" s="31"/>
      <c r="M44" s="31"/>
      <c r="N44" s="31"/>
      <c r="O44" s="31"/>
      <c r="P44" s="31"/>
      <c r="Q44" s="31"/>
    </row>
    <row r="45" spans="1:17" hidden="1">
      <c r="A45" s="40">
        <v>46158</v>
      </c>
      <c r="B45" s="41" t="s">
        <v>890</v>
      </c>
      <c r="C45" s="41" t="s">
        <v>885</v>
      </c>
      <c r="D45" s="41" t="e" vm="190">
        <v>#VALUE!</v>
      </c>
      <c r="E45" s="42">
        <f t="array" aca="1" ref="E45" ca="1">_FV(D45,"Price")</f>
        <v>5692.5</v>
      </c>
      <c r="F45" s="43">
        <f t="array" aca="1" ref="F45" ca="1">_FV(D45,"Previous close",TRUE)</f>
        <v>5708</v>
      </c>
      <c r="G45" s="33">
        <v>5881</v>
      </c>
      <c r="H45" s="33">
        <v>5385.91</v>
      </c>
      <c r="I45" s="33">
        <v>5308.99</v>
      </c>
      <c r="J45" s="33">
        <v>5008.01</v>
      </c>
      <c r="K45" s="31"/>
      <c r="L45" s="31"/>
      <c r="M45" s="31"/>
      <c r="N45" s="31"/>
      <c r="O45" s="31"/>
      <c r="P45" s="31"/>
      <c r="Q45" s="31"/>
    </row>
    <row r="46" spans="1:17" hidden="1">
      <c r="A46" s="40">
        <v>46158</v>
      </c>
      <c r="B46" s="41" t="s">
        <v>891</v>
      </c>
      <c r="C46" s="41" t="s">
        <v>885</v>
      </c>
      <c r="D46" s="41" t="e" vm="191">
        <v>#VALUE!</v>
      </c>
      <c r="E46" s="42">
        <f t="array" aca="1" ref="E46" ca="1">_FV(D46,"Price")</f>
        <v>1803.8</v>
      </c>
      <c r="F46" s="43">
        <f t="array" aca="1" ref="F46" ca="1">_FV(D46,"Previous close",TRUE)</f>
        <v>1814.5</v>
      </c>
      <c r="G46" s="33">
        <v>1804.6</v>
      </c>
      <c r="H46" s="33">
        <v>1705.08</v>
      </c>
      <c r="I46" s="33">
        <v>1679.34</v>
      </c>
      <c r="J46" s="33">
        <v>1597.81</v>
      </c>
      <c r="K46" s="31"/>
      <c r="L46" s="31"/>
      <c r="M46" s="31"/>
      <c r="N46" s="31"/>
      <c r="O46" s="31"/>
      <c r="P46" s="31"/>
      <c r="Q46" s="31"/>
    </row>
    <row r="47" spans="1:17" hidden="1">
      <c r="A47" s="40">
        <v>46158</v>
      </c>
      <c r="B47" s="41" t="s">
        <v>892</v>
      </c>
      <c r="C47" s="41" t="s">
        <v>885</v>
      </c>
      <c r="D47" s="41" t="e" vm="192">
        <v>#VALUE!</v>
      </c>
      <c r="E47" s="42">
        <f t="array" aca="1" ref="E47" ca="1">_FV(D47,"Price")</f>
        <v>812.85</v>
      </c>
      <c r="F47" s="43">
        <f t="array" aca="1" ref="F47" ca="1">_FV(D47,"Previous close",TRUE)</f>
        <v>834.6</v>
      </c>
      <c r="G47" s="33">
        <v>796.5</v>
      </c>
      <c r="H47" s="33">
        <v>693.31</v>
      </c>
      <c r="I47" s="33">
        <v>671.08</v>
      </c>
      <c r="J47" s="33">
        <v>592.9</v>
      </c>
      <c r="K47" s="31"/>
      <c r="L47" s="31"/>
      <c r="M47" s="31"/>
      <c r="N47" s="31"/>
      <c r="O47" s="31"/>
      <c r="P47" s="31"/>
      <c r="Q47" s="31"/>
    </row>
    <row r="48" spans="1:17" hidden="1">
      <c r="A48" s="40">
        <v>46158</v>
      </c>
      <c r="B48" s="41" t="s">
        <v>893</v>
      </c>
      <c r="C48" s="41" t="s">
        <v>885</v>
      </c>
      <c r="D48" s="41" t="e" vm="193">
        <v>#VALUE!</v>
      </c>
      <c r="E48" s="42">
        <f t="array" aca="1" ref="E48" ca="1">_FV(D48,"Price")</f>
        <v>496.15</v>
      </c>
      <c r="F48" s="43">
        <f t="array" aca="1" ref="F48" ca="1">_FV(D48,"Previous close",TRUE)</f>
        <v>501.15</v>
      </c>
      <c r="G48" s="33">
        <v>500.5</v>
      </c>
      <c r="H48" s="33">
        <v>506.18</v>
      </c>
      <c r="I48" s="33">
        <v>498.2</v>
      </c>
      <c r="J48" s="33">
        <v>467.36</v>
      </c>
      <c r="K48" s="31"/>
      <c r="L48" s="31"/>
      <c r="M48" s="31"/>
      <c r="N48" s="31"/>
      <c r="O48" s="31"/>
      <c r="P48" s="31"/>
      <c r="Q48" s="31"/>
    </row>
    <row r="49" spans="1:17" hidden="1">
      <c r="A49" s="40">
        <v>46158</v>
      </c>
      <c r="B49" s="41" t="s">
        <v>894</v>
      </c>
      <c r="C49" s="41" t="s">
        <v>885</v>
      </c>
      <c r="D49" s="41" t="e" vm="194">
        <v>#VALUE!</v>
      </c>
      <c r="E49" s="42">
        <f t="array" aca="1" ref="E49" ca="1">_FV(D49,"Price")</f>
        <v>1279.4000000000001</v>
      </c>
      <c r="F49" s="43">
        <f t="array" aca="1" ref="F49" ca="1">_FV(D49,"Previous close",TRUE)</f>
        <v>1317</v>
      </c>
      <c r="G49" s="33">
        <v>1308.5</v>
      </c>
      <c r="H49" s="33">
        <v>1201.8699999999999</v>
      </c>
      <c r="I49" s="33">
        <v>1177.69</v>
      </c>
      <c r="J49" s="33">
        <v>1108.1199999999999</v>
      </c>
      <c r="K49" s="31"/>
      <c r="L49" s="31"/>
      <c r="M49" s="31"/>
      <c r="N49" s="31"/>
      <c r="O49" s="31"/>
      <c r="P49" s="31"/>
      <c r="Q49" s="31"/>
    </row>
    <row r="50" spans="1:17" hidden="1">
      <c r="A50" s="40">
        <v>46158</v>
      </c>
      <c r="B50" s="41" t="s">
        <v>76</v>
      </c>
      <c r="C50" s="41" t="s">
        <v>885</v>
      </c>
      <c r="D50" s="41" t="e" vm="10">
        <v>#VALUE!</v>
      </c>
      <c r="E50" s="42">
        <f t="array" aca="1" ref="E50" ca="1">_FV(D50,"Price")</f>
        <v>3135.7</v>
      </c>
      <c r="F50" s="43">
        <f t="array" aca="1" ref="F50" ca="1">_FV(D50,"Previous close",TRUE)</f>
        <v>3037.6</v>
      </c>
      <c r="G50" s="33">
        <v>3132.5</v>
      </c>
      <c r="H50" s="33">
        <v>2755.15</v>
      </c>
      <c r="I50" s="33">
        <v>2687.67</v>
      </c>
      <c r="J50" s="33">
        <v>2426.15</v>
      </c>
      <c r="K50" s="31"/>
      <c r="L50" s="31"/>
      <c r="M50" s="31"/>
      <c r="N50" s="31"/>
      <c r="O50" s="31"/>
      <c r="P50" s="31"/>
      <c r="Q50" s="31"/>
    </row>
    <row r="51" spans="1:17" hidden="1">
      <c r="A51" s="40">
        <v>46158</v>
      </c>
      <c r="B51" s="41" t="s">
        <v>372</v>
      </c>
      <c r="C51" s="41" t="s">
        <v>885</v>
      </c>
      <c r="D51" s="41" t="e" vm="195">
        <v>#VALUE!</v>
      </c>
      <c r="E51" s="42">
        <f t="array" aca="1" ref="E51" ca="1">_FV(D51,"Price")</f>
        <v>1936.5</v>
      </c>
      <c r="F51" s="43">
        <f t="array" aca="1" ref="F51" ca="1">_FV(D51,"Previous close",TRUE)</f>
        <v>1902.9</v>
      </c>
      <c r="G51" s="33">
        <v>1957.2</v>
      </c>
      <c r="H51" s="33">
        <v>1881.04</v>
      </c>
      <c r="I51" s="33">
        <v>1862.67</v>
      </c>
      <c r="J51" s="33">
        <v>1766.47</v>
      </c>
      <c r="K51" s="31"/>
      <c r="L51" s="31"/>
      <c r="M51" s="31"/>
      <c r="N51" s="31"/>
      <c r="O51" s="31"/>
      <c r="P51" s="31"/>
      <c r="Q51" s="31"/>
    </row>
    <row r="52" spans="1:17" hidden="1">
      <c r="A52" s="40">
        <v>46158</v>
      </c>
      <c r="B52" s="41" t="s">
        <v>895</v>
      </c>
      <c r="C52" s="41" t="s">
        <v>885</v>
      </c>
      <c r="D52" s="41" t="e" vm="196">
        <v>#VALUE!</v>
      </c>
      <c r="E52" s="42">
        <f t="array" aca="1" ref="E52" ca="1">_FV(D52,"Price")</f>
        <v>3464.1</v>
      </c>
      <c r="F52" s="43">
        <f t="array" aca="1" ref="F52" ca="1">_FV(D52,"Previous close",TRUE)</f>
        <v>3487.5</v>
      </c>
      <c r="G52" s="33">
        <v>3518.6</v>
      </c>
      <c r="H52" s="33">
        <v>3344.67</v>
      </c>
      <c r="I52" s="33">
        <v>3296.8</v>
      </c>
      <c r="J52" s="33">
        <v>3155.91</v>
      </c>
      <c r="K52" s="31"/>
      <c r="L52" s="31"/>
      <c r="M52" s="31"/>
      <c r="N52" s="31"/>
      <c r="O52" s="31"/>
      <c r="P52" s="31"/>
      <c r="Q52" s="31"/>
    </row>
    <row r="53" spans="1:17" hidden="1">
      <c r="A53" s="40">
        <v>46158</v>
      </c>
      <c r="B53" s="41" t="s">
        <v>896</v>
      </c>
      <c r="C53" s="41" t="s">
        <v>885</v>
      </c>
      <c r="D53" s="41" t="e" vm="197">
        <v>#VALUE!</v>
      </c>
      <c r="E53" s="42">
        <f t="array" aca="1" ref="E53" ca="1">_FV(D53,"Price")</f>
        <v>436.9</v>
      </c>
      <c r="F53" s="43">
        <f t="array" aca="1" ref="F53" ca="1">_FV(D53,"Previous close",TRUE)</f>
        <v>434.4</v>
      </c>
      <c r="G53" s="33">
        <v>424.45</v>
      </c>
      <c r="H53" s="33">
        <v>412.03</v>
      </c>
      <c r="I53" s="33">
        <v>407.59</v>
      </c>
      <c r="J53" s="33">
        <v>381.71</v>
      </c>
      <c r="K53" s="31"/>
      <c r="L53" s="31"/>
      <c r="M53" s="31"/>
      <c r="N53" s="31"/>
      <c r="O53" s="31"/>
      <c r="P53" s="31"/>
      <c r="Q53" s="31"/>
    </row>
    <row r="54" spans="1:17" hidden="1">
      <c r="A54" s="40">
        <v>46158</v>
      </c>
      <c r="B54" s="41" t="s">
        <v>897</v>
      </c>
      <c r="C54" s="41" t="s">
        <v>885</v>
      </c>
      <c r="D54" s="41" t="e" vm="198">
        <v>#VALUE!</v>
      </c>
      <c r="E54" s="42">
        <f t="array" aca="1" ref="E54" ca="1">_FV(D54,"Price")</f>
        <v>1480.2</v>
      </c>
      <c r="F54" s="43">
        <f t="array" aca="1" ref="F54" ca="1">_FV(D54,"Previous close",TRUE)</f>
        <v>1517.2</v>
      </c>
      <c r="G54" s="33">
        <v>1418.9</v>
      </c>
      <c r="H54" s="33">
        <v>1491.69</v>
      </c>
      <c r="I54" s="33">
        <v>1476.21</v>
      </c>
      <c r="J54" s="33">
        <v>1394.46</v>
      </c>
      <c r="K54" s="31"/>
      <c r="L54" s="31"/>
      <c r="M54" s="31"/>
      <c r="N54" s="31"/>
      <c r="O54" s="31"/>
      <c r="P54" s="31"/>
      <c r="Q54" s="31"/>
    </row>
    <row r="55" spans="1:17" hidden="1">
      <c r="A55" s="40">
        <v>46158</v>
      </c>
      <c r="B55" s="41" t="s">
        <v>898</v>
      </c>
      <c r="C55" s="41" t="s">
        <v>885</v>
      </c>
      <c r="D55" s="41" t="e" vm="199">
        <v>#VALUE!</v>
      </c>
      <c r="E55" s="42">
        <f t="array" aca="1" ref="E55" ca="1">_FV(D55,"Price")</f>
        <v>1022.05</v>
      </c>
      <c r="F55" s="43">
        <f t="array" aca="1" ref="F55" ca="1">_FV(D55,"Previous close",TRUE)</f>
        <v>960.6</v>
      </c>
      <c r="G55" s="33">
        <v>964.1</v>
      </c>
      <c r="H55" s="33">
        <v>900.84</v>
      </c>
      <c r="I55" s="33">
        <v>885.38</v>
      </c>
      <c r="J55" s="33">
        <v>819.16</v>
      </c>
      <c r="K55" s="31"/>
      <c r="L55" s="31"/>
      <c r="M55" s="31"/>
      <c r="N55" s="31"/>
      <c r="O55" s="31"/>
      <c r="P55" s="31"/>
      <c r="Q55" s="31"/>
    </row>
    <row r="56" spans="1:17" hidden="1">
      <c r="A56" s="40">
        <v>46158</v>
      </c>
      <c r="B56" s="41" t="s">
        <v>664</v>
      </c>
      <c r="C56" s="41" t="s">
        <v>885</v>
      </c>
      <c r="D56" s="41" t="e" vm="16">
        <v>#VALUE!</v>
      </c>
      <c r="E56" s="42">
        <f t="array" aca="1" ref="E56" ca="1">_FV(D56,"Price")</f>
        <v>5222</v>
      </c>
      <c r="F56" s="43">
        <f t="array" aca="1" ref="F56" ca="1">_FV(D56,"Previous close",TRUE)</f>
        <v>5261.5</v>
      </c>
      <c r="G56" s="33">
        <v>5267.5</v>
      </c>
      <c r="H56" s="33">
        <v>5012.8500000000004</v>
      </c>
      <c r="I56" s="33">
        <v>4951.08</v>
      </c>
      <c r="J56" s="33">
        <v>4728.62</v>
      </c>
      <c r="K56" s="31"/>
      <c r="L56" s="31"/>
      <c r="M56" s="31"/>
      <c r="N56" s="31"/>
      <c r="O56" s="31"/>
      <c r="P56" s="31"/>
      <c r="Q56" s="31"/>
    </row>
    <row r="57" spans="1:17" hidden="1">
      <c r="A57" s="40">
        <v>46158</v>
      </c>
      <c r="B57" s="41" t="s">
        <v>899</v>
      </c>
      <c r="C57" s="41" t="s">
        <v>885</v>
      </c>
      <c r="D57" s="41" t="e" vm="200">
        <v>#VALUE!</v>
      </c>
      <c r="E57" s="42">
        <f t="array" aca="1" ref="E57" ca="1">_FV(D57,"Price")</f>
        <v>1785.2</v>
      </c>
      <c r="F57" s="43">
        <f t="array" aca="1" ref="F57" ca="1">_FV(D57,"Previous close",TRUE)</f>
        <v>1769.65</v>
      </c>
      <c r="G57" s="33">
        <v>1725.35</v>
      </c>
      <c r="H57" s="33">
        <v>1744.08</v>
      </c>
      <c r="I57" s="33">
        <v>1730.07</v>
      </c>
      <c r="J57" s="33">
        <v>1662.27</v>
      </c>
      <c r="K57" s="31"/>
      <c r="L57" s="31"/>
      <c r="M57" s="31"/>
      <c r="N57" s="31"/>
      <c r="O57" s="31"/>
      <c r="P57" s="31"/>
      <c r="Q57" s="31"/>
    </row>
    <row r="58" spans="1:17" hidden="1">
      <c r="A58" s="40">
        <v>46158</v>
      </c>
      <c r="B58" s="41" t="s">
        <v>900</v>
      </c>
      <c r="C58" s="41" t="s">
        <v>885</v>
      </c>
      <c r="D58" s="41" t="e" vm="201">
        <v>#VALUE!</v>
      </c>
      <c r="E58" s="42">
        <f t="array" aca="1" ref="E58" ca="1">_FV(D58,"Price")</f>
        <v>328.2</v>
      </c>
      <c r="F58" s="43">
        <f t="array" aca="1" ref="F58" ca="1">_FV(D58,"Previous close",TRUE)</f>
        <v>333.55</v>
      </c>
      <c r="G58" s="33">
        <v>352.6</v>
      </c>
      <c r="H58" s="33">
        <v>426.74</v>
      </c>
      <c r="I58" s="33">
        <v>450.59</v>
      </c>
      <c r="J58" s="33">
        <v>510.33</v>
      </c>
      <c r="K58" s="31"/>
      <c r="L58" s="31"/>
      <c r="M58" s="31"/>
      <c r="N58" s="31"/>
      <c r="O58" s="31"/>
      <c r="P58" s="31"/>
      <c r="Q58" s="31"/>
    </row>
    <row r="59" spans="1:17" hidden="1">
      <c r="A59" s="40">
        <v>46158</v>
      </c>
      <c r="B59" s="41" t="s">
        <v>665</v>
      </c>
      <c r="C59" s="41" t="s">
        <v>885</v>
      </c>
      <c r="D59" s="41" t="e" vm="17">
        <v>#VALUE!</v>
      </c>
      <c r="E59" s="42">
        <f t="array" aca="1" ref="E59" ca="1">_FV(D59,"Price")</f>
        <v>682.65</v>
      </c>
      <c r="F59" s="43">
        <f t="array" aca="1" ref="F59" ca="1">_FV(D59,"Previous close",TRUE)</f>
        <v>686.45</v>
      </c>
      <c r="G59" s="33">
        <v>668.1</v>
      </c>
      <c r="H59" s="33">
        <v>640.95000000000005</v>
      </c>
      <c r="I59" s="33">
        <v>629.37</v>
      </c>
      <c r="J59" s="33">
        <v>589.08000000000004</v>
      </c>
      <c r="K59" s="31"/>
      <c r="L59" s="31"/>
      <c r="M59" s="31"/>
      <c r="N59" s="31"/>
      <c r="O59" s="31"/>
      <c r="P59" s="31"/>
      <c r="Q59" s="31"/>
    </row>
    <row r="60" spans="1:17" hidden="1">
      <c r="A60" s="40">
        <v>46158</v>
      </c>
      <c r="B60" s="41" t="s">
        <v>901</v>
      </c>
      <c r="C60" s="41" t="s">
        <v>885</v>
      </c>
      <c r="D60" s="41" t="e" vm="202">
        <v>#VALUE!</v>
      </c>
      <c r="E60" s="42">
        <f t="array" aca="1" ref="E60" ca="1">_FV(D60,"Price")</f>
        <v>2050.1</v>
      </c>
      <c r="F60" s="43">
        <f t="array" aca="1" ref="F60" ca="1">_FV(D60,"Previous close",TRUE)</f>
        <v>1952.5</v>
      </c>
      <c r="G60" s="33">
        <v>1971.9</v>
      </c>
      <c r="H60" s="33">
        <v>1682.66</v>
      </c>
      <c r="I60" s="33">
        <v>1622.53</v>
      </c>
      <c r="J60" s="33">
        <v>1409.99</v>
      </c>
      <c r="K60" s="31"/>
      <c r="L60" s="31"/>
      <c r="M60" s="31"/>
      <c r="N60" s="31"/>
      <c r="O60" s="31"/>
      <c r="P60" s="31"/>
      <c r="Q60" s="31"/>
    </row>
    <row r="61" spans="1:17" hidden="1">
      <c r="A61" s="40">
        <v>46158</v>
      </c>
      <c r="B61" s="41" t="s">
        <v>902</v>
      </c>
      <c r="C61" s="41" t="s">
        <v>885</v>
      </c>
      <c r="D61" s="41" t="e" vm="203">
        <v>#VALUE!</v>
      </c>
      <c r="E61" s="42">
        <f t="array" aca="1" ref="E61" ca="1">_FV(D61,"Price")</f>
        <v>1159.8</v>
      </c>
      <c r="F61" s="43">
        <f t="array" aca="1" ref="F61" ca="1">_FV(D61,"Previous close",TRUE)</f>
        <v>1104.5999999999999</v>
      </c>
      <c r="G61" s="33">
        <v>1107.3</v>
      </c>
      <c r="H61" s="33">
        <v>1117.25</v>
      </c>
      <c r="I61" s="33">
        <v>1100.4100000000001</v>
      </c>
      <c r="J61" s="33">
        <v>1021.45</v>
      </c>
      <c r="K61" s="31"/>
      <c r="L61" s="31"/>
      <c r="M61" s="31"/>
      <c r="N61" s="31"/>
      <c r="O61" s="31"/>
      <c r="P61" s="31"/>
      <c r="Q61" s="31"/>
    </row>
    <row r="62" spans="1:17" hidden="1">
      <c r="A62" s="40">
        <v>46158</v>
      </c>
      <c r="B62" s="41" t="s">
        <v>903</v>
      </c>
      <c r="C62" s="41" t="s">
        <v>885</v>
      </c>
      <c r="D62" s="41" t="e" vm="204">
        <v>#VALUE!</v>
      </c>
      <c r="E62" s="42">
        <f t="array" aca="1" ref="E62" ca="1">_FV(D62,"Price")</f>
        <v>2090.9</v>
      </c>
      <c r="F62" s="43">
        <f t="array" aca="1" ref="F62" ca="1">_FV(D62,"Previous close",TRUE)</f>
        <v>2066.1</v>
      </c>
      <c r="G62" s="33">
        <v>2016.7</v>
      </c>
      <c r="H62" s="33">
        <v>1997.55</v>
      </c>
      <c r="I62" s="33">
        <v>1966.03</v>
      </c>
      <c r="J62" s="33">
        <v>1851.11</v>
      </c>
      <c r="K62" s="31"/>
      <c r="L62" s="31"/>
      <c r="M62" s="31"/>
      <c r="N62" s="31"/>
      <c r="O62" s="31"/>
      <c r="P62" s="31"/>
      <c r="Q62" s="31"/>
    </row>
    <row r="63" spans="1:17" hidden="1">
      <c r="A63" s="40">
        <v>46158</v>
      </c>
      <c r="B63" s="41" t="s">
        <v>904</v>
      </c>
      <c r="C63" s="41" t="s">
        <v>885</v>
      </c>
      <c r="D63" s="41" t="e" vm="205">
        <v>#VALUE!</v>
      </c>
      <c r="E63" s="42">
        <f t="array" aca="1" ref="E63" ca="1">_FV(D63,"Price")</f>
        <v>356.5</v>
      </c>
      <c r="F63" s="43">
        <f t="array" aca="1" ref="F63" ca="1">_FV(D63,"Previous close",TRUE)</f>
        <v>363.95</v>
      </c>
      <c r="G63" s="33">
        <v>369.25</v>
      </c>
      <c r="H63" s="33">
        <v>384.64</v>
      </c>
      <c r="I63" s="33">
        <v>384.05</v>
      </c>
      <c r="J63" s="33">
        <v>371.27</v>
      </c>
      <c r="K63" s="31"/>
      <c r="L63" s="31"/>
      <c r="M63" s="31"/>
      <c r="N63" s="31"/>
      <c r="O63" s="31"/>
      <c r="P63" s="31"/>
      <c r="Q63" s="31"/>
    </row>
    <row r="64" spans="1:17" hidden="1">
      <c r="A64" s="40">
        <v>46158</v>
      </c>
      <c r="B64" s="41" t="s">
        <v>671</v>
      </c>
      <c r="C64" s="41" t="s">
        <v>885</v>
      </c>
      <c r="D64" s="41" t="e" vm="26">
        <v>#VALUE!</v>
      </c>
      <c r="E64" s="42">
        <f t="array" aca="1" ref="E64" ca="1">_FV(D64,"Price")</f>
        <v>7035.5</v>
      </c>
      <c r="F64" s="43">
        <f t="array" aca="1" ref="F64" ca="1">_FV(D64,"Previous close",TRUE)</f>
        <v>7052</v>
      </c>
      <c r="G64" s="33">
        <v>7129</v>
      </c>
      <c r="H64" s="33">
        <v>6835.15</v>
      </c>
      <c r="I64" s="33">
        <v>6765.35</v>
      </c>
      <c r="J64" s="33">
        <v>6479.58</v>
      </c>
      <c r="K64" s="31"/>
      <c r="L64" s="31"/>
      <c r="M64" s="31"/>
      <c r="N64" s="31"/>
      <c r="O64" s="31"/>
      <c r="P64" s="31"/>
      <c r="Q64" s="31"/>
    </row>
    <row r="65" spans="1:17" hidden="1">
      <c r="A65" s="40">
        <v>46158</v>
      </c>
      <c r="B65" s="41" t="s">
        <v>905</v>
      </c>
      <c r="C65" s="41" t="s">
        <v>885</v>
      </c>
      <c r="D65" s="41" t="e" vm="206">
        <v>#VALUE!</v>
      </c>
      <c r="E65" s="42">
        <f t="array" aca="1" ref="E65" ca="1">_FV(D65,"Price")</f>
        <v>730.05</v>
      </c>
      <c r="F65" s="43">
        <f t="array" aca="1" ref="F65" ca="1">_FV(D65,"Previous close",TRUE)</f>
        <v>721.35</v>
      </c>
      <c r="G65" s="33">
        <v>727.75</v>
      </c>
      <c r="H65" s="33">
        <v>716.24</v>
      </c>
      <c r="I65" s="33">
        <v>709.46</v>
      </c>
      <c r="J65" s="33">
        <v>679.3</v>
      </c>
      <c r="K65" s="31"/>
      <c r="L65" s="31"/>
      <c r="M65" s="31"/>
      <c r="N65" s="31"/>
      <c r="O65" s="31"/>
      <c r="P65" s="31"/>
      <c r="Q65" s="31"/>
    </row>
    <row r="66" spans="1:17" hidden="1">
      <c r="A66" s="40">
        <v>46158</v>
      </c>
      <c r="B66" s="41" t="s">
        <v>906</v>
      </c>
      <c r="C66" s="41" t="s">
        <v>885</v>
      </c>
      <c r="D66" s="41" t="e" vm="207">
        <v>#VALUE!</v>
      </c>
      <c r="E66" s="42">
        <f t="array" aca="1" ref="E66" ca="1">_FV(D66,"Price")</f>
        <v>730.5</v>
      </c>
      <c r="F66" s="43">
        <f t="array" aca="1" ref="F66" ca="1">_FV(D66,"Previous close",TRUE)</f>
        <v>726.95</v>
      </c>
      <c r="G66" s="33">
        <v>728.35</v>
      </c>
      <c r="H66" s="33">
        <v>717.35</v>
      </c>
      <c r="I66" s="33">
        <v>710.45</v>
      </c>
      <c r="J66" s="33">
        <v>683.99</v>
      </c>
      <c r="K66" s="31"/>
      <c r="L66" s="31"/>
      <c r="M66" s="31"/>
      <c r="N66" s="31"/>
      <c r="O66" s="31"/>
      <c r="P66" s="31"/>
      <c r="Q66" s="31"/>
    </row>
    <row r="67" spans="1:17" hidden="1">
      <c r="A67" s="40">
        <v>46158</v>
      </c>
      <c r="B67" s="41" t="s">
        <v>59</v>
      </c>
      <c r="C67" s="41" t="s">
        <v>841</v>
      </c>
      <c r="D67" s="41" t="e" vm="208">
        <v>#VALUE!</v>
      </c>
      <c r="E67" s="42">
        <f t="array" aca="1" ref="E67" ca="1">_FV(D67,"Price")</f>
        <v>357.35</v>
      </c>
      <c r="F67" s="43">
        <f t="array" aca="1" ref="F67" ca="1">_FV(D67,"Previous close",TRUE)</f>
        <v>356.45</v>
      </c>
      <c r="G67" s="33">
        <v>370</v>
      </c>
      <c r="H67" s="33">
        <v>327.13</v>
      </c>
      <c r="I67" s="33">
        <v>319.58</v>
      </c>
      <c r="J67" s="33">
        <v>298.27</v>
      </c>
      <c r="K67" s="31"/>
      <c r="L67" s="31"/>
      <c r="M67" s="31"/>
      <c r="N67" s="31"/>
      <c r="O67" s="31"/>
      <c r="P67" s="31"/>
      <c r="Q67" s="31"/>
    </row>
    <row r="68" spans="1:17" hidden="1">
      <c r="A68" s="40">
        <v>46158</v>
      </c>
      <c r="B68" s="41" t="s">
        <v>516</v>
      </c>
      <c r="C68" s="41" t="s">
        <v>841</v>
      </c>
      <c r="D68" s="41" t="e" vm="24">
        <v>#VALUE!</v>
      </c>
      <c r="E68" s="42">
        <f t="array" aca="1" ref="E68" ca="1">_FV(D68,"Price")</f>
        <v>18577</v>
      </c>
      <c r="F68" s="43">
        <f t="array" aca="1" ref="F68" ca="1">_FV(D68,"Previous close",TRUE)</f>
        <v>18386</v>
      </c>
      <c r="G68" s="33">
        <v>18247</v>
      </c>
      <c r="H68" s="33">
        <v>16697.240000000002</v>
      </c>
      <c r="I68" s="33">
        <v>16356.68</v>
      </c>
      <c r="J68" s="33">
        <v>15322.98</v>
      </c>
      <c r="K68" s="31"/>
      <c r="L68" s="31"/>
      <c r="M68" s="31"/>
      <c r="N68" s="31"/>
      <c r="O68" s="31"/>
      <c r="P68" s="31"/>
      <c r="Q68" s="31"/>
    </row>
    <row r="69" spans="1:17" hidden="1">
      <c r="A69" s="40">
        <v>46158</v>
      </c>
      <c r="B69" s="41" t="s">
        <v>907</v>
      </c>
      <c r="C69" s="41" t="s">
        <v>841</v>
      </c>
      <c r="D69" s="41" t="e" vm="209">
        <v>#VALUE!</v>
      </c>
      <c r="E69" s="42">
        <f t="array" aca="1" ref="E69" ca="1">_FV(D69,"Price")</f>
        <v>3070.7</v>
      </c>
      <c r="F69" s="43">
        <f t="array" aca="1" ref="F69" ca="1">_FV(D69,"Previous close",TRUE)</f>
        <v>3038</v>
      </c>
      <c r="G69" s="33">
        <v>2989.5</v>
      </c>
      <c r="H69" s="33">
        <v>2657.4</v>
      </c>
      <c r="I69" s="33">
        <v>2596.25</v>
      </c>
      <c r="J69" s="33">
        <v>2424.3000000000002</v>
      </c>
      <c r="K69" s="31"/>
      <c r="L69" s="31"/>
      <c r="M69" s="31"/>
      <c r="N69" s="31"/>
      <c r="O69" s="31"/>
      <c r="P69" s="31"/>
      <c r="Q69" s="31"/>
    </row>
    <row r="70" spans="1:17" hidden="1">
      <c r="A70" s="40">
        <v>46158</v>
      </c>
      <c r="B70" s="41" t="s">
        <v>161</v>
      </c>
      <c r="C70" s="41" t="s">
        <v>841</v>
      </c>
      <c r="D70" s="41" t="e" vm="210">
        <v>#VALUE!</v>
      </c>
      <c r="E70" s="42">
        <f t="array" aca="1" ref="E70" ca="1">_FV(D70,"Price")</f>
        <v>1315.9</v>
      </c>
      <c r="F70" s="43">
        <f t="array" aca="1" ref="F70" ca="1">_FV(D70,"Previous close",TRUE)</f>
        <v>1337.4</v>
      </c>
      <c r="G70" s="33">
        <v>1285.3</v>
      </c>
      <c r="H70" s="33">
        <v>1334.72</v>
      </c>
      <c r="I70" s="33">
        <v>1321.66</v>
      </c>
      <c r="J70" s="33">
        <v>1282.8399999999999</v>
      </c>
      <c r="K70" s="31"/>
      <c r="L70" s="31"/>
      <c r="M70" s="31"/>
      <c r="N70" s="31"/>
      <c r="O70" s="31"/>
      <c r="P70" s="31"/>
      <c r="Q70" s="31"/>
    </row>
    <row r="71" spans="1:17" hidden="1">
      <c r="A71" s="40">
        <v>46158</v>
      </c>
      <c r="B71" s="41" t="s">
        <v>197</v>
      </c>
      <c r="C71" s="41" t="s">
        <v>841</v>
      </c>
      <c r="D71" s="41" t="e" vm="211">
        <v>#VALUE!</v>
      </c>
      <c r="E71" s="42">
        <f t="array" aca="1" ref="E71" ca="1">_FV(D71,"Price")</f>
        <v>515.4</v>
      </c>
      <c r="F71" s="43">
        <f t="array" aca="1" ref="F71" ca="1">_FV(D71,"Previous close",TRUE)</f>
        <v>517.35</v>
      </c>
      <c r="G71" s="33">
        <v>498.95</v>
      </c>
      <c r="H71" s="33">
        <v>456.01</v>
      </c>
      <c r="I71" s="33">
        <v>444.49</v>
      </c>
      <c r="J71" s="33">
        <v>409.44</v>
      </c>
      <c r="K71" s="31"/>
      <c r="L71" s="31"/>
      <c r="M71" s="31"/>
      <c r="N71" s="31"/>
      <c r="O71" s="31"/>
      <c r="P71" s="31"/>
      <c r="Q71" s="31"/>
    </row>
    <row r="72" spans="1:17" hidden="1">
      <c r="A72" s="40">
        <v>46158</v>
      </c>
      <c r="B72" s="41" t="s">
        <v>140</v>
      </c>
      <c r="C72" s="41" t="s">
        <v>841</v>
      </c>
      <c r="D72" s="41" t="e" vm="212">
        <v>#VALUE!</v>
      </c>
      <c r="E72" s="42">
        <f t="array" aca="1" ref="E72" ca="1">_FV(D72,"Price")</f>
        <v>96.04</v>
      </c>
      <c r="F72" s="43">
        <f t="array" aca="1" ref="F72" ca="1">_FV(D72,"Previous close",TRUE)</f>
        <v>95.31</v>
      </c>
      <c r="G72" s="33">
        <v>87.99</v>
      </c>
      <c r="H72" s="33">
        <v>88.81</v>
      </c>
      <c r="I72" s="33">
        <v>87.98</v>
      </c>
      <c r="J72" s="33">
        <v>84.62</v>
      </c>
      <c r="K72" s="31"/>
      <c r="L72" s="31"/>
      <c r="M72" s="31"/>
      <c r="N72" s="31"/>
      <c r="O72" s="31"/>
      <c r="P72" s="31"/>
      <c r="Q72" s="31"/>
    </row>
    <row r="73" spans="1:17" hidden="1">
      <c r="A73" s="40">
        <v>46158</v>
      </c>
      <c r="B73" s="41" t="s">
        <v>908</v>
      </c>
      <c r="C73" s="41" t="s">
        <v>841</v>
      </c>
      <c r="D73" s="41" t="e" vm="213">
        <v>#VALUE!</v>
      </c>
      <c r="E73" s="42">
        <f t="array" aca="1" ref="E73" ca="1">_FV(D73,"Price")</f>
        <v>5713.5</v>
      </c>
      <c r="F73" s="43">
        <f t="array" aca="1" ref="F73" ca="1">_FV(D73,"Previous close",TRUE)</f>
        <v>5894.5</v>
      </c>
      <c r="G73" s="33">
        <v>6117.9</v>
      </c>
      <c r="H73" s="33">
        <v>5094.03</v>
      </c>
      <c r="I73" s="33">
        <v>4938.55</v>
      </c>
      <c r="J73" s="33">
        <v>4459.3900000000003</v>
      </c>
      <c r="K73" s="31"/>
      <c r="L73" s="31"/>
      <c r="M73" s="31"/>
      <c r="N73" s="31"/>
      <c r="O73" s="31"/>
      <c r="P73" s="31"/>
      <c r="Q73" s="31"/>
    </row>
    <row r="74" spans="1:17" hidden="1">
      <c r="A74" s="40">
        <v>46158</v>
      </c>
      <c r="B74" s="41" t="s">
        <v>88</v>
      </c>
      <c r="C74" s="41" t="s">
        <v>841</v>
      </c>
      <c r="D74" s="41" t="e" vm="214">
        <v>#VALUE!</v>
      </c>
      <c r="E74" s="42">
        <f t="array" aca="1" ref="E74" ca="1">_FV(D74,"Price")</f>
        <v>906.65</v>
      </c>
      <c r="F74" s="43">
        <f t="array" aca="1" ref="F74" ca="1">_FV(D74,"Previous close",TRUE)</f>
        <v>907.7</v>
      </c>
      <c r="G74" s="33">
        <v>917.45</v>
      </c>
      <c r="H74" s="33">
        <v>841.28</v>
      </c>
      <c r="I74" s="33">
        <v>826.19</v>
      </c>
      <c r="J74" s="33">
        <v>776.88</v>
      </c>
      <c r="K74" s="31"/>
      <c r="L74" s="31"/>
      <c r="M74" s="31"/>
      <c r="N74" s="31"/>
      <c r="O74" s="31"/>
      <c r="P74" s="31"/>
      <c r="Q74" s="31"/>
    </row>
    <row r="75" spans="1:17" hidden="1">
      <c r="A75" s="40">
        <v>46158</v>
      </c>
      <c r="B75" s="41" t="s">
        <v>909</v>
      </c>
      <c r="C75" s="41" t="s">
        <v>841</v>
      </c>
      <c r="D75" s="41" t="e" vm="215">
        <v>#VALUE!</v>
      </c>
      <c r="E75" s="42">
        <f t="array" aca="1" ref="E75" ca="1">_FV(D75,"Price")</f>
        <v>269.39999999999998</v>
      </c>
      <c r="F75" s="43">
        <f t="array" aca="1" ref="F75" ca="1">_FV(D75,"Previous close",TRUE)</f>
        <v>269.55</v>
      </c>
      <c r="G75" s="33">
        <v>262.3</v>
      </c>
      <c r="H75" s="33">
        <v>266.17</v>
      </c>
      <c r="I75" s="33">
        <v>265.06</v>
      </c>
      <c r="J75" s="33">
        <v>260.33999999999997</v>
      </c>
      <c r="K75" s="31"/>
      <c r="L75" s="31"/>
      <c r="M75" s="31"/>
      <c r="N75" s="31"/>
      <c r="O75" s="31"/>
      <c r="P75" s="31"/>
      <c r="Q75" s="31"/>
    </row>
    <row r="76" spans="1:17" hidden="1">
      <c r="A76" s="40">
        <v>46158</v>
      </c>
      <c r="B76" s="41" t="s">
        <v>176</v>
      </c>
      <c r="C76" s="41" t="s">
        <v>841</v>
      </c>
      <c r="D76" s="41" t="e" vm="216">
        <v>#VALUE!</v>
      </c>
      <c r="E76" s="42">
        <f t="array" aca="1" ref="E76" ca="1">_FV(D76,"Price")</f>
        <v>1323.7</v>
      </c>
      <c r="F76" s="43">
        <f t="array" aca="1" ref="F76" ca="1">_FV(D76,"Previous close",TRUE)</f>
        <v>1323.8</v>
      </c>
      <c r="G76" s="33">
        <v>1401.7</v>
      </c>
      <c r="H76" s="33">
        <v>1185.22</v>
      </c>
      <c r="I76" s="33">
        <v>1160.83</v>
      </c>
      <c r="J76" s="33">
        <v>1090.33</v>
      </c>
      <c r="K76" s="31"/>
      <c r="L76" s="31"/>
      <c r="M76" s="31"/>
      <c r="N76" s="31"/>
      <c r="O76" s="31"/>
      <c r="P76" s="31"/>
      <c r="Q76" s="31"/>
    </row>
    <row r="77" spans="1:17" hidden="1">
      <c r="A77" s="40">
        <v>46158</v>
      </c>
      <c r="B77" s="41" t="s">
        <v>910</v>
      </c>
      <c r="C77" s="41" t="s">
        <v>841</v>
      </c>
      <c r="D77" s="41" t="e" vm="217">
        <v>#VALUE!</v>
      </c>
      <c r="E77" s="42">
        <f t="array" aca="1" ref="E77" ca="1">_FV(D77,"Price")</f>
        <v>1327.2</v>
      </c>
      <c r="F77" s="43">
        <f t="array" aca="1" ref="F77" ca="1">_FV(D77,"Previous close",TRUE)</f>
        <v>1324.9</v>
      </c>
      <c r="G77" s="33">
        <v>1293.9000000000001</v>
      </c>
      <c r="H77" s="33">
        <v>1324.61</v>
      </c>
      <c r="I77" s="33">
        <v>1320.12</v>
      </c>
      <c r="J77" s="33">
        <v>1294.4000000000001</v>
      </c>
      <c r="K77" s="31"/>
      <c r="L77" s="31"/>
      <c r="M77" s="31"/>
      <c r="N77" s="31"/>
      <c r="O77" s="31"/>
      <c r="P77" s="31"/>
      <c r="Q77" s="31"/>
    </row>
    <row r="78" spans="1:17" hidden="1">
      <c r="A78" s="40">
        <v>46158</v>
      </c>
      <c r="B78" s="41" t="s">
        <v>911</v>
      </c>
      <c r="C78" s="41" t="s">
        <v>841</v>
      </c>
      <c r="D78" s="41" t="e" vm="218">
        <v>#VALUE!</v>
      </c>
      <c r="E78" s="42">
        <f t="array" aca="1" ref="E78" ca="1">_FV(D78,"Price")</f>
        <v>602.04999999999995</v>
      </c>
      <c r="F78" s="43">
        <f t="array" aca="1" ref="F78" ca="1">_FV(D78,"Previous close",TRUE)</f>
        <v>607.1</v>
      </c>
      <c r="G78" s="33">
        <v>606.45000000000005</v>
      </c>
      <c r="H78" s="33">
        <v>573.51</v>
      </c>
      <c r="I78" s="33">
        <v>563.55999999999995</v>
      </c>
      <c r="J78" s="33">
        <v>530.54999999999995</v>
      </c>
      <c r="K78" s="31"/>
      <c r="L78" s="31"/>
      <c r="M78" s="31"/>
      <c r="N78" s="31"/>
      <c r="O78" s="31"/>
      <c r="P78" s="31"/>
      <c r="Q78" s="31"/>
    </row>
    <row r="79" spans="1:17" hidden="1">
      <c r="A79" s="40">
        <v>46158</v>
      </c>
      <c r="B79" s="41" t="s">
        <v>912</v>
      </c>
      <c r="C79" s="41" t="s">
        <v>913</v>
      </c>
      <c r="D79" s="41" t="e" vm="219">
        <v>#VALUE!</v>
      </c>
      <c r="E79" s="42">
        <f t="array" aca="1" ref="E79" ca="1">_FV(D79,"Price")</f>
        <v>412.45</v>
      </c>
      <c r="F79" s="43">
        <f t="array" aca="1" ref="F79" ca="1">_FV(D79,"Previous close",TRUE)</f>
        <v>416.8</v>
      </c>
      <c r="G79" s="33">
        <v>428.65</v>
      </c>
      <c r="H79" s="33">
        <v>401.1</v>
      </c>
      <c r="I79" s="33">
        <v>397.41</v>
      </c>
      <c r="J79" s="33">
        <v>387.99</v>
      </c>
      <c r="K79" s="31"/>
      <c r="L79" s="31"/>
      <c r="M79" s="31"/>
      <c r="N79" s="31"/>
      <c r="O79" s="31"/>
      <c r="P79" s="31"/>
      <c r="Q79" s="31"/>
    </row>
    <row r="80" spans="1:17" hidden="1">
      <c r="A80" s="40">
        <v>46158</v>
      </c>
      <c r="B80" s="41" t="s">
        <v>914</v>
      </c>
      <c r="C80" s="41" t="s">
        <v>913</v>
      </c>
      <c r="D80" s="41" t="e" vm="220">
        <v>#VALUE!</v>
      </c>
      <c r="E80" s="42">
        <f t="array" aca="1" ref="E80" ca="1">_FV(D80,"Price")</f>
        <v>188.68</v>
      </c>
      <c r="F80" s="43">
        <f t="array" aca="1" ref="F80" ca="1">_FV(D80,"Previous close",TRUE)</f>
        <v>194.65</v>
      </c>
      <c r="G80" s="33">
        <v>194.31</v>
      </c>
      <c r="H80" s="33">
        <v>176.07</v>
      </c>
      <c r="I80" s="33">
        <v>171.69</v>
      </c>
      <c r="J80" s="33">
        <v>158.80000000000001</v>
      </c>
      <c r="K80" s="31"/>
      <c r="L80" s="31"/>
      <c r="M80" s="31"/>
      <c r="N80" s="31"/>
      <c r="O80" s="31"/>
      <c r="P80" s="31"/>
      <c r="Q80" s="31"/>
    </row>
    <row r="81" spans="1:17" hidden="1">
      <c r="A81" s="40">
        <v>46158</v>
      </c>
      <c r="B81" s="41" t="s">
        <v>131</v>
      </c>
      <c r="C81" s="41" t="s">
        <v>913</v>
      </c>
      <c r="D81" s="41" t="e" vm="221">
        <v>#VALUE!</v>
      </c>
      <c r="E81" s="42">
        <f t="array" aca="1" ref="E81" ca="1">_FV(D81,"Price")</f>
        <v>2925.6</v>
      </c>
      <c r="F81" s="43">
        <f t="array" aca="1" ref="F81" ca="1">_FV(D81,"Previous close",TRUE)</f>
        <v>2968.1</v>
      </c>
      <c r="G81" s="33">
        <v>2937.4</v>
      </c>
      <c r="H81" s="33">
        <v>2601.46</v>
      </c>
      <c r="I81" s="33">
        <v>2542.6799999999998</v>
      </c>
      <c r="J81" s="33">
        <v>2398.0500000000002</v>
      </c>
      <c r="K81" s="31"/>
      <c r="L81" s="31"/>
      <c r="M81" s="31"/>
      <c r="N81" s="31"/>
      <c r="O81" s="31"/>
      <c r="P81" s="31"/>
      <c r="Q81" s="31"/>
    </row>
    <row r="82" spans="1:17" hidden="1">
      <c r="A82" s="40">
        <v>46158</v>
      </c>
      <c r="B82" s="41" t="s">
        <v>915</v>
      </c>
      <c r="C82" s="41" t="s">
        <v>913</v>
      </c>
      <c r="D82" s="41" t="e" vm="222">
        <v>#VALUE!</v>
      </c>
      <c r="E82" s="42">
        <f t="array" aca="1" ref="E82" ca="1">_FV(D82,"Price")</f>
        <v>2608.1999999999998</v>
      </c>
      <c r="F82" s="43">
        <f t="array" aca="1" ref="F82" ca="1">_FV(D82,"Previous close",TRUE)</f>
        <v>2614.9</v>
      </c>
      <c r="G82" s="33">
        <v>2654.8</v>
      </c>
      <c r="H82" s="33">
        <v>2671.44</v>
      </c>
      <c r="I82" s="33">
        <v>2656.61</v>
      </c>
      <c r="J82" s="33">
        <v>2600.35</v>
      </c>
      <c r="K82" s="31"/>
      <c r="L82" s="31"/>
      <c r="M82" s="31"/>
      <c r="N82" s="31"/>
      <c r="O82" s="31"/>
      <c r="P82" s="31"/>
      <c r="Q82" s="31"/>
    </row>
    <row r="83" spans="1:17" hidden="1">
      <c r="A83" s="40">
        <v>46158</v>
      </c>
      <c r="B83" s="41" t="s">
        <v>916</v>
      </c>
      <c r="C83" s="41" t="s">
        <v>913</v>
      </c>
      <c r="D83" s="41" t="e" vm="223">
        <v>#VALUE!</v>
      </c>
      <c r="E83" s="42">
        <f t="array" aca="1" ref="E83" ca="1">_FV(D83,"Price")</f>
        <v>858.1</v>
      </c>
      <c r="F83" s="43">
        <f t="array" aca="1" ref="F83" ca="1">_FV(D83,"Previous close",TRUE)</f>
        <v>856.8</v>
      </c>
      <c r="G83" s="33">
        <v>866.6</v>
      </c>
      <c r="H83" s="33">
        <v>896.06</v>
      </c>
      <c r="I83" s="33">
        <v>895.65</v>
      </c>
      <c r="J83" s="33">
        <v>904.47</v>
      </c>
      <c r="K83" s="31"/>
      <c r="L83" s="31"/>
      <c r="M83" s="31"/>
      <c r="N83" s="31"/>
      <c r="O83" s="31"/>
      <c r="P83" s="31"/>
      <c r="Q83" s="31"/>
    </row>
    <row r="84" spans="1:17" hidden="1">
      <c r="A84" s="40">
        <v>46158</v>
      </c>
      <c r="B84" s="41" t="s">
        <v>676</v>
      </c>
      <c r="C84" s="41" t="s">
        <v>913</v>
      </c>
      <c r="D84" s="41" t="e" vm="34">
        <v>#VALUE!</v>
      </c>
      <c r="E84" s="42">
        <f t="array" aca="1" ref="E84" ca="1">_FV(D84,"Price")</f>
        <v>4049.9</v>
      </c>
      <c r="F84" s="43">
        <f t="array" aca="1" ref="F84" ca="1">_FV(D84,"Previous close",TRUE)</f>
        <v>4071.6</v>
      </c>
      <c r="G84" s="33">
        <v>4128.7</v>
      </c>
      <c r="H84" s="33">
        <v>4074.87</v>
      </c>
      <c r="I84" s="33">
        <v>4063.23</v>
      </c>
      <c r="J84" s="33">
        <v>4013.17</v>
      </c>
      <c r="K84" s="31"/>
      <c r="L84" s="31"/>
      <c r="M84" s="31"/>
      <c r="N84" s="31"/>
      <c r="O84" s="31"/>
      <c r="P84" s="31"/>
      <c r="Q84" s="31"/>
    </row>
    <row r="85" spans="1:17" hidden="1">
      <c r="A85" s="40">
        <v>46158</v>
      </c>
      <c r="B85" s="41" t="s">
        <v>917</v>
      </c>
      <c r="C85" s="41" t="s">
        <v>913</v>
      </c>
      <c r="D85" s="41" t="e" vm="224">
        <v>#VALUE!</v>
      </c>
      <c r="E85" s="42">
        <f t="array" aca="1" ref="E85" ca="1">_FV(D85,"Price")</f>
        <v>1515.8</v>
      </c>
      <c r="F85" s="43">
        <f t="array" aca="1" ref="F85" ca="1">_FV(D85,"Previous close",TRUE)</f>
        <v>1511.9</v>
      </c>
      <c r="G85" s="33">
        <v>1520.5</v>
      </c>
      <c r="H85" s="33">
        <v>1316.94</v>
      </c>
      <c r="I85" s="33">
        <v>1278.6099999999999</v>
      </c>
      <c r="J85" s="33">
        <v>1162.54</v>
      </c>
      <c r="K85" s="31"/>
      <c r="L85" s="31"/>
      <c r="M85" s="31"/>
      <c r="N85" s="31"/>
      <c r="O85" s="31"/>
      <c r="P85" s="31"/>
      <c r="Q85" s="31"/>
    </row>
    <row r="86" spans="1:17" hidden="1">
      <c r="A86" s="40">
        <v>46158</v>
      </c>
      <c r="B86" s="41" t="s">
        <v>918</v>
      </c>
      <c r="C86" s="41" t="s">
        <v>913</v>
      </c>
      <c r="D86" s="41" t="e" vm="225">
        <v>#VALUE!</v>
      </c>
      <c r="E86" s="42">
        <f t="array" aca="1" ref="E86" ca="1">_FV(D86,"Price")</f>
        <v>472.3</v>
      </c>
      <c r="F86" s="43">
        <f t="array" aca="1" ref="F86" ca="1">_FV(D86,"Previous close",TRUE)</f>
        <v>472.15</v>
      </c>
      <c r="G86" s="33">
        <v>457.9</v>
      </c>
      <c r="H86" s="33">
        <v>458.53</v>
      </c>
      <c r="I86" s="33">
        <v>456.15</v>
      </c>
      <c r="J86" s="33">
        <v>443.26</v>
      </c>
      <c r="K86" s="31"/>
      <c r="L86" s="31"/>
      <c r="M86" s="31"/>
      <c r="N86" s="31"/>
      <c r="O86" s="31"/>
      <c r="P86" s="31"/>
      <c r="Q86" s="31"/>
    </row>
    <row r="87" spans="1:17" hidden="1">
      <c r="A87" s="40">
        <v>46158</v>
      </c>
      <c r="B87" s="41" t="s">
        <v>919</v>
      </c>
      <c r="C87" s="41" t="s">
        <v>913</v>
      </c>
      <c r="D87" s="41" t="e" vm="226">
        <v>#VALUE!</v>
      </c>
      <c r="E87" s="42">
        <f t="array" aca="1" ref="E87" ca="1">_FV(D87,"Price")</f>
        <v>1171.7</v>
      </c>
      <c r="F87" s="43">
        <f t="array" aca="1" ref="F87" ca="1">_FV(D87,"Previous close",TRUE)</f>
        <v>1158.5999999999999</v>
      </c>
      <c r="G87" s="33">
        <v>1203.5999999999999</v>
      </c>
      <c r="H87" s="33">
        <v>1276.6400000000001</v>
      </c>
      <c r="I87" s="33">
        <v>1272.28</v>
      </c>
      <c r="J87" s="33">
        <v>1202.99</v>
      </c>
      <c r="K87" s="31"/>
      <c r="L87" s="31"/>
      <c r="M87" s="31"/>
      <c r="N87" s="31"/>
      <c r="O87" s="31"/>
      <c r="P87" s="31"/>
      <c r="Q87" s="31"/>
    </row>
    <row r="88" spans="1:17" hidden="1">
      <c r="A88" s="40">
        <v>46158</v>
      </c>
      <c r="B88" s="41" t="s">
        <v>920</v>
      </c>
      <c r="C88" s="41" t="s">
        <v>913</v>
      </c>
      <c r="D88" s="41" t="e" vm="227">
        <v>#VALUE!</v>
      </c>
      <c r="E88" s="42">
        <f t="array" aca="1" ref="E88" ca="1">_FV(D88,"Price")</f>
        <v>166.7</v>
      </c>
      <c r="F88" s="43">
        <f t="array" aca="1" ref="F88" ca="1">_FV(D88,"Previous close",TRUE)</f>
        <v>162.68</v>
      </c>
      <c r="G88" s="33">
        <v>167.88</v>
      </c>
      <c r="H88" s="33">
        <v>168.42</v>
      </c>
      <c r="I88" s="33">
        <v>169.36</v>
      </c>
      <c r="J88" s="33">
        <v>169.46</v>
      </c>
      <c r="K88" s="31"/>
      <c r="L88" s="31"/>
      <c r="M88" s="31"/>
      <c r="N88" s="31"/>
      <c r="O88" s="31"/>
      <c r="P88" s="31"/>
      <c r="Q88" s="31"/>
    </row>
    <row r="89" spans="1:17" hidden="1">
      <c r="A89" s="40">
        <v>46158</v>
      </c>
      <c r="B89" s="41" t="s">
        <v>921</v>
      </c>
      <c r="C89" s="41" t="s">
        <v>913</v>
      </c>
      <c r="D89" s="41" t="e" vm="228">
        <v>#VALUE!</v>
      </c>
      <c r="E89" s="42">
        <f t="array" aca="1" ref="E89" ca="1">_FV(D89,"Price")</f>
        <v>555.4</v>
      </c>
      <c r="F89" s="43">
        <f t="array" aca="1" ref="F89" ca="1">_FV(D89,"Previous close",TRUE)</f>
        <v>571.65</v>
      </c>
      <c r="G89" s="33">
        <v>552.79999999999995</v>
      </c>
      <c r="H89" s="33">
        <v>510.56</v>
      </c>
      <c r="I89" s="33">
        <v>495.49</v>
      </c>
      <c r="J89" s="33">
        <v>437.68</v>
      </c>
      <c r="K89" s="31"/>
      <c r="L89" s="31"/>
      <c r="M89" s="31"/>
      <c r="N89" s="31"/>
      <c r="O89" s="31"/>
      <c r="P89" s="31"/>
      <c r="Q89" s="31"/>
    </row>
    <row r="90" spans="1:17" hidden="1">
      <c r="A90" s="40">
        <v>46158</v>
      </c>
      <c r="B90" s="41" t="s">
        <v>922</v>
      </c>
      <c r="C90" s="41" t="s">
        <v>913</v>
      </c>
      <c r="D90" s="41" t="e" vm="229">
        <v>#VALUE!</v>
      </c>
      <c r="E90" s="42">
        <f t="array" aca="1" ref="E90" ca="1">_FV(D90,"Price")</f>
        <v>1455.7</v>
      </c>
      <c r="F90" s="43">
        <f t="array" aca="1" ref="F90" ca="1">_FV(D90,"Previous close",TRUE)</f>
        <v>1467.7</v>
      </c>
      <c r="G90" s="33">
        <v>1467.4</v>
      </c>
      <c r="H90" s="33">
        <v>1537.14</v>
      </c>
      <c r="I90" s="33">
        <v>1537.03</v>
      </c>
      <c r="J90" s="33">
        <v>1546.4</v>
      </c>
      <c r="K90" s="31"/>
      <c r="L90" s="31"/>
      <c r="M90" s="31"/>
      <c r="N90" s="31"/>
      <c r="O90" s="31"/>
      <c r="P90" s="31"/>
      <c r="Q90" s="31"/>
    </row>
    <row r="91" spans="1:17" hidden="1">
      <c r="A91" s="40">
        <v>46158</v>
      </c>
      <c r="B91" s="41" t="s">
        <v>923</v>
      </c>
      <c r="C91" s="41" t="s">
        <v>913</v>
      </c>
      <c r="D91" s="41" t="e" vm="230">
        <v>#VALUE!</v>
      </c>
      <c r="E91" s="42">
        <f t="array" aca="1" ref="E91" ca="1">_FV(D91,"Price")</f>
        <v>262.5</v>
      </c>
      <c r="F91" s="43">
        <f t="array" aca="1" ref="F91" ca="1">_FV(D91,"Previous close",TRUE)</f>
        <v>265</v>
      </c>
      <c r="G91" s="33">
        <v>259.86</v>
      </c>
      <c r="H91" s="33">
        <v>241.84</v>
      </c>
      <c r="I91" s="33">
        <v>237.64</v>
      </c>
      <c r="J91" s="33">
        <v>221.07</v>
      </c>
      <c r="K91" s="31"/>
      <c r="L91" s="31"/>
      <c r="M91" s="31"/>
      <c r="N91" s="31"/>
      <c r="O91" s="31"/>
      <c r="P91" s="31"/>
      <c r="Q91" s="31"/>
    </row>
    <row r="92" spans="1:17" hidden="1">
      <c r="A92" s="40">
        <v>46158</v>
      </c>
      <c r="B92" s="41" t="s">
        <v>924</v>
      </c>
      <c r="C92" s="41" t="s">
        <v>913</v>
      </c>
      <c r="D92" s="41" t="e" vm="231">
        <v>#VALUE!</v>
      </c>
      <c r="E92" s="42">
        <f t="array" aca="1" ref="E92" ca="1">_FV(D92,"Price")</f>
        <v>2155.9</v>
      </c>
      <c r="F92" s="43">
        <f t="array" aca="1" ref="F92" ca="1">_FV(D92,"Previous close",TRUE)</f>
        <v>2023.8</v>
      </c>
      <c r="G92" s="33">
        <v>2056.3000000000002</v>
      </c>
      <c r="H92" s="33">
        <v>1816.72</v>
      </c>
      <c r="I92" s="33">
        <v>1772.59</v>
      </c>
      <c r="J92" s="33">
        <v>1637.14</v>
      </c>
      <c r="K92" s="31"/>
      <c r="L92" s="31"/>
      <c r="M92" s="31"/>
      <c r="N92" s="31"/>
      <c r="O92" s="31"/>
      <c r="P92" s="31"/>
      <c r="Q92" s="31"/>
    </row>
    <row r="93" spans="1:17" hidden="1">
      <c r="A93" s="40">
        <v>46158</v>
      </c>
      <c r="B93" s="41" t="s">
        <v>753</v>
      </c>
      <c r="C93" s="41" t="s">
        <v>913</v>
      </c>
      <c r="D93" s="41" t="e" vm="126">
        <v>#VALUE!</v>
      </c>
      <c r="E93" s="42">
        <f t="array" aca="1" ref="E93" ca="1">_FV(D93,"Price")</f>
        <v>753.65</v>
      </c>
      <c r="F93" s="43">
        <f t="array" aca="1" ref="F93" ca="1">_FV(D93,"Previous close",TRUE)</f>
        <v>748.25</v>
      </c>
      <c r="G93" s="33">
        <v>744.55</v>
      </c>
      <c r="H93" s="33">
        <v>773.16</v>
      </c>
      <c r="I93" s="33">
        <v>781.15</v>
      </c>
      <c r="J93" s="33">
        <v>820</v>
      </c>
      <c r="K93" s="31"/>
      <c r="L93" s="31"/>
      <c r="M93" s="31"/>
      <c r="N93" s="31"/>
      <c r="O93" s="31"/>
      <c r="P93" s="31"/>
      <c r="Q93" s="31"/>
    </row>
    <row r="94" spans="1:17" hidden="1">
      <c r="A94" s="40">
        <v>46158</v>
      </c>
      <c r="B94" s="41" t="s">
        <v>134</v>
      </c>
      <c r="C94" s="41" t="s">
        <v>913</v>
      </c>
      <c r="D94" s="41" t="e" vm="232">
        <v>#VALUE!</v>
      </c>
      <c r="E94" s="42">
        <f t="array" aca="1" ref="E94" ca="1">_FV(D94,"Price")</f>
        <v>3369.2</v>
      </c>
      <c r="F94" s="43">
        <f t="array" aca="1" ref="F94" ca="1">_FV(D94,"Previous close",TRUE)</f>
        <v>3213.7</v>
      </c>
      <c r="G94" s="33">
        <v>2903.5</v>
      </c>
      <c r="H94" s="33">
        <v>2529.09</v>
      </c>
      <c r="I94" s="33">
        <v>2439.04</v>
      </c>
      <c r="J94" s="33">
        <v>2136.25</v>
      </c>
      <c r="K94" s="31"/>
      <c r="L94" s="31"/>
      <c r="M94" s="31"/>
      <c r="N94" s="31"/>
      <c r="O94" s="31"/>
      <c r="P94" s="31"/>
      <c r="Q94" s="31"/>
    </row>
    <row r="95" spans="1:17" hidden="1">
      <c r="A95" s="40">
        <v>46166</v>
      </c>
      <c r="B95" s="49" t="s">
        <v>51</v>
      </c>
      <c r="C95" s="49" t="s">
        <v>791</v>
      </c>
      <c r="D95" s="49" t="e" vm="73">
        <v>#VALUE!</v>
      </c>
      <c r="E95" s="42">
        <f t="array" aca="1" ref="E95" ca="1">_FV(D95,"Price")</f>
        <v>2122.1999999999998</v>
      </c>
      <c r="F95" s="43">
        <f t="array" aca="1" ref="F95" ca="1">_FV(D95,"Previous close",TRUE)</f>
        <v>2016.1</v>
      </c>
      <c r="G95" s="33">
        <v>1775.6</v>
      </c>
      <c r="H95" s="33">
        <v>1597.83</v>
      </c>
      <c r="I95" s="33">
        <v>1541.17</v>
      </c>
      <c r="J95" s="33">
        <v>1398.52</v>
      </c>
      <c r="K95" s="31"/>
      <c r="L95" s="31"/>
      <c r="M95" s="31"/>
      <c r="N95" s="31"/>
      <c r="O95" s="31"/>
      <c r="P95" s="31"/>
      <c r="Q95" s="31"/>
    </row>
    <row r="96" spans="1:17" hidden="1">
      <c r="A96" s="40">
        <v>46166</v>
      </c>
      <c r="B96" s="49" t="s">
        <v>53</v>
      </c>
      <c r="C96" s="49" t="s">
        <v>791</v>
      </c>
      <c r="D96" s="49" t="e" vm="172">
        <v>#VALUE!</v>
      </c>
      <c r="E96" s="42">
        <f t="array" aca="1" ref="E96" ca="1">_FV(D96,"Price")</f>
        <v>599.35</v>
      </c>
      <c r="F96" s="43">
        <f t="array" aca="1" ref="F96" ca="1">_FV(D96,"Previous close",TRUE)</f>
        <v>604.95000000000005</v>
      </c>
      <c r="G96" s="33">
        <v>605</v>
      </c>
      <c r="H96" s="33">
        <v>581.11</v>
      </c>
      <c r="I96" s="33">
        <v>576.21</v>
      </c>
      <c r="J96" s="33">
        <v>572.22</v>
      </c>
      <c r="K96" s="31"/>
      <c r="L96" s="31"/>
      <c r="M96" s="31"/>
      <c r="N96" s="31"/>
      <c r="O96" s="31"/>
      <c r="P96" s="31"/>
      <c r="Q96" s="31"/>
    </row>
    <row r="97" spans="1:17" hidden="1">
      <c r="A97" s="40">
        <v>46166</v>
      </c>
      <c r="B97" s="49" t="s">
        <v>191</v>
      </c>
      <c r="C97" s="49" t="s">
        <v>791</v>
      </c>
      <c r="D97" s="49" t="e" vm="164">
        <v>#VALUE!</v>
      </c>
      <c r="E97" s="42">
        <f t="array" aca="1" ref="E97" ca="1">_FV(D97,"Price")</f>
        <v>199.41</v>
      </c>
      <c r="F97" s="43">
        <f t="array" aca="1" ref="F97" ca="1">_FV(D97,"Previous close",TRUE)</f>
        <v>189.94</v>
      </c>
      <c r="G97" s="33">
        <v>179.94</v>
      </c>
      <c r="H97" s="33">
        <v>141.59</v>
      </c>
      <c r="I97" s="33">
        <v>134.09</v>
      </c>
      <c r="J97" s="33">
        <v>111.74</v>
      </c>
      <c r="K97" s="31"/>
      <c r="L97" s="31"/>
      <c r="M97" s="31"/>
      <c r="N97" s="31"/>
      <c r="O97" s="31"/>
      <c r="P97" s="31"/>
      <c r="Q97" s="31"/>
    </row>
    <row r="98" spans="1:17" hidden="1">
      <c r="A98" s="40">
        <v>46166</v>
      </c>
      <c r="B98" s="49" t="s">
        <v>78</v>
      </c>
      <c r="C98" s="49" t="s">
        <v>791</v>
      </c>
      <c r="D98" s="49" t="e" vm="29">
        <v>#VALUE!</v>
      </c>
      <c r="E98" s="42">
        <f t="array" aca="1" ref="E98" ca="1">_FV(D98,"Price")</f>
        <v>668.85</v>
      </c>
      <c r="F98" s="43">
        <f t="array" aca="1" ref="F98" ca="1">_FV(D98,"Previous close",TRUE)</f>
        <v>689.25</v>
      </c>
      <c r="G98" s="33">
        <v>741.5</v>
      </c>
      <c r="H98" s="33">
        <v>625.97</v>
      </c>
      <c r="I98" s="33">
        <v>610.6</v>
      </c>
      <c r="J98" s="33">
        <v>570.03</v>
      </c>
      <c r="K98" s="31"/>
      <c r="L98" s="31"/>
      <c r="M98" s="31"/>
      <c r="N98" s="31"/>
      <c r="O98" s="31"/>
      <c r="P98" s="31"/>
      <c r="Q98" s="31"/>
    </row>
    <row r="99" spans="1:17" hidden="1">
      <c r="A99" s="40">
        <v>46166</v>
      </c>
      <c r="B99" s="49" t="s">
        <v>925</v>
      </c>
      <c r="C99" s="49" t="s">
        <v>791</v>
      </c>
      <c r="D99" s="49" t="e" vm="233">
        <v>#VALUE!</v>
      </c>
      <c r="E99" s="42">
        <f t="array" aca="1" ref="E99" ca="1">_FV(D99,"Price")</f>
        <v>1502.1</v>
      </c>
      <c r="F99" s="43">
        <f t="array" aca="1" ref="F99" ca="1">_FV(D99,"Previous close",TRUE)</f>
        <v>1541</v>
      </c>
      <c r="G99" s="33">
        <v>1442.9</v>
      </c>
      <c r="H99" s="33">
        <v>1247.58</v>
      </c>
      <c r="I99" s="33">
        <v>1216.54</v>
      </c>
      <c r="J99" s="33">
        <v>1157.8399999999999</v>
      </c>
      <c r="K99" s="31"/>
      <c r="L99" s="31"/>
      <c r="M99" s="31"/>
      <c r="N99" s="31"/>
      <c r="O99" s="31"/>
      <c r="P99" s="31"/>
      <c r="Q99" s="31"/>
    </row>
    <row r="100" spans="1:17" hidden="1">
      <c r="A100" s="40">
        <v>46166</v>
      </c>
      <c r="B100" s="49" t="s">
        <v>654</v>
      </c>
      <c r="C100" s="49" t="s">
        <v>791</v>
      </c>
      <c r="D100" s="49" t="e" vm="6">
        <v>#VALUE!</v>
      </c>
      <c r="E100" s="42">
        <f t="array" aca="1" ref="E100" ca="1">_FV(D100,"Price")</f>
        <v>533.4</v>
      </c>
      <c r="F100" s="43">
        <f t="array" aca="1" ref="F100" ca="1">_FV(D100,"Previous close",TRUE)</f>
        <v>537</v>
      </c>
      <c r="G100" s="33">
        <v>528</v>
      </c>
      <c r="H100" s="33">
        <v>504.6</v>
      </c>
      <c r="I100" s="33">
        <v>498.17</v>
      </c>
      <c r="J100" s="33">
        <v>481.95</v>
      </c>
      <c r="K100" s="31"/>
      <c r="L100" s="31"/>
      <c r="M100" s="31"/>
      <c r="N100" s="31"/>
      <c r="O100" s="31"/>
      <c r="P100" s="31"/>
      <c r="Q100" s="31"/>
    </row>
    <row r="101" spans="1:17" hidden="1">
      <c r="A101" s="40">
        <v>46166</v>
      </c>
      <c r="B101" s="49" t="s">
        <v>803</v>
      </c>
      <c r="C101" s="49" t="s">
        <v>791</v>
      </c>
      <c r="D101" s="49" t="e" vm="159">
        <v>#VALUE!</v>
      </c>
      <c r="E101" s="42">
        <f t="array" aca="1" ref="E101" ca="1">_FV(D101,"Price")</f>
        <v>1867</v>
      </c>
      <c r="F101" s="43">
        <f t="array" aca="1" ref="F101" ca="1">_FV(D101,"Previous close",TRUE)</f>
        <v>1859</v>
      </c>
      <c r="G101" s="33">
        <v>1839.8</v>
      </c>
      <c r="H101" s="33">
        <v>1747.71</v>
      </c>
      <c r="I101" s="33">
        <v>1723.56</v>
      </c>
      <c r="J101" s="33">
        <v>1661.98</v>
      </c>
      <c r="K101" s="31"/>
      <c r="L101" s="31"/>
      <c r="M101" s="31"/>
      <c r="N101" s="31"/>
      <c r="O101" s="31"/>
      <c r="P101" s="31"/>
      <c r="Q101" s="31"/>
    </row>
    <row r="102" spans="1:17" hidden="1">
      <c r="A102" s="40">
        <v>46166</v>
      </c>
      <c r="B102" s="49" t="s">
        <v>795</v>
      </c>
      <c r="C102" s="49" t="s">
        <v>791</v>
      </c>
      <c r="D102" s="49" t="e" vm="157">
        <v>#VALUE!</v>
      </c>
      <c r="E102" s="42">
        <f t="array" aca="1" ref="E102" ca="1">_FV(D102,"Price")</f>
        <v>857.15</v>
      </c>
      <c r="F102" s="43">
        <f t="array" aca="1" ref="F102" ca="1">_FV(D102,"Previous close",TRUE)</f>
        <v>828.9</v>
      </c>
      <c r="G102" s="33">
        <v>845</v>
      </c>
      <c r="H102" s="33">
        <v>707.85</v>
      </c>
      <c r="I102" s="33">
        <v>679.19</v>
      </c>
      <c r="J102" s="33">
        <v>595.27</v>
      </c>
      <c r="K102" s="31"/>
      <c r="L102" s="31"/>
      <c r="M102" s="31"/>
      <c r="N102" s="31"/>
      <c r="O102" s="31"/>
      <c r="P102" s="31"/>
      <c r="Q102" s="31"/>
    </row>
    <row r="103" spans="1:17" hidden="1">
      <c r="A103" s="40">
        <v>46166</v>
      </c>
      <c r="B103" s="49" t="s">
        <v>91</v>
      </c>
      <c r="C103" s="49" t="s">
        <v>791</v>
      </c>
      <c r="D103" s="49" t="e" vm="168">
        <v>#VALUE!</v>
      </c>
      <c r="E103" s="42">
        <f t="array" aca="1" ref="E103" ca="1">_FV(D103,"Price")</f>
        <v>1076.5999999999999</v>
      </c>
      <c r="F103" s="43">
        <f t="array" aca="1" ref="F103" ca="1">_FV(D103,"Previous close",TRUE)</f>
        <v>1078.3</v>
      </c>
      <c r="G103" s="33">
        <v>1077.7</v>
      </c>
      <c r="H103" s="33">
        <v>999.12</v>
      </c>
      <c r="I103" s="33">
        <v>987.53</v>
      </c>
      <c r="J103" s="33">
        <v>959.21</v>
      </c>
      <c r="K103" s="31"/>
      <c r="L103" s="31"/>
      <c r="M103" s="31"/>
      <c r="N103" s="31"/>
      <c r="O103" s="31"/>
      <c r="P103" s="31"/>
      <c r="Q103" s="31"/>
    </row>
    <row r="104" spans="1:17" hidden="1">
      <c r="A104" s="40">
        <v>46166</v>
      </c>
      <c r="B104" s="49" t="s">
        <v>926</v>
      </c>
      <c r="C104" s="49" t="s">
        <v>791</v>
      </c>
      <c r="D104" s="49" t="e" vm="234">
        <v>#VALUE!</v>
      </c>
      <c r="E104" s="42">
        <f t="array" aca="1" ref="E104" ca="1">_FV(D104,"Price")</f>
        <v>2232.3000000000002</v>
      </c>
      <c r="F104" s="43">
        <f t="array" aca="1" ref="F104" ca="1">_FV(D104,"Previous close",TRUE)</f>
        <v>2277</v>
      </c>
      <c r="G104" s="33">
        <v>2250</v>
      </c>
      <c r="H104" s="33">
        <v>2029.53</v>
      </c>
      <c r="I104" s="33">
        <v>1992.37</v>
      </c>
      <c r="J104" s="33">
        <v>1898.31</v>
      </c>
      <c r="K104" s="31"/>
      <c r="L104" s="31"/>
      <c r="M104" s="31"/>
      <c r="N104" s="31"/>
      <c r="O104" s="31"/>
      <c r="P104" s="31"/>
      <c r="Q104" s="31"/>
    </row>
    <row r="105" spans="1:17" hidden="1">
      <c r="A105" s="40">
        <v>46166</v>
      </c>
      <c r="B105" s="49" t="s">
        <v>210</v>
      </c>
      <c r="C105" s="49" t="s">
        <v>791</v>
      </c>
      <c r="D105" s="49" t="e" vm="235">
        <v>#VALUE!</v>
      </c>
      <c r="E105" s="42">
        <f t="array" aca="1" ref="E105" ca="1">_FV(D105,"Price")</f>
        <v>76.790000000000006</v>
      </c>
      <c r="F105" s="43">
        <f t="array" aca="1" ref="F105" ca="1">_FV(D105,"Previous close",TRUE)</f>
        <v>69.81</v>
      </c>
      <c r="G105" s="33">
        <v>67.77</v>
      </c>
      <c r="H105" s="33">
        <v>58.65</v>
      </c>
      <c r="I105" s="33">
        <v>56.7</v>
      </c>
      <c r="J105" s="33">
        <v>50.65</v>
      </c>
      <c r="K105" s="31"/>
      <c r="L105" s="31"/>
      <c r="M105" s="31"/>
      <c r="N105" s="31"/>
      <c r="O105" s="31"/>
      <c r="P105" s="31"/>
      <c r="Q105" s="31"/>
    </row>
    <row r="106" spans="1:17" hidden="1">
      <c r="A106" s="40">
        <v>46166</v>
      </c>
      <c r="B106" s="49" t="s">
        <v>657</v>
      </c>
      <c r="C106" s="49" t="s">
        <v>791</v>
      </c>
      <c r="D106" s="49" t="e" vm="8">
        <v>#VALUE!</v>
      </c>
      <c r="E106" s="42">
        <f t="array" aca="1" ref="E106" ca="1">_FV(D106,"Price")</f>
        <v>659.85</v>
      </c>
      <c r="F106" s="43">
        <f t="array" aca="1" ref="F106" ca="1">_FV(D106,"Previous close",TRUE)</f>
        <v>672.3</v>
      </c>
      <c r="G106" s="33">
        <v>662.45</v>
      </c>
      <c r="H106" s="33">
        <v>637.19000000000005</v>
      </c>
      <c r="I106" s="33">
        <v>627.74</v>
      </c>
      <c r="J106" s="33">
        <v>598.25</v>
      </c>
      <c r="K106" s="31"/>
      <c r="L106" s="31"/>
      <c r="M106" s="31"/>
      <c r="N106" s="31"/>
      <c r="O106" s="31"/>
      <c r="P106" s="31"/>
      <c r="Q106" s="31"/>
    </row>
    <row r="107" spans="1:17" hidden="1">
      <c r="A107" s="40">
        <v>46166</v>
      </c>
      <c r="B107" s="49" t="s">
        <v>927</v>
      </c>
      <c r="C107" s="49" t="s">
        <v>791</v>
      </c>
      <c r="D107" s="49" t="e" vm="236">
        <v>#VALUE!</v>
      </c>
      <c r="E107" s="42">
        <f t="array" aca="1" ref="E107" ca="1">_FV(D107,"Price")</f>
        <v>654.54999999999995</v>
      </c>
      <c r="F107" s="43">
        <f t="array" aca="1" ref="F107" ca="1">_FV(D107,"Previous close",TRUE)</f>
        <v>651.85</v>
      </c>
      <c r="G107" s="33">
        <v>690.55</v>
      </c>
      <c r="H107" s="33">
        <v>577.64</v>
      </c>
      <c r="I107" s="33">
        <v>566.02</v>
      </c>
      <c r="J107" s="33">
        <v>539.79</v>
      </c>
      <c r="K107" s="31"/>
      <c r="L107" s="31"/>
      <c r="M107" s="31"/>
      <c r="N107" s="31"/>
      <c r="O107" s="31"/>
      <c r="P107" s="31"/>
      <c r="Q107" s="31"/>
    </row>
    <row r="108" spans="1:17" hidden="1">
      <c r="A108" s="40">
        <v>46166</v>
      </c>
      <c r="B108" s="49" t="s">
        <v>928</v>
      </c>
      <c r="C108" s="49" t="s">
        <v>791</v>
      </c>
      <c r="D108" s="49" t="e" vm="237">
        <v>#VALUE!</v>
      </c>
      <c r="E108" s="42">
        <f t="array" aca="1" ref="E108" ca="1">_FV(D108,"Price")</f>
        <v>359.3</v>
      </c>
      <c r="F108" s="43">
        <f t="array" aca="1" ref="F108" ca="1">_FV(D108,"Previous close",TRUE)</f>
        <v>357.45</v>
      </c>
      <c r="G108" s="33">
        <v>364.05</v>
      </c>
      <c r="H108" s="33">
        <v>329.54</v>
      </c>
      <c r="I108" s="33">
        <v>324.52999999999997</v>
      </c>
      <c r="J108" s="33">
        <v>314.37</v>
      </c>
      <c r="K108" s="31"/>
      <c r="L108" s="31"/>
      <c r="M108" s="31"/>
      <c r="N108" s="31"/>
      <c r="O108" s="31"/>
      <c r="P108" s="31"/>
      <c r="Q108" s="31"/>
    </row>
    <row r="109" spans="1:17" hidden="1">
      <c r="A109" s="40">
        <v>46166</v>
      </c>
      <c r="B109" s="49" t="s">
        <v>929</v>
      </c>
      <c r="C109" s="49" t="s">
        <v>791</v>
      </c>
      <c r="D109" s="49" t="e" vm="238">
        <v>#VALUE!</v>
      </c>
      <c r="E109" s="42">
        <f t="array" aca="1" ref="E109" ca="1">_FV(D109,"Price")</f>
        <v>718.25</v>
      </c>
      <c r="F109" s="43">
        <f t="array" aca="1" ref="F109" ca="1">_FV(D109,"Previous close",TRUE)</f>
        <v>697.15</v>
      </c>
      <c r="G109" s="33">
        <v>674.75</v>
      </c>
      <c r="H109" s="33">
        <v>583.17999999999995</v>
      </c>
      <c r="I109" s="33">
        <v>571.29999999999995</v>
      </c>
      <c r="J109" s="33">
        <v>543.08000000000004</v>
      </c>
      <c r="K109" s="31"/>
      <c r="L109" s="31"/>
      <c r="M109" s="31"/>
      <c r="N109" s="31"/>
      <c r="O109" s="31"/>
      <c r="P109" s="31"/>
      <c r="Q109" s="31"/>
    </row>
    <row r="110" spans="1:17" hidden="1">
      <c r="A110" s="40">
        <v>46166</v>
      </c>
      <c r="B110" s="49" t="s">
        <v>930</v>
      </c>
      <c r="C110" s="49" t="s">
        <v>791</v>
      </c>
      <c r="D110" s="49" t="e" vm="239">
        <v>#VALUE!</v>
      </c>
      <c r="E110" s="42">
        <f t="array" aca="1" ref="E110" ca="1">_FV(D110,"Price")</f>
        <v>628.1</v>
      </c>
      <c r="F110" s="43">
        <f t="array" aca="1" ref="F110" ca="1">_FV(D110,"Previous close",TRUE)</f>
        <v>606.9</v>
      </c>
      <c r="G110" s="33">
        <v>593.15</v>
      </c>
      <c r="H110" s="33">
        <v>575.37</v>
      </c>
      <c r="I110" s="33">
        <v>567.77</v>
      </c>
      <c r="J110" s="33">
        <v>551.16</v>
      </c>
      <c r="K110" s="31"/>
      <c r="L110" s="31"/>
      <c r="M110" s="31"/>
      <c r="N110" s="31"/>
      <c r="O110" s="31"/>
      <c r="P110" s="31"/>
      <c r="Q110" s="31"/>
    </row>
    <row r="111" spans="1:17" hidden="1">
      <c r="A111" s="40">
        <v>46166</v>
      </c>
      <c r="B111" s="49" t="s">
        <v>931</v>
      </c>
      <c r="C111" s="49" t="s">
        <v>791</v>
      </c>
      <c r="D111" s="49" t="e" vm="240">
        <v>#VALUE!</v>
      </c>
      <c r="E111" s="42">
        <f t="array" aca="1" ref="E111" ca="1">_FV(D111,"Price")</f>
        <v>765.25</v>
      </c>
      <c r="F111" s="43">
        <f t="array" aca="1" ref="F111" ca="1">_FV(D111,"Previous close",TRUE)</f>
        <v>774.8</v>
      </c>
      <c r="G111" s="33">
        <v>746.45</v>
      </c>
      <c r="H111" s="33">
        <v>665.14</v>
      </c>
      <c r="I111" s="33">
        <v>651.54</v>
      </c>
      <c r="J111" s="33">
        <v>621.15</v>
      </c>
      <c r="K111" s="31"/>
      <c r="L111" s="31"/>
      <c r="M111" s="31"/>
      <c r="N111" s="31"/>
      <c r="O111" s="31"/>
      <c r="P111" s="31"/>
      <c r="Q111" s="31"/>
    </row>
    <row r="112" spans="1:17" hidden="1">
      <c r="A112" s="40">
        <v>46166</v>
      </c>
      <c r="B112" s="49" t="s">
        <v>201</v>
      </c>
      <c r="C112" s="49" t="s">
        <v>791</v>
      </c>
      <c r="D112" s="49" t="e" vm="241">
        <v>#VALUE!</v>
      </c>
      <c r="E112" s="42">
        <f t="array" aca="1" ref="E112" ca="1">_FV(D112,"Price")</f>
        <v>900.95</v>
      </c>
      <c r="F112" s="43">
        <f t="array" aca="1" ref="F112" ca="1">_FV(D112,"Previous close",TRUE)</f>
        <v>917.25</v>
      </c>
      <c r="G112" s="33">
        <v>968.7</v>
      </c>
      <c r="H112" s="33">
        <v>777.74</v>
      </c>
      <c r="I112" s="33">
        <v>760.67</v>
      </c>
      <c r="J112" s="33">
        <v>724.18</v>
      </c>
      <c r="K112" s="31"/>
      <c r="L112" s="31"/>
      <c r="M112" s="31"/>
      <c r="N112" s="31"/>
      <c r="O112" s="31"/>
      <c r="P112" s="31"/>
      <c r="Q112" s="31"/>
    </row>
    <row r="113" spans="1:17" hidden="1">
      <c r="A113" s="40">
        <v>46166</v>
      </c>
      <c r="B113" s="49" t="s">
        <v>199</v>
      </c>
      <c r="C113" s="49" t="s">
        <v>791</v>
      </c>
      <c r="D113" s="49" t="e" vm="242">
        <v>#VALUE!</v>
      </c>
      <c r="E113" s="42">
        <f t="array" aca="1" ref="E113" ca="1">_FV(D113,"Price")</f>
        <v>208.5</v>
      </c>
      <c r="F113" s="43">
        <f t="array" aca="1" ref="F113" ca="1">_FV(D113,"Previous close",TRUE)</f>
        <v>204.24</v>
      </c>
      <c r="G113" s="33">
        <v>212.11</v>
      </c>
      <c r="H113" s="33">
        <v>177.09</v>
      </c>
      <c r="I113" s="33">
        <v>171.71</v>
      </c>
      <c r="J113" s="33">
        <v>157.08000000000001</v>
      </c>
      <c r="K113" s="31"/>
      <c r="L113" s="31"/>
      <c r="M113" s="31"/>
      <c r="N113" s="31"/>
      <c r="O113" s="31"/>
      <c r="P113" s="31"/>
      <c r="Q113" s="31"/>
    </row>
    <row r="114" spans="1:17" hidden="1">
      <c r="A114" s="40">
        <v>46166</v>
      </c>
      <c r="B114" s="49" t="s">
        <v>799</v>
      </c>
      <c r="C114" s="49" t="s">
        <v>791</v>
      </c>
      <c r="D114" s="49" t="e" vm="158">
        <v>#VALUE!</v>
      </c>
      <c r="E114" s="42">
        <f t="array" aca="1" ref="E114" ca="1">_FV(D114,"Price")</f>
        <v>490.95</v>
      </c>
      <c r="F114" s="43">
        <f t="array" aca="1" ref="F114" ca="1">_FV(D114,"Previous close",TRUE)</f>
        <v>484.1</v>
      </c>
      <c r="G114" s="33">
        <v>476.15</v>
      </c>
      <c r="H114" s="33">
        <v>483.08</v>
      </c>
      <c r="I114" s="33">
        <v>481.34</v>
      </c>
      <c r="J114" s="33">
        <v>470.71</v>
      </c>
      <c r="K114" s="31"/>
      <c r="L114" s="31"/>
      <c r="M114" s="31"/>
      <c r="N114" s="31"/>
      <c r="O114" s="31"/>
      <c r="P114" s="31"/>
      <c r="Q114" s="31"/>
    </row>
    <row r="115" spans="1:17" hidden="1">
      <c r="A115" s="40">
        <v>46166</v>
      </c>
      <c r="B115" s="49" t="s">
        <v>744</v>
      </c>
      <c r="C115" s="49" t="s">
        <v>791</v>
      </c>
      <c r="D115" s="49" t="e" vm="115">
        <v>#VALUE!</v>
      </c>
      <c r="E115" s="42">
        <f t="array" aca="1" ref="E115" ca="1">_FV(D115,"Price")</f>
        <v>463.8</v>
      </c>
      <c r="F115" s="43">
        <f t="array" aca="1" ref="F115" ca="1">_FV(D115,"Previous close",TRUE)</f>
        <v>469.75</v>
      </c>
      <c r="G115" s="33">
        <v>475</v>
      </c>
      <c r="H115" s="33">
        <v>465.06</v>
      </c>
      <c r="I115" s="33">
        <v>460.96</v>
      </c>
      <c r="J115" s="33">
        <v>443.55</v>
      </c>
      <c r="K115" s="31"/>
      <c r="L115" s="31"/>
      <c r="M115" s="31"/>
      <c r="N115" s="31"/>
      <c r="O115" s="31"/>
      <c r="P115" s="31"/>
      <c r="Q115" s="31"/>
    </row>
    <row r="116" spans="1:17" hidden="1">
      <c r="A116" s="40">
        <v>46166</v>
      </c>
      <c r="B116" s="49" t="s">
        <v>932</v>
      </c>
      <c r="C116" s="49" t="s">
        <v>791</v>
      </c>
      <c r="D116" s="49" t="e" vm="243">
        <v>#VALUE!</v>
      </c>
      <c r="E116" s="42">
        <f t="array" aca="1" ref="E116" ca="1">_FV(D116,"Price")</f>
        <v>580.20000000000005</v>
      </c>
      <c r="F116" s="43">
        <f t="array" aca="1" ref="F116" ca="1">_FV(D116,"Previous close",TRUE)</f>
        <v>588.54999999999995</v>
      </c>
      <c r="G116" s="33">
        <v>595.04999999999995</v>
      </c>
      <c r="H116" s="33">
        <v>553.35</v>
      </c>
      <c r="I116" s="33">
        <v>547.4</v>
      </c>
      <c r="J116" s="33">
        <v>529.74</v>
      </c>
      <c r="K116" s="31"/>
      <c r="L116" s="31"/>
      <c r="M116" s="31"/>
      <c r="N116" s="31"/>
      <c r="O116" s="31"/>
      <c r="P116" s="31"/>
      <c r="Q116" s="31"/>
    </row>
    <row r="117" spans="1:17" hidden="1">
      <c r="A117" s="40">
        <v>46166</v>
      </c>
      <c r="B117" s="49" t="s">
        <v>670</v>
      </c>
      <c r="C117" s="49" t="s">
        <v>791</v>
      </c>
      <c r="D117" s="49" t="e" vm="23">
        <v>#VALUE!</v>
      </c>
      <c r="E117" s="42">
        <f t="array" aca="1" ref="E117" ca="1">_FV(D117,"Price")</f>
        <v>3491.9</v>
      </c>
      <c r="F117" s="43">
        <f t="array" aca="1" ref="F117" ca="1">_FV(D117,"Previous close",TRUE)</f>
        <v>3529.2</v>
      </c>
      <c r="G117" s="33">
        <v>3630.4</v>
      </c>
      <c r="H117" s="33">
        <v>3534.88</v>
      </c>
      <c r="I117" s="33">
        <v>3510.16</v>
      </c>
      <c r="J117" s="33">
        <v>3401.95</v>
      </c>
      <c r="K117" s="31"/>
      <c r="L117" s="31"/>
      <c r="M117" s="31"/>
      <c r="N117" s="31"/>
      <c r="O117" s="31"/>
      <c r="P117" s="31"/>
      <c r="Q117" s="31"/>
    </row>
    <row r="118" spans="1:17" hidden="1">
      <c r="A118" s="40">
        <v>46166</v>
      </c>
      <c r="B118" s="49" t="s">
        <v>672</v>
      </c>
      <c r="C118" s="49" t="s">
        <v>791</v>
      </c>
      <c r="D118" s="49" t="e" vm="28">
        <v>#VALUE!</v>
      </c>
      <c r="E118" s="42">
        <f t="array" aca="1" ref="E118" ca="1">_FV(D118,"Price")</f>
        <v>1972.9</v>
      </c>
      <c r="F118" s="43">
        <f t="array" aca="1" ref="F118" ca="1">_FV(D118,"Previous close",TRUE)</f>
        <v>1988.1</v>
      </c>
      <c r="G118" s="33">
        <v>2024.5</v>
      </c>
      <c r="H118" s="33">
        <v>1893.83</v>
      </c>
      <c r="I118" s="33">
        <v>1873.3</v>
      </c>
      <c r="J118" s="33">
        <v>1839.81</v>
      </c>
      <c r="K118" s="31"/>
      <c r="L118" s="31"/>
      <c r="M118" s="31"/>
      <c r="N118" s="31"/>
      <c r="O118" s="31"/>
      <c r="P118" s="31"/>
      <c r="Q118" s="31"/>
    </row>
    <row r="119" spans="1:17" hidden="1">
      <c r="A119" s="40">
        <v>46166</v>
      </c>
      <c r="B119" s="49" t="s">
        <v>203</v>
      </c>
      <c r="C119" s="49" t="s">
        <v>791</v>
      </c>
      <c r="D119" s="49" t="e" vm="244">
        <v>#VALUE!</v>
      </c>
      <c r="E119" s="42">
        <f t="array" aca="1" ref="E119" ca="1">_FV(D119,"Price")</f>
        <v>275.35000000000002</v>
      </c>
      <c r="F119" s="43">
        <f t="array" aca="1" ref="F119" ca="1">_FV(D119,"Previous close",TRUE)</f>
        <v>275.2</v>
      </c>
      <c r="G119" s="33">
        <v>279.33999999999997</v>
      </c>
      <c r="H119" s="33">
        <v>232.33</v>
      </c>
      <c r="I119" s="33">
        <v>224.28</v>
      </c>
      <c r="J119" s="33">
        <v>202.69</v>
      </c>
      <c r="K119" s="31"/>
      <c r="L119" s="31"/>
      <c r="M119" s="31"/>
      <c r="N119" s="31"/>
      <c r="O119" s="31"/>
      <c r="P119" s="31"/>
      <c r="Q119" s="31"/>
    </row>
    <row r="120" spans="1:17" hidden="1">
      <c r="A120" s="40">
        <v>46166</v>
      </c>
      <c r="B120" s="49" t="s">
        <v>933</v>
      </c>
      <c r="C120" s="49" t="s">
        <v>791</v>
      </c>
      <c r="D120" s="49" t="e" vm="245">
        <v>#VALUE!</v>
      </c>
      <c r="E120" s="42">
        <f t="array" aca="1" ref="E120" ca="1">_FV(D120,"Price")</f>
        <v>1406.9</v>
      </c>
      <c r="F120" s="43">
        <f t="array" aca="1" ref="F120" ca="1">_FV(D120,"Previous close",TRUE)</f>
        <v>1405.7</v>
      </c>
      <c r="G120" s="33">
        <v>1410.1</v>
      </c>
      <c r="H120" s="33">
        <v>1309.6600000000001</v>
      </c>
      <c r="I120" s="33">
        <v>1285.68</v>
      </c>
      <c r="J120" s="33">
        <v>1237.05</v>
      </c>
      <c r="K120" s="31"/>
      <c r="L120" s="31"/>
      <c r="M120" s="31"/>
      <c r="N120" s="31"/>
      <c r="O120" s="31"/>
      <c r="P120" s="31"/>
      <c r="Q120" s="31"/>
    </row>
    <row r="121" spans="1:17" hidden="1">
      <c r="A121" s="40">
        <v>46166</v>
      </c>
      <c r="B121" s="49" t="s">
        <v>814</v>
      </c>
      <c r="C121" s="49" t="s">
        <v>791</v>
      </c>
      <c r="D121" s="49" t="e" vm="161">
        <v>#VALUE!</v>
      </c>
      <c r="E121" s="42">
        <f t="array" aca="1" ref="E121" ca="1">_FV(D121,"Price")</f>
        <v>486.45</v>
      </c>
      <c r="F121" s="43">
        <f t="array" aca="1" ref="F121" ca="1">_FV(D121,"Previous close",TRUE)</f>
        <v>478.85</v>
      </c>
      <c r="G121" s="33">
        <v>508.85</v>
      </c>
      <c r="H121" s="33">
        <v>475.54</v>
      </c>
      <c r="I121" s="33">
        <v>466.15</v>
      </c>
      <c r="J121" s="33">
        <v>429.08</v>
      </c>
      <c r="K121" s="31"/>
      <c r="L121" s="31"/>
      <c r="M121" s="31"/>
      <c r="N121" s="31"/>
      <c r="O121" s="31"/>
      <c r="P121" s="31"/>
      <c r="Q121" s="31"/>
    </row>
    <row r="122" spans="1:17" hidden="1">
      <c r="A122" s="40">
        <v>46166</v>
      </c>
      <c r="B122" s="49" t="s">
        <v>92</v>
      </c>
      <c r="C122" s="49" t="s">
        <v>791</v>
      </c>
      <c r="D122" s="49" t="e" vm="246">
        <v>#VALUE!</v>
      </c>
      <c r="E122" s="42">
        <f t="array" aca="1" ref="E122" ca="1">_FV(D122,"Price")</f>
        <v>4784.5</v>
      </c>
      <c r="F122" s="43">
        <f t="array" aca="1" ref="F122" ca="1">_FV(D122,"Previous close",TRUE)</f>
        <v>4969.7</v>
      </c>
      <c r="G122" s="33">
        <v>4982.7</v>
      </c>
      <c r="H122" s="33">
        <v>4402.3100000000004</v>
      </c>
      <c r="I122" s="33">
        <v>4284.75</v>
      </c>
      <c r="J122" s="33">
        <v>3900.78</v>
      </c>
      <c r="K122" s="31"/>
      <c r="L122" s="31"/>
      <c r="M122" s="31"/>
      <c r="N122" s="31"/>
      <c r="O122" s="31"/>
      <c r="P122" s="31"/>
      <c r="Q122" s="31"/>
    </row>
    <row r="123" spans="1:17" hidden="1">
      <c r="A123" s="40">
        <v>46166</v>
      </c>
      <c r="B123" s="49" t="s">
        <v>934</v>
      </c>
      <c r="C123" s="49" t="s">
        <v>791</v>
      </c>
      <c r="D123" s="49" t="e" vm="247">
        <v>#VALUE!</v>
      </c>
      <c r="E123" s="42">
        <f t="array" aca="1" ref="E123" ca="1">_FV(D123,"Price")</f>
        <v>267.60000000000002</v>
      </c>
      <c r="F123" s="43">
        <f t="array" aca="1" ref="F123" ca="1">_FV(D123,"Previous close",TRUE)</f>
        <v>264</v>
      </c>
      <c r="G123" s="33">
        <v>269.35000000000002</v>
      </c>
      <c r="H123" s="33">
        <v>254.08</v>
      </c>
      <c r="I123" s="33">
        <v>250.49</v>
      </c>
      <c r="J123" s="33">
        <v>235.46</v>
      </c>
      <c r="K123" s="31"/>
      <c r="L123" s="31"/>
      <c r="M123" s="31"/>
      <c r="N123" s="31"/>
      <c r="O123" s="31"/>
      <c r="P123" s="31"/>
      <c r="Q123" s="31"/>
    </row>
    <row r="124" spans="1:17" hidden="1">
      <c r="A124" s="40">
        <v>46166</v>
      </c>
      <c r="B124" s="49" t="s">
        <v>807</v>
      </c>
      <c r="C124" s="49" t="s">
        <v>791</v>
      </c>
      <c r="D124" s="49" t="e" vm="160">
        <v>#VALUE!</v>
      </c>
      <c r="E124" s="42">
        <f t="array" aca="1" ref="E124" ca="1">_FV(D124,"Price")</f>
        <v>267.75</v>
      </c>
      <c r="F124" s="43">
        <f t="array" aca="1" ref="F124" ca="1">_FV(D124,"Previous close",TRUE)</f>
        <v>265.05</v>
      </c>
      <c r="G124" s="33">
        <v>265.39999999999998</v>
      </c>
      <c r="H124" s="33">
        <v>278.64999999999998</v>
      </c>
      <c r="I124" s="33">
        <v>278.27999999999997</v>
      </c>
      <c r="J124" s="33">
        <v>272.2</v>
      </c>
      <c r="K124" s="31"/>
      <c r="L124" s="31"/>
      <c r="M124" s="31"/>
      <c r="N124" s="31"/>
      <c r="O124" s="31"/>
      <c r="P124" s="31"/>
      <c r="Q124" s="31"/>
    </row>
    <row r="125" spans="1:17" hidden="1">
      <c r="A125" s="40">
        <v>46166</v>
      </c>
      <c r="B125" s="49" t="s">
        <v>55</v>
      </c>
      <c r="C125" s="49" t="s">
        <v>791</v>
      </c>
      <c r="D125" s="49" t="e" vm="165">
        <v>#VALUE!</v>
      </c>
      <c r="E125" s="42">
        <f t="array" aca="1" ref="E125" ca="1">_FV(D125,"Price")</f>
        <v>1440.4</v>
      </c>
      <c r="F125" s="43">
        <f t="array" aca="1" ref="F125" ca="1">_FV(D125,"Previous close",TRUE)</f>
        <v>1429.2</v>
      </c>
      <c r="G125" s="33">
        <v>1426.4</v>
      </c>
      <c r="H125" s="33">
        <v>1416.27</v>
      </c>
      <c r="I125" s="33">
        <v>1402.75</v>
      </c>
      <c r="J125" s="33">
        <v>1343.73</v>
      </c>
      <c r="K125" s="31"/>
      <c r="L125" s="31"/>
      <c r="M125" s="31"/>
      <c r="N125" s="31"/>
      <c r="O125" s="31"/>
      <c r="P125" s="31"/>
      <c r="Q125" s="31"/>
    </row>
    <row r="126" spans="1:17" hidden="1">
      <c r="A126" s="40">
        <v>46166</v>
      </c>
      <c r="B126" s="49" t="s">
        <v>187</v>
      </c>
      <c r="C126" s="49" t="s">
        <v>791</v>
      </c>
      <c r="D126" s="49" t="e" vm="248">
        <v>#VALUE!</v>
      </c>
      <c r="E126" s="42">
        <f t="array" aca="1" ref="E126" ca="1">_FV(D126,"Price")</f>
        <v>1493.1</v>
      </c>
      <c r="F126" s="43">
        <f t="array" aca="1" ref="F126" ca="1">_FV(D126,"Previous close",TRUE)</f>
        <v>1530.6</v>
      </c>
      <c r="G126" s="33">
        <v>1513.3</v>
      </c>
      <c r="H126" s="33">
        <v>1351.97</v>
      </c>
      <c r="I126" s="33">
        <v>1318.79</v>
      </c>
      <c r="J126" s="33">
        <v>1204.27</v>
      </c>
      <c r="K126" s="31"/>
      <c r="L126" s="31"/>
      <c r="M126" s="31"/>
      <c r="N126" s="31"/>
      <c r="O126" s="31"/>
      <c r="P126" s="31"/>
      <c r="Q126" s="31"/>
    </row>
    <row r="127" spans="1:17" hidden="1">
      <c r="A127" s="40">
        <v>46166</v>
      </c>
      <c r="B127" s="49" t="s">
        <v>138</v>
      </c>
      <c r="C127" s="49" t="s">
        <v>885</v>
      </c>
      <c r="D127" s="49" t="e" vm="186">
        <v>#VALUE!</v>
      </c>
      <c r="E127" s="42">
        <f t="array" aca="1" ref="E127" ca="1">_FV(D127,"Price")</f>
        <v>620.6</v>
      </c>
      <c r="F127" s="43">
        <f t="array" aca="1" ref="F127" ca="1">_FV(D127,"Previous close",TRUE)</f>
        <v>591.04999999999995</v>
      </c>
      <c r="G127" s="33">
        <v>536.15</v>
      </c>
      <c r="H127" s="33">
        <v>408.71</v>
      </c>
      <c r="I127" s="33">
        <v>381.86</v>
      </c>
      <c r="J127" s="33">
        <v>296.70999999999998</v>
      </c>
      <c r="K127" s="31"/>
      <c r="L127" s="31"/>
      <c r="M127" s="31"/>
      <c r="N127" s="31"/>
      <c r="O127" s="31"/>
      <c r="P127" s="31"/>
      <c r="Q127" s="31"/>
    </row>
    <row r="128" spans="1:17" hidden="1">
      <c r="A128" s="40">
        <v>46166</v>
      </c>
      <c r="B128" s="49" t="s">
        <v>886</v>
      </c>
      <c r="C128" s="49" t="s">
        <v>885</v>
      </c>
      <c r="D128" s="49" t="e" vm="182">
        <v>#VALUE!</v>
      </c>
      <c r="E128" s="42">
        <f t="array" aca="1" ref="E128" ca="1">_FV(D128,"Price")</f>
        <v>7468</v>
      </c>
      <c r="F128" s="43">
        <f t="array" aca="1" ref="F128" ca="1">_FV(D128,"Previous close",TRUE)</f>
        <v>7216</v>
      </c>
      <c r="G128" s="33">
        <v>7879.5</v>
      </c>
      <c r="H128" s="33">
        <v>6506.47</v>
      </c>
      <c r="I128" s="33">
        <v>6210.04</v>
      </c>
      <c r="J128" s="33">
        <v>5134.9399999999996</v>
      </c>
      <c r="K128" s="31"/>
      <c r="L128" s="31"/>
      <c r="M128" s="31"/>
      <c r="N128" s="31"/>
      <c r="O128" s="31"/>
      <c r="P128" s="31"/>
      <c r="Q128" s="31"/>
    </row>
    <row r="129" spans="1:17" hidden="1">
      <c r="A129" s="40">
        <v>46166</v>
      </c>
      <c r="B129" s="49" t="s">
        <v>516</v>
      </c>
      <c r="C129" s="49" t="s">
        <v>885</v>
      </c>
      <c r="D129" s="49" t="e" vm="24">
        <v>#VALUE!</v>
      </c>
      <c r="E129" s="42">
        <f t="array" aca="1" ref="E129" ca="1">_FV(D129,"Price")</f>
        <v>18577</v>
      </c>
      <c r="F129" s="43">
        <f t="array" aca="1" ref="F129" ca="1">_FV(D129,"Previous close",TRUE)</f>
        <v>18386</v>
      </c>
      <c r="G129" s="33">
        <v>18247</v>
      </c>
      <c r="H129" s="33">
        <v>16697.240000000002</v>
      </c>
      <c r="I129" s="33">
        <v>16356.68</v>
      </c>
      <c r="J129" s="33">
        <v>15322.98</v>
      </c>
      <c r="K129" s="31"/>
      <c r="L129" s="31"/>
      <c r="M129" s="31"/>
      <c r="N129" s="31"/>
      <c r="O129" s="31"/>
      <c r="P129" s="31"/>
      <c r="Q129" s="31"/>
    </row>
    <row r="130" spans="1:17" hidden="1">
      <c r="A130" s="40">
        <v>46166</v>
      </c>
      <c r="B130" s="49" t="s">
        <v>75</v>
      </c>
      <c r="C130" s="49" t="s">
        <v>885</v>
      </c>
      <c r="D130" s="49" t="e" vm="154">
        <v>#VALUE!</v>
      </c>
      <c r="E130" s="42">
        <f t="array" aca="1" ref="E130" ca="1">_FV(D130,"Price")</f>
        <v>3966.1</v>
      </c>
      <c r="F130" s="43">
        <f t="array" aca="1" ref="F130" ca="1">_FV(D130,"Previous close",TRUE)</f>
        <v>3931.9</v>
      </c>
      <c r="G130" s="33">
        <v>4146.1000000000004</v>
      </c>
      <c r="H130" s="33">
        <v>3769.07</v>
      </c>
      <c r="I130" s="33">
        <v>3684.5</v>
      </c>
      <c r="J130" s="33">
        <v>3375.34</v>
      </c>
      <c r="K130" s="31"/>
      <c r="L130" s="31"/>
      <c r="M130" s="31"/>
      <c r="N130" s="31"/>
      <c r="O130" s="31"/>
      <c r="P130" s="31"/>
      <c r="Q130" s="31"/>
    </row>
    <row r="131" spans="1:17" hidden="1">
      <c r="A131" s="40">
        <v>46166</v>
      </c>
      <c r="B131" s="49" t="s">
        <v>889</v>
      </c>
      <c r="C131" s="49" t="s">
        <v>885</v>
      </c>
      <c r="D131" s="49" t="e" vm="185">
        <v>#VALUE!</v>
      </c>
      <c r="E131" s="42">
        <f t="array" aca="1" ref="E131" ca="1">_FV(D131,"Price")</f>
        <v>1497.7</v>
      </c>
      <c r="F131" s="43">
        <f t="array" aca="1" ref="F131" ca="1">_FV(D131,"Previous close",TRUE)</f>
        <v>1517.9</v>
      </c>
      <c r="G131" s="33">
        <v>1575.8</v>
      </c>
      <c r="H131" s="33">
        <v>1371.31</v>
      </c>
      <c r="I131" s="33">
        <v>1325.4</v>
      </c>
      <c r="J131" s="33">
        <v>1171.7</v>
      </c>
      <c r="K131" s="31"/>
      <c r="L131" s="31"/>
      <c r="M131" s="31"/>
      <c r="N131" s="31"/>
      <c r="O131" s="31"/>
      <c r="P131" s="31"/>
      <c r="Q131" s="31"/>
    </row>
    <row r="132" spans="1:17" hidden="1">
      <c r="A132" s="40">
        <v>46166</v>
      </c>
      <c r="B132" s="49" t="s">
        <v>93</v>
      </c>
      <c r="C132" s="49" t="s">
        <v>885</v>
      </c>
      <c r="D132" s="49" t="e" vm="188">
        <v>#VALUE!</v>
      </c>
      <c r="E132" s="42">
        <f t="array" aca="1" ref="E132" ca="1">_FV(D132,"Price")</f>
        <v>1394.3</v>
      </c>
      <c r="F132" s="43">
        <f t="array" aca="1" ref="F132" ca="1">_FV(D132,"Previous close",TRUE)</f>
        <v>1382.6</v>
      </c>
      <c r="G132" s="33">
        <v>1362</v>
      </c>
      <c r="H132" s="33">
        <v>1254.02</v>
      </c>
      <c r="I132" s="33">
        <v>1229.67</v>
      </c>
      <c r="J132" s="33">
        <v>1147.8399999999999</v>
      </c>
      <c r="K132" s="31"/>
      <c r="L132" s="31"/>
      <c r="M132" s="31"/>
      <c r="N132" s="31"/>
      <c r="O132" s="31"/>
      <c r="P132" s="31"/>
      <c r="Q132" s="31"/>
    </row>
    <row r="133" spans="1:17" hidden="1">
      <c r="A133" s="40">
        <v>46166</v>
      </c>
      <c r="B133" s="49" t="s">
        <v>888</v>
      </c>
      <c r="C133" s="49" t="s">
        <v>885</v>
      </c>
      <c r="D133" s="49" t="e" vm="184">
        <v>#VALUE!</v>
      </c>
      <c r="E133" s="42">
        <f t="array" aca="1" ref="E133" ca="1">_FV(D133,"Price")</f>
        <v>1056.3</v>
      </c>
      <c r="F133" s="43">
        <f t="array" aca="1" ref="F133" ca="1">_FV(D133,"Previous close",TRUE)</f>
        <v>1031.8</v>
      </c>
      <c r="G133" s="33">
        <v>1037.1500000000001</v>
      </c>
      <c r="H133" s="33">
        <v>823.68</v>
      </c>
      <c r="I133" s="33">
        <v>787.59</v>
      </c>
      <c r="J133" s="33">
        <v>685.09</v>
      </c>
      <c r="K133" s="31"/>
      <c r="L133" s="31"/>
      <c r="M133" s="31"/>
      <c r="N133" s="31"/>
      <c r="O133" s="31"/>
      <c r="P133" s="31"/>
      <c r="Q133" s="31"/>
    </row>
    <row r="134" spans="1:17" hidden="1">
      <c r="A134" s="40">
        <v>46166</v>
      </c>
      <c r="B134" s="49" t="s">
        <v>935</v>
      </c>
      <c r="C134" s="49" t="s">
        <v>885</v>
      </c>
      <c r="D134" s="49" t="e" vm="249">
        <v>#VALUE!</v>
      </c>
      <c r="E134" s="42">
        <f t="array" aca="1" ref="E134" ca="1">_FV(D134,"Price")</f>
        <v>8290.5</v>
      </c>
      <c r="F134" s="43">
        <f t="array" aca="1" ref="F134" ca="1">_FV(D134,"Previous close",TRUE)</f>
        <v>8089.5</v>
      </c>
      <c r="G134" s="33">
        <v>8176.5</v>
      </c>
      <c r="H134" s="33">
        <v>7967.16</v>
      </c>
      <c r="I134" s="33">
        <v>7914.64</v>
      </c>
      <c r="J134" s="33">
        <v>7736.93</v>
      </c>
      <c r="K134" s="31"/>
      <c r="L134" s="31"/>
      <c r="M134" s="31"/>
      <c r="N134" s="31"/>
      <c r="O134" s="31"/>
      <c r="P134" s="31"/>
      <c r="Q134" s="31"/>
    </row>
    <row r="135" spans="1:17" hidden="1">
      <c r="A135" s="40">
        <v>46166</v>
      </c>
      <c r="B135" s="49" t="s">
        <v>67</v>
      </c>
      <c r="C135" s="49" t="s">
        <v>885</v>
      </c>
      <c r="D135" s="49" t="e" vm="30">
        <v>#VALUE!</v>
      </c>
      <c r="E135" s="42">
        <f t="array" aca="1" ref="E135" ca="1">_FV(D135,"Price")</f>
        <v>1286.3</v>
      </c>
      <c r="F135" s="43">
        <f t="array" aca="1" ref="F135" ca="1">_FV(D135,"Previous close",TRUE)</f>
        <v>1235</v>
      </c>
      <c r="G135" s="33">
        <v>1318.6</v>
      </c>
      <c r="H135" s="33">
        <v>1176.1099999999999</v>
      </c>
      <c r="I135" s="33">
        <v>1143.8</v>
      </c>
      <c r="J135" s="33">
        <v>1018.52</v>
      </c>
      <c r="K135" s="31"/>
      <c r="L135" s="31"/>
      <c r="M135" s="31"/>
      <c r="N135" s="31"/>
      <c r="O135" s="31"/>
      <c r="P135" s="31"/>
      <c r="Q135" s="31"/>
    </row>
    <row r="136" spans="1:17" hidden="1">
      <c r="A136" s="40">
        <v>46166</v>
      </c>
      <c r="B136" s="49" t="s">
        <v>897</v>
      </c>
      <c r="C136" s="49" t="s">
        <v>885</v>
      </c>
      <c r="D136" s="49" t="e" vm="198">
        <v>#VALUE!</v>
      </c>
      <c r="E136" s="42">
        <f t="array" aca="1" ref="E136" ca="1">_FV(D136,"Price")</f>
        <v>1480.2</v>
      </c>
      <c r="F136" s="43">
        <f t="array" aca="1" ref="F136" ca="1">_FV(D136,"Previous close",TRUE)</f>
        <v>1517.2</v>
      </c>
      <c r="G136" s="33">
        <v>1418.9</v>
      </c>
      <c r="H136" s="33">
        <v>1491.69</v>
      </c>
      <c r="I136" s="33">
        <v>1476.21</v>
      </c>
      <c r="J136" s="33">
        <v>1394.46</v>
      </c>
      <c r="K136" s="31"/>
      <c r="L136" s="31"/>
      <c r="M136" s="31"/>
      <c r="N136" s="31"/>
      <c r="O136" s="31"/>
      <c r="P136" s="31"/>
      <c r="Q136" s="31"/>
    </row>
    <row r="137" spans="1:17" hidden="1">
      <c r="A137" s="40">
        <v>46166</v>
      </c>
      <c r="B137" s="49" t="s">
        <v>48</v>
      </c>
      <c r="C137" s="49" t="s">
        <v>885</v>
      </c>
      <c r="D137" s="49" t="e" vm="187">
        <v>#VALUE!</v>
      </c>
      <c r="E137" s="42">
        <f t="array" aca="1" ref="E137" ca="1">_FV(D137,"Price")</f>
        <v>129.80000000000001</v>
      </c>
      <c r="F137" s="43">
        <f t="array" aca="1" ref="F137" ca="1">_FV(D137,"Previous close",TRUE)</f>
        <v>128.35</v>
      </c>
      <c r="G137" s="33">
        <v>129.06</v>
      </c>
      <c r="H137" s="33">
        <v>117.3</v>
      </c>
      <c r="I137" s="33">
        <v>114.21</v>
      </c>
      <c r="J137" s="33">
        <v>101.57</v>
      </c>
      <c r="K137" s="31"/>
      <c r="L137" s="31"/>
      <c r="M137" s="31"/>
      <c r="N137" s="31"/>
      <c r="O137" s="31"/>
      <c r="P137" s="31"/>
      <c r="Q137" s="31"/>
    </row>
    <row r="138" spans="1:17" hidden="1">
      <c r="A138" s="40">
        <v>46166</v>
      </c>
      <c r="B138" s="49" t="s">
        <v>652</v>
      </c>
      <c r="C138" s="49" t="s">
        <v>885</v>
      </c>
      <c r="D138" s="49" t="e" vm="4">
        <v>#VALUE!</v>
      </c>
      <c r="E138" s="42">
        <f t="array" aca="1" ref="E138" ca="1">_FV(D138,"Price")</f>
        <v>35190</v>
      </c>
      <c r="F138" s="43">
        <f t="array" aca="1" ref="F138" ca="1">_FV(D138,"Previous close",TRUE)</f>
        <v>35105</v>
      </c>
      <c r="G138" s="33">
        <v>38445</v>
      </c>
      <c r="H138" s="33">
        <v>33096.26</v>
      </c>
      <c r="I138" s="33">
        <v>32211.91</v>
      </c>
      <c r="J138" s="33">
        <v>28794.81</v>
      </c>
      <c r="K138" s="31"/>
      <c r="L138" s="31"/>
      <c r="M138" s="31"/>
      <c r="N138" s="31"/>
      <c r="O138" s="31"/>
      <c r="P138" s="31"/>
      <c r="Q138" s="31"/>
    </row>
    <row r="139" spans="1:17" hidden="1">
      <c r="A139" s="40">
        <v>46166</v>
      </c>
      <c r="B139" s="49" t="s">
        <v>681</v>
      </c>
      <c r="C139" s="49" t="s">
        <v>885</v>
      </c>
      <c r="D139" s="49" t="e" vm="42">
        <v>#VALUE!</v>
      </c>
      <c r="E139" s="42">
        <f t="array" aca="1" ref="E139" ca="1">_FV(D139,"Price")</f>
        <v>3990.4</v>
      </c>
      <c r="F139" s="43">
        <f t="array" aca="1" ref="F139" ca="1">_FV(D139,"Previous close",TRUE)</f>
        <v>4025.2</v>
      </c>
      <c r="G139" s="33">
        <v>4043.1</v>
      </c>
      <c r="H139" s="33">
        <v>3842.29</v>
      </c>
      <c r="I139" s="33">
        <v>3773.75</v>
      </c>
      <c r="J139" s="33">
        <v>3496.79</v>
      </c>
      <c r="K139" s="31"/>
      <c r="L139" s="31"/>
      <c r="M139" s="31"/>
      <c r="N139" s="31"/>
      <c r="O139" s="31"/>
      <c r="P139" s="31"/>
      <c r="Q139" s="31"/>
    </row>
    <row r="140" spans="1:17" hidden="1">
      <c r="A140" s="40">
        <v>46166</v>
      </c>
      <c r="B140" s="49" t="s">
        <v>661</v>
      </c>
      <c r="C140" s="49" t="s">
        <v>885</v>
      </c>
      <c r="D140" s="49" t="e" vm="12">
        <v>#VALUE!</v>
      </c>
      <c r="E140" s="42">
        <f t="array" aca="1" ref="E140" ca="1">_FV(D140,"Price")</f>
        <v>13538</v>
      </c>
      <c r="F140" s="43">
        <f t="array" aca="1" ref="F140" ca="1">_FV(D140,"Previous close",TRUE)</f>
        <v>13270</v>
      </c>
      <c r="G140" s="33">
        <v>13118</v>
      </c>
      <c r="H140" s="33">
        <v>12318.41</v>
      </c>
      <c r="I140" s="33">
        <v>12078.04</v>
      </c>
      <c r="J140" s="33">
        <v>11152.6</v>
      </c>
      <c r="K140" s="31"/>
      <c r="L140" s="31"/>
      <c r="M140" s="31"/>
      <c r="N140" s="31"/>
      <c r="O140" s="31"/>
      <c r="P140" s="31"/>
      <c r="Q140" s="31"/>
    </row>
    <row r="141" spans="1:17" hidden="1">
      <c r="A141" s="40">
        <v>46166</v>
      </c>
      <c r="B141" s="49" t="s">
        <v>887</v>
      </c>
      <c r="C141" s="49" t="s">
        <v>885</v>
      </c>
      <c r="D141" s="49" t="e" vm="183">
        <v>#VALUE!</v>
      </c>
      <c r="E141" s="42">
        <f t="array" aca="1" ref="E141" ca="1">_FV(D141,"Price")</f>
        <v>2833.6</v>
      </c>
      <c r="F141" s="43">
        <f t="array" aca="1" ref="F141" ca="1">_FV(D141,"Previous close",TRUE)</f>
        <v>2878.7</v>
      </c>
      <c r="G141" s="33">
        <v>2954.5</v>
      </c>
      <c r="H141" s="33">
        <v>2940.36</v>
      </c>
      <c r="I141" s="33">
        <v>2897.27</v>
      </c>
      <c r="J141" s="33">
        <v>2690.47</v>
      </c>
      <c r="K141" s="31"/>
      <c r="L141" s="31"/>
      <c r="M141" s="31"/>
      <c r="N141" s="31"/>
      <c r="O141" s="31"/>
      <c r="P141" s="31"/>
      <c r="Q141" s="31"/>
    </row>
    <row r="142" spans="1:17" hidden="1">
      <c r="A142" s="40">
        <v>46166</v>
      </c>
      <c r="B142" s="49" t="s">
        <v>305</v>
      </c>
      <c r="C142" s="49" t="s">
        <v>885</v>
      </c>
      <c r="D142" s="49" t="e" vm="250">
        <v>#VALUE!</v>
      </c>
      <c r="E142" s="42">
        <f t="array" aca="1" ref="E142" ca="1">_FV(D142,"Price")</f>
        <v>436.7</v>
      </c>
      <c r="F142" s="43">
        <f t="array" aca="1" ref="F142" ca="1">_FV(D142,"Previous close",TRUE)</f>
        <v>428.45</v>
      </c>
      <c r="G142" s="33">
        <v>420.35</v>
      </c>
      <c r="H142" s="33">
        <v>393.21</v>
      </c>
      <c r="I142" s="33">
        <v>383.8</v>
      </c>
      <c r="J142" s="33">
        <v>344.54</v>
      </c>
      <c r="K142" s="31"/>
      <c r="L142" s="31"/>
      <c r="M142" s="31"/>
      <c r="N142" s="31"/>
      <c r="O142" s="31"/>
      <c r="P142" s="31"/>
      <c r="Q142" s="31"/>
    </row>
    <row r="143" spans="1:17" hidden="1">
      <c r="A143" s="40">
        <v>46166</v>
      </c>
      <c r="B143" s="49" t="s">
        <v>936</v>
      </c>
      <c r="C143" s="49" t="s">
        <v>885</v>
      </c>
      <c r="D143" s="49" t="e" vm="251">
        <v>#VALUE!</v>
      </c>
      <c r="E143" s="42">
        <f t="array" aca="1" ref="E143" ca="1">_FV(D143,"Price")</f>
        <v>2914.8</v>
      </c>
      <c r="F143" s="43">
        <f t="array" aca="1" ref="F143" ca="1">_FV(D143,"Previous close",TRUE)</f>
        <v>2953.3</v>
      </c>
      <c r="G143" s="33">
        <v>2861</v>
      </c>
      <c r="H143" s="33">
        <v>2620.83</v>
      </c>
      <c r="I143" s="33">
        <v>2563.4499999999998</v>
      </c>
      <c r="J143" s="33">
        <v>2338.11</v>
      </c>
      <c r="K143" s="31"/>
      <c r="L143" s="31"/>
      <c r="M143" s="31"/>
      <c r="N143" s="31"/>
      <c r="O143" s="31"/>
      <c r="P143" s="31"/>
      <c r="Q143" s="31"/>
    </row>
    <row r="144" spans="1:17" hidden="1">
      <c r="A144" s="40">
        <v>46166</v>
      </c>
      <c r="B144" s="49" t="s">
        <v>892</v>
      </c>
      <c r="C144" s="49" t="s">
        <v>885</v>
      </c>
      <c r="D144" s="49" t="e" vm="192">
        <v>#VALUE!</v>
      </c>
      <c r="E144" s="42">
        <f t="array" aca="1" ref="E144" ca="1">_FV(D144,"Price")</f>
        <v>812.85</v>
      </c>
      <c r="F144" s="43">
        <f t="array" aca="1" ref="F144" ca="1">_FV(D144,"Previous close",TRUE)</f>
        <v>834.6</v>
      </c>
      <c r="G144" s="33">
        <v>796.5</v>
      </c>
      <c r="H144" s="33">
        <v>693.31</v>
      </c>
      <c r="I144" s="33">
        <v>671.08</v>
      </c>
      <c r="J144" s="33">
        <v>592.9</v>
      </c>
      <c r="K144" s="31"/>
      <c r="L144" s="31"/>
      <c r="M144" s="31"/>
      <c r="N144" s="31"/>
      <c r="O144" s="31"/>
      <c r="P144" s="31"/>
      <c r="Q144" s="31"/>
    </row>
    <row r="145" spans="1:17" hidden="1">
      <c r="A145" s="40">
        <v>46166</v>
      </c>
      <c r="B145" s="49" t="s">
        <v>937</v>
      </c>
      <c r="C145" s="49" t="s">
        <v>885</v>
      </c>
      <c r="D145" s="49" t="e" vm="252">
        <v>#VALUE!</v>
      </c>
      <c r="E145" s="42">
        <f t="array" aca="1" ref="E145" ca="1">_FV(D145,"Price")</f>
        <v>203.87</v>
      </c>
      <c r="F145" s="43">
        <f t="array" aca="1" ref="F145" ca="1">_FV(D145,"Previous close",TRUE)</f>
        <v>205.85</v>
      </c>
      <c r="G145" s="33">
        <v>204.37</v>
      </c>
      <c r="H145" s="33">
        <v>189.29</v>
      </c>
      <c r="I145" s="33">
        <v>185.73</v>
      </c>
      <c r="J145" s="33">
        <v>172.75</v>
      </c>
      <c r="K145" s="31"/>
      <c r="L145" s="31"/>
      <c r="M145" s="31"/>
      <c r="N145" s="31"/>
      <c r="O145" s="31"/>
      <c r="P145" s="31"/>
      <c r="Q145" s="31"/>
    </row>
    <row r="146" spans="1:17" hidden="1">
      <c r="A146" s="40">
        <v>46166</v>
      </c>
      <c r="B146" s="49" t="s">
        <v>938</v>
      </c>
      <c r="C146" s="49" t="s">
        <v>885</v>
      </c>
      <c r="D146" s="49" t="e" vm="253">
        <v>#VALUE!</v>
      </c>
      <c r="E146" s="42">
        <f t="array" aca="1" ref="E146" ca="1">_FV(D146,"Price")</f>
        <v>1343.6</v>
      </c>
      <c r="F146" s="43">
        <f t="array" aca="1" ref="F146" ca="1">_FV(D146,"Previous close",TRUE)</f>
        <v>1319.9</v>
      </c>
      <c r="G146" s="33">
        <v>1295.4000000000001</v>
      </c>
      <c r="H146" s="33">
        <v>1283.8800000000001</v>
      </c>
      <c r="I146" s="33">
        <v>1266.6500000000001</v>
      </c>
      <c r="J146" s="33">
        <v>1210.8399999999999</v>
      </c>
      <c r="K146" s="31"/>
      <c r="L146" s="31"/>
      <c r="M146" s="31"/>
      <c r="N146" s="31"/>
      <c r="O146" s="31"/>
      <c r="P146" s="31"/>
      <c r="Q146" s="31"/>
    </row>
    <row r="147" spans="1:17" hidden="1">
      <c r="A147" s="40">
        <v>46166</v>
      </c>
      <c r="B147" s="49" t="s">
        <v>896</v>
      </c>
      <c r="C147" s="49" t="s">
        <v>885</v>
      </c>
      <c r="D147" s="49" t="e" vm="197">
        <v>#VALUE!</v>
      </c>
      <c r="E147" s="42">
        <f t="array" aca="1" ref="E147" ca="1">_FV(D147,"Price")</f>
        <v>436.9</v>
      </c>
      <c r="F147" s="43">
        <f t="array" aca="1" ref="F147" ca="1">_FV(D147,"Previous close",TRUE)</f>
        <v>434.4</v>
      </c>
      <c r="G147" s="33">
        <v>424.45</v>
      </c>
      <c r="H147" s="33">
        <v>412.03</v>
      </c>
      <c r="I147" s="33">
        <v>407.59</v>
      </c>
      <c r="J147" s="33">
        <v>381.71</v>
      </c>
      <c r="K147" s="31"/>
      <c r="L147" s="31"/>
      <c r="M147" s="31"/>
      <c r="N147" s="31"/>
      <c r="O147" s="31"/>
      <c r="P147" s="31"/>
      <c r="Q147" s="31"/>
    </row>
    <row r="148" spans="1:17" hidden="1">
      <c r="A148" s="40">
        <v>46166</v>
      </c>
      <c r="B148" s="49" t="s">
        <v>372</v>
      </c>
      <c r="C148" s="49" t="s">
        <v>885</v>
      </c>
      <c r="D148" s="49" t="e" vm="195">
        <v>#VALUE!</v>
      </c>
      <c r="E148" s="42">
        <f t="array" aca="1" ref="E148" ca="1">_FV(D148,"Price")</f>
        <v>1936.5</v>
      </c>
      <c r="F148" s="43">
        <f t="array" aca="1" ref="F148" ca="1">_FV(D148,"Previous close",TRUE)</f>
        <v>1902.9</v>
      </c>
      <c r="G148" s="33">
        <v>1957.2</v>
      </c>
      <c r="H148" s="33">
        <v>1881.04</v>
      </c>
      <c r="I148" s="33">
        <v>1862.67</v>
      </c>
      <c r="J148" s="33">
        <v>1766.47</v>
      </c>
      <c r="K148" s="31"/>
      <c r="L148" s="31"/>
      <c r="M148" s="31"/>
      <c r="N148" s="31"/>
      <c r="O148" s="31"/>
      <c r="P148" s="31"/>
      <c r="Q148" s="31"/>
    </row>
    <row r="149" spans="1:17" hidden="1">
      <c r="A149" s="40">
        <v>46166</v>
      </c>
      <c r="B149" s="49" t="s">
        <v>898</v>
      </c>
      <c r="C149" s="49" t="s">
        <v>885</v>
      </c>
      <c r="D149" s="49" t="e" vm="199">
        <v>#VALUE!</v>
      </c>
      <c r="E149" s="42">
        <f t="array" aca="1" ref="E149" ca="1">_FV(D149,"Price")</f>
        <v>1022.05</v>
      </c>
      <c r="F149" s="43">
        <f t="array" aca="1" ref="F149" ca="1">_FV(D149,"Previous close",TRUE)</f>
        <v>960.6</v>
      </c>
      <c r="G149" s="33">
        <v>964.1</v>
      </c>
      <c r="H149" s="33">
        <v>900.84</v>
      </c>
      <c r="I149" s="33">
        <v>885.38</v>
      </c>
      <c r="J149" s="33">
        <v>819.16</v>
      </c>
      <c r="K149" s="31"/>
      <c r="L149" s="31"/>
      <c r="M149" s="31"/>
      <c r="N149" s="31"/>
      <c r="O149" s="31"/>
      <c r="P149" s="31"/>
      <c r="Q149" s="31"/>
    </row>
    <row r="150" spans="1:17" hidden="1">
      <c r="A150" s="40">
        <v>46166</v>
      </c>
      <c r="B150" s="49" t="s">
        <v>939</v>
      </c>
      <c r="C150" s="49" t="s">
        <v>885</v>
      </c>
      <c r="D150" s="49" t="e" vm="254">
        <v>#VALUE!</v>
      </c>
      <c r="E150" s="42">
        <f t="array" aca="1" ref="E150" ca="1">_FV(D150,"Price")</f>
        <v>1122.3</v>
      </c>
      <c r="F150" s="43">
        <f t="array" aca="1" ref="F150" ca="1">_FV(D150,"Previous close",TRUE)</f>
        <v>1181.3</v>
      </c>
      <c r="G150" s="33">
        <v>1308.8</v>
      </c>
      <c r="H150" s="33">
        <v>1188.8499999999999</v>
      </c>
      <c r="I150" s="33">
        <v>1161.1400000000001</v>
      </c>
      <c r="J150" s="33">
        <v>1053.27</v>
      </c>
      <c r="K150" s="31"/>
      <c r="L150" s="31"/>
      <c r="M150" s="31"/>
      <c r="N150" s="31"/>
      <c r="O150" s="31"/>
      <c r="P150" s="31"/>
      <c r="Q150" s="31"/>
    </row>
    <row r="151" spans="1:17" hidden="1">
      <c r="A151" s="40">
        <v>46166</v>
      </c>
      <c r="B151" s="49" t="s">
        <v>940</v>
      </c>
      <c r="C151" s="49" t="s">
        <v>885</v>
      </c>
      <c r="D151" s="49" t="e" vm="255">
        <v>#VALUE!</v>
      </c>
      <c r="E151" s="42">
        <f t="array" aca="1" ref="E151" ca="1">_FV(D151,"Price")</f>
        <v>232.52</v>
      </c>
      <c r="F151" s="43">
        <f t="array" aca="1" ref="F151" ca="1">_FV(D151,"Previous close",TRUE)</f>
        <v>235.93</v>
      </c>
      <c r="G151" s="33">
        <v>243.37</v>
      </c>
      <c r="H151" s="33">
        <v>215.24</v>
      </c>
      <c r="I151" s="33">
        <v>209.46</v>
      </c>
      <c r="J151" s="33">
        <v>188.83</v>
      </c>
      <c r="K151" s="31"/>
      <c r="L151" s="31"/>
      <c r="M151" s="31"/>
      <c r="N151" s="31"/>
      <c r="O151" s="31"/>
      <c r="P151" s="31"/>
      <c r="Q151" s="31"/>
    </row>
    <row r="152" spans="1:17" hidden="1">
      <c r="A152" s="40">
        <v>46166</v>
      </c>
      <c r="B152" s="49" t="s">
        <v>941</v>
      </c>
      <c r="C152" s="49" t="s">
        <v>885</v>
      </c>
      <c r="D152" s="49" t="e" vm="256">
        <v>#VALUE!</v>
      </c>
      <c r="E152" s="42">
        <f t="array" aca="1" ref="E152" ca="1">_FV(D152,"Price")</f>
        <v>406.3</v>
      </c>
      <c r="F152" s="43">
        <f t="array" aca="1" ref="F152" ca="1">_FV(D152,"Previous close",TRUE)</f>
        <v>410.75</v>
      </c>
      <c r="G152" s="33">
        <v>416.75</v>
      </c>
      <c r="H152" s="33">
        <v>373.32</v>
      </c>
      <c r="I152" s="33">
        <v>362.97</v>
      </c>
      <c r="J152" s="33">
        <v>329.01</v>
      </c>
      <c r="K152" s="31"/>
      <c r="L152" s="31"/>
      <c r="M152" s="31"/>
      <c r="N152" s="31"/>
      <c r="O152" s="31"/>
      <c r="P152" s="31"/>
      <c r="Q152" s="31"/>
    </row>
    <row r="153" spans="1:17" hidden="1">
      <c r="A153" s="40">
        <v>46166</v>
      </c>
      <c r="B153" s="49" t="s">
        <v>900</v>
      </c>
      <c r="C153" s="49" t="s">
        <v>885</v>
      </c>
      <c r="D153" s="49" t="e" vm="201">
        <v>#VALUE!</v>
      </c>
      <c r="E153" s="42">
        <f t="array" aca="1" ref="E153" ca="1">_FV(D153,"Price")</f>
        <v>328.2</v>
      </c>
      <c r="F153" s="43">
        <f t="array" aca="1" ref="F153" ca="1">_FV(D153,"Previous close",TRUE)</f>
        <v>333.55</v>
      </c>
      <c r="G153" s="33">
        <v>352.6</v>
      </c>
      <c r="H153" s="33">
        <v>426.74</v>
      </c>
      <c r="I153" s="33">
        <v>450.59</v>
      </c>
      <c r="J153" s="33">
        <v>510.33</v>
      </c>
      <c r="K153" s="31"/>
      <c r="L153" s="31"/>
      <c r="M153" s="31"/>
      <c r="N153" s="31"/>
      <c r="O153" s="31"/>
      <c r="P153" s="31"/>
      <c r="Q153" s="31"/>
    </row>
    <row r="154" spans="1:17" hidden="1">
      <c r="A154" s="40">
        <v>46166</v>
      </c>
      <c r="B154" s="49" t="s">
        <v>68</v>
      </c>
      <c r="C154" s="49" t="s">
        <v>885</v>
      </c>
      <c r="D154" s="49" t="e" vm="19">
        <v>#VALUE!</v>
      </c>
      <c r="E154" s="42">
        <f t="array" aca="1" ref="E154" ca="1">_FV(D154,"Price")</f>
        <v>9571.5</v>
      </c>
      <c r="F154" s="43">
        <f t="array" aca="1" ref="F154" ca="1">_FV(D154,"Previous close",TRUE)</f>
        <v>9531.5</v>
      </c>
      <c r="G154" s="33">
        <v>9477.5</v>
      </c>
      <c r="H154" s="33">
        <v>8836.25</v>
      </c>
      <c r="I154" s="33">
        <v>8698.57</v>
      </c>
      <c r="J154" s="33">
        <v>8257.5</v>
      </c>
      <c r="K154" s="31"/>
      <c r="L154" s="31"/>
      <c r="M154" s="31"/>
      <c r="N154" s="31"/>
      <c r="O154" s="31"/>
      <c r="P154" s="31"/>
      <c r="Q154" s="31"/>
    </row>
    <row r="155" spans="1:17" hidden="1">
      <c r="A155" s="40">
        <v>46166</v>
      </c>
      <c r="B155" s="49" t="s">
        <v>942</v>
      </c>
      <c r="C155" s="49" t="s">
        <v>885</v>
      </c>
      <c r="D155" s="49" t="e" vm="257">
        <v>#VALUE!</v>
      </c>
      <c r="E155" s="42">
        <f t="array" aca="1" ref="E155" ca="1">_FV(D155,"Price")</f>
        <v>868.45</v>
      </c>
      <c r="F155" s="43">
        <f t="array" aca="1" ref="F155" ca="1">_FV(D155,"Previous close",TRUE)</f>
        <v>858.95</v>
      </c>
      <c r="G155" s="33">
        <v>865.15</v>
      </c>
      <c r="H155" s="33">
        <v>687.49</v>
      </c>
      <c r="I155" s="33">
        <v>657.38</v>
      </c>
      <c r="J155" s="33">
        <v>559.27</v>
      </c>
      <c r="K155" s="31"/>
      <c r="L155" s="31"/>
      <c r="M155" s="31"/>
      <c r="N155" s="31"/>
      <c r="O155" s="31"/>
      <c r="P155" s="31"/>
      <c r="Q155" s="31"/>
    </row>
    <row r="156" spans="1:17" hidden="1">
      <c r="A156" s="40">
        <v>46166</v>
      </c>
      <c r="B156" s="49" t="s">
        <v>891</v>
      </c>
      <c r="C156" s="49" t="s">
        <v>885</v>
      </c>
      <c r="D156" s="49" t="e" vm="191">
        <v>#VALUE!</v>
      </c>
      <c r="E156" s="42">
        <f t="array" aca="1" ref="E156" ca="1">_FV(D156,"Price")</f>
        <v>1803.8</v>
      </c>
      <c r="F156" s="43">
        <f t="array" aca="1" ref="F156" ca="1">_FV(D156,"Previous close",TRUE)</f>
        <v>1814.5</v>
      </c>
      <c r="G156" s="33">
        <v>1804.6</v>
      </c>
      <c r="H156" s="33">
        <v>1705.08</v>
      </c>
      <c r="I156" s="33">
        <v>1679.34</v>
      </c>
      <c r="J156" s="33">
        <v>1597.81</v>
      </c>
      <c r="K156" s="31"/>
      <c r="L156" s="31"/>
      <c r="M156" s="31"/>
      <c r="N156" s="31"/>
      <c r="O156" s="31"/>
      <c r="P156" s="31"/>
      <c r="Q156" s="31"/>
    </row>
    <row r="157" spans="1:17" hidden="1">
      <c r="A157" s="40">
        <v>46166</v>
      </c>
      <c r="B157" s="49" t="s">
        <v>59</v>
      </c>
      <c r="C157" s="49" t="s">
        <v>841</v>
      </c>
      <c r="D157" s="49" t="e" vm="208">
        <v>#VALUE!</v>
      </c>
      <c r="E157" s="42">
        <f t="array" aca="1" ref="E157" ca="1">_FV(D157,"Price")</f>
        <v>357.35</v>
      </c>
      <c r="F157" s="43">
        <f t="array" aca="1" ref="F157" ca="1">_FV(D157,"Previous close",TRUE)</f>
        <v>356.45</v>
      </c>
      <c r="G157" s="33">
        <v>370</v>
      </c>
      <c r="H157" s="33">
        <v>327.13</v>
      </c>
      <c r="I157" s="33">
        <v>319.58</v>
      </c>
      <c r="J157" s="33">
        <v>298.27</v>
      </c>
      <c r="K157" s="31"/>
      <c r="L157" s="31"/>
      <c r="M157" s="31"/>
      <c r="N157" s="31"/>
      <c r="O157" s="31"/>
      <c r="P157" s="31"/>
      <c r="Q157" s="31"/>
    </row>
    <row r="158" spans="1:17" hidden="1">
      <c r="A158" s="40">
        <v>46166</v>
      </c>
      <c r="B158" s="49" t="s">
        <v>71</v>
      </c>
      <c r="C158" s="49" t="s">
        <v>841</v>
      </c>
      <c r="D158" s="49" t="e" vm="31">
        <v>#VALUE!</v>
      </c>
      <c r="E158" s="42">
        <f t="array" aca="1" ref="E158" ca="1">_FV(D158,"Price")</f>
        <v>4964.5</v>
      </c>
      <c r="F158" s="43">
        <f t="array" aca="1" ref="F158" ca="1">_FV(D158,"Previous close",TRUE)</f>
        <v>4781</v>
      </c>
      <c r="G158" s="33">
        <v>5148.6000000000004</v>
      </c>
      <c r="H158" s="33">
        <v>4554.91</v>
      </c>
      <c r="I158" s="33">
        <v>4462.54</v>
      </c>
      <c r="J158" s="33">
        <v>4085.72</v>
      </c>
      <c r="K158" s="31"/>
      <c r="L158" s="31"/>
      <c r="M158" s="31"/>
      <c r="N158" s="31"/>
      <c r="O158" s="31"/>
      <c r="P158" s="31"/>
      <c r="Q158" s="31"/>
    </row>
    <row r="159" spans="1:17" hidden="1">
      <c r="A159" s="40">
        <v>46166</v>
      </c>
      <c r="B159" s="49" t="s">
        <v>50</v>
      </c>
      <c r="C159" s="49" t="s">
        <v>841</v>
      </c>
      <c r="D159" s="49" t="e" vm="163">
        <v>#VALUE!</v>
      </c>
      <c r="E159" s="42">
        <f t="array" aca="1" ref="E159" ca="1">_FV(D159,"Price")</f>
        <v>407.55</v>
      </c>
      <c r="F159" s="43">
        <f t="array" aca="1" ref="F159" ca="1">_FV(D159,"Previous close",TRUE)</f>
        <v>437</v>
      </c>
      <c r="G159" s="33">
        <v>409</v>
      </c>
      <c r="H159" s="33">
        <v>337.88</v>
      </c>
      <c r="I159" s="33">
        <v>325.54000000000002</v>
      </c>
      <c r="J159" s="33">
        <v>292.60000000000002</v>
      </c>
      <c r="K159" s="31"/>
      <c r="L159" s="31"/>
      <c r="M159" s="31"/>
      <c r="N159" s="31"/>
      <c r="O159" s="31"/>
      <c r="P159" s="31"/>
      <c r="Q159" s="31"/>
    </row>
    <row r="160" spans="1:17" hidden="1">
      <c r="A160" s="40">
        <v>46166</v>
      </c>
      <c r="B160" s="49" t="s">
        <v>197</v>
      </c>
      <c r="C160" s="49" t="s">
        <v>841</v>
      </c>
      <c r="D160" s="49" t="e" vm="211">
        <v>#VALUE!</v>
      </c>
      <c r="E160" s="42">
        <f t="array" aca="1" ref="E160" ca="1">_FV(D160,"Price")</f>
        <v>515.4</v>
      </c>
      <c r="F160" s="43">
        <f t="array" aca="1" ref="F160" ca="1">_FV(D160,"Previous close",TRUE)</f>
        <v>517.35</v>
      </c>
      <c r="G160" s="33">
        <v>498.95</v>
      </c>
      <c r="H160" s="33">
        <v>456.01</v>
      </c>
      <c r="I160" s="33">
        <v>444.49</v>
      </c>
      <c r="J160" s="33">
        <v>409.44</v>
      </c>
      <c r="K160" s="31"/>
      <c r="L160" s="31"/>
      <c r="M160" s="31"/>
      <c r="N160" s="31"/>
      <c r="O160" s="31"/>
      <c r="P160" s="31"/>
      <c r="Q160" s="31"/>
    </row>
    <row r="161" spans="1:17" hidden="1">
      <c r="A161" s="40">
        <v>46166</v>
      </c>
      <c r="B161" s="49" t="s">
        <v>195</v>
      </c>
      <c r="C161" s="49" t="s">
        <v>841</v>
      </c>
      <c r="D161" s="49" t="e" vm="27">
        <v>#VALUE!</v>
      </c>
      <c r="E161" s="42">
        <f t="array" aca="1" ref="E161" ca="1">_FV(D161,"Price")</f>
        <v>2645.1</v>
      </c>
      <c r="F161" s="43">
        <f t="array" aca="1" ref="F161" ca="1">_FV(D161,"Previous close",TRUE)</f>
        <v>2654.5</v>
      </c>
      <c r="G161" s="33">
        <v>2785.1</v>
      </c>
      <c r="H161" s="33">
        <v>2475.41</v>
      </c>
      <c r="I161" s="33">
        <v>2427.48</v>
      </c>
      <c r="J161" s="33">
        <v>2223.65</v>
      </c>
      <c r="K161" s="31"/>
      <c r="L161" s="31"/>
      <c r="M161" s="31"/>
      <c r="N161" s="31"/>
      <c r="O161" s="31"/>
      <c r="P161" s="31"/>
      <c r="Q161" s="31"/>
    </row>
    <row r="162" spans="1:17" hidden="1">
      <c r="A162" s="40">
        <v>46166</v>
      </c>
      <c r="B162" s="49" t="s">
        <v>943</v>
      </c>
      <c r="C162" s="49" t="s">
        <v>841</v>
      </c>
      <c r="D162" s="49" t="e" vm="258">
        <v>#VALUE!</v>
      </c>
      <c r="E162" s="42">
        <f t="array" aca="1" ref="E162" ca="1">_FV(D162,"Price")</f>
        <v>1427.8</v>
      </c>
      <c r="F162" s="43">
        <f t="array" aca="1" ref="F162" ca="1">_FV(D162,"Previous close",TRUE)</f>
        <v>1502.9</v>
      </c>
      <c r="G162" s="33">
        <v>1745.9</v>
      </c>
      <c r="H162" s="33">
        <v>1375.02</v>
      </c>
      <c r="I162" s="33">
        <v>1327.04</v>
      </c>
      <c r="J162" s="33">
        <v>1188.3499999999999</v>
      </c>
      <c r="K162" s="31"/>
      <c r="L162" s="31"/>
      <c r="M162" s="31"/>
      <c r="N162" s="31"/>
      <c r="O162" s="31"/>
      <c r="P162" s="31"/>
      <c r="Q162" s="31"/>
    </row>
    <row r="163" spans="1:17" hidden="1">
      <c r="A163" s="40">
        <v>46166</v>
      </c>
      <c r="B163" s="49" t="s">
        <v>88</v>
      </c>
      <c r="C163" s="49" t="s">
        <v>841</v>
      </c>
      <c r="D163" s="49" t="e" vm="214">
        <v>#VALUE!</v>
      </c>
      <c r="E163" s="42">
        <f t="array" aca="1" ref="E163" ca="1">_FV(D163,"Price")</f>
        <v>906.65</v>
      </c>
      <c r="F163" s="43">
        <f t="array" aca="1" ref="F163" ca="1">_FV(D163,"Previous close",TRUE)</f>
        <v>907.7</v>
      </c>
      <c r="G163" s="33">
        <v>917.45</v>
      </c>
      <c r="H163" s="33">
        <v>841.28</v>
      </c>
      <c r="I163" s="33">
        <v>826.19</v>
      </c>
      <c r="J163" s="33">
        <v>776.88</v>
      </c>
      <c r="K163" s="31"/>
      <c r="L163" s="31"/>
      <c r="M163" s="31"/>
      <c r="N163" s="31"/>
      <c r="O163" s="31"/>
      <c r="P163" s="31"/>
      <c r="Q163" s="31"/>
    </row>
    <row r="164" spans="1:17" hidden="1">
      <c r="A164" s="40">
        <v>46166</v>
      </c>
      <c r="B164" s="49" t="s">
        <v>176</v>
      </c>
      <c r="C164" s="49" t="s">
        <v>841</v>
      </c>
      <c r="D164" s="49" t="e" vm="216">
        <v>#VALUE!</v>
      </c>
      <c r="E164" s="42">
        <f t="array" aca="1" ref="E164" ca="1">_FV(D164,"Price")</f>
        <v>1323.7</v>
      </c>
      <c r="F164" s="43">
        <f t="array" aca="1" ref="F164" ca="1">_FV(D164,"Previous close",TRUE)</f>
        <v>1323.8</v>
      </c>
      <c r="G164" s="33">
        <v>1401.7</v>
      </c>
      <c r="H164" s="33">
        <v>1185.22</v>
      </c>
      <c r="I164" s="33">
        <v>1160.83</v>
      </c>
      <c r="J164" s="33">
        <v>1090.33</v>
      </c>
      <c r="K164" s="31"/>
      <c r="L164" s="31"/>
      <c r="M164" s="31"/>
      <c r="N164" s="31"/>
      <c r="O164" s="31"/>
      <c r="P164" s="31"/>
      <c r="Q164" s="31"/>
    </row>
    <row r="165" spans="1:17" hidden="1">
      <c r="A165" s="40">
        <v>46166</v>
      </c>
      <c r="B165" s="49" t="s">
        <v>193</v>
      </c>
      <c r="C165" s="49" t="s">
        <v>841</v>
      </c>
      <c r="D165" s="49" t="e" vm="259">
        <v>#VALUE!</v>
      </c>
      <c r="E165" s="42">
        <f t="array" aca="1" ref="E165" ca="1">_FV(D165,"Price")</f>
        <v>735.05</v>
      </c>
      <c r="F165" s="43">
        <f t="array" aca="1" ref="F165" ca="1">_FV(D165,"Previous close",TRUE)</f>
        <v>745.25</v>
      </c>
      <c r="G165" s="33">
        <v>754.45</v>
      </c>
      <c r="H165" s="33">
        <v>654.21</v>
      </c>
      <c r="I165" s="33">
        <v>639.35</v>
      </c>
      <c r="J165" s="33">
        <v>596.07000000000005</v>
      </c>
      <c r="K165" s="31"/>
      <c r="L165" s="31"/>
      <c r="M165" s="31"/>
      <c r="N165" s="31"/>
      <c r="O165" s="31"/>
      <c r="P165" s="31"/>
      <c r="Q165" s="31"/>
    </row>
    <row r="166" spans="1:17" hidden="1">
      <c r="A166" s="40">
        <v>46166</v>
      </c>
      <c r="B166" s="49" t="s">
        <v>944</v>
      </c>
      <c r="C166" s="49" t="s">
        <v>841</v>
      </c>
      <c r="D166" s="49" t="e" vm="260">
        <v>#VALUE!</v>
      </c>
      <c r="E166" s="42">
        <f t="array" aca="1" ref="E166" ca="1">_FV(D166,"Price")</f>
        <v>1739.25</v>
      </c>
      <c r="F166" s="43">
        <f t="array" aca="1" ref="F166" ca="1">_FV(D166,"Previous close",TRUE)</f>
        <v>1744.1</v>
      </c>
      <c r="G166" s="33">
        <v>3122.4</v>
      </c>
      <c r="H166" s="33">
        <v>2958.91</v>
      </c>
      <c r="I166" s="33">
        <v>2931.67</v>
      </c>
      <c r="J166" s="33">
        <v>2861.33</v>
      </c>
      <c r="K166" s="31"/>
      <c r="L166" s="31"/>
      <c r="M166" s="31"/>
      <c r="N166" s="31"/>
      <c r="O166" s="31"/>
      <c r="P166" s="31"/>
      <c r="Q166" s="31"/>
    </row>
    <row r="167" spans="1:17" hidden="1">
      <c r="A167" s="40">
        <v>46166</v>
      </c>
      <c r="B167" s="49" t="s">
        <v>921</v>
      </c>
      <c r="C167" s="49" t="s">
        <v>841</v>
      </c>
      <c r="D167" s="49" t="e" vm="228">
        <v>#VALUE!</v>
      </c>
      <c r="E167" s="42">
        <f t="array" aca="1" ref="E167" ca="1">_FV(D167,"Price")</f>
        <v>555.4</v>
      </c>
      <c r="F167" s="43">
        <f t="array" aca="1" ref="F167" ca="1">_FV(D167,"Previous close",TRUE)</f>
        <v>571.65</v>
      </c>
      <c r="G167" s="33">
        <v>552.79999999999995</v>
      </c>
      <c r="H167" s="33">
        <v>510.56</v>
      </c>
      <c r="I167" s="33">
        <v>495.49</v>
      </c>
      <c r="J167" s="33">
        <v>437.68</v>
      </c>
      <c r="K167" s="31"/>
      <c r="L167" s="31"/>
      <c r="M167" s="31"/>
      <c r="N167" s="31"/>
      <c r="O167" s="31"/>
      <c r="P167" s="31"/>
      <c r="Q167" s="31"/>
    </row>
    <row r="168" spans="1:17" hidden="1">
      <c r="A168" s="40">
        <v>46166</v>
      </c>
      <c r="B168" s="49" t="s">
        <v>778</v>
      </c>
      <c r="C168" s="49" t="s">
        <v>841</v>
      </c>
      <c r="D168" s="49" t="e" vm="151">
        <v>#VALUE!</v>
      </c>
      <c r="E168" s="42">
        <f t="array" aca="1" ref="E168" ca="1">_FV(D168,"Price")</f>
        <v>334.75</v>
      </c>
      <c r="F168" s="43">
        <f t="array" aca="1" ref="F168" ca="1">_FV(D168,"Previous close",TRUE)</f>
        <v>342.65</v>
      </c>
      <c r="G168" s="33">
        <v>337.3</v>
      </c>
      <c r="H168" s="33">
        <v>315.52</v>
      </c>
      <c r="I168" s="33">
        <v>309.29000000000002</v>
      </c>
      <c r="J168" s="33">
        <v>288.87</v>
      </c>
      <c r="K168" s="31"/>
      <c r="L168" s="31"/>
      <c r="M168" s="31"/>
      <c r="N168" s="31"/>
      <c r="O168" s="31"/>
      <c r="P168" s="31"/>
      <c r="Q168" s="31"/>
    </row>
    <row r="169" spans="1:17" hidden="1">
      <c r="A169" s="40">
        <v>46166</v>
      </c>
      <c r="B169" s="49" t="s">
        <v>945</v>
      </c>
      <c r="C169" s="49" t="s">
        <v>841</v>
      </c>
      <c r="D169" s="49" t="e" vm="261">
        <v>#VALUE!</v>
      </c>
      <c r="E169" s="42">
        <f t="array" aca="1" ref="E169" ca="1">_FV(D169,"Price")</f>
        <v>352.95</v>
      </c>
      <c r="F169" s="43">
        <f t="array" aca="1" ref="F169" ca="1">_FV(D169,"Previous close",TRUE)</f>
        <v>342.35</v>
      </c>
      <c r="G169" s="33">
        <v>345.35</v>
      </c>
      <c r="H169" s="33">
        <v>319.74</v>
      </c>
      <c r="I169" s="33">
        <v>313.68</v>
      </c>
      <c r="J169" s="33">
        <v>296.92</v>
      </c>
      <c r="K169" s="31"/>
      <c r="L169" s="31"/>
      <c r="M169" s="31"/>
      <c r="N169" s="31"/>
      <c r="O169" s="31"/>
      <c r="P169" s="31"/>
      <c r="Q169" s="31"/>
    </row>
    <row r="170" spans="1:17" hidden="1">
      <c r="A170" s="40">
        <v>46166</v>
      </c>
      <c r="B170" s="49" t="s">
        <v>648</v>
      </c>
      <c r="C170" s="49" t="s">
        <v>841</v>
      </c>
      <c r="D170" s="49" t="e" vm="1">
        <v>#VALUE!</v>
      </c>
      <c r="E170" s="42">
        <f t="array" aca="1" ref="E170" ca="1">_FV(D170,"Price")</f>
        <v>1138</v>
      </c>
      <c r="F170" s="43">
        <f t="array" aca="1" ref="F170" ca="1">_FV(D170,"Previous close",TRUE)</f>
        <v>1113.5</v>
      </c>
      <c r="G170" s="33">
        <v>1077.55</v>
      </c>
      <c r="H170" s="33">
        <v>989.08</v>
      </c>
      <c r="I170" s="33">
        <v>972.75</v>
      </c>
      <c r="J170" s="33">
        <v>931.06</v>
      </c>
      <c r="K170" s="31"/>
      <c r="L170" s="31"/>
      <c r="M170" s="31"/>
      <c r="N170" s="31"/>
      <c r="O170" s="31"/>
      <c r="P170" s="31"/>
      <c r="Q170" s="31"/>
    </row>
    <row r="171" spans="1:17" hidden="1">
      <c r="A171" s="40">
        <v>46166</v>
      </c>
      <c r="B171" s="49" t="s">
        <v>52</v>
      </c>
      <c r="C171" s="49" t="s">
        <v>841</v>
      </c>
      <c r="D171" s="49" t="e" vm="262">
        <v>#VALUE!</v>
      </c>
      <c r="E171" s="42">
        <f t="array" aca="1" ref="E171" ca="1">_FV(D171,"Price")</f>
        <v>1617.3</v>
      </c>
      <c r="F171" s="43">
        <f t="array" aca="1" ref="F171" ca="1">_FV(D171,"Previous close",TRUE)</f>
        <v>1643.3</v>
      </c>
      <c r="G171" s="33">
        <v>1614.6</v>
      </c>
      <c r="H171" s="33">
        <v>1552.63</v>
      </c>
      <c r="I171" s="33">
        <v>1530.54</v>
      </c>
      <c r="J171" s="33">
        <v>1422.77</v>
      </c>
      <c r="K171" s="31"/>
      <c r="L171" s="31"/>
      <c r="M171" s="31"/>
      <c r="N171" s="31"/>
      <c r="O171" s="31"/>
      <c r="P171" s="31"/>
      <c r="Q171" s="31"/>
    </row>
    <row r="172" spans="1:17" hidden="1">
      <c r="A172" s="40">
        <v>46166</v>
      </c>
      <c r="B172" s="49" t="s">
        <v>907</v>
      </c>
      <c r="C172" s="49" t="s">
        <v>841</v>
      </c>
      <c r="D172" s="49" t="e" vm="209">
        <v>#VALUE!</v>
      </c>
      <c r="E172" s="42">
        <f t="array" aca="1" ref="E172" ca="1">_FV(D172,"Price")</f>
        <v>3070.7</v>
      </c>
      <c r="F172" s="43">
        <f t="array" aca="1" ref="F172" ca="1">_FV(D172,"Previous close",TRUE)</f>
        <v>3038</v>
      </c>
      <c r="G172" s="33">
        <v>2989.5</v>
      </c>
      <c r="H172" s="33">
        <v>2657.4</v>
      </c>
      <c r="I172" s="33">
        <v>2596.25</v>
      </c>
      <c r="J172" s="33">
        <v>2424.3000000000002</v>
      </c>
      <c r="K172" s="31"/>
      <c r="L172" s="31"/>
      <c r="M172" s="31"/>
      <c r="N172" s="31"/>
      <c r="O172" s="31"/>
      <c r="P172" s="31"/>
      <c r="Q172" s="31"/>
    </row>
    <row r="173" spans="1:17" hidden="1">
      <c r="A173" s="40">
        <v>46166</v>
      </c>
      <c r="B173" s="49" t="s">
        <v>130</v>
      </c>
      <c r="C173" s="49" t="s">
        <v>841</v>
      </c>
      <c r="D173" s="49" t="e" vm="263">
        <v>#VALUE!</v>
      </c>
      <c r="E173" s="42">
        <f t="array" aca="1" ref="E173" ca="1">_FV(D173,"Price")</f>
        <v>4705.3</v>
      </c>
      <c r="F173" s="43">
        <f t="array" aca="1" ref="F173" ca="1">_FV(D173,"Previous close",TRUE)</f>
        <v>4782.8</v>
      </c>
      <c r="G173" s="33">
        <v>4670.7</v>
      </c>
      <c r="H173" s="33">
        <v>4128.8100000000004</v>
      </c>
      <c r="I173" s="33">
        <v>4042.73</v>
      </c>
      <c r="J173" s="33">
        <v>3762.12</v>
      </c>
      <c r="K173" s="31"/>
      <c r="L173" s="31"/>
      <c r="M173" s="31"/>
      <c r="N173" s="31"/>
      <c r="O173" s="31"/>
      <c r="P173" s="31"/>
      <c r="Q173" s="31"/>
    </row>
    <row r="174" spans="1:17" hidden="1">
      <c r="A174" s="40">
        <v>46166</v>
      </c>
      <c r="B174" s="49" t="s">
        <v>140</v>
      </c>
      <c r="C174" s="49" t="s">
        <v>841</v>
      </c>
      <c r="D174" s="49" t="e" vm="212">
        <v>#VALUE!</v>
      </c>
      <c r="E174" s="42">
        <f t="array" aca="1" ref="E174" ca="1">_FV(D174,"Price")</f>
        <v>96.04</v>
      </c>
      <c r="F174" s="43">
        <f t="array" aca="1" ref="F174" ca="1">_FV(D174,"Previous close",TRUE)</f>
        <v>95.31</v>
      </c>
      <c r="G174" s="33">
        <v>87.99</v>
      </c>
      <c r="H174" s="33">
        <v>88.81</v>
      </c>
      <c r="I174" s="33">
        <v>87.98</v>
      </c>
      <c r="J174" s="33">
        <v>84.62</v>
      </c>
      <c r="K174" s="31"/>
      <c r="L174" s="31"/>
      <c r="M174" s="31"/>
      <c r="N174" s="31"/>
      <c r="O174" s="31"/>
      <c r="P174" s="31"/>
      <c r="Q174" s="31"/>
    </row>
    <row r="175" spans="1:17" hidden="1">
      <c r="A175" s="40">
        <v>46166</v>
      </c>
      <c r="B175" s="49" t="s">
        <v>923</v>
      </c>
      <c r="C175" s="49" t="s">
        <v>913</v>
      </c>
      <c r="D175" s="49" t="e" vm="230">
        <v>#VALUE!</v>
      </c>
      <c r="E175" s="42">
        <f t="array" aca="1" ref="E175" ca="1">_FV(D175,"Price")</f>
        <v>262.5</v>
      </c>
      <c r="F175" s="43">
        <f t="array" aca="1" ref="F175" ca="1">_FV(D175,"Previous close",TRUE)</f>
        <v>265</v>
      </c>
      <c r="G175" s="33">
        <v>259.86</v>
      </c>
      <c r="H175" s="33">
        <v>241.84</v>
      </c>
      <c r="I175" s="33">
        <v>237.64</v>
      </c>
      <c r="J175" s="33">
        <v>221.07</v>
      </c>
      <c r="K175" s="31"/>
      <c r="L175" s="31"/>
      <c r="M175" s="31"/>
      <c r="N175" s="31"/>
      <c r="O175" s="31"/>
      <c r="P175" s="31"/>
      <c r="Q175" s="31"/>
    </row>
    <row r="176" spans="1:17" hidden="1">
      <c r="A176" s="40">
        <v>46166</v>
      </c>
      <c r="B176" s="49" t="s">
        <v>946</v>
      </c>
      <c r="C176" s="49" t="s">
        <v>913</v>
      </c>
      <c r="D176" s="49" t="e" vm="264">
        <v>#VALUE!</v>
      </c>
      <c r="E176" s="42">
        <f t="array" aca="1" ref="E176" ca="1">_FV(D176,"Price")</f>
        <v>839.35</v>
      </c>
      <c r="F176" s="43">
        <f t="array" aca="1" ref="F176" ca="1">_FV(D176,"Previous close",TRUE)</f>
        <v>853.7</v>
      </c>
      <c r="G176" s="33">
        <v>819.35</v>
      </c>
      <c r="H176" s="33">
        <v>791.9</v>
      </c>
      <c r="I176" s="33">
        <v>780.8</v>
      </c>
      <c r="J176" s="33">
        <v>746.6</v>
      </c>
      <c r="K176" s="31"/>
      <c r="L176" s="31"/>
      <c r="M176" s="31"/>
      <c r="N176" s="31"/>
      <c r="O176" s="31"/>
      <c r="P176" s="31"/>
      <c r="Q176" s="31"/>
    </row>
    <row r="177" spans="1:17" hidden="1">
      <c r="A177" s="40">
        <v>46166</v>
      </c>
      <c r="B177" s="49" t="s">
        <v>918</v>
      </c>
      <c r="C177" s="49" t="s">
        <v>913</v>
      </c>
      <c r="D177" s="49" t="e" vm="225">
        <v>#VALUE!</v>
      </c>
      <c r="E177" s="42">
        <f t="array" aca="1" ref="E177" ca="1">_FV(D177,"Price")</f>
        <v>472.3</v>
      </c>
      <c r="F177" s="43">
        <f t="array" aca="1" ref="F177" ca="1">_FV(D177,"Previous close",TRUE)</f>
        <v>472.15</v>
      </c>
      <c r="G177" s="33">
        <v>457.9</v>
      </c>
      <c r="H177" s="33">
        <v>458.53</v>
      </c>
      <c r="I177" s="33">
        <v>456.15</v>
      </c>
      <c r="J177" s="33">
        <v>443.26</v>
      </c>
      <c r="K177" s="31"/>
      <c r="L177" s="31"/>
      <c r="M177" s="31"/>
      <c r="N177" s="31"/>
      <c r="O177" s="31"/>
      <c r="P177" s="31"/>
      <c r="Q177" s="31"/>
    </row>
    <row r="178" spans="1:17" hidden="1">
      <c r="A178" s="40">
        <v>46166</v>
      </c>
      <c r="B178" s="49" t="s">
        <v>919</v>
      </c>
      <c r="C178" s="49" t="s">
        <v>913</v>
      </c>
      <c r="D178" s="49" t="e" vm="226">
        <v>#VALUE!</v>
      </c>
      <c r="E178" s="42">
        <f t="array" aca="1" ref="E178" ca="1">_FV(D178,"Price")</f>
        <v>1171.7</v>
      </c>
      <c r="F178" s="43">
        <f t="array" aca="1" ref="F178" ca="1">_FV(D178,"Previous close",TRUE)</f>
        <v>1158.5999999999999</v>
      </c>
      <c r="G178" s="33">
        <v>1203.5999999999999</v>
      </c>
      <c r="H178" s="33">
        <v>1276.6400000000001</v>
      </c>
      <c r="I178" s="33">
        <v>1272.28</v>
      </c>
      <c r="J178" s="33">
        <v>1202.99</v>
      </c>
      <c r="K178" s="31"/>
      <c r="L178" s="31"/>
      <c r="M178" s="31"/>
      <c r="N178" s="31"/>
      <c r="O178" s="31"/>
      <c r="P178" s="31"/>
      <c r="Q178" s="31"/>
    </row>
    <row r="179" spans="1:17" hidden="1">
      <c r="A179" s="40">
        <v>46166</v>
      </c>
      <c r="B179" s="49" t="s">
        <v>947</v>
      </c>
      <c r="C179" s="49" t="s">
        <v>913</v>
      </c>
      <c r="D179" s="49" t="e" vm="265">
        <v>#VALUE!</v>
      </c>
      <c r="E179" s="42">
        <f t="array" aca="1" ref="E179" ca="1">_FV(D179,"Price")</f>
        <v>306.8</v>
      </c>
      <c r="F179" s="43">
        <f t="array" aca="1" ref="F179" ca="1">_FV(D179,"Previous close",TRUE)</f>
        <v>309.39999999999998</v>
      </c>
      <c r="G179" s="33">
        <v>1674</v>
      </c>
      <c r="H179" s="33">
        <v>1637.23</v>
      </c>
      <c r="I179" s="33">
        <v>1638.84</v>
      </c>
      <c r="J179" s="33">
        <v>1641.29</v>
      </c>
      <c r="K179" s="31"/>
      <c r="L179" s="31"/>
      <c r="M179" s="31"/>
      <c r="N179" s="31"/>
      <c r="O179" s="31"/>
      <c r="P179" s="31"/>
      <c r="Q179" s="31"/>
    </row>
    <row r="180" spans="1:17" hidden="1">
      <c r="A180" s="40">
        <v>46166</v>
      </c>
      <c r="B180" s="49" t="s">
        <v>912</v>
      </c>
      <c r="C180" s="49" t="s">
        <v>913</v>
      </c>
      <c r="D180" s="49" t="e" vm="219">
        <v>#VALUE!</v>
      </c>
      <c r="E180" s="42">
        <f t="array" aca="1" ref="E180" ca="1">_FV(D180,"Price")</f>
        <v>412.45</v>
      </c>
      <c r="F180" s="43">
        <f t="array" aca="1" ref="F180" ca="1">_FV(D180,"Previous close",TRUE)</f>
        <v>416.8</v>
      </c>
      <c r="G180" s="33">
        <v>428.65</v>
      </c>
      <c r="H180" s="33">
        <v>401.1</v>
      </c>
      <c r="I180" s="33">
        <v>397.41</v>
      </c>
      <c r="J180" s="33">
        <v>387.99</v>
      </c>
      <c r="K180" s="31"/>
      <c r="L180" s="31"/>
      <c r="M180" s="31"/>
      <c r="N180" s="31"/>
      <c r="O180" s="31"/>
      <c r="P180" s="31"/>
      <c r="Q180" s="31"/>
    </row>
    <row r="181" spans="1:17" hidden="1">
      <c r="A181" s="40">
        <v>46166</v>
      </c>
      <c r="B181" s="49" t="s">
        <v>948</v>
      </c>
      <c r="C181" s="49" t="s">
        <v>913</v>
      </c>
      <c r="D181" s="49" t="e" vm="266">
        <v>#VALUE!</v>
      </c>
      <c r="E181" s="42">
        <f t="array" aca="1" ref="E181" ca="1">_FV(D181,"Price")</f>
        <v>529.95000000000005</v>
      </c>
      <c r="F181" s="43">
        <f t="array" aca="1" ref="F181" ca="1">_FV(D181,"Previous close",TRUE)</f>
        <v>537.4</v>
      </c>
      <c r="G181" s="33">
        <v>514.79999999999995</v>
      </c>
      <c r="H181" s="33">
        <v>517.77</v>
      </c>
      <c r="I181" s="33">
        <v>513.32000000000005</v>
      </c>
      <c r="J181" s="33">
        <v>498.43</v>
      </c>
      <c r="K181" s="31"/>
      <c r="L181" s="31"/>
      <c r="M181" s="31"/>
      <c r="N181" s="31"/>
      <c r="O181" s="31"/>
      <c r="P181" s="31"/>
      <c r="Q181" s="31"/>
    </row>
    <row r="182" spans="1:17" hidden="1">
      <c r="A182" s="40">
        <v>46166</v>
      </c>
      <c r="B182" s="49" t="s">
        <v>949</v>
      </c>
      <c r="C182" s="49" t="s">
        <v>913</v>
      </c>
      <c r="D182" s="49" t="e" vm="267">
        <v>#VALUE!</v>
      </c>
      <c r="E182" s="42">
        <f t="array" aca="1" ref="E182" ca="1">_FV(D182,"Price")</f>
        <v>337.8</v>
      </c>
      <c r="F182" s="43">
        <f t="array" aca="1" ref="F182" ca="1">_FV(D182,"Previous close",TRUE)</f>
        <v>315.55</v>
      </c>
      <c r="G182" s="33">
        <v>329.05</v>
      </c>
      <c r="H182" s="33">
        <v>304.35000000000002</v>
      </c>
      <c r="I182" s="33">
        <v>301.08999999999997</v>
      </c>
      <c r="J182" s="33">
        <v>294.49</v>
      </c>
      <c r="K182" s="31"/>
      <c r="L182" s="31"/>
      <c r="M182" s="31"/>
      <c r="N182" s="31"/>
      <c r="O182" s="31"/>
      <c r="P182" s="31"/>
      <c r="Q182" s="31"/>
    </row>
    <row r="183" spans="1:17" hidden="1">
      <c r="A183" s="40">
        <v>46166</v>
      </c>
      <c r="B183" s="49" t="s">
        <v>950</v>
      </c>
      <c r="C183" s="49" t="s">
        <v>913</v>
      </c>
      <c r="D183" s="49" t="e" vm="268">
        <v>#VALUE!</v>
      </c>
      <c r="E183" s="42">
        <f t="array" aca="1" ref="E183" ca="1">_FV(D183,"Price")</f>
        <v>64.14</v>
      </c>
      <c r="F183" s="43">
        <f t="array" aca="1" ref="F183" ca="1">_FV(D183,"Previous close",TRUE)</f>
        <v>59.55</v>
      </c>
      <c r="G183" s="33">
        <v>60.05</v>
      </c>
      <c r="H183" s="33">
        <v>56.96</v>
      </c>
      <c r="I183" s="33">
        <v>56.49</v>
      </c>
      <c r="J183" s="33">
        <v>56.35</v>
      </c>
      <c r="K183" s="31"/>
      <c r="L183" s="31"/>
      <c r="M183" s="31"/>
      <c r="N183" s="31"/>
      <c r="O183" s="31"/>
      <c r="P183" s="31"/>
      <c r="Q183" s="31"/>
    </row>
    <row r="184" spans="1:17" hidden="1">
      <c r="A184" s="40">
        <v>46166</v>
      </c>
      <c r="B184" s="49" t="s">
        <v>915</v>
      </c>
      <c r="C184" s="49" t="s">
        <v>913</v>
      </c>
      <c r="D184" s="49" t="e" vm="222">
        <v>#VALUE!</v>
      </c>
      <c r="E184" s="42">
        <f t="array" aca="1" ref="E184" ca="1">_FV(D184,"Price")</f>
        <v>2608.1999999999998</v>
      </c>
      <c r="F184" s="43">
        <f t="array" aca="1" ref="F184" ca="1">_FV(D184,"Previous close",TRUE)</f>
        <v>2614.9</v>
      </c>
      <c r="G184" s="33">
        <v>2654.8</v>
      </c>
      <c r="H184" s="33">
        <v>2671.44</v>
      </c>
      <c r="I184" s="33">
        <v>2656.61</v>
      </c>
      <c r="J184" s="33">
        <v>2600.35</v>
      </c>
      <c r="K184" s="31"/>
      <c r="L184" s="31"/>
      <c r="M184" s="31"/>
      <c r="N184" s="31"/>
      <c r="O184" s="31"/>
      <c r="P184" s="31"/>
      <c r="Q184" s="31"/>
    </row>
    <row r="185" spans="1:17" hidden="1">
      <c r="A185" s="40">
        <v>46166</v>
      </c>
      <c r="B185" s="49" t="s">
        <v>951</v>
      </c>
      <c r="C185" s="49" t="s">
        <v>913</v>
      </c>
      <c r="D185" s="49" t="e" vm="269">
        <v>#VALUE!</v>
      </c>
      <c r="E185" s="42">
        <f t="array" aca="1" ref="E185" ca="1">_FV(D185,"Price")</f>
        <v>36.49</v>
      </c>
      <c r="F185" s="43">
        <f t="array" aca="1" ref="F185" ca="1">_FV(D185,"Previous close",TRUE)</f>
        <v>36.54</v>
      </c>
      <c r="G185" s="33">
        <v>37.22</v>
      </c>
      <c r="H185" s="33">
        <v>35.64</v>
      </c>
      <c r="I185" s="33">
        <v>35.200000000000003</v>
      </c>
      <c r="J185" s="33">
        <v>32.950000000000003</v>
      </c>
      <c r="K185" s="31"/>
      <c r="L185" s="31"/>
      <c r="M185" s="31"/>
      <c r="N185" s="31"/>
      <c r="O185" s="31"/>
      <c r="P185" s="31"/>
      <c r="Q185" s="31"/>
    </row>
    <row r="186" spans="1:17">
      <c r="A186" s="40">
        <v>46172</v>
      </c>
      <c r="B186" s="50" t="s">
        <v>92</v>
      </c>
      <c r="C186" s="50" t="s">
        <v>952</v>
      </c>
      <c r="D186" s="50" t="e" vm="246">
        <v>#VALUE!</v>
      </c>
      <c r="E186" s="42">
        <f t="array" aca="1" ref="E186" ca="1">_FV(D186,"Price")</f>
        <v>4784.5</v>
      </c>
      <c r="F186" s="43">
        <f t="array" aca="1" ref="F186" ca="1">_FV(D186,"Previous close",TRUE)</f>
        <v>4969.7</v>
      </c>
      <c r="G186" s="33">
        <v>1775.6</v>
      </c>
      <c r="H186" s="33">
        <v>1619.05</v>
      </c>
      <c r="I186" s="33">
        <v>1558.86</v>
      </c>
      <c r="J186" s="33">
        <v>1408.16</v>
      </c>
      <c r="K186" s="31"/>
      <c r="L186" s="31"/>
      <c r="M186" s="31"/>
      <c r="N186" s="31"/>
      <c r="O186" s="31"/>
      <c r="P186" s="31"/>
      <c r="Q186" s="31"/>
    </row>
    <row r="187" spans="1:17">
      <c r="A187" s="40">
        <v>46172</v>
      </c>
      <c r="B187" s="50" t="s">
        <v>78</v>
      </c>
      <c r="C187" s="50" t="s">
        <v>952</v>
      </c>
      <c r="D187" s="50" t="e" vm="29">
        <v>#VALUE!</v>
      </c>
      <c r="E187" s="42">
        <f t="array" aca="1" ref="E187" ca="1">_FV(D187,"Price")</f>
        <v>668.85</v>
      </c>
      <c r="F187" s="43">
        <f t="array" aca="1" ref="F187" ca="1">_FV(D187,"Previous close",TRUE)</f>
        <v>689.25</v>
      </c>
      <c r="G187" s="33">
        <v>845</v>
      </c>
      <c r="H187" s="33">
        <v>713.5</v>
      </c>
      <c r="I187" s="33">
        <v>683.9</v>
      </c>
      <c r="J187" s="33">
        <v>597.84</v>
      </c>
      <c r="K187" s="31"/>
      <c r="L187" s="31"/>
      <c r="M187" s="31"/>
      <c r="N187" s="31"/>
      <c r="O187" s="31"/>
      <c r="P187" s="31"/>
      <c r="Q187" s="31"/>
    </row>
    <row r="188" spans="1:17">
      <c r="A188" s="40">
        <v>46172</v>
      </c>
      <c r="B188" s="50" t="s">
        <v>214</v>
      </c>
      <c r="C188" s="50" t="s">
        <v>952</v>
      </c>
      <c r="D188" s="50" t="e" vm="15">
        <v>#VALUE!</v>
      </c>
      <c r="E188" s="42">
        <f t="array" aca="1" ref="E188" ca="1">_FV(D188,"Price")</f>
        <v>43.54</v>
      </c>
      <c r="F188" s="43">
        <f t="array" aca="1" ref="F188" ca="1">_FV(D188,"Previous close",TRUE)</f>
        <v>42.36</v>
      </c>
      <c r="G188" s="33">
        <v>476.15</v>
      </c>
      <c r="H188" s="33">
        <v>484.45</v>
      </c>
      <c r="I188" s="33">
        <v>482.48</v>
      </c>
      <c r="J188" s="33">
        <v>471.33</v>
      </c>
      <c r="K188" s="31"/>
      <c r="L188" s="31"/>
      <c r="M188" s="31"/>
      <c r="N188" s="31"/>
      <c r="O188" s="31"/>
      <c r="P188" s="31"/>
      <c r="Q188" s="31"/>
    </row>
    <row r="189" spans="1:17">
      <c r="A189" s="40">
        <v>46172</v>
      </c>
      <c r="B189" s="50" t="s">
        <v>953</v>
      </c>
      <c r="C189" s="50" t="s">
        <v>952</v>
      </c>
      <c r="D189" s="50" t="e" vm="270">
        <v>#VALUE!</v>
      </c>
      <c r="E189" s="42">
        <f t="array" aca="1" ref="E189" ca="1">_FV(D189,"Price")</f>
        <v>252.45</v>
      </c>
      <c r="F189" s="43">
        <f t="array" aca="1" ref="F189" ca="1">_FV(D189,"Previous close",TRUE)</f>
        <v>258.10000000000002</v>
      </c>
      <c r="G189" s="33">
        <v>1839.8</v>
      </c>
      <c r="H189" s="33">
        <v>1749.31</v>
      </c>
      <c r="I189" s="33">
        <v>1724.9</v>
      </c>
      <c r="J189" s="33">
        <v>1662.71</v>
      </c>
      <c r="K189" s="31"/>
      <c r="L189" s="31"/>
      <c r="M189" s="31"/>
      <c r="N189" s="31"/>
      <c r="O189" s="31"/>
      <c r="P189" s="31"/>
      <c r="Q189" s="31"/>
    </row>
    <row r="190" spans="1:17">
      <c r="A190" s="40">
        <v>46172</v>
      </c>
      <c r="B190" s="50" t="s">
        <v>207</v>
      </c>
      <c r="C190" s="50" t="s">
        <v>952</v>
      </c>
      <c r="D190" s="50" t="e" vm="271">
        <v>#VALUE!</v>
      </c>
      <c r="E190" s="42">
        <f t="array" aca="1" ref="E190" ca="1">_FV(D190,"Price")</f>
        <v>7196</v>
      </c>
      <c r="F190" s="43">
        <f t="array" aca="1" ref="F190" ca="1">_FV(D190,"Previous close",TRUE)</f>
        <v>7146</v>
      </c>
      <c r="G190" s="33">
        <v>265.39999999999998</v>
      </c>
      <c r="H190" s="33">
        <v>279.19</v>
      </c>
      <c r="I190" s="33">
        <v>278.73</v>
      </c>
      <c r="J190" s="33">
        <v>272.45</v>
      </c>
      <c r="K190" s="31"/>
      <c r="L190" s="31"/>
      <c r="M190" s="31"/>
      <c r="N190" s="31"/>
      <c r="O190" s="31"/>
      <c r="P190" s="31"/>
      <c r="Q190" s="31"/>
    </row>
    <row r="191" spans="1:17">
      <c r="A191" s="40">
        <v>46172</v>
      </c>
      <c r="B191" s="50" t="s">
        <v>91</v>
      </c>
      <c r="C191" s="50" t="s">
        <v>952</v>
      </c>
      <c r="D191" s="50" t="e" vm="168">
        <v>#VALUE!</v>
      </c>
      <c r="E191" s="42">
        <f t="array" aca="1" ref="E191" ca="1">_FV(D191,"Price")</f>
        <v>1076.5999999999999</v>
      </c>
      <c r="F191" s="43">
        <f t="array" aca="1" ref="F191" ca="1">_FV(D191,"Previous close",TRUE)</f>
        <v>1078.3</v>
      </c>
      <c r="G191" s="33">
        <v>1029.05</v>
      </c>
      <c r="H191" s="33">
        <v>987.63</v>
      </c>
      <c r="I191" s="33">
        <v>973.01</v>
      </c>
      <c r="J191" s="33">
        <v>929.68</v>
      </c>
      <c r="K191" s="31"/>
      <c r="L191" s="31"/>
      <c r="M191" s="31"/>
      <c r="N191" s="31"/>
      <c r="O191" s="31"/>
      <c r="P191" s="31"/>
      <c r="Q191" s="31"/>
    </row>
    <row r="192" spans="1:17">
      <c r="A192" s="40">
        <v>46172</v>
      </c>
      <c r="B192" s="50" t="s">
        <v>795</v>
      </c>
      <c r="C192" s="50" t="s">
        <v>952</v>
      </c>
      <c r="D192" s="50" t="e" vm="157">
        <v>#VALUE!</v>
      </c>
      <c r="E192" s="42">
        <f t="array" aca="1" ref="E192" ca="1">_FV(D192,"Price")</f>
        <v>857.15</v>
      </c>
      <c r="F192" s="43">
        <f t="array" aca="1" ref="F192" ca="1">_FV(D192,"Previous close",TRUE)</f>
        <v>828.9</v>
      </c>
      <c r="G192" s="33">
        <v>508.85</v>
      </c>
      <c r="H192" s="33">
        <v>477.06</v>
      </c>
      <c r="I192" s="33">
        <v>467.41</v>
      </c>
      <c r="J192" s="33">
        <v>429.77</v>
      </c>
      <c r="K192" s="31"/>
      <c r="L192" s="31"/>
      <c r="M192" s="31"/>
      <c r="N192" s="31"/>
      <c r="O192" s="31"/>
      <c r="P192" s="31"/>
      <c r="Q192" s="31"/>
    </row>
    <row r="193" spans="1:17">
      <c r="A193" s="40">
        <v>46172</v>
      </c>
      <c r="B193" s="50" t="s">
        <v>127</v>
      </c>
      <c r="C193" s="50" t="s">
        <v>952</v>
      </c>
      <c r="D193" s="50" t="e" vm="272">
        <v>#VALUE!</v>
      </c>
      <c r="E193" s="42">
        <f t="array" aca="1" ref="E193" ca="1">_FV(D193,"Price")</f>
        <v>398.95</v>
      </c>
      <c r="F193" s="43">
        <f t="array" aca="1" ref="F193" ca="1">_FV(D193,"Previous close",TRUE)</f>
        <v>406.25</v>
      </c>
      <c r="G193" s="33">
        <v>538.70000000000005</v>
      </c>
      <c r="H193" s="33">
        <v>544.73</v>
      </c>
      <c r="I193" s="33">
        <v>542.71</v>
      </c>
      <c r="J193" s="33">
        <v>522</v>
      </c>
      <c r="K193" s="31"/>
      <c r="L193" s="31"/>
      <c r="M193" s="31"/>
      <c r="N193" s="31"/>
      <c r="O193" s="31"/>
      <c r="P193" s="31"/>
      <c r="Q193" s="31"/>
    </row>
    <row r="194" spans="1:17">
      <c r="A194" s="40">
        <v>46172</v>
      </c>
      <c r="B194" s="50" t="s">
        <v>216</v>
      </c>
      <c r="C194" s="50" t="s">
        <v>952</v>
      </c>
      <c r="D194" s="50" t="e" vm="273">
        <v>#VALUE!</v>
      </c>
      <c r="E194" s="42">
        <f t="array" aca="1" ref="E194" ca="1">_FV(D194,"Price")</f>
        <v>996.6</v>
      </c>
      <c r="F194" s="43">
        <f t="array" aca="1" ref="F194" ca="1">_FV(D194,"Previous close",TRUE)</f>
        <v>1002.1</v>
      </c>
      <c r="G194" s="33">
        <v>409</v>
      </c>
      <c r="H194" s="33">
        <v>331.99</v>
      </c>
      <c r="I194" s="33">
        <v>320.63</v>
      </c>
      <c r="J194" s="33">
        <v>289.93</v>
      </c>
      <c r="K194" s="31"/>
      <c r="L194" s="31"/>
      <c r="M194" s="31"/>
      <c r="N194" s="31"/>
      <c r="O194" s="31"/>
      <c r="P194" s="31"/>
      <c r="Q194" s="31"/>
    </row>
    <row r="195" spans="1:17">
      <c r="A195" s="40">
        <v>46172</v>
      </c>
      <c r="B195" s="50" t="s">
        <v>884</v>
      </c>
      <c r="C195" s="50" t="s">
        <v>952</v>
      </c>
      <c r="D195" s="50" t="e" vm="181">
        <v>#VALUE!</v>
      </c>
      <c r="E195" s="42">
        <f t="array" aca="1" ref="E195" ca="1">_FV(D195,"Price")</f>
        <v>1688.1</v>
      </c>
      <c r="F195" s="43">
        <f t="array" aca="1" ref="F195" ca="1">_FV(D195,"Previous close",TRUE)</f>
        <v>1672.4</v>
      </c>
      <c r="G195" s="33">
        <v>179.94</v>
      </c>
      <c r="H195" s="33">
        <v>143.49</v>
      </c>
      <c r="I195" s="33">
        <v>135.66999999999999</v>
      </c>
      <c r="J195" s="33">
        <v>112.6</v>
      </c>
      <c r="K195" s="31"/>
      <c r="L195" s="31"/>
      <c r="M195" s="31"/>
      <c r="N195" s="31"/>
      <c r="O195" s="31"/>
      <c r="P195" s="31"/>
      <c r="Q195" s="31"/>
    </row>
    <row r="196" spans="1:17">
      <c r="A196" s="40">
        <v>46172</v>
      </c>
      <c r="B196" s="50" t="s">
        <v>135</v>
      </c>
      <c r="C196" s="50" t="s">
        <v>952</v>
      </c>
      <c r="D196" s="50" t="e" vm="274">
        <v>#VALUE!</v>
      </c>
      <c r="E196" s="42">
        <f t="array" aca="1" ref="E196" ca="1">_FV(D196,"Price")</f>
        <v>4108.2</v>
      </c>
      <c r="F196" s="43">
        <f t="array" aca="1" ref="F196" ca="1">_FV(D196,"Previous close",TRUE)</f>
        <v>4324.3999999999996</v>
      </c>
      <c r="G196" s="33">
        <v>1682</v>
      </c>
      <c r="H196" s="33">
        <v>1685.81</v>
      </c>
      <c r="I196" s="33">
        <v>1673.06</v>
      </c>
      <c r="J196" s="33">
        <v>1649.32</v>
      </c>
      <c r="K196" s="31"/>
      <c r="L196" s="31"/>
      <c r="M196" s="31"/>
      <c r="N196" s="31"/>
      <c r="O196" s="31"/>
      <c r="P196" s="31"/>
      <c r="Q196" s="31"/>
    </row>
    <row r="197" spans="1:17">
      <c r="A197" s="40">
        <v>46172</v>
      </c>
      <c r="B197" s="50" t="s">
        <v>934</v>
      </c>
      <c r="C197" s="50" t="s">
        <v>952</v>
      </c>
      <c r="D197" s="50" t="e" vm="247">
        <v>#VALUE!</v>
      </c>
      <c r="E197" s="42">
        <f t="array" aca="1" ref="E197" ca="1">_FV(D197,"Price")</f>
        <v>267.60000000000002</v>
      </c>
      <c r="F197" s="43">
        <f t="array" aca="1" ref="F197" ca="1">_FV(D197,"Previous close",TRUE)</f>
        <v>264</v>
      </c>
      <c r="G197" s="33">
        <v>1426.4</v>
      </c>
      <c r="H197" s="33">
        <v>1418.51</v>
      </c>
      <c r="I197" s="33">
        <v>1404.61</v>
      </c>
      <c r="J197" s="33">
        <v>1344.75</v>
      </c>
      <c r="K197" s="31"/>
      <c r="L197" s="31"/>
      <c r="M197" s="31"/>
      <c r="N197" s="31"/>
      <c r="O197" s="31"/>
      <c r="P197" s="31"/>
      <c r="Q197" s="31"/>
    </row>
    <row r="198" spans="1:17">
      <c r="A198" s="40">
        <v>46172</v>
      </c>
      <c r="B198" s="50" t="s">
        <v>210</v>
      </c>
      <c r="C198" s="50" t="s">
        <v>952</v>
      </c>
      <c r="D198" s="50" t="e" vm="235">
        <v>#VALUE!</v>
      </c>
      <c r="E198" s="42">
        <f t="array" aca="1" ref="E198" ca="1">_FV(D198,"Price")</f>
        <v>76.790000000000006</v>
      </c>
      <c r="F198" s="43">
        <f t="array" aca="1" ref="F198" ca="1">_FV(D198,"Previous close",TRUE)</f>
        <v>69.81</v>
      </c>
      <c r="G198" s="33">
        <v>774.85</v>
      </c>
      <c r="H198" s="33">
        <v>715.73</v>
      </c>
      <c r="I198" s="33">
        <v>696.81</v>
      </c>
      <c r="J198" s="33">
        <v>637.22</v>
      </c>
      <c r="K198" s="31"/>
      <c r="L198" s="31"/>
      <c r="M198" s="31"/>
      <c r="N198" s="31"/>
      <c r="O198" s="31"/>
      <c r="P198" s="31"/>
      <c r="Q198" s="31"/>
    </row>
    <row r="199" spans="1:17">
      <c r="A199" s="40">
        <v>46172</v>
      </c>
      <c r="B199" s="50" t="s">
        <v>220</v>
      </c>
      <c r="C199" s="50" t="s">
        <v>952</v>
      </c>
      <c r="D199" s="50" t="e" vm="95">
        <v>#VALUE!</v>
      </c>
      <c r="E199" s="42">
        <f t="array" aca="1" ref="E199" ca="1">_FV(D199,"Price")</f>
        <v>706.45</v>
      </c>
      <c r="F199" s="43">
        <f t="array" aca="1" ref="F199" ca="1">_FV(D199,"Previous close",TRUE)</f>
        <v>707.05</v>
      </c>
      <c r="G199" s="33">
        <v>1618.2</v>
      </c>
      <c r="H199" s="33">
        <v>1644.62</v>
      </c>
      <c r="I199" s="33">
        <v>1639.21</v>
      </c>
      <c r="J199" s="33">
        <v>1620.27</v>
      </c>
      <c r="K199" s="31"/>
      <c r="L199" s="31"/>
      <c r="M199" s="31"/>
      <c r="N199" s="31"/>
      <c r="O199" s="31"/>
      <c r="P199" s="31"/>
      <c r="Q199" s="31"/>
    </row>
    <row r="200" spans="1:17">
      <c r="A200" s="40">
        <v>46172</v>
      </c>
      <c r="B200" s="50" t="s">
        <v>925</v>
      </c>
      <c r="C200" s="50" t="s">
        <v>952</v>
      </c>
      <c r="D200" s="50" t="e" vm="233">
        <v>#VALUE!</v>
      </c>
      <c r="E200" s="42">
        <f t="array" aca="1" ref="E200" ca="1">_FV(D200,"Price")</f>
        <v>1502.1</v>
      </c>
      <c r="F200" s="43">
        <f t="array" aca="1" ref="F200" ca="1">_FV(D200,"Previous close",TRUE)</f>
        <v>1541</v>
      </c>
      <c r="G200" s="33">
        <v>1651.3</v>
      </c>
      <c r="H200" s="33">
        <v>1638.22</v>
      </c>
      <c r="I200" s="33">
        <v>1616.86</v>
      </c>
      <c r="J200" s="33">
        <v>1590.3</v>
      </c>
      <c r="K200" s="31"/>
      <c r="L200" s="31"/>
      <c r="M200" s="31"/>
      <c r="N200" s="31"/>
      <c r="O200" s="31"/>
      <c r="P200" s="31"/>
      <c r="Q200" s="31"/>
    </row>
    <row r="201" spans="1:17">
      <c r="A201" s="40">
        <v>46172</v>
      </c>
      <c r="B201" s="50" t="s">
        <v>659</v>
      </c>
      <c r="C201" s="50" t="s">
        <v>952</v>
      </c>
      <c r="D201" s="50" t="e" vm="9">
        <v>#VALUE!</v>
      </c>
      <c r="E201" s="42">
        <f t="array" aca="1" ref="E201" ca="1">_FV(D201,"Price")</f>
        <v>4521.3</v>
      </c>
      <c r="F201" s="43">
        <f t="array" aca="1" ref="F201" ca="1">_FV(D201,"Previous close",TRUE)</f>
        <v>4552.3</v>
      </c>
      <c r="G201" s="33">
        <v>1077.7</v>
      </c>
      <c r="H201" s="33">
        <v>998.78</v>
      </c>
      <c r="I201" s="33">
        <v>987.25</v>
      </c>
      <c r="J201" s="33">
        <v>959.05</v>
      </c>
      <c r="K201" s="31"/>
      <c r="L201" s="31"/>
      <c r="M201" s="31"/>
      <c r="N201" s="31"/>
      <c r="O201" s="31"/>
      <c r="P201" s="31"/>
      <c r="Q201" s="31"/>
    </row>
    <row r="202" spans="1:17">
      <c r="A202" s="40">
        <v>46172</v>
      </c>
      <c r="B202" s="50" t="s">
        <v>129</v>
      </c>
      <c r="C202" s="50" t="s">
        <v>952</v>
      </c>
      <c r="D202" s="50" t="e" vm="275">
        <v>#VALUE!</v>
      </c>
      <c r="E202" s="42">
        <f t="array" aca="1" ref="E202" ca="1">_FV(D202,"Price")</f>
        <v>570.5</v>
      </c>
      <c r="F202" s="43">
        <f t="array" aca="1" ref="F202" ca="1">_FV(D202,"Previous close",TRUE)</f>
        <v>572.4</v>
      </c>
      <c r="G202" s="33">
        <v>78.41</v>
      </c>
      <c r="H202" s="33">
        <v>62.92</v>
      </c>
      <c r="I202" s="33">
        <v>60.61</v>
      </c>
      <c r="J202" s="33">
        <v>54.19</v>
      </c>
      <c r="K202" s="31"/>
      <c r="L202" s="31"/>
      <c r="M202" s="31"/>
      <c r="N202" s="31"/>
      <c r="O202" s="31"/>
      <c r="P202" s="31"/>
      <c r="Q202" s="31"/>
    </row>
    <row r="203" spans="1:17">
      <c r="A203" s="40">
        <v>46172</v>
      </c>
      <c r="B203" s="50" t="s">
        <v>218</v>
      </c>
      <c r="C203" s="50" t="s">
        <v>952</v>
      </c>
      <c r="D203" s="50" t="e" vm="177">
        <v>#VALUE!</v>
      </c>
      <c r="E203" s="42">
        <f t="array" aca="1" ref="E203" ca="1">_FV(D203,"Price")</f>
        <v>242.37</v>
      </c>
      <c r="F203" s="43">
        <f t="array" aca="1" ref="F203" ca="1">_FV(D203,"Previous close",TRUE)</f>
        <v>241.19</v>
      </c>
      <c r="G203" s="33">
        <v>1799.2</v>
      </c>
      <c r="H203" s="33">
        <v>1788.47</v>
      </c>
      <c r="I203" s="33">
        <v>1781.67</v>
      </c>
      <c r="J203" s="33">
        <v>1757.23</v>
      </c>
      <c r="K203" s="31"/>
      <c r="L203" s="31"/>
      <c r="M203" s="31"/>
      <c r="N203" s="31"/>
      <c r="O203" s="31"/>
      <c r="P203" s="31"/>
      <c r="Q203" s="31"/>
    </row>
    <row r="204" spans="1:17">
      <c r="A204" s="40">
        <v>46172</v>
      </c>
      <c r="B204" s="50" t="s">
        <v>51</v>
      </c>
      <c r="C204" s="50" t="s">
        <v>952</v>
      </c>
      <c r="D204" s="50" t="e" vm="73">
        <v>#VALUE!</v>
      </c>
      <c r="E204" s="42">
        <f t="array" aca="1" ref="E204" ca="1">_FV(D204,"Price")</f>
        <v>2122.1999999999998</v>
      </c>
      <c r="F204" s="43">
        <f t="array" aca="1" ref="F204" ca="1">_FV(D204,"Previous close",TRUE)</f>
        <v>2016.1</v>
      </c>
      <c r="G204" s="33">
        <v>2928.9</v>
      </c>
      <c r="H204" s="33">
        <v>2952.06</v>
      </c>
      <c r="I204" s="33">
        <v>2940.55</v>
      </c>
      <c r="J204" s="33">
        <v>2882.15</v>
      </c>
      <c r="K204" s="31"/>
      <c r="L204" s="31"/>
      <c r="M204" s="31"/>
      <c r="N204" s="31"/>
      <c r="O204" s="31"/>
      <c r="P204" s="31"/>
      <c r="Q204" s="31"/>
    </row>
    <row r="205" spans="1:17">
      <c r="A205" s="40">
        <v>46172</v>
      </c>
      <c r="B205" s="50" t="s">
        <v>911</v>
      </c>
      <c r="C205" s="50" t="s">
        <v>952</v>
      </c>
      <c r="D205" s="50" t="e" vm="218">
        <v>#VALUE!</v>
      </c>
      <c r="E205" s="42">
        <f t="array" aca="1" ref="E205" ca="1">_FV(D205,"Price")</f>
        <v>602.04999999999995</v>
      </c>
      <c r="F205" s="43">
        <f t="array" aca="1" ref="F205" ca="1">_FV(D205,"Previous close",TRUE)</f>
        <v>607.1</v>
      </c>
      <c r="G205" s="33">
        <v>145.16999999999999</v>
      </c>
      <c r="H205" s="33">
        <v>136.38</v>
      </c>
      <c r="I205" s="33">
        <v>134.37</v>
      </c>
      <c r="J205" s="33">
        <v>128.22</v>
      </c>
      <c r="K205" s="31"/>
      <c r="L205" s="31"/>
      <c r="M205" s="31"/>
      <c r="N205" s="31"/>
      <c r="O205" s="31"/>
      <c r="P205" s="31"/>
      <c r="Q205" s="31"/>
    </row>
    <row r="206" spans="1:17">
      <c r="A206" s="40">
        <v>46172</v>
      </c>
      <c r="B206" s="50" t="s">
        <v>187</v>
      </c>
      <c r="C206" s="50" t="s">
        <v>952</v>
      </c>
      <c r="D206" s="50" t="e" vm="248">
        <v>#VALUE!</v>
      </c>
      <c r="E206" s="42">
        <f t="array" aca="1" ref="E206" ca="1">_FV(D206,"Price")</f>
        <v>1493.1</v>
      </c>
      <c r="F206" s="43">
        <f t="array" aca="1" ref="F206" ca="1">_FV(D206,"Previous close",TRUE)</f>
        <v>1530.6</v>
      </c>
      <c r="G206" s="33">
        <v>605</v>
      </c>
      <c r="H206" s="33">
        <v>579.99</v>
      </c>
      <c r="I206" s="33">
        <v>575.27</v>
      </c>
      <c r="J206" s="33">
        <v>571.71</v>
      </c>
      <c r="K206" s="31"/>
      <c r="L206" s="31"/>
      <c r="M206" s="31"/>
      <c r="N206" s="31"/>
      <c r="O206" s="31"/>
      <c r="P206" s="31"/>
      <c r="Q206" s="31"/>
    </row>
    <row r="207" spans="1:17">
      <c r="A207" s="40">
        <v>46172</v>
      </c>
      <c r="B207" s="50" t="s">
        <v>803</v>
      </c>
      <c r="C207" s="50" t="s">
        <v>952</v>
      </c>
      <c r="D207" s="50" t="e" vm="159">
        <v>#VALUE!</v>
      </c>
      <c r="E207" s="42">
        <f t="array" aca="1" ref="E207" ca="1">_FV(D207,"Price")</f>
        <v>1867</v>
      </c>
      <c r="F207" s="43">
        <f t="array" aca="1" ref="F207" ca="1">_FV(D207,"Previous close",TRUE)</f>
        <v>1859</v>
      </c>
      <c r="G207" s="33">
        <v>1189</v>
      </c>
      <c r="H207" s="33">
        <v>1169.48</v>
      </c>
      <c r="I207" s="33">
        <v>1161.42</v>
      </c>
      <c r="J207" s="33">
        <v>1151.49</v>
      </c>
      <c r="K207" s="31"/>
      <c r="L207" s="31"/>
      <c r="M207" s="31"/>
      <c r="N207" s="31"/>
      <c r="O207" s="31"/>
      <c r="P207" s="31"/>
      <c r="Q207" s="31"/>
    </row>
    <row r="208" spans="1:17">
      <c r="A208" s="40">
        <v>46172</v>
      </c>
      <c r="B208" s="50" t="s">
        <v>926</v>
      </c>
      <c r="C208" s="50" t="s">
        <v>952</v>
      </c>
      <c r="D208" s="50" t="e" vm="234">
        <v>#VALUE!</v>
      </c>
      <c r="E208" s="42">
        <f t="array" aca="1" ref="E208" ca="1">_FV(D208,"Price")</f>
        <v>2232.3000000000002</v>
      </c>
      <c r="F208" s="43">
        <f t="array" aca="1" ref="F208" ca="1">_FV(D208,"Previous close",TRUE)</f>
        <v>2277</v>
      </c>
      <c r="G208" s="33">
        <v>2375.6</v>
      </c>
      <c r="H208" s="33">
        <v>2331.2600000000002</v>
      </c>
      <c r="I208" s="33">
        <v>2311.21</v>
      </c>
      <c r="J208" s="33">
        <v>2266.31</v>
      </c>
      <c r="K208" s="31"/>
      <c r="L208" s="31"/>
      <c r="M208" s="31"/>
      <c r="N208" s="31"/>
      <c r="O208" s="31"/>
      <c r="P208" s="31"/>
      <c r="Q208" s="31"/>
    </row>
    <row r="209" spans="1:17">
      <c r="A209" s="40">
        <v>46172</v>
      </c>
      <c r="B209" s="50" t="s">
        <v>191</v>
      </c>
      <c r="C209" s="50" t="s">
        <v>954</v>
      </c>
      <c r="D209" s="50" t="e" vm="164">
        <v>#VALUE!</v>
      </c>
      <c r="E209" s="42">
        <f t="array" aca="1" ref="E209" ca="1">_FV(D209,"Price")</f>
        <v>199.41</v>
      </c>
      <c r="F209" s="43">
        <f t="array" aca="1" ref="F209" ca="1">_FV(D209,"Previous close",TRUE)</f>
        <v>189.94</v>
      </c>
      <c r="G209" s="33">
        <v>1524.4</v>
      </c>
      <c r="H209" s="33">
        <v>1547</v>
      </c>
      <c r="I209" s="33">
        <v>1542.13</v>
      </c>
      <c r="J209" s="33">
        <v>1517.73</v>
      </c>
      <c r="K209" s="31"/>
      <c r="L209" s="31"/>
      <c r="M209" s="31"/>
      <c r="N209" s="31"/>
      <c r="O209" s="31"/>
      <c r="P209" s="31"/>
      <c r="Q209" s="31"/>
    </row>
    <row r="210" spans="1:17">
      <c r="A210" s="40">
        <v>46172</v>
      </c>
      <c r="B210" s="50" t="s">
        <v>176</v>
      </c>
      <c r="C210" s="50" t="s">
        <v>954</v>
      </c>
      <c r="D210" s="50" t="e" vm="216">
        <v>#VALUE!</v>
      </c>
      <c r="E210" s="42">
        <f t="array" aca="1" ref="E210" ca="1">_FV(D210,"Price")</f>
        <v>1323.7</v>
      </c>
      <c r="F210" s="43">
        <f t="array" aca="1" ref="F210" ca="1">_FV(D210,"Previous close",TRUE)</f>
        <v>1323.8</v>
      </c>
      <c r="G210" s="33">
        <v>347.55</v>
      </c>
      <c r="H210" s="33">
        <v>325.47000000000003</v>
      </c>
      <c r="I210" s="33">
        <v>319.48</v>
      </c>
      <c r="J210" s="33">
        <v>298.51</v>
      </c>
      <c r="K210" s="31"/>
      <c r="L210" s="31"/>
      <c r="M210" s="31"/>
      <c r="N210" s="31"/>
      <c r="O210" s="31"/>
      <c r="P210" s="31"/>
      <c r="Q210" s="31"/>
    </row>
    <row r="211" spans="1:17">
      <c r="A211" s="40">
        <v>46172</v>
      </c>
      <c r="B211" s="50" t="s">
        <v>138</v>
      </c>
      <c r="C211" s="50" t="s">
        <v>954</v>
      </c>
      <c r="D211" s="50" t="e" vm="186">
        <v>#VALUE!</v>
      </c>
      <c r="E211" s="42">
        <f t="array" aca="1" ref="E211" ca="1">_FV(D211,"Price")</f>
        <v>620.6</v>
      </c>
      <c r="F211" s="43">
        <f t="array" aca="1" ref="F211" ca="1">_FV(D211,"Previous close",TRUE)</f>
        <v>591.04999999999995</v>
      </c>
      <c r="G211" s="33">
        <v>662.45</v>
      </c>
      <c r="H211" s="33">
        <v>634.70000000000005</v>
      </c>
      <c r="I211" s="33">
        <v>625.66999999999996</v>
      </c>
      <c r="J211" s="33">
        <v>597.12</v>
      </c>
      <c r="K211" s="31"/>
      <c r="L211" s="31"/>
      <c r="M211" s="31"/>
      <c r="N211" s="31"/>
      <c r="O211" s="31"/>
      <c r="P211" s="31"/>
      <c r="Q211" s="31"/>
    </row>
    <row r="212" spans="1:17">
      <c r="A212" s="40">
        <v>46172</v>
      </c>
      <c r="B212" s="50" t="s">
        <v>955</v>
      </c>
      <c r="C212" s="50" t="s">
        <v>954</v>
      </c>
      <c r="D212" s="50" t="e" vm="276">
        <v>#VALUE!</v>
      </c>
      <c r="E212" s="42">
        <f t="array" aca="1" ref="E212" ca="1">_FV(D212,"Price")</f>
        <v>2073.9</v>
      </c>
      <c r="F212" s="43">
        <f t="array" aca="1" ref="F212" ca="1">_FV(D212,"Previous close",TRUE)</f>
        <v>1966.2</v>
      </c>
      <c r="G212" s="33">
        <v>702.6</v>
      </c>
      <c r="H212" s="33">
        <v>642.15</v>
      </c>
      <c r="I212" s="33">
        <v>631.64</v>
      </c>
      <c r="J212" s="33">
        <v>611.96</v>
      </c>
      <c r="K212" s="31"/>
      <c r="L212" s="31"/>
      <c r="M212" s="31"/>
      <c r="N212" s="31"/>
      <c r="O212" s="31"/>
      <c r="P212" s="31"/>
      <c r="Q212" s="31"/>
    </row>
    <row r="213" spans="1:17">
      <c r="A213" s="40">
        <v>46172</v>
      </c>
      <c r="B213" s="50" t="s">
        <v>907</v>
      </c>
      <c r="C213" s="50" t="s">
        <v>954</v>
      </c>
      <c r="D213" s="50" t="e" vm="209">
        <v>#VALUE!</v>
      </c>
      <c r="E213" s="42">
        <f t="array" aca="1" ref="E213" ca="1">_FV(D213,"Price")</f>
        <v>3070.7</v>
      </c>
      <c r="F213" s="43">
        <f t="array" aca="1" ref="F213" ca="1">_FV(D213,"Previous close",TRUE)</f>
        <v>3038</v>
      </c>
      <c r="G213" s="33">
        <v>246.19</v>
      </c>
      <c r="H213" s="33">
        <v>210.86</v>
      </c>
      <c r="I213" s="33">
        <v>206.43</v>
      </c>
      <c r="J213" s="33">
        <v>195.54</v>
      </c>
      <c r="K213" s="31"/>
      <c r="L213" s="31"/>
      <c r="M213" s="31"/>
      <c r="N213" s="31"/>
      <c r="O213" s="31"/>
      <c r="P213" s="31"/>
      <c r="Q213" s="31"/>
    </row>
    <row r="214" spans="1:17">
      <c r="A214" s="40">
        <v>46172</v>
      </c>
      <c r="B214" s="50" t="s">
        <v>894</v>
      </c>
      <c r="C214" s="50" t="s">
        <v>954</v>
      </c>
      <c r="D214" s="50" t="e" vm="194">
        <v>#VALUE!</v>
      </c>
      <c r="E214" s="42">
        <f t="array" aca="1" ref="E214" ca="1">_FV(D214,"Price")</f>
        <v>1279.4000000000001</v>
      </c>
      <c r="F214" s="43">
        <f t="array" aca="1" ref="F214" ca="1">_FV(D214,"Previous close",TRUE)</f>
        <v>1317</v>
      </c>
      <c r="G214" s="33">
        <v>532.70000000000005</v>
      </c>
      <c r="H214" s="33">
        <v>523.6</v>
      </c>
      <c r="I214" s="33">
        <v>519.87</v>
      </c>
      <c r="J214" s="33">
        <v>517.16</v>
      </c>
      <c r="K214" s="31"/>
      <c r="L214" s="31"/>
      <c r="M214" s="31"/>
      <c r="N214" s="31"/>
      <c r="O214" s="31"/>
      <c r="P214" s="31"/>
      <c r="Q214" s="31"/>
    </row>
    <row r="215" spans="1:17">
      <c r="A215" s="40">
        <v>46172</v>
      </c>
      <c r="B215" s="50" t="s">
        <v>201</v>
      </c>
      <c r="C215" s="50" t="s">
        <v>954</v>
      </c>
      <c r="D215" s="50" t="e" vm="241">
        <v>#VALUE!</v>
      </c>
      <c r="E215" s="42">
        <f t="array" aca="1" ref="E215" ca="1">_FV(D215,"Price")</f>
        <v>900.95</v>
      </c>
      <c r="F215" s="43">
        <f t="array" aca="1" ref="F215" ca="1">_FV(D215,"Previous close",TRUE)</f>
        <v>917.25</v>
      </c>
      <c r="G215" s="33">
        <v>273.36</v>
      </c>
      <c r="H215" s="33">
        <v>259.5</v>
      </c>
      <c r="I215" s="33">
        <v>256.95</v>
      </c>
      <c r="J215" s="33">
        <v>251.43</v>
      </c>
      <c r="K215" s="31"/>
      <c r="L215" s="31"/>
      <c r="M215" s="31"/>
      <c r="N215" s="31"/>
      <c r="O215" s="31"/>
      <c r="P215" s="31"/>
      <c r="Q215" s="31"/>
    </row>
    <row r="216" spans="1:17">
      <c r="A216" s="40">
        <v>46172</v>
      </c>
      <c r="B216" s="50" t="s">
        <v>50</v>
      </c>
      <c r="C216" s="50" t="s">
        <v>954</v>
      </c>
      <c r="D216" s="50" t="e" vm="163">
        <v>#VALUE!</v>
      </c>
      <c r="E216" s="42">
        <f t="array" aca="1" ref="E216" ca="1">_FV(D216,"Price")</f>
        <v>407.55</v>
      </c>
      <c r="F216" s="43">
        <f t="array" aca="1" ref="F216" ca="1">_FV(D216,"Previous close",TRUE)</f>
        <v>437</v>
      </c>
      <c r="G216" s="33">
        <v>217.82</v>
      </c>
      <c r="H216" s="33">
        <v>201.98</v>
      </c>
      <c r="I216" s="33">
        <v>196.65</v>
      </c>
      <c r="J216" s="33">
        <v>180.39</v>
      </c>
      <c r="K216" s="31"/>
      <c r="L216" s="31"/>
      <c r="M216" s="31"/>
      <c r="N216" s="31"/>
      <c r="O216" s="31"/>
      <c r="P216" s="31"/>
      <c r="Q216" s="31"/>
    </row>
    <row r="217" spans="1:17">
      <c r="A217" s="40">
        <v>46172</v>
      </c>
      <c r="B217" s="50" t="s">
        <v>76</v>
      </c>
      <c r="C217" s="50" t="s">
        <v>954</v>
      </c>
      <c r="D217" s="50" t="e" vm="10">
        <v>#VALUE!</v>
      </c>
      <c r="E217" s="42">
        <f t="array" aca="1" ref="E217" ca="1">_FV(D217,"Price")</f>
        <v>3135.7</v>
      </c>
      <c r="F217" s="43">
        <f t="array" aca="1" ref="F217" ca="1">_FV(D217,"Previous close",TRUE)</f>
        <v>3037.6</v>
      </c>
      <c r="G217" s="33">
        <v>562.1</v>
      </c>
      <c r="H217" s="33">
        <v>576.74</v>
      </c>
      <c r="I217" s="33">
        <v>576.97</v>
      </c>
      <c r="J217" s="33">
        <v>575.41</v>
      </c>
      <c r="K217" s="31"/>
      <c r="L217" s="31"/>
      <c r="M217" s="31"/>
      <c r="N217" s="31"/>
      <c r="O217" s="31"/>
      <c r="P217" s="31"/>
      <c r="Q217" s="31"/>
    </row>
    <row r="218" spans="1:17">
      <c r="A218" s="40">
        <v>46172</v>
      </c>
      <c r="B218" s="50" t="s">
        <v>942</v>
      </c>
      <c r="C218" s="50" t="s">
        <v>954</v>
      </c>
      <c r="D218" s="50" t="e" vm="257">
        <v>#VALUE!</v>
      </c>
      <c r="E218" s="42">
        <f t="array" aca="1" ref="E218" ca="1">_FV(D218,"Price")</f>
        <v>868.45</v>
      </c>
      <c r="F218" s="43">
        <f t="array" aca="1" ref="F218" ca="1">_FV(D218,"Previous close",TRUE)</f>
        <v>858.95</v>
      </c>
      <c r="G218" s="33">
        <v>1664.7</v>
      </c>
      <c r="H218" s="33">
        <v>1600.77</v>
      </c>
      <c r="I218" s="33">
        <v>1583.1</v>
      </c>
      <c r="J218" s="33">
        <v>1526.41</v>
      </c>
      <c r="K218" s="31"/>
      <c r="L218" s="31"/>
      <c r="M218" s="31"/>
      <c r="N218" s="31"/>
      <c r="O218" s="31"/>
      <c r="P218" s="31"/>
      <c r="Q218" s="31"/>
    </row>
    <row r="219" spans="1:17">
      <c r="A219" s="40">
        <v>46172</v>
      </c>
      <c r="B219" s="50" t="s">
        <v>652</v>
      </c>
      <c r="C219" s="50" t="s">
        <v>954</v>
      </c>
      <c r="D219" s="50" t="e" vm="4">
        <v>#VALUE!</v>
      </c>
      <c r="E219" s="42">
        <f t="array" aca="1" ref="E219" ca="1">_FV(D219,"Price")</f>
        <v>35190</v>
      </c>
      <c r="F219" s="43">
        <f t="array" aca="1" ref="F219" ca="1">_FV(D219,"Previous close",TRUE)</f>
        <v>35105</v>
      </c>
      <c r="G219" s="33">
        <v>1318.6</v>
      </c>
      <c r="H219" s="33">
        <v>1186.3699999999999</v>
      </c>
      <c r="I219" s="33">
        <v>1152.3499999999999</v>
      </c>
      <c r="J219" s="33">
        <v>1023.18</v>
      </c>
      <c r="K219" s="31"/>
      <c r="L219" s="31"/>
      <c r="M219" s="31"/>
      <c r="N219" s="31"/>
      <c r="O219" s="31"/>
      <c r="P219" s="31"/>
      <c r="Q219" s="31"/>
    </row>
    <row r="220" spans="1:17">
      <c r="A220" s="40">
        <v>46172</v>
      </c>
      <c r="B220" s="50" t="s">
        <v>941</v>
      </c>
      <c r="C220" s="50" t="s">
        <v>954</v>
      </c>
      <c r="D220" s="50" t="e" vm="256">
        <v>#VALUE!</v>
      </c>
      <c r="E220" s="42">
        <f t="array" aca="1" ref="E220" ca="1">_FV(D220,"Price")</f>
        <v>406.3</v>
      </c>
      <c r="F220" s="43">
        <f t="array" aca="1" ref="F220" ca="1">_FV(D220,"Previous close",TRUE)</f>
        <v>410.75</v>
      </c>
      <c r="G220" s="33">
        <v>7879.5</v>
      </c>
      <c r="H220" s="33">
        <v>6556.87</v>
      </c>
      <c r="I220" s="33">
        <v>6252.04</v>
      </c>
      <c r="J220" s="33">
        <v>5157.84</v>
      </c>
      <c r="K220" s="31"/>
      <c r="L220" s="31"/>
      <c r="M220" s="31"/>
      <c r="N220" s="31"/>
      <c r="O220" s="31"/>
      <c r="P220" s="31"/>
      <c r="Q220" s="31"/>
    </row>
    <row r="221" spans="1:17">
      <c r="A221" s="40">
        <v>46172</v>
      </c>
      <c r="B221" s="50" t="s">
        <v>886</v>
      </c>
      <c r="C221" s="50" t="s">
        <v>954</v>
      </c>
      <c r="D221" s="50" t="e" vm="182">
        <v>#VALUE!</v>
      </c>
      <c r="E221" s="42">
        <f t="array" aca="1" ref="E221" ca="1">_FV(D221,"Price")</f>
        <v>7468</v>
      </c>
      <c r="F221" s="43">
        <f t="array" aca="1" ref="F221" ca="1">_FV(D221,"Previous close",TRUE)</f>
        <v>7216</v>
      </c>
      <c r="G221" s="33">
        <v>2954.5</v>
      </c>
      <c r="H221" s="33">
        <v>2931.34</v>
      </c>
      <c r="I221" s="33">
        <v>2889.75</v>
      </c>
      <c r="J221" s="33">
        <v>2686.37</v>
      </c>
      <c r="K221" s="31"/>
      <c r="L221" s="31"/>
      <c r="M221" s="31"/>
      <c r="N221" s="31"/>
      <c r="O221" s="31"/>
      <c r="P221" s="31"/>
      <c r="Q221" s="31"/>
    </row>
    <row r="222" spans="1:17">
      <c r="A222" s="40">
        <v>46172</v>
      </c>
      <c r="B222" s="50" t="s">
        <v>516</v>
      </c>
      <c r="C222" s="50" t="s">
        <v>954</v>
      </c>
      <c r="D222" s="50" t="e" vm="24">
        <v>#VALUE!</v>
      </c>
      <c r="E222" s="42">
        <f t="array" aca="1" ref="E222" ca="1">_FV(D222,"Price")</f>
        <v>18577</v>
      </c>
      <c r="F222" s="43">
        <f t="array" aca="1" ref="F222" ca="1">_FV(D222,"Previous close",TRUE)</f>
        <v>18386</v>
      </c>
      <c r="G222" s="33">
        <v>1037.1500000000001</v>
      </c>
      <c r="H222" s="33">
        <v>828.58</v>
      </c>
      <c r="I222" s="33">
        <v>791.67</v>
      </c>
      <c r="J222" s="33">
        <v>687.31</v>
      </c>
      <c r="K222" s="31"/>
      <c r="L222" s="31"/>
      <c r="M222" s="31"/>
      <c r="N222" s="31"/>
      <c r="O222" s="31"/>
      <c r="P222" s="31"/>
      <c r="Q222" s="31"/>
    </row>
    <row r="223" spans="1:17">
      <c r="A223" s="40">
        <v>46172</v>
      </c>
      <c r="B223" s="50" t="s">
        <v>898</v>
      </c>
      <c r="C223" s="50" t="s">
        <v>954</v>
      </c>
      <c r="D223" s="50" t="e" vm="199">
        <v>#VALUE!</v>
      </c>
      <c r="E223" s="42">
        <f t="array" aca="1" ref="E223" ca="1">_FV(D223,"Price")</f>
        <v>1022.05</v>
      </c>
      <c r="F223" s="43">
        <f t="array" aca="1" ref="F223" ca="1">_FV(D223,"Previous close",TRUE)</f>
        <v>960.6</v>
      </c>
      <c r="G223" s="33">
        <v>1575.8</v>
      </c>
      <c r="H223" s="33">
        <v>1367.27</v>
      </c>
      <c r="I223" s="33">
        <v>1322.04</v>
      </c>
      <c r="J223" s="33">
        <v>1169.8599999999999</v>
      </c>
      <c r="K223" s="31"/>
      <c r="L223" s="31"/>
      <c r="M223" s="31"/>
      <c r="N223" s="31"/>
      <c r="O223" s="31"/>
      <c r="P223" s="31"/>
      <c r="Q223" s="31"/>
    </row>
    <row r="224" spans="1:17">
      <c r="A224" s="40">
        <v>46172</v>
      </c>
      <c r="B224" s="50" t="s">
        <v>88</v>
      </c>
      <c r="C224" s="50" t="s">
        <v>954</v>
      </c>
      <c r="D224" s="50" t="e" vm="214">
        <v>#VALUE!</v>
      </c>
      <c r="E224" s="42">
        <f t="array" aca="1" ref="E224" ca="1">_FV(D224,"Price")</f>
        <v>906.65</v>
      </c>
      <c r="F224" s="43">
        <f t="array" aca="1" ref="F224" ca="1">_FV(D224,"Previous close",TRUE)</f>
        <v>907.7</v>
      </c>
      <c r="G224" s="33">
        <v>536.15</v>
      </c>
      <c r="H224" s="33">
        <v>414.62</v>
      </c>
      <c r="I224" s="33">
        <v>386.79</v>
      </c>
      <c r="J224" s="33">
        <v>299.39999999999998</v>
      </c>
      <c r="K224" s="31"/>
      <c r="L224" s="31"/>
      <c r="M224" s="31"/>
      <c r="N224" s="31"/>
      <c r="O224" s="31"/>
      <c r="P224" s="31"/>
      <c r="Q224" s="31"/>
    </row>
    <row r="225" spans="1:17">
      <c r="A225" s="40">
        <v>46172</v>
      </c>
      <c r="B225" s="50" t="s">
        <v>908</v>
      </c>
      <c r="C225" s="50" t="s">
        <v>954</v>
      </c>
      <c r="D225" s="50" t="e" vm="213">
        <v>#VALUE!</v>
      </c>
      <c r="E225" s="42">
        <f t="array" aca="1" ref="E225" ca="1">_FV(D225,"Price")</f>
        <v>5713.5</v>
      </c>
      <c r="F225" s="43">
        <f t="array" aca="1" ref="F225" ca="1">_FV(D225,"Previous close",TRUE)</f>
        <v>5894.5</v>
      </c>
      <c r="G225" s="33">
        <v>129.06</v>
      </c>
      <c r="H225" s="33">
        <v>117.59</v>
      </c>
      <c r="I225" s="33">
        <v>114.46</v>
      </c>
      <c r="J225" s="33">
        <v>101.7</v>
      </c>
      <c r="K225" s="31"/>
      <c r="L225" s="31"/>
      <c r="M225" s="31"/>
      <c r="N225" s="31"/>
      <c r="O225" s="31"/>
      <c r="P225" s="31"/>
      <c r="Q225" s="31"/>
    </row>
    <row r="226" spans="1:17">
      <c r="A226" s="40">
        <v>46172</v>
      </c>
      <c r="B226" s="50" t="s">
        <v>143</v>
      </c>
      <c r="C226" s="50" t="s">
        <v>954</v>
      </c>
      <c r="D226" s="50" t="e" vm="5">
        <v>#VALUE!</v>
      </c>
      <c r="E226" s="42">
        <f t="array" aca="1" ref="E226" ca="1">_FV(D226,"Price")</f>
        <v>1195.3</v>
      </c>
      <c r="F226" s="43">
        <f t="array" aca="1" ref="F226" ca="1">_FV(D226,"Previous close",TRUE)</f>
        <v>1166.8</v>
      </c>
      <c r="G226" s="33">
        <v>1362</v>
      </c>
      <c r="H226" s="33">
        <v>1256.3599999999999</v>
      </c>
      <c r="I226" s="33">
        <v>1231.6199999999999</v>
      </c>
      <c r="J226" s="33">
        <v>1148.9000000000001</v>
      </c>
      <c r="K226" s="31"/>
      <c r="L226" s="31"/>
      <c r="M226" s="31"/>
      <c r="N226" s="31"/>
      <c r="O226" s="31"/>
      <c r="P226" s="31"/>
      <c r="Q226" s="31"/>
    </row>
    <row r="227" spans="1:17">
      <c r="A227" s="40">
        <v>46172</v>
      </c>
      <c r="B227" s="50" t="s">
        <v>67</v>
      </c>
      <c r="C227" s="50" t="s">
        <v>954</v>
      </c>
      <c r="D227" s="50" t="e" vm="30">
        <v>#VALUE!</v>
      </c>
      <c r="E227" s="42">
        <f t="array" aca="1" ref="E227" ca="1">_FV(D227,"Price")</f>
        <v>1286.3</v>
      </c>
      <c r="F227" s="43">
        <f t="array" aca="1" ref="F227" ca="1">_FV(D227,"Previous close",TRUE)</f>
        <v>1235</v>
      </c>
      <c r="G227" s="33">
        <v>1928</v>
      </c>
      <c r="H227" s="33">
        <v>1714.41</v>
      </c>
      <c r="I227" s="33">
        <v>1677.84</v>
      </c>
      <c r="J227" s="33">
        <v>1532.16</v>
      </c>
      <c r="K227" s="31"/>
      <c r="L227" s="31"/>
      <c r="M227" s="31"/>
      <c r="N227" s="31"/>
      <c r="O227" s="31"/>
      <c r="P227" s="31"/>
      <c r="Q227" s="31"/>
    </row>
    <row r="228" spans="1:17">
      <c r="A228" s="40">
        <v>46172</v>
      </c>
      <c r="B228" s="50" t="s">
        <v>943</v>
      </c>
      <c r="C228" s="50" t="s">
        <v>954</v>
      </c>
      <c r="D228" s="50" t="e" vm="258">
        <v>#VALUE!</v>
      </c>
      <c r="E228" s="42">
        <f t="array" aca="1" ref="E228" ca="1">_FV(D228,"Price")</f>
        <v>1427.8</v>
      </c>
      <c r="F228" s="43">
        <f t="array" aca="1" ref="F228" ca="1">_FV(D228,"Previous close",TRUE)</f>
        <v>1502.9</v>
      </c>
      <c r="G228" s="33">
        <v>4146.1000000000004</v>
      </c>
      <c r="H228" s="33">
        <v>3775.91</v>
      </c>
      <c r="I228" s="33">
        <v>3690.2</v>
      </c>
      <c r="J228" s="33">
        <v>3378.45</v>
      </c>
      <c r="K228" s="31"/>
      <c r="L228" s="31"/>
      <c r="M228" s="31"/>
      <c r="N228" s="31"/>
      <c r="O228" s="31"/>
      <c r="P228" s="31"/>
      <c r="Q228" s="31"/>
    </row>
    <row r="229" spans="1:17">
      <c r="A229" s="40">
        <v>46172</v>
      </c>
      <c r="B229" s="50" t="s">
        <v>888</v>
      </c>
      <c r="C229" s="50" t="s">
        <v>954</v>
      </c>
      <c r="D229" s="50" t="e" vm="184">
        <v>#VALUE!</v>
      </c>
      <c r="E229" s="42">
        <f t="array" aca="1" ref="E229" ca="1">_FV(D229,"Price")</f>
        <v>1056.3</v>
      </c>
      <c r="F229" s="43">
        <f t="array" aca="1" ref="F229" ca="1">_FV(D229,"Previous close",TRUE)</f>
        <v>1031.8</v>
      </c>
      <c r="G229" s="33">
        <v>5881</v>
      </c>
      <c r="H229" s="33">
        <v>5382.81</v>
      </c>
      <c r="I229" s="33">
        <v>5306.41</v>
      </c>
      <c r="J229" s="33">
        <v>5006.6000000000004</v>
      </c>
      <c r="K229" s="31"/>
      <c r="L229" s="31"/>
      <c r="M229" s="31"/>
      <c r="N229" s="31"/>
      <c r="O229" s="31"/>
      <c r="P229" s="31"/>
      <c r="Q229" s="31"/>
    </row>
    <row r="230" spans="1:17">
      <c r="A230" s="40">
        <v>46172</v>
      </c>
      <c r="B230" s="50" t="s">
        <v>956</v>
      </c>
      <c r="C230" s="50" t="s">
        <v>954</v>
      </c>
      <c r="D230" s="50" t="e" vm="277">
        <v>#VALUE!</v>
      </c>
      <c r="E230" s="42">
        <f t="array" aca="1" ref="E230" ca="1">_FV(D230,"Price")</f>
        <v>1024.9000000000001</v>
      </c>
      <c r="F230" s="43">
        <f t="array" aca="1" ref="F230" ca="1">_FV(D230,"Previous close",TRUE)</f>
        <v>1041.7</v>
      </c>
      <c r="G230" s="33">
        <v>1804.6</v>
      </c>
      <c r="H230" s="33">
        <v>1702.94</v>
      </c>
      <c r="I230" s="33">
        <v>1677.56</v>
      </c>
      <c r="J230" s="33">
        <v>1596.84</v>
      </c>
      <c r="K230" s="31"/>
      <c r="L230" s="31"/>
      <c r="M230" s="31"/>
      <c r="N230" s="31"/>
      <c r="O230" s="31"/>
      <c r="P230" s="31"/>
      <c r="Q230" s="31"/>
    </row>
    <row r="231" spans="1:17">
      <c r="A231" s="40">
        <v>46172</v>
      </c>
      <c r="B231" s="50" t="s">
        <v>372</v>
      </c>
      <c r="C231" s="50" t="s">
        <v>954</v>
      </c>
      <c r="D231" s="50" t="e" vm="195">
        <v>#VALUE!</v>
      </c>
      <c r="E231" s="42">
        <f t="array" aca="1" ref="E231" ca="1">_FV(D231,"Price")</f>
        <v>1936.5</v>
      </c>
      <c r="F231" s="43">
        <f t="array" aca="1" ref="F231" ca="1">_FV(D231,"Previous close",TRUE)</f>
        <v>1902.9</v>
      </c>
      <c r="G231" s="33">
        <v>796.5</v>
      </c>
      <c r="H231" s="33">
        <v>688.96</v>
      </c>
      <c r="I231" s="33">
        <v>667.45</v>
      </c>
      <c r="J231" s="33">
        <v>590.91999999999996</v>
      </c>
      <c r="K231" s="31"/>
      <c r="L231" s="31"/>
      <c r="M231" s="31"/>
      <c r="N231" s="31"/>
      <c r="O231" s="31"/>
      <c r="P231" s="31"/>
      <c r="Q231" s="31"/>
    </row>
    <row r="232" spans="1:17">
      <c r="A232" s="40">
        <v>46172</v>
      </c>
      <c r="B232" s="50" t="s">
        <v>397</v>
      </c>
      <c r="C232" s="50" t="s">
        <v>954</v>
      </c>
      <c r="D232" s="50" t="e" vm="189">
        <v>#VALUE!</v>
      </c>
      <c r="E232" s="42">
        <f t="array" aca="1" ref="E232" ca="1">_FV(D232,"Price")</f>
        <v>1889.5</v>
      </c>
      <c r="F232" s="43">
        <f t="array" aca="1" ref="F232" ca="1">_FV(D232,"Previous close",TRUE)</f>
        <v>1856.9</v>
      </c>
      <c r="G232" s="33">
        <v>500.5</v>
      </c>
      <c r="H232" s="33">
        <v>505.18</v>
      </c>
      <c r="I232" s="33">
        <v>497.37</v>
      </c>
      <c r="J232" s="33">
        <v>466.9</v>
      </c>
      <c r="K232" s="31"/>
      <c r="L232" s="31"/>
      <c r="M232" s="31"/>
      <c r="N232" s="31"/>
      <c r="O232" s="31"/>
      <c r="P232" s="31"/>
      <c r="Q232" s="31"/>
    </row>
    <row r="233" spans="1:17">
      <c r="A233" s="40">
        <v>46172</v>
      </c>
      <c r="B233" s="50" t="s">
        <v>900</v>
      </c>
      <c r="C233" s="50" t="s">
        <v>954</v>
      </c>
      <c r="D233" s="50" t="e" vm="201">
        <v>#VALUE!</v>
      </c>
      <c r="E233" s="42">
        <f t="array" aca="1" ref="E233" ca="1">_FV(D233,"Price")</f>
        <v>328.2</v>
      </c>
      <c r="F233" s="43">
        <f t="array" aca="1" ref="F233" ca="1">_FV(D233,"Previous close",TRUE)</f>
        <v>333.55</v>
      </c>
      <c r="G233" s="33">
        <v>1308.5</v>
      </c>
      <c r="H233" s="33">
        <v>1194.3499999999999</v>
      </c>
      <c r="I233" s="33">
        <v>1171.43</v>
      </c>
      <c r="J233" s="33">
        <v>1104.7</v>
      </c>
      <c r="K233" s="31"/>
      <c r="L233" s="31"/>
      <c r="M233" s="31"/>
      <c r="N233" s="31"/>
      <c r="O233" s="31"/>
      <c r="P233" s="31"/>
      <c r="Q233" s="31"/>
    </row>
    <row r="234" spans="1:17">
      <c r="A234" s="40">
        <v>46172</v>
      </c>
      <c r="B234" s="50" t="s">
        <v>924</v>
      </c>
      <c r="C234" s="50" t="s">
        <v>954</v>
      </c>
      <c r="D234" s="50" t="e" vm="231">
        <v>#VALUE!</v>
      </c>
      <c r="E234" s="42">
        <f t="array" aca="1" ref="E234" ca="1">_FV(D234,"Price")</f>
        <v>2155.9</v>
      </c>
      <c r="F234" s="43">
        <f t="array" aca="1" ref="F234" ca="1">_FV(D234,"Previous close",TRUE)</f>
        <v>2023.8</v>
      </c>
      <c r="G234" s="33">
        <v>3132.5</v>
      </c>
      <c r="H234" s="33">
        <v>2774.77</v>
      </c>
      <c r="I234" s="33">
        <v>2704.02</v>
      </c>
      <c r="J234" s="33">
        <v>2435.0700000000002</v>
      </c>
      <c r="K234" s="31"/>
      <c r="L234" s="31"/>
      <c r="M234" s="31"/>
      <c r="N234" s="31"/>
      <c r="O234" s="31"/>
      <c r="P234" s="31"/>
      <c r="Q234" s="31"/>
    </row>
    <row r="235" spans="1:17">
      <c r="A235" s="40">
        <v>46172</v>
      </c>
      <c r="B235" s="50" t="s">
        <v>957</v>
      </c>
      <c r="C235" s="50" t="s">
        <v>954</v>
      </c>
      <c r="D235" s="50" t="e" vm="278">
        <v>#VALUE!</v>
      </c>
      <c r="E235" s="42">
        <f t="array" aca="1" ref="E235" ca="1">_FV(D235,"Price")</f>
        <v>1413.6</v>
      </c>
      <c r="F235" s="43">
        <f t="array" aca="1" ref="F235" ca="1">_FV(D235,"Previous close",TRUE)</f>
        <v>1386.8</v>
      </c>
      <c r="G235" s="33">
        <v>1957.2</v>
      </c>
      <c r="H235" s="33">
        <v>1887.76</v>
      </c>
      <c r="I235" s="33">
        <v>1868.27</v>
      </c>
      <c r="J235" s="33">
        <v>1769.53</v>
      </c>
      <c r="K235" s="31"/>
      <c r="L235" s="31"/>
      <c r="M235" s="31"/>
      <c r="N235" s="31"/>
      <c r="O235" s="31"/>
      <c r="P235" s="31"/>
      <c r="Q235" s="31"/>
    </row>
    <row r="236" spans="1:17">
      <c r="A236" s="40">
        <v>46172</v>
      </c>
      <c r="B236" s="50" t="s">
        <v>958</v>
      </c>
      <c r="C236" s="50" t="s">
        <v>954</v>
      </c>
      <c r="D236" s="50" t="e" vm="279">
        <v>#VALUE!</v>
      </c>
      <c r="E236" s="42">
        <f t="array" aca="1" ref="E236" ca="1">_FV(D236,"Price")</f>
        <v>439.65</v>
      </c>
      <c r="F236" s="43">
        <f t="array" aca="1" ref="F236" ca="1">_FV(D236,"Previous close",TRUE)</f>
        <v>434.45</v>
      </c>
      <c r="G236" s="33">
        <v>3518.6</v>
      </c>
      <c r="H236" s="33">
        <v>3339.99</v>
      </c>
      <c r="I236" s="33">
        <v>3292.9</v>
      </c>
      <c r="J236" s="33">
        <v>3153.79</v>
      </c>
      <c r="K236" s="31"/>
      <c r="L236" s="31"/>
      <c r="M236" s="31"/>
      <c r="N236" s="31"/>
      <c r="O236" s="31"/>
      <c r="P236" s="31"/>
      <c r="Q236" s="31"/>
    </row>
    <row r="237" spans="1:17">
      <c r="A237" s="40">
        <v>46172</v>
      </c>
      <c r="B237" s="50" t="s">
        <v>959</v>
      </c>
      <c r="C237" s="50" t="s">
        <v>954</v>
      </c>
      <c r="D237" s="50" t="e" vm="280">
        <v>#VALUE!</v>
      </c>
      <c r="E237" s="42">
        <f t="array" aca="1" ref="E237" ca="1">_FV(D237,"Price")</f>
        <v>186.43</v>
      </c>
      <c r="F237" s="43">
        <f t="array" aca="1" ref="F237" ca="1">_FV(D237,"Previous close",TRUE)</f>
        <v>195.92</v>
      </c>
      <c r="G237" s="33">
        <v>424.45</v>
      </c>
      <c r="H237" s="33">
        <v>412.53</v>
      </c>
      <c r="I237" s="33">
        <v>408.01</v>
      </c>
      <c r="J237" s="33">
        <v>381.93</v>
      </c>
      <c r="K237" s="31"/>
      <c r="L237" s="31"/>
      <c r="M237" s="31"/>
      <c r="N237" s="31"/>
      <c r="O237" s="31"/>
      <c r="P237" s="31"/>
      <c r="Q237" s="31"/>
    </row>
    <row r="238" spans="1:17">
      <c r="A238" s="40">
        <v>46172</v>
      </c>
      <c r="B238" s="50" t="s">
        <v>136</v>
      </c>
      <c r="C238" s="50" t="s">
        <v>954</v>
      </c>
      <c r="D238" s="50" t="e" vm="281">
        <v>#VALUE!</v>
      </c>
      <c r="E238" s="42">
        <f t="array" aca="1" ref="E238" ca="1">_FV(D238,"Price")</f>
        <v>224.46</v>
      </c>
      <c r="F238" s="43">
        <f t="array" aca="1" ref="F238" ca="1">_FV(D238,"Previous close",TRUE)</f>
        <v>213.78</v>
      </c>
      <c r="G238" s="33">
        <v>1418.9</v>
      </c>
      <c r="H238" s="33">
        <v>1484.29</v>
      </c>
      <c r="I238" s="33">
        <v>1470.05</v>
      </c>
      <c r="J238" s="33">
        <v>1391.1</v>
      </c>
      <c r="K238" s="31"/>
      <c r="L238" s="31"/>
      <c r="M238" s="31"/>
      <c r="N238" s="31"/>
      <c r="O238" s="31"/>
      <c r="P238" s="31"/>
      <c r="Q238" s="31"/>
    </row>
    <row r="239" spans="1:17">
      <c r="A239" s="40">
        <v>46172</v>
      </c>
      <c r="B239" s="50" t="s">
        <v>48</v>
      </c>
      <c r="C239" s="50" t="s">
        <v>954</v>
      </c>
      <c r="D239" s="50" t="e" vm="187">
        <v>#VALUE!</v>
      </c>
      <c r="E239" s="42">
        <f t="array" aca="1" ref="E239" ca="1">_FV(D239,"Price")</f>
        <v>129.80000000000001</v>
      </c>
      <c r="F239" s="43">
        <f t="array" aca="1" ref="F239" ca="1">_FV(D239,"Previous close",TRUE)</f>
        <v>128.35</v>
      </c>
      <c r="G239" s="33">
        <v>964.1</v>
      </c>
      <c r="H239" s="33">
        <v>913.13</v>
      </c>
      <c r="I239" s="33">
        <v>895.62</v>
      </c>
      <c r="J239" s="33">
        <v>824.74</v>
      </c>
      <c r="K239" s="31"/>
      <c r="L239" s="31"/>
      <c r="M239" s="31"/>
      <c r="N239" s="31"/>
      <c r="O239" s="31"/>
      <c r="P239" s="31"/>
      <c r="Q239" s="31"/>
    </row>
    <row r="240" spans="1:17">
      <c r="A240" s="40">
        <v>46172</v>
      </c>
      <c r="B240" s="50" t="s">
        <v>93</v>
      </c>
      <c r="C240" s="50" t="s">
        <v>954</v>
      </c>
      <c r="D240" s="50" t="e" vm="188">
        <v>#VALUE!</v>
      </c>
      <c r="E240" s="42">
        <f t="array" aca="1" ref="E240" ca="1">_FV(D240,"Price")</f>
        <v>1394.3</v>
      </c>
      <c r="F240" s="43">
        <f t="array" aca="1" ref="F240" ca="1">_FV(D240,"Previous close",TRUE)</f>
        <v>1382.6</v>
      </c>
      <c r="G240" s="33">
        <v>5267.5</v>
      </c>
      <c r="H240" s="33">
        <v>5004.95</v>
      </c>
      <c r="I240" s="33">
        <v>4944.49</v>
      </c>
      <c r="J240" s="33">
        <v>4725.03</v>
      </c>
      <c r="K240" s="31"/>
      <c r="L240" s="31"/>
      <c r="M240" s="31"/>
      <c r="N240" s="31"/>
      <c r="O240" s="31"/>
      <c r="P240" s="31"/>
      <c r="Q240" s="31"/>
    </row>
    <row r="241" spans="1:17">
      <c r="A241" s="40">
        <v>46172</v>
      </c>
      <c r="B241" s="50" t="s">
        <v>960</v>
      </c>
      <c r="C241" s="50" t="s">
        <v>954</v>
      </c>
      <c r="D241" s="50" t="e" vm="282">
        <v>#VALUE!</v>
      </c>
      <c r="E241" s="42">
        <f t="array" aca="1" ref="E241" ca="1">_FV(D241,"Price")</f>
        <v>1970.6</v>
      </c>
      <c r="F241" s="43">
        <f t="array" aca="1" ref="F241" ca="1">_FV(D241,"Previous close",TRUE)</f>
        <v>2018.2</v>
      </c>
      <c r="G241" s="33">
        <v>1725.35</v>
      </c>
      <c r="H241" s="33">
        <v>1747.19</v>
      </c>
      <c r="I241" s="33">
        <v>1732.66</v>
      </c>
      <c r="J241" s="33">
        <v>1663.69</v>
      </c>
      <c r="K241" s="31"/>
      <c r="L241" s="31"/>
      <c r="M241" s="31"/>
      <c r="N241" s="31"/>
      <c r="O241" s="31"/>
      <c r="P241" s="31"/>
      <c r="Q241" s="31"/>
    </row>
    <row r="242" spans="1:17">
      <c r="A242" s="40">
        <v>46172</v>
      </c>
      <c r="B242" s="50" t="s">
        <v>961</v>
      </c>
      <c r="C242" s="50" t="s">
        <v>954</v>
      </c>
      <c r="D242" s="50" t="e" vm="283">
        <v>#VALUE!</v>
      </c>
      <c r="E242" s="42">
        <f t="array" aca="1" ref="E242" ca="1">_FV(D242,"Price")</f>
        <v>793.8</v>
      </c>
      <c r="F242" s="43">
        <f t="array" aca="1" ref="F242" ca="1">_FV(D242,"Previous close",TRUE)</f>
        <v>777.55</v>
      </c>
      <c r="G242" s="33">
        <v>352.6</v>
      </c>
      <c r="H242" s="33">
        <v>425.67</v>
      </c>
      <c r="I242" s="33">
        <v>449.7</v>
      </c>
      <c r="J242" s="33">
        <v>509.85</v>
      </c>
      <c r="K242" s="31"/>
      <c r="L242" s="31"/>
      <c r="M242" s="31"/>
      <c r="N242" s="31"/>
      <c r="O242" s="31"/>
      <c r="P242" s="31"/>
      <c r="Q242" s="31"/>
    </row>
    <row r="243" spans="1:17">
      <c r="A243" s="40">
        <v>46172</v>
      </c>
      <c r="B243" s="50" t="s">
        <v>962</v>
      </c>
      <c r="C243" s="50" t="s">
        <v>954</v>
      </c>
      <c r="D243" s="50" t="e" vm="284">
        <v>#VALUE!</v>
      </c>
      <c r="E243" s="42">
        <f t="array" aca="1" ref="E243" ca="1">_FV(D243,"Price")</f>
        <v>3686.6</v>
      </c>
      <c r="F243" s="43">
        <f t="array" aca="1" ref="F243" ca="1">_FV(D243,"Previous close",TRUE)</f>
        <v>3623.3</v>
      </c>
      <c r="G243" s="33">
        <v>668.1</v>
      </c>
      <c r="H243" s="33">
        <v>640.19000000000005</v>
      </c>
      <c r="I243" s="33">
        <v>628.73</v>
      </c>
      <c r="J243" s="33">
        <v>588.73</v>
      </c>
      <c r="K243" s="31"/>
      <c r="L243" s="31"/>
      <c r="M243" s="31"/>
      <c r="N243" s="31"/>
      <c r="O243" s="31"/>
      <c r="P243" s="31"/>
      <c r="Q243" s="31"/>
    </row>
    <row r="244" spans="1:17">
      <c r="A244" s="40">
        <v>46172</v>
      </c>
      <c r="B244" s="50" t="s">
        <v>963</v>
      </c>
      <c r="C244" s="50" t="s">
        <v>954</v>
      </c>
      <c r="D244" s="50" t="e" vm="285">
        <v>#VALUE!</v>
      </c>
      <c r="E244" s="42">
        <f t="array" aca="1" ref="E244" ca="1">_FV(D244,"Price")</f>
        <v>436.9</v>
      </c>
      <c r="F244" s="43">
        <f t="array" aca="1" ref="F244" ca="1">_FV(D244,"Previous close",TRUE)</f>
        <v>416.1</v>
      </c>
      <c r="G244" s="33">
        <v>1971.9</v>
      </c>
      <c r="H244" s="33">
        <v>1702.18</v>
      </c>
      <c r="I244" s="33">
        <v>1638.8</v>
      </c>
      <c r="J244" s="33">
        <v>1418.86</v>
      </c>
      <c r="K244" s="31"/>
      <c r="L244" s="31"/>
      <c r="M244" s="31"/>
      <c r="N244" s="31"/>
      <c r="O244" s="31"/>
      <c r="P244" s="31"/>
      <c r="Q244" s="31"/>
    </row>
    <row r="245" spans="1:17">
      <c r="A245" s="40">
        <v>46172</v>
      </c>
      <c r="B245" s="50" t="s">
        <v>964</v>
      </c>
      <c r="C245" s="50" t="s">
        <v>954</v>
      </c>
      <c r="D245" s="50" t="e" vm="286">
        <v>#VALUE!</v>
      </c>
      <c r="E245" s="42">
        <f t="array" aca="1" ref="E245" ca="1">_FV(D245,"Price")</f>
        <v>525.20000000000005</v>
      </c>
      <c r="F245" s="43">
        <f t="array" aca="1" ref="F245" ca="1">_FV(D245,"Previous close",TRUE)</f>
        <v>521.65</v>
      </c>
      <c r="G245" s="33">
        <v>1107.3</v>
      </c>
      <c r="H245" s="33">
        <v>1128.29</v>
      </c>
      <c r="I245" s="33">
        <v>1109.6099999999999</v>
      </c>
      <c r="J245" s="33">
        <v>1026.47</v>
      </c>
      <c r="K245" s="31"/>
      <c r="L245" s="31"/>
      <c r="M245" s="31"/>
      <c r="N245" s="31"/>
      <c r="O245" s="31"/>
      <c r="P245" s="31"/>
      <c r="Q245" s="31"/>
    </row>
    <row r="246" spans="1:17">
      <c r="A246" s="40">
        <v>46172</v>
      </c>
      <c r="B246" s="50" t="s">
        <v>139</v>
      </c>
      <c r="C246" s="50" t="s">
        <v>954</v>
      </c>
      <c r="D246" s="50" t="e" vm="287">
        <v>#VALUE!</v>
      </c>
      <c r="E246" s="42">
        <f t="array" aca="1" ref="E246" ca="1">_FV(D246,"Price")</f>
        <v>329</v>
      </c>
      <c r="F246" s="43">
        <f t="array" aca="1" ref="F246" ca="1">_FV(D246,"Previous close",TRUE)</f>
        <v>313.7</v>
      </c>
      <c r="G246" s="33">
        <v>2016.7</v>
      </c>
      <c r="H246" s="33">
        <v>2002.51</v>
      </c>
      <c r="I246" s="33">
        <v>1970.17</v>
      </c>
      <c r="J246" s="33">
        <v>1853.37</v>
      </c>
      <c r="K246" s="31"/>
      <c r="L246" s="31"/>
      <c r="M246" s="31"/>
      <c r="N246" s="31"/>
      <c r="O246" s="31"/>
      <c r="P246" s="31"/>
      <c r="Q246" s="31"/>
    </row>
    <row r="247" spans="1:17">
      <c r="A247" s="40">
        <v>46172</v>
      </c>
      <c r="B247" s="50" t="s">
        <v>661</v>
      </c>
      <c r="C247" s="50" t="s">
        <v>954</v>
      </c>
      <c r="D247" s="50" t="e" vm="12">
        <v>#VALUE!</v>
      </c>
      <c r="E247" s="42">
        <f t="array" aca="1" ref="E247" ca="1">_FV(D247,"Price")</f>
        <v>13538</v>
      </c>
      <c r="F247" s="43">
        <f t="array" aca="1" ref="F247" ca="1">_FV(D247,"Previous close",TRUE)</f>
        <v>13270</v>
      </c>
      <c r="G247" s="33">
        <v>369.25</v>
      </c>
      <c r="H247" s="33">
        <v>383.15</v>
      </c>
      <c r="I247" s="33">
        <v>382.81</v>
      </c>
      <c r="J247" s="33">
        <v>370.59</v>
      </c>
      <c r="K247" s="31"/>
      <c r="L247" s="31"/>
      <c r="M247" s="31"/>
      <c r="N247" s="31"/>
      <c r="O247" s="31"/>
      <c r="P247" s="31"/>
      <c r="Q247" s="31"/>
    </row>
    <row r="248" spans="1:17">
      <c r="A248" s="40">
        <v>46172</v>
      </c>
      <c r="B248" s="50" t="s">
        <v>965</v>
      </c>
      <c r="C248" s="50" t="s">
        <v>954</v>
      </c>
      <c r="D248" s="50" t="e" vm="288">
        <v>#VALUE!</v>
      </c>
      <c r="E248" s="42">
        <f t="array" aca="1" ref="E248" ca="1">_FV(D248,"Price")</f>
        <v>1033.3</v>
      </c>
      <c r="F248" s="43">
        <f t="array" aca="1" ref="F248" ca="1">_FV(D248,"Previous close",TRUE)</f>
        <v>1027.2</v>
      </c>
      <c r="G248" s="33">
        <v>7129</v>
      </c>
      <c r="H248" s="33">
        <v>6831.85</v>
      </c>
      <c r="I248" s="33">
        <v>6762.6</v>
      </c>
      <c r="J248" s="33">
        <v>6478.08</v>
      </c>
      <c r="K248" s="31"/>
      <c r="L248" s="31"/>
      <c r="M248" s="31"/>
      <c r="N248" s="31"/>
      <c r="O248" s="31"/>
      <c r="P248" s="31"/>
      <c r="Q248" s="31"/>
    </row>
    <row r="249" spans="1:17">
      <c r="A249" s="40">
        <v>46172</v>
      </c>
      <c r="B249" s="50" t="s">
        <v>75</v>
      </c>
      <c r="C249" s="50" t="s">
        <v>954</v>
      </c>
      <c r="D249" s="50" t="e" vm="154">
        <v>#VALUE!</v>
      </c>
      <c r="E249" s="42">
        <f t="array" aca="1" ref="E249" ca="1">_FV(D249,"Price")</f>
        <v>3966.1</v>
      </c>
      <c r="F249" s="43">
        <f t="array" aca="1" ref="F249" ca="1">_FV(D249,"Previous close",TRUE)</f>
        <v>3931.9</v>
      </c>
      <c r="G249" s="33">
        <v>727.75</v>
      </c>
      <c r="H249" s="33">
        <v>717.98</v>
      </c>
      <c r="I249" s="33">
        <v>710.91</v>
      </c>
      <c r="J249" s="33">
        <v>680.09</v>
      </c>
      <c r="K249" s="31"/>
      <c r="L249" s="31"/>
      <c r="M249" s="31"/>
      <c r="N249" s="31"/>
      <c r="O249" s="31"/>
      <c r="P249" s="31"/>
      <c r="Q249" s="31"/>
    </row>
    <row r="250" spans="1:17">
      <c r="A250" s="40">
        <v>46172</v>
      </c>
      <c r="B250" s="50" t="s">
        <v>940</v>
      </c>
      <c r="C250" s="50" t="s">
        <v>954</v>
      </c>
      <c r="D250" s="50" t="e" vm="255">
        <v>#VALUE!</v>
      </c>
      <c r="E250" s="42">
        <f t="array" aca="1" ref="E250" ca="1">_FV(D250,"Price")</f>
        <v>232.52</v>
      </c>
      <c r="F250" s="43">
        <f t="array" aca="1" ref="F250" ca="1">_FV(D250,"Previous close",TRUE)</f>
        <v>235.93</v>
      </c>
      <c r="G250" s="33">
        <v>728.35</v>
      </c>
      <c r="H250" s="33">
        <v>718.06</v>
      </c>
      <c r="I250" s="33">
        <v>711.04</v>
      </c>
      <c r="J250" s="33">
        <v>684.32</v>
      </c>
      <c r="K250" s="31"/>
      <c r="L250" s="31"/>
      <c r="M250" s="31"/>
      <c r="N250" s="31"/>
      <c r="O250" s="31"/>
      <c r="P250" s="31"/>
      <c r="Q250" s="31"/>
    </row>
    <row r="251" spans="1:17">
      <c r="A251" s="40">
        <v>46172</v>
      </c>
      <c r="B251" s="50" t="s">
        <v>889</v>
      </c>
      <c r="C251" s="50" t="s">
        <v>954</v>
      </c>
      <c r="D251" s="50" t="e" vm="185">
        <v>#VALUE!</v>
      </c>
      <c r="E251" s="42">
        <f t="array" aca="1" ref="E251" ca="1">_FV(D251,"Price")</f>
        <v>1497.7</v>
      </c>
      <c r="F251" s="43">
        <f t="array" aca="1" ref="F251" ca="1">_FV(D251,"Previous close",TRUE)</f>
        <v>1517.9</v>
      </c>
      <c r="G251" s="33">
        <v>370</v>
      </c>
      <c r="H251" s="33">
        <v>327.31</v>
      </c>
      <c r="I251" s="33">
        <v>319.73</v>
      </c>
      <c r="J251" s="33">
        <v>298.35000000000002</v>
      </c>
      <c r="K251" s="31"/>
      <c r="L251" s="31"/>
      <c r="M251" s="31"/>
      <c r="N251" s="31"/>
      <c r="O251" s="31"/>
      <c r="P251" s="31"/>
      <c r="Q251" s="31"/>
    </row>
    <row r="252" spans="1:17">
      <c r="A252" s="40">
        <v>46172</v>
      </c>
      <c r="B252" s="50" t="s">
        <v>966</v>
      </c>
      <c r="C252" s="50" t="s">
        <v>954</v>
      </c>
      <c r="D252" s="50" t="e" vm="289">
        <v>#VALUE!</v>
      </c>
      <c r="E252" s="42">
        <f t="array" aca="1" ref="E252" ca="1">_FV(D252,"Price")</f>
        <v>3589.9</v>
      </c>
      <c r="F252" s="43">
        <f t="array" aca="1" ref="F252" ca="1">_FV(D252,"Previous close",TRUE)</f>
        <v>3600</v>
      </c>
      <c r="G252" s="33">
        <v>18247</v>
      </c>
      <c r="H252" s="33">
        <v>16735.439999999999</v>
      </c>
      <c r="I252" s="33">
        <v>16388.52</v>
      </c>
      <c r="J252" s="33">
        <v>15340.34</v>
      </c>
      <c r="K252" s="31"/>
      <c r="L252" s="31"/>
      <c r="M252" s="31"/>
      <c r="N252" s="31"/>
      <c r="O252" s="31"/>
      <c r="P252" s="31"/>
      <c r="Q252" s="31"/>
    </row>
    <row r="253" spans="1:17">
      <c r="A253" s="40">
        <v>46172</v>
      </c>
      <c r="B253" s="50" t="s">
        <v>142</v>
      </c>
      <c r="C253" s="50" t="s">
        <v>954</v>
      </c>
      <c r="D253" s="50" t="e" vm="290">
        <v>#VALUE!</v>
      </c>
      <c r="E253" s="42">
        <f t="array" aca="1" ref="E253" ca="1">_FV(D253,"Price")</f>
        <v>563.25</v>
      </c>
      <c r="F253" s="43">
        <f t="array" aca="1" ref="F253" ca="1">_FV(D253,"Previous close",TRUE)</f>
        <v>559.70000000000005</v>
      </c>
      <c r="G253" s="33">
        <v>2989.5</v>
      </c>
      <c r="H253" s="33">
        <v>2663.94</v>
      </c>
      <c r="I253" s="33">
        <v>2601.6999999999998</v>
      </c>
      <c r="J253" s="33">
        <v>2427.27</v>
      </c>
      <c r="K253" s="31"/>
      <c r="L253" s="31"/>
      <c r="M253" s="31"/>
      <c r="N253" s="31"/>
      <c r="O253" s="31"/>
      <c r="P253" s="31"/>
      <c r="Q253" s="31"/>
    </row>
    <row r="254" spans="1:17">
      <c r="A254" s="40">
        <v>46172</v>
      </c>
      <c r="B254" s="50" t="s">
        <v>130</v>
      </c>
      <c r="C254" s="50" t="s">
        <v>967</v>
      </c>
      <c r="D254" s="50" t="e" vm="263">
        <v>#VALUE!</v>
      </c>
      <c r="E254" s="42">
        <f t="array" aca="1" ref="E254" ca="1">_FV(D254,"Price")</f>
        <v>4705.3</v>
      </c>
      <c r="F254" s="43">
        <f t="array" aca="1" ref="F254" ca="1">_FV(D254,"Previous close",TRUE)</f>
        <v>4782.8</v>
      </c>
      <c r="G254" s="33">
        <v>1285.3</v>
      </c>
      <c r="H254" s="33">
        <v>1330.42</v>
      </c>
      <c r="I254" s="33">
        <v>1318.08</v>
      </c>
      <c r="J254" s="33">
        <v>1280.8800000000001</v>
      </c>
      <c r="K254" s="31"/>
      <c r="L254" s="31"/>
      <c r="M254" s="31"/>
      <c r="N254" s="31"/>
      <c r="O254" s="31"/>
      <c r="P254" s="31"/>
      <c r="Q254" s="31"/>
    </row>
    <row r="255" spans="1:17">
      <c r="A255" s="40">
        <v>46172</v>
      </c>
      <c r="B255" s="50" t="s">
        <v>968</v>
      </c>
      <c r="C255" s="50" t="s">
        <v>967</v>
      </c>
      <c r="D255" s="50" t="e" vm="291">
        <v>#VALUE!</v>
      </c>
      <c r="E255" s="42">
        <f t="array" aca="1" ref="E255" ca="1">_FV(D255,"Price")</f>
        <v>433.9</v>
      </c>
      <c r="F255" s="43">
        <f t="array" aca="1" ref="F255" ca="1">_FV(D255,"Previous close",TRUE)</f>
        <v>435.4</v>
      </c>
      <c r="G255" s="33">
        <v>498.95</v>
      </c>
      <c r="H255" s="33">
        <v>455.62</v>
      </c>
      <c r="I255" s="33">
        <v>444.16</v>
      </c>
      <c r="J255" s="33">
        <v>409.26</v>
      </c>
      <c r="K255" s="31"/>
      <c r="L255" s="31"/>
      <c r="M255" s="31"/>
      <c r="N255" s="31"/>
      <c r="O255" s="31"/>
      <c r="P255" s="31"/>
      <c r="Q255" s="31"/>
    </row>
    <row r="256" spans="1:17">
      <c r="A256" s="40">
        <v>46172</v>
      </c>
      <c r="B256" s="50" t="s">
        <v>969</v>
      </c>
      <c r="C256" s="50" t="s">
        <v>967</v>
      </c>
      <c r="D256" s="50" t="e" vm="292">
        <v>#VALUE!</v>
      </c>
      <c r="E256" s="42">
        <f t="array" aca="1" ref="E256" ca="1">_FV(D256,"Price")</f>
        <v>1877.9</v>
      </c>
      <c r="F256" s="43">
        <f t="array" aca="1" ref="F256" ca="1">_FV(D256,"Previous close",TRUE)</f>
        <v>1804.7</v>
      </c>
      <c r="G256" s="33">
        <v>87.99</v>
      </c>
      <c r="H256" s="33">
        <v>88.96</v>
      </c>
      <c r="I256" s="33">
        <v>88.1</v>
      </c>
      <c r="J256" s="33">
        <v>84.69</v>
      </c>
      <c r="K256" s="31"/>
      <c r="L256" s="31"/>
      <c r="M256" s="31"/>
      <c r="N256" s="31"/>
      <c r="O256" s="31"/>
      <c r="P256" s="31"/>
      <c r="Q256" s="31"/>
    </row>
    <row r="257" spans="1:17">
      <c r="A257" s="40">
        <v>46172</v>
      </c>
      <c r="B257" s="50" t="s">
        <v>970</v>
      </c>
      <c r="C257" s="50" t="s">
        <v>967</v>
      </c>
      <c r="D257" s="50" t="e" vm="293">
        <v>#VALUE!</v>
      </c>
      <c r="E257" s="42">
        <f t="array" aca="1" ref="E257" ca="1">_FV(D257,"Price")</f>
        <v>145.61000000000001</v>
      </c>
      <c r="F257" s="43">
        <f t="array" aca="1" ref="F257" ca="1">_FV(D257,"Previous close",TRUE)</f>
        <v>144.88999999999999</v>
      </c>
      <c r="G257" s="33">
        <v>6117.9</v>
      </c>
      <c r="H257" s="33">
        <v>5057.83</v>
      </c>
      <c r="I257" s="33">
        <v>4908.38</v>
      </c>
      <c r="J257" s="33">
        <v>4442.9399999999996</v>
      </c>
      <c r="K257" s="31"/>
      <c r="L257" s="31"/>
      <c r="M257" s="31"/>
      <c r="N257" s="31"/>
      <c r="O257" s="31"/>
      <c r="P257" s="31"/>
      <c r="Q257" s="31"/>
    </row>
    <row r="258" spans="1:17">
      <c r="A258" s="40">
        <v>46172</v>
      </c>
      <c r="B258" s="50" t="s">
        <v>971</v>
      </c>
      <c r="C258" s="50" t="s">
        <v>967</v>
      </c>
      <c r="D258" s="50" t="e" vm="294">
        <v>#VALUE!</v>
      </c>
      <c r="E258" s="42">
        <f t="array" aca="1" ref="E258" ca="1">_FV(D258,"Price")</f>
        <v>626.4</v>
      </c>
      <c r="F258" s="43">
        <f t="array" aca="1" ref="F258" ca="1">_FV(D258,"Previous close",TRUE)</f>
        <v>629.85</v>
      </c>
      <c r="G258" s="33">
        <v>917.45</v>
      </c>
      <c r="H258" s="33">
        <v>841.07</v>
      </c>
      <c r="I258" s="33">
        <v>826.02</v>
      </c>
      <c r="J258" s="33">
        <v>776.79</v>
      </c>
      <c r="K258" s="31"/>
      <c r="L258" s="31"/>
      <c r="M258" s="31"/>
      <c r="N258" s="31"/>
      <c r="O258" s="31"/>
      <c r="P258" s="31"/>
      <c r="Q258" s="31"/>
    </row>
    <row r="259" spans="1:17">
      <c r="A259" s="40">
        <v>46172</v>
      </c>
      <c r="B259" s="50" t="s">
        <v>203</v>
      </c>
      <c r="C259" s="50" t="s">
        <v>967</v>
      </c>
      <c r="D259" s="50" t="e" vm="244">
        <v>#VALUE!</v>
      </c>
      <c r="E259" s="42">
        <f t="array" aca="1" ref="E259" ca="1">_FV(D259,"Price")</f>
        <v>275.35000000000002</v>
      </c>
      <c r="F259" s="43">
        <f t="array" aca="1" ref="F259" ca="1">_FV(D259,"Previous close",TRUE)</f>
        <v>275.2</v>
      </c>
      <c r="G259" s="33">
        <v>262.3</v>
      </c>
      <c r="H259" s="33">
        <v>266.14</v>
      </c>
      <c r="I259" s="33">
        <v>265.02999999999997</v>
      </c>
      <c r="J259" s="33">
        <v>260.32</v>
      </c>
      <c r="K259" s="31"/>
      <c r="L259" s="31"/>
      <c r="M259" s="31"/>
      <c r="N259" s="31"/>
      <c r="O259" s="31"/>
      <c r="P259" s="31"/>
      <c r="Q259" s="31"/>
    </row>
    <row r="260" spans="1:17">
      <c r="A260" s="40">
        <v>46172</v>
      </c>
      <c r="B260" s="50" t="s">
        <v>260</v>
      </c>
      <c r="C260" s="50" t="s">
        <v>967</v>
      </c>
      <c r="D260" s="50" t="e" vm="25">
        <v>#VALUE!</v>
      </c>
      <c r="E260" s="42">
        <f t="array" aca="1" ref="E260" ca="1">_FV(D260,"Price")</f>
        <v>536.15</v>
      </c>
      <c r="F260" s="43">
        <f t="array" aca="1" ref="F260" ca="1">_FV(D260,"Previous close",TRUE)</f>
        <v>541.5</v>
      </c>
      <c r="G260" s="33">
        <v>1401.7</v>
      </c>
      <c r="H260" s="33">
        <v>1185.2</v>
      </c>
      <c r="I260" s="33">
        <v>1160.81</v>
      </c>
      <c r="J260" s="33">
        <v>1090.32</v>
      </c>
      <c r="K260" s="31"/>
      <c r="L260" s="31"/>
      <c r="M260" s="31"/>
      <c r="N260" s="31"/>
      <c r="O260" s="31"/>
      <c r="P260" s="31"/>
      <c r="Q260" s="31"/>
    </row>
    <row r="261" spans="1:17">
      <c r="A261" s="40">
        <v>46172</v>
      </c>
      <c r="B261" s="50" t="s">
        <v>59</v>
      </c>
      <c r="C261" s="50" t="s">
        <v>967</v>
      </c>
      <c r="D261" s="50" t="e" vm="208">
        <v>#VALUE!</v>
      </c>
      <c r="E261" s="42">
        <f t="array" aca="1" ref="E261" ca="1">_FV(D261,"Price")</f>
        <v>357.35</v>
      </c>
      <c r="F261" s="43">
        <f t="array" aca="1" ref="F261" ca="1">_FV(D261,"Previous close",TRUE)</f>
        <v>356.45</v>
      </c>
      <c r="G261" s="33">
        <v>1293.9000000000001</v>
      </c>
      <c r="H261" s="33">
        <v>1325.07</v>
      </c>
      <c r="I261" s="33">
        <v>1320.5</v>
      </c>
      <c r="J261" s="33">
        <v>1294.6099999999999</v>
      </c>
      <c r="K261" s="31"/>
      <c r="L261" s="31"/>
      <c r="M261" s="31"/>
      <c r="N261" s="31"/>
      <c r="O261" s="31"/>
      <c r="P261" s="31"/>
      <c r="Q261" s="31"/>
    </row>
    <row r="262" spans="1:17" hidden="1">
      <c r="A262" s="40">
        <v>46172</v>
      </c>
      <c r="B262" s="50" t="s">
        <v>972</v>
      </c>
      <c r="C262" s="50" t="s">
        <v>973</v>
      </c>
      <c r="D262" s="50" t="e" vm="295">
        <v>#VALUE!</v>
      </c>
      <c r="E262" s="42">
        <f t="array" aca="1" ref="E262" ca="1">_FV(D262,"Price")</f>
        <v>530.04999999999995</v>
      </c>
      <c r="F262" s="43">
        <f t="array" aca="1" ref="F262" ca="1">_FV(D262,"Previous close",TRUE)</f>
        <v>533.70000000000005</v>
      </c>
      <c r="G262" s="33">
        <v>527.95000000000005</v>
      </c>
      <c r="H262" s="33">
        <v>512.13</v>
      </c>
      <c r="I262" s="33">
        <v>507.65</v>
      </c>
      <c r="J262" s="33">
        <v>492.47</v>
      </c>
      <c r="K262" s="31"/>
      <c r="L262" s="31"/>
      <c r="M262" s="31"/>
      <c r="N262" s="31"/>
      <c r="O262" s="31"/>
      <c r="P262" s="31"/>
      <c r="Q262" s="31"/>
    </row>
    <row r="263" spans="1:17" hidden="1">
      <c r="A263" s="40">
        <v>46172</v>
      </c>
      <c r="B263" s="50" t="s">
        <v>915</v>
      </c>
      <c r="C263" s="50" t="s">
        <v>973</v>
      </c>
      <c r="D263" s="50" t="e" vm="222">
        <v>#VALUE!</v>
      </c>
      <c r="E263" s="42">
        <f t="array" aca="1" ref="E263" ca="1">_FV(D263,"Price")</f>
        <v>2608.1999999999998</v>
      </c>
      <c r="F263" s="43">
        <f t="array" aca="1" ref="F263" ca="1">_FV(D263,"Previous close",TRUE)</f>
        <v>2614.9</v>
      </c>
      <c r="G263" s="33">
        <v>2654.8</v>
      </c>
      <c r="H263" s="33">
        <v>2671.44</v>
      </c>
      <c r="I263" s="33">
        <v>2656.61</v>
      </c>
      <c r="J263" s="33">
        <v>2600.35</v>
      </c>
      <c r="K263" s="31"/>
      <c r="L263" s="31"/>
      <c r="M263" s="31"/>
      <c r="N263" s="31"/>
      <c r="O263" s="31"/>
      <c r="P263" s="31"/>
      <c r="Q263" s="31"/>
    </row>
    <row r="264" spans="1:17" hidden="1">
      <c r="A264" s="40">
        <v>46172</v>
      </c>
      <c r="B264" s="50" t="s">
        <v>53</v>
      </c>
      <c r="C264" s="50" t="s">
        <v>973</v>
      </c>
      <c r="D264" s="50" t="e" vm="172">
        <v>#VALUE!</v>
      </c>
      <c r="E264" s="42">
        <f t="array" aca="1" ref="E264" ca="1">_FV(D264,"Price")</f>
        <v>599.35</v>
      </c>
      <c r="F264" s="43">
        <f t="array" aca="1" ref="F264" ca="1">_FV(D264,"Previous close",TRUE)</f>
        <v>604.95000000000005</v>
      </c>
      <c r="G264" s="33">
        <v>605</v>
      </c>
      <c r="H264" s="33">
        <v>581.11</v>
      </c>
      <c r="I264" s="33">
        <v>576.21</v>
      </c>
      <c r="J264" s="33">
        <v>572.22</v>
      </c>
      <c r="K264" s="31"/>
      <c r="L264" s="31"/>
      <c r="M264" s="31"/>
      <c r="N264" s="31"/>
      <c r="O264" s="31"/>
      <c r="P264" s="31"/>
      <c r="Q264" s="31"/>
    </row>
    <row r="265" spans="1:17" hidden="1">
      <c r="A265" s="40">
        <v>46172</v>
      </c>
      <c r="B265" s="50" t="s">
        <v>917</v>
      </c>
      <c r="C265" s="50" t="s">
        <v>973</v>
      </c>
      <c r="D265" s="50" t="e" vm="224">
        <v>#VALUE!</v>
      </c>
      <c r="E265" s="42">
        <f t="array" aca="1" ref="E265" ca="1">_FV(D265,"Price")</f>
        <v>1515.8</v>
      </c>
      <c r="F265" s="43">
        <f t="array" aca="1" ref="F265" ca="1">_FV(D265,"Previous close",TRUE)</f>
        <v>1511.9</v>
      </c>
      <c r="G265" s="33">
        <v>1520.5</v>
      </c>
      <c r="H265" s="33">
        <v>1316.94</v>
      </c>
      <c r="I265" s="33">
        <v>1278.6099999999999</v>
      </c>
      <c r="J265" s="33">
        <v>1162.54</v>
      </c>
      <c r="K265" s="31"/>
      <c r="L265" s="31"/>
      <c r="M265" s="31"/>
      <c r="N265" s="31"/>
      <c r="O265" s="31"/>
      <c r="P265" s="31"/>
      <c r="Q265" s="31"/>
    </row>
    <row r="266" spans="1:17" hidden="1">
      <c r="A266" s="40">
        <v>46172</v>
      </c>
      <c r="B266" s="50" t="s">
        <v>974</v>
      </c>
      <c r="C266" s="50" t="s">
        <v>973</v>
      </c>
      <c r="D266" s="50" t="e" vm="296">
        <v>#VALUE!</v>
      </c>
      <c r="E266" s="42">
        <f t="array" aca="1" ref="E266" ca="1">_FV(D266,"Price")</f>
        <v>1933.7</v>
      </c>
      <c r="F266" s="43">
        <f t="array" aca="1" ref="F266" ca="1">_FV(D266,"Previous close",TRUE)</f>
        <v>1906.2</v>
      </c>
      <c r="G266" s="33">
        <v>1965</v>
      </c>
      <c r="H266" s="33">
        <v>1747.1</v>
      </c>
      <c r="I266" s="33">
        <v>1721.22</v>
      </c>
      <c r="J266" s="33">
        <v>1673.68</v>
      </c>
      <c r="K266" s="31"/>
      <c r="L266" s="31"/>
      <c r="M266" s="31"/>
      <c r="N266" s="31"/>
      <c r="O266" s="31"/>
      <c r="P266" s="31"/>
      <c r="Q266" s="31"/>
    </row>
    <row r="267" spans="1:17" hidden="1">
      <c r="A267" s="40">
        <v>46172</v>
      </c>
      <c r="B267" s="50" t="s">
        <v>975</v>
      </c>
      <c r="C267" s="50" t="s">
        <v>973</v>
      </c>
      <c r="D267" s="50" t="e" vm="297">
        <v>#VALUE!</v>
      </c>
      <c r="E267" s="42">
        <f t="array" aca="1" ref="E267" ca="1">_FV(D267,"Price")</f>
        <v>1956.9</v>
      </c>
      <c r="F267" s="43">
        <f t="array" aca="1" ref="F267" ca="1">_FV(D267,"Previous close",TRUE)</f>
        <v>2015.4</v>
      </c>
      <c r="G267" s="33">
        <v>2009.2</v>
      </c>
      <c r="H267" s="33">
        <v>1777.64</v>
      </c>
      <c r="I267" s="33">
        <v>1742.57</v>
      </c>
      <c r="J267" s="33">
        <v>1667.33</v>
      </c>
      <c r="K267" s="31"/>
      <c r="L267" s="31"/>
      <c r="M267" s="31"/>
      <c r="N267" s="31"/>
      <c r="O267" s="31"/>
      <c r="P267" s="31"/>
      <c r="Q267" s="31"/>
    </row>
    <row r="268" spans="1:17" hidden="1">
      <c r="A268" s="40">
        <v>46172</v>
      </c>
      <c r="B268" s="50" t="s">
        <v>918</v>
      </c>
      <c r="C268" s="50" t="s">
        <v>973</v>
      </c>
      <c r="D268" s="50" t="e" vm="225">
        <v>#VALUE!</v>
      </c>
      <c r="E268" s="42">
        <f t="array" aca="1" ref="E268" ca="1">_FV(D268,"Price")</f>
        <v>472.3</v>
      </c>
      <c r="F268" s="43">
        <f t="array" aca="1" ref="F268" ca="1">_FV(D268,"Previous close",TRUE)</f>
        <v>472.15</v>
      </c>
      <c r="G268" s="33">
        <v>457.9</v>
      </c>
      <c r="H268" s="33">
        <v>458.53</v>
      </c>
      <c r="I268" s="33">
        <v>456.15</v>
      </c>
      <c r="J268" s="33">
        <v>443.26</v>
      </c>
      <c r="K268" s="31"/>
      <c r="L268" s="31"/>
      <c r="M268" s="31"/>
      <c r="N268" s="31"/>
      <c r="O268" s="31"/>
      <c r="P268" s="31"/>
      <c r="Q268" s="31"/>
    </row>
    <row r="269" spans="1:17" hidden="1">
      <c r="A269" s="40">
        <v>46172</v>
      </c>
      <c r="B269" s="50" t="s">
        <v>533</v>
      </c>
      <c r="C269" s="50" t="s">
        <v>973</v>
      </c>
      <c r="D269" s="50" t="e" vm="298">
        <v>#VALUE!</v>
      </c>
      <c r="E269" s="42">
        <f t="array" aca="1" ref="E269" ca="1">_FV(D269,"Price")</f>
        <v>9375</v>
      </c>
      <c r="F269" s="43">
        <f t="array" aca="1" ref="F269" ca="1">_FV(D269,"Previous close",TRUE)</f>
        <v>9127</v>
      </c>
      <c r="G269" s="33">
        <v>9497</v>
      </c>
      <c r="H269" s="33">
        <v>9480.86</v>
      </c>
      <c r="I269" s="33">
        <v>9431.73</v>
      </c>
      <c r="J269" s="33">
        <v>9095.35</v>
      </c>
      <c r="K269" s="31"/>
      <c r="L269" s="31"/>
      <c r="M269" s="31"/>
      <c r="N269" s="31"/>
      <c r="O269" s="31"/>
      <c r="P269" s="31"/>
      <c r="Q269" s="31"/>
    </row>
    <row r="270" spans="1:17" hidden="1">
      <c r="A270" s="40">
        <v>46172</v>
      </c>
      <c r="B270" s="50" t="s">
        <v>951</v>
      </c>
      <c r="C270" s="50" t="s">
        <v>973</v>
      </c>
      <c r="D270" s="50" t="e" vm="269">
        <v>#VALUE!</v>
      </c>
      <c r="E270" s="42">
        <f t="array" aca="1" ref="E270" ca="1">_FV(D270,"Price")</f>
        <v>36.49</v>
      </c>
      <c r="F270" s="43">
        <f t="array" aca="1" ref="F270" ca="1">_FV(D270,"Previous close",TRUE)</f>
        <v>36.54</v>
      </c>
      <c r="G270" s="33">
        <v>37.22</v>
      </c>
      <c r="H270" s="33">
        <v>35.64</v>
      </c>
      <c r="I270" s="33">
        <v>35.200000000000003</v>
      </c>
      <c r="J270" s="33">
        <v>32.950000000000003</v>
      </c>
      <c r="K270" s="31"/>
      <c r="L270" s="31"/>
      <c r="M270" s="31"/>
      <c r="N270" s="31"/>
      <c r="O270" s="31"/>
      <c r="P270" s="31"/>
      <c r="Q270" s="31"/>
    </row>
    <row r="271" spans="1:17" hidden="1">
      <c r="A271" s="40">
        <v>46172</v>
      </c>
      <c r="B271" s="50" t="s">
        <v>69</v>
      </c>
      <c r="C271" s="50" t="s">
        <v>973</v>
      </c>
      <c r="D271" s="50" t="e" vm="58">
        <v>#VALUE!</v>
      </c>
      <c r="E271" s="42">
        <f t="array" aca="1" ref="E271" ca="1">_FV(D271,"Price")</f>
        <v>301.05</v>
      </c>
      <c r="F271" s="43">
        <f t="array" aca="1" ref="F271" ca="1">_FV(D271,"Previous close",TRUE)</f>
        <v>293.05</v>
      </c>
      <c r="G271" s="33">
        <v>288.95</v>
      </c>
      <c r="H271" s="33">
        <v>287.72000000000003</v>
      </c>
      <c r="I271" s="33">
        <v>286.67</v>
      </c>
      <c r="J271" s="33">
        <v>279.33999999999997</v>
      </c>
      <c r="K271" s="31"/>
      <c r="L271" s="31"/>
      <c r="M271" s="31"/>
      <c r="N271" s="31"/>
      <c r="O271" s="31"/>
      <c r="P271" s="31"/>
      <c r="Q271" s="31"/>
    </row>
    <row r="272" spans="1:17" hidden="1">
      <c r="A272" s="40">
        <v>46172</v>
      </c>
      <c r="B272" s="50" t="s">
        <v>720</v>
      </c>
      <c r="C272" s="50" t="s">
        <v>973</v>
      </c>
      <c r="D272" s="50" t="e" vm="87">
        <v>#VALUE!</v>
      </c>
      <c r="E272" s="42">
        <f t="array" aca="1" ref="E272" ca="1">_FV(D272,"Price")</f>
        <v>1698.9</v>
      </c>
      <c r="F272" s="43">
        <f t="array" aca="1" ref="F272" ca="1">_FV(D272,"Previous close",TRUE)</f>
        <v>1686.5</v>
      </c>
      <c r="G272" s="33">
        <v>1682</v>
      </c>
      <c r="H272" s="33">
        <v>1683.33</v>
      </c>
      <c r="I272" s="33">
        <v>1670.99</v>
      </c>
      <c r="J272" s="33">
        <v>1648.2</v>
      </c>
      <c r="K272" s="31"/>
      <c r="L272" s="31"/>
      <c r="M272" s="31"/>
      <c r="N272" s="31"/>
      <c r="O272" s="31"/>
      <c r="P272" s="31"/>
      <c r="Q272" s="31"/>
    </row>
  </sheetData>
  <autoFilter ref="A1:J272" xr:uid="{00000000-0009-0000-0000-000006000000}">
    <filterColumn colId="0">
      <filters>
        <dateGroupItem year="2026" month="5" day="30" dateTimeGrouping="day"/>
      </filters>
    </filterColumn>
    <filterColumn colId="2">
      <filters>
        <filter val="BLUE"/>
        <filter val="GREEN"/>
        <filter val="ORANGE"/>
      </filters>
    </filterColumn>
  </autoFilter>
  <conditionalFormatting sqref="F2:F272">
    <cfRule type="expression" dxfId="27" priority="3">
      <formula>$E2&gt;$F2</formula>
    </cfRule>
  </conditionalFormatting>
  <conditionalFormatting sqref="G2:G272">
    <cfRule type="expression" dxfId="26" priority="4">
      <formula>$F2&gt;$G2</formula>
    </cfRule>
  </conditionalFormatting>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X101"/>
  <sheetViews>
    <sheetView workbookViewId="0">
      <pane ySplit="1" topLeftCell="A11" activePane="bottomLeft" state="frozen"/>
      <selection pane="bottomLeft" sqref="A1:A101"/>
    </sheetView>
  </sheetViews>
  <sheetFormatPr defaultRowHeight="15"/>
  <cols>
    <col min="1" max="1" width="12" customWidth="1"/>
    <col min="2" max="2" width="11" customWidth="1"/>
    <col min="3" max="3" width="24" customWidth="1"/>
    <col min="4" max="4" width="19" customWidth="1"/>
    <col min="5" max="5" width="16" customWidth="1"/>
    <col min="6" max="6" width="20" customWidth="1"/>
    <col min="7" max="7" width="25" customWidth="1"/>
    <col min="8" max="8" width="19" customWidth="1"/>
    <col min="9" max="9" width="21" customWidth="1"/>
    <col min="10" max="10" width="25" customWidth="1"/>
    <col min="11" max="11" width="20" customWidth="1"/>
    <col min="12" max="12" width="18" customWidth="1"/>
    <col min="13" max="13" width="16" customWidth="1"/>
    <col min="14" max="14" width="40" customWidth="1"/>
    <col min="15" max="15" width="15" customWidth="1"/>
    <col min="16" max="17" width="16" customWidth="1"/>
    <col min="18" max="18" width="15" customWidth="1"/>
    <col min="19" max="19" width="29" customWidth="1"/>
    <col min="20" max="20" width="16" customWidth="1"/>
    <col min="21" max="21" width="25" customWidth="1"/>
    <col min="22" max="22" width="14" customWidth="1"/>
    <col min="23" max="23" width="10" customWidth="1"/>
  </cols>
  <sheetData>
    <row r="1" spans="1:76">
      <c r="A1" s="51" t="s">
        <v>41</v>
      </c>
      <c r="B1" s="51" t="s">
        <v>89</v>
      </c>
      <c r="C1" s="51" t="s">
        <v>621</v>
      </c>
      <c r="D1" s="51" t="s">
        <v>145</v>
      </c>
      <c r="E1" s="51" t="s">
        <v>622</v>
      </c>
      <c r="F1" s="51" t="s">
        <v>976</v>
      </c>
      <c r="G1" s="51" t="s">
        <v>977</v>
      </c>
      <c r="H1" s="51" t="s">
        <v>624</v>
      </c>
      <c r="I1" s="51" t="s">
        <v>978</v>
      </c>
      <c r="J1" s="51" t="s">
        <v>979</v>
      </c>
      <c r="K1" s="51" t="s">
        <v>980</v>
      </c>
      <c r="L1" s="51" t="s">
        <v>623</v>
      </c>
      <c r="M1" s="51" t="s">
        <v>628</v>
      </c>
      <c r="N1" s="51" t="s">
        <v>82</v>
      </c>
      <c r="O1" s="51" t="s">
        <v>635</v>
      </c>
      <c r="P1" s="51" t="s">
        <v>981</v>
      </c>
      <c r="Q1" s="51" t="s">
        <v>636</v>
      </c>
      <c r="R1" s="51" t="s">
        <v>982</v>
      </c>
      <c r="S1" s="51" t="s">
        <v>983</v>
      </c>
      <c r="T1" s="51" t="s">
        <v>638</v>
      </c>
      <c r="U1" s="51" t="s">
        <v>639</v>
      </c>
      <c r="V1" s="51" t="s">
        <v>640</v>
      </c>
      <c r="W1" s="51" t="s">
        <v>625</v>
      </c>
      <c r="AH1" t="s">
        <v>248</v>
      </c>
      <c r="AI1" t="s">
        <v>46</v>
      </c>
      <c r="AJ1" t="s">
        <v>342</v>
      </c>
      <c r="AK1" t="s">
        <v>352</v>
      </c>
      <c r="AL1" t="s">
        <v>279</v>
      </c>
      <c r="AM1" t="s">
        <v>392</v>
      </c>
      <c r="AN1" t="s">
        <v>397</v>
      </c>
      <c r="AO1" t="s">
        <v>93</v>
      </c>
      <c r="AP1" t="s">
        <v>79</v>
      </c>
      <c r="AQ1" t="s">
        <v>434</v>
      </c>
      <c r="AR1" t="s">
        <v>520</v>
      </c>
      <c r="AS1" t="s">
        <v>260</v>
      </c>
      <c r="AT1" t="s">
        <v>496</v>
      </c>
      <c r="AU1" t="s">
        <v>130</v>
      </c>
      <c r="AV1" t="s">
        <v>501</v>
      </c>
      <c r="AW1" t="s">
        <v>140</v>
      </c>
      <c r="AX1" t="s">
        <v>59</v>
      </c>
      <c r="AY1" t="s">
        <v>273</v>
      </c>
      <c r="AZ1" t="s">
        <v>428</v>
      </c>
      <c r="BA1" t="s">
        <v>161</v>
      </c>
      <c r="BB1" t="s">
        <v>68</v>
      </c>
      <c r="BC1" t="s">
        <v>302</v>
      </c>
      <c r="BD1" t="s">
        <v>305</v>
      </c>
      <c r="BE1" t="s">
        <v>474</v>
      </c>
      <c r="BF1" t="s">
        <v>355</v>
      </c>
      <c r="BG1" t="s">
        <v>52</v>
      </c>
      <c r="BH1" t="s">
        <v>53</v>
      </c>
      <c r="BI1" t="s">
        <v>129</v>
      </c>
      <c r="BJ1" t="s">
        <v>516</v>
      </c>
      <c r="BK1" t="s">
        <v>425</v>
      </c>
      <c r="BL1" t="s">
        <v>289</v>
      </c>
      <c r="BM1" t="s">
        <v>57</v>
      </c>
      <c r="BN1" t="s">
        <v>251</v>
      </c>
      <c r="BO1" t="s">
        <v>484</v>
      </c>
      <c r="BP1" t="s">
        <v>128</v>
      </c>
      <c r="BQ1" t="s">
        <v>67</v>
      </c>
      <c r="BR1" t="s">
        <v>92</v>
      </c>
      <c r="BS1" t="s">
        <v>254</v>
      </c>
      <c r="BT1" t="s">
        <v>78</v>
      </c>
      <c r="BU1" t="s">
        <v>375</v>
      </c>
      <c r="BV1" t="s">
        <v>270</v>
      </c>
      <c r="BW1" t="s">
        <v>533</v>
      </c>
      <c r="BX1" t="s">
        <v>91</v>
      </c>
    </row>
    <row r="2" spans="1:76">
      <c r="A2" s="31" t="s">
        <v>76</v>
      </c>
      <c r="B2" s="31" t="s">
        <v>32</v>
      </c>
      <c r="C2" s="31" t="s">
        <v>62</v>
      </c>
      <c r="D2" s="31" t="s">
        <v>49</v>
      </c>
      <c r="E2" s="31" t="s">
        <v>99</v>
      </c>
      <c r="F2" s="31">
        <v>28</v>
      </c>
      <c r="G2" s="33">
        <v>78477</v>
      </c>
      <c r="H2" s="33">
        <v>2802.75</v>
      </c>
      <c r="I2" s="31">
        <v>0</v>
      </c>
      <c r="J2" s="33">
        <v>0</v>
      </c>
      <c r="K2" s="33">
        <v>0</v>
      </c>
      <c r="L2" s="31">
        <v>28</v>
      </c>
      <c r="M2" s="33">
        <v>78477</v>
      </c>
      <c r="N2" s="33">
        <f ca="1">IFERROR(INDEX(Price_Update!$F:$F, MATCH(A2, Price_Update!$A:$A, 0)), 3135.7)</f>
        <v>3135.7</v>
      </c>
      <c r="O2" s="33">
        <f t="shared" ref="O2:O65" ca="1" si="0">L2*N2</f>
        <v>87799.599999999991</v>
      </c>
      <c r="P2" s="33">
        <v>0</v>
      </c>
      <c r="Q2" s="33">
        <f t="shared" ref="Q2:Q65" ca="1" si="1">O2-M2</f>
        <v>9322.5999999999913</v>
      </c>
      <c r="R2" s="33">
        <f t="shared" ref="R2:R65" ca="1" si="2">P2+Q2</f>
        <v>9322.5999999999913</v>
      </c>
      <c r="S2" s="36">
        <f t="shared" ref="S2:S65" ca="1" si="3">IF(G2&gt;0, R2/G2, 0)</f>
        <v>0.11879404156631869</v>
      </c>
      <c r="T2" s="31">
        <v>20</v>
      </c>
      <c r="U2" s="31"/>
      <c r="V2" s="31" t="s">
        <v>106</v>
      </c>
      <c r="W2" s="31" t="s">
        <v>984</v>
      </c>
    </row>
    <row r="3" spans="1:76">
      <c r="A3" s="31" t="s">
        <v>131</v>
      </c>
      <c r="B3" s="31" t="s">
        <v>34</v>
      </c>
      <c r="C3" s="31" t="s">
        <v>58</v>
      </c>
      <c r="D3" s="31" t="s">
        <v>47</v>
      </c>
      <c r="E3" s="31" t="s">
        <v>104</v>
      </c>
      <c r="F3" s="31">
        <v>36</v>
      </c>
      <c r="G3" s="33">
        <v>102039.39939999999</v>
      </c>
      <c r="H3" s="33">
        <v>2834.43</v>
      </c>
      <c r="I3" s="31">
        <v>0</v>
      </c>
      <c r="J3" s="33">
        <v>0</v>
      </c>
      <c r="K3" s="33">
        <v>0</v>
      </c>
      <c r="L3" s="31">
        <v>36</v>
      </c>
      <c r="M3" s="33">
        <v>102039.48</v>
      </c>
      <c r="N3" s="33">
        <f ca="1">IFERROR(INDEX(Price_Update!$F:$F, MATCH(A3, Price_Update!$A:$A, 0)), 2925.6)</f>
        <v>2925.6</v>
      </c>
      <c r="O3" s="33">
        <f t="shared" ca="1" si="0"/>
        <v>105321.59999999999</v>
      </c>
      <c r="P3" s="33">
        <v>0</v>
      </c>
      <c r="Q3" s="33">
        <f t="shared" ca="1" si="1"/>
        <v>3282.1199999999953</v>
      </c>
      <c r="R3" s="33">
        <f t="shared" ca="1" si="2"/>
        <v>3282.1199999999953</v>
      </c>
      <c r="S3" s="36">
        <f t="shared" ca="1" si="3"/>
        <v>3.2165222642421741E-2</v>
      </c>
      <c r="T3" s="31">
        <v>20</v>
      </c>
      <c r="U3" s="31"/>
      <c r="V3" s="31" t="s">
        <v>106</v>
      </c>
      <c r="W3" s="31" t="s">
        <v>985</v>
      </c>
    </row>
    <row r="4" spans="1:76">
      <c r="A4" s="31" t="s">
        <v>659</v>
      </c>
      <c r="B4" s="31" t="s">
        <v>36</v>
      </c>
      <c r="C4" s="31" t="s">
        <v>58</v>
      </c>
      <c r="D4" s="31" t="s">
        <v>49</v>
      </c>
      <c r="E4" s="31" t="s">
        <v>98</v>
      </c>
      <c r="F4" s="31">
        <v>6</v>
      </c>
      <c r="G4" s="33">
        <v>27324.600600000002</v>
      </c>
      <c r="H4" s="33">
        <v>4554.1000000000004</v>
      </c>
      <c r="I4" s="31">
        <v>0</v>
      </c>
      <c r="J4" s="33">
        <v>0</v>
      </c>
      <c r="K4" s="33">
        <v>0</v>
      </c>
      <c r="L4" s="31">
        <v>6</v>
      </c>
      <c r="M4" s="33">
        <v>27324.6</v>
      </c>
      <c r="N4" s="33">
        <f ca="1">IFERROR(INDEX(Price_Update!$F:$F, MATCH(A4, Price_Update!$A:$A, 0)), 4521.3)</f>
        <v>4521.3</v>
      </c>
      <c r="O4" s="33">
        <f t="shared" ca="1" si="0"/>
        <v>27127.800000000003</v>
      </c>
      <c r="P4" s="33">
        <v>0</v>
      </c>
      <c r="Q4" s="33">
        <f t="shared" ca="1" si="1"/>
        <v>-196.79999999999563</v>
      </c>
      <c r="R4" s="33">
        <f t="shared" ca="1" si="2"/>
        <v>-196.79999999999563</v>
      </c>
      <c r="S4" s="36">
        <f t="shared" ca="1" si="3"/>
        <v>-7.2023010649237308E-3</v>
      </c>
      <c r="T4" s="31">
        <v>2</v>
      </c>
      <c r="U4" s="31"/>
      <c r="V4" s="31" t="s">
        <v>106</v>
      </c>
      <c r="W4" s="31" t="s">
        <v>985</v>
      </c>
    </row>
    <row r="5" spans="1:76">
      <c r="A5" s="31" t="s">
        <v>61</v>
      </c>
      <c r="B5" s="31" t="s">
        <v>36</v>
      </c>
      <c r="C5" s="31" t="s">
        <v>62</v>
      </c>
      <c r="D5" s="31" t="s">
        <v>47</v>
      </c>
      <c r="E5" s="31" t="s">
        <v>99</v>
      </c>
      <c r="F5" s="31">
        <v>14</v>
      </c>
      <c r="G5" s="33">
        <v>43885.2</v>
      </c>
      <c r="H5" s="33">
        <v>3134.66</v>
      </c>
      <c r="I5" s="31">
        <v>0</v>
      </c>
      <c r="J5" s="33">
        <v>0</v>
      </c>
      <c r="K5" s="33">
        <v>0</v>
      </c>
      <c r="L5" s="31">
        <v>14</v>
      </c>
      <c r="M5" s="33">
        <v>43885.24</v>
      </c>
      <c r="N5" s="33">
        <f ca="1">IFERROR(INDEX(Price_Update!$F:$F, MATCH(A5, Price_Update!$A:$A, 0)), 2929.2)</f>
        <v>2929.2</v>
      </c>
      <c r="O5" s="33">
        <f t="shared" ca="1" si="0"/>
        <v>41008.799999999996</v>
      </c>
      <c r="P5" s="33">
        <v>0</v>
      </c>
      <c r="Q5" s="33">
        <f t="shared" ca="1" si="1"/>
        <v>-2876.4400000000023</v>
      </c>
      <c r="R5" s="33">
        <f t="shared" ca="1" si="2"/>
        <v>-2876.4400000000023</v>
      </c>
      <c r="S5" s="36">
        <f t="shared" ca="1" si="3"/>
        <v>-6.5544648309680764E-2</v>
      </c>
      <c r="T5" s="31">
        <v>150</v>
      </c>
      <c r="U5" s="31"/>
      <c r="V5" s="31" t="s">
        <v>106</v>
      </c>
      <c r="W5" s="31" t="s">
        <v>984</v>
      </c>
    </row>
    <row r="6" spans="1:76">
      <c r="A6" s="31" t="s">
        <v>661</v>
      </c>
      <c r="B6" s="31" t="s">
        <v>36</v>
      </c>
      <c r="C6" s="31" t="s">
        <v>58</v>
      </c>
      <c r="D6" s="31" t="s">
        <v>49</v>
      </c>
      <c r="E6" s="31" t="s">
        <v>98</v>
      </c>
      <c r="F6" s="31">
        <v>4</v>
      </c>
      <c r="G6" s="33">
        <v>51316</v>
      </c>
      <c r="H6" s="33">
        <v>12829</v>
      </c>
      <c r="I6" s="31">
        <v>0</v>
      </c>
      <c r="J6" s="33">
        <v>0</v>
      </c>
      <c r="K6" s="33">
        <v>0</v>
      </c>
      <c r="L6" s="31">
        <v>4</v>
      </c>
      <c r="M6" s="33">
        <v>51316</v>
      </c>
      <c r="N6" s="33">
        <f ca="1">IFERROR(INDEX(Price_Update!$F:$F, MATCH(A6, Price_Update!$A:$A, 0)), 13538)</f>
        <v>13538</v>
      </c>
      <c r="O6" s="33">
        <f t="shared" ca="1" si="0"/>
        <v>54152</v>
      </c>
      <c r="P6" s="33">
        <v>0</v>
      </c>
      <c r="Q6" s="33">
        <f t="shared" ca="1" si="1"/>
        <v>2836</v>
      </c>
      <c r="R6" s="33">
        <f t="shared" ca="1" si="2"/>
        <v>2836</v>
      </c>
      <c r="S6" s="36">
        <f t="shared" ca="1" si="3"/>
        <v>5.5265414295736226E-2</v>
      </c>
      <c r="T6" s="31">
        <v>2</v>
      </c>
      <c r="U6" s="31"/>
      <c r="V6" s="31" t="s">
        <v>106</v>
      </c>
      <c r="W6" s="31" t="s">
        <v>984</v>
      </c>
    </row>
    <row r="7" spans="1:76">
      <c r="A7" s="31" t="s">
        <v>80</v>
      </c>
      <c r="B7" s="31" t="s">
        <v>36</v>
      </c>
      <c r="C7" s="31" t="s">
        <v>58</v>
      </c>
      <c r="D7" s="31" t="s">
        <v>49</v>
      </c>
      <c r="E7" s="31" t="s">
        <v>107</v>
      </c>
      <c r="F7" s="31">
        <v>96</v>
      </c>
      <c r="G7" s="33">
        <v>201677.10449999999</v>
      </c>
      <c r="H7" s="33">
        <v>2100.8000000000002</v>
      </c>
      <c r="I7" s="31">
        <v>0</v>
      </c>
      <c r="J7" s="33">
        <v>0</v>
      </c>
      <c r="K7" s="33">
        <v>0</v>
      </c>
      <c r="L7" s="31">
        <v>96</v>
      </c>
      <c r="M7" s="33">
        <v>201676.79999999999</v>
      </c>
      <c r="N7" s="33">
        <f ca="1">IFERROR(INDEX(Price_Update!$F:$F, MATCH(A7, Price_Update!$A:$A, 0)), 1805.4)</f>
        <v>1805.4</v>
      </c>
      <c r="O7" s="33">
        <f t="shared" ca="1" si="0"/>
        <v>173318.40000000002</v>
      </c>
      <c r="P7" s="33">
        <v>0</v>
      </c>
      <c r="Q7" s="33">
        <f t="shared" ca="1" si="1"/>
        <v>-28358.399999999965</v>
      </c>
      <c r="R7" s="33">
        <f t="shared" ca="1" si="2"/>
        <v>-28358.399999999965</v>
      </c>
      <c r="S7" s="36">
        <f t="shared" ca="1" si="3"/>
        <v>-0.14061288746834408</v>
      </c>
      <c r="T7" s="31">
        <v>115</v>
      </c>
      <c r="U7" s="31"/>
      <c r="V7" s="31" t="s">
        <v>106</v>
      </c>
      <c r="W7" s="31" t="s">
        <v>984</v>
      </c>
    </row>
    <row r="8" spans="1:76">
      <c r="A8" s="31" t="s">
        <v>50</v>
      </c>
      <c r="B8" s="31" t="s">
        <v>32</v>
      </c>
      <c r="C8" s="31" t="s">
        <v>58</v>
      </c>
      <c r="D8" s="31" t="s">
        <v>47</v>
      </c>
      <c r="E8" s="31" t="s">
        <v>107</v>
      </c>
      <c r="F8" s="31">
        <v>556</v>
      </c>
      <c r="G8" s="33">
        <v>200389.45</v>
      </c>
      <c r="H8" s="33">
        <v>360.41</v>
      </c>
      <c r="I8" s="31">
        <v>0</v>
      </c>
      <c r="J8" s="33">
        <v>0</v>
      </c>
      <c r="K8" s="33">
        <v>0</v>
      </c>
      <c r="L8" s="31">
        <v>556</v>
      </c>
      <c r="M8" s="33">
        <v>200387.96</v>
      </c>
      <c r="N8" s="33">
        <f ca="1">IFERROR(INDEX(Price_Update!$F:$F, MATCH(A8, Price_Update!$A:$A, 0)), 407.55)</f>
        <v>407.55</v>
      </c>
      <c r="O8" s="33">
        <f t="shared" ca="1" si="0"/>
        <v>226597.80000000002</v>
      </c>
      <c r="P8" s="33">
        <v>0</v>
      </c>
      <c r="Q8" s="33">
        <f t="shared" ca="1" si="1"/>
        <v>26209.840000000026</v>
      </c>
      <c r="R8" s="33">
        <f t="shared" ca="1" si="2"/>
        <v>26209.840000000026</v>
      </c>
      <c r="S8" s="36">
        <f t="shared" ca="1" si="3"/>
        <v>0.13079451038964388</v>
      </c>
      <c r="T8" s="31">
        <v>31</v>
      </c>
      <c r="U8" s="31"/>
      <c r="V8" s="31" t="s">
        <v>106</v>
      </c>
      <c r="W8" s="31" t="s">
        <v>985</v>
      </c>
    </row>
    <row r="9" spans="1:76">
      <c r="A9" s="31" t="s">
        <v>176</v>
      </c>
      <c r="B9" s="31" t="s">
        <v>32</v>
      </c>
      <c r="C9" s="31" t="s">
        <v>58</v>
      </c>
      <c r="D9" s="31" t="s">
        <v>47</v>
      </c>
      <c r="E9" s="31" t="s">
        <v>104</v>
      </c>
      <c r="F9" s="31">
        <v>80</v>
      </c>
      <c r="G9" s="33">
        <v>100756.4</v>
      </c>
      <c r="H9" s="33">
        <v>1259.46</v>
      </c>
      <c r="I9" s="31">
        <v>0</v>
      </c>
      <c r="J9" s="33">
        <v>0</v>
      </c>
      <c r="K9" s="33">
        <v>0</v>
      </c>
      <c r="L9" s="31">
        <v>80</v>
      </c>
      <c r="M9" s="33">
        <v>100756.8</v>
      </c>
      <c r="N9" s="33">
        <f ca="1">IFERROR(INDEX(Price_Update!$F:$F, MATCH(A9, Price_Update!$A:$A, 0)), 1323.7)</f>
        <v>1323.7</v>
      </c>
      <c r="O9" s="33">
        <f t="shared" ca="1" si="0"/>
        <v>105896</v>
      </c>
      <c r="P9" s="33">
        <v>0</v>
      </c>
      <c r="Q9" s="33">
        <f t="shared" ca="1" si="1"/>
        <v>5139.1999999999971</v>
      </c>
      <c r="R9" s="33">
        <f t="shared" ca="1" si="2"/>
        <v>5139.1999999999971</v>
      </c>
      <c r="S9" s="36">
        <f t="shared" ca="1" si="3"/>
        <v>5.1006189185004602E-2</v>
      </c>
      <c r="T9" s="31">
        <v>38</v>
      </c>
      <c r="U9" s="31"/>
      <c r="V9" s="31" t="s">
        <v>106</v>
      </c>
      <c r="W9" s="31" t="s">
        <v>985</v>
      </c>
    </row>
    <row r="10" spans="1:76">
      <c r="A10" s="31" t="s">
        <v>55</v>
      </c>
      <c r="B10" s="31" t="s">
        <v>36</v>
      </c>
      <c r="C10" s="31" t="s">
        <v>62</v>
      </c>
      <c r="D10" s="31" t="s">
        <v>47</v>
      </c>
      <c r="E10" s="31" t="s">
        <v>98</v>
      </c>
      <c r="F10" s="31">
        <v>33</v>
      </c>
      <c r="G10" s="33">
        <v>49684.800000000003</v>
      </c>
      <c r="H10" s="33">
        <v>1505.6</v>
      </c>
      <c r="I10" s="31">
        <v>0</v>
      </c>
      <c r="J10" s="33">
        <v>0</v>
      </c>
      <c r="K10" s="33">
        <v>0</v>
      </c>
      <c r="L10" s="31">
        <v>33</v>
      </c>
      <c r="M10" s="33">
        <v>49684.800000000003</v>
      </c>
      <c r="N10" s="33">
        <f ca="1">IFERROR(INDEX(Price_Update!$F:$F, MATCH(A10, Price_Update!$A:$A, 0)), 1440.4)</f>
        <v>1440.4</v>
      </c>
      <c r="O10" s="33">
        <f t="shared" ca="1" si="0"/>
        <v>47533.200000000004</v>
      </c>
      <c r="P10" s="33">
        <v>0</v>
      </c>
      <c r="Q10" s="33">
        <f t="shared" ca="1" si="1"/>
        <v>-2151.5999999999985</v>
      </c>
      <c r="R10" s="33">
        <f t="shared" ca="1" si="2"/>
        <v>-2151.5999999999985</v>
      </c>
      <c r="S10" s="36">
        <f t="shared" ca="1" si="3"/>
        <v>-4.3304994686503687E-2</v>
      </c>
      <c r="T10" s="31">
        <v>17</v>
      </c>
      <c r="U10" s="31"/>
      <c r="V10" s="31" t="s">
        <v>106</v>
      </c>
      <c r="W10" s="31" t="s">
        <v>984</v>
      </c>
    </row>
    <row r="11" spans="1:76">
      <c r="A11" s="31" t="s">
        <v>263</v>
      </c>
      <c r="B11" s="31" t="s">
        <v>32</v>
      </c>
      <c r="C11" s="31" t="s">
        <v>66</v>
      </c>
      <c r="D11" s="31" t="s">
        <v>47</v>
      </c>
      <c r="E11" s="31"/>
      <c r="F11" s="31">
        <v>671</v>
      </c>
      <c r="G11" s="33">
        <v>129693.78</v>
      </c>
      <c r="H11" s="33">
        <v>193.28</v>
      </c>
      <c r="I11" s="31">
        <v>671</v>
      </c>
      <c r="J11" s="33">
        <v>120337.14</v>
      </c>
      <c r="K11" s="33">
        <v>179.34</v>
      </c>
      <c r="L11" s="31">
        <v>0</v>
      </c>
      <c r="M11" s="33">
        <v>0</v>
      </c>
      <c r="N11" s="33">
        <f>IFERROR(INDEX(Price_Update!$F:$F, MATCH(A11, Price_Update!$A:$A, 0)), 175.7)</f>
        <v>175.7</v>
      </c>
      <c r="O11" s="33">
        <f t="shared" si="0"/>
        <v>0</v>
      </c>
      <c r="P11" s="33">
        <v>-9353.74</v>
      </c>
      <c r="Q11" s="33">
        <f t="shared" si="1"/>
        <v>0</v>
      </c>
      <c r="R11" s="33">
        <f t="shared" si="2"/>
        <v>-9353.74</v>
      </c>
      <c r="S11" s="36">
        <f t="shared" si="3"/>
        <v>-7.2121731666699815E-2</v>
      </c>
      <c r="T11" s="31">
        <v>41</v>
      </c>
      <c r="U11" s="31"/>
      <c r="V11" s="31" t="s">
        <v>106</v>
      </c>
      <c r="W11" s="31" t="s">
        <v>985</v>
      </c>
    </row>
    <row r="12" spans="1:76">
      <c r="A12" s="31" t="s">
        <v>656</v>
      </c>
      <c r="B12" s="31" t="s">
        <v>34</v>
      </c>
      <c r="C12" s="31" t="s">
        <v>64</v>
      </c>
      <c r="D12" s="31" t="s">
        <v>49</v>
      </c>
      <c r="E12" s="31" t="s">
        <v>98</v>
      </c>
      <c r="F12" s="31">
        <v>3</v>
      </c>
      <c r="G12" s="33">
        <v>31032</v>
      </c>
      <c r="H12" s="33">
        <v>10344</v>
      </c>
      <c r="I12" s="31">
        <v>0</v>
      </c>
      <c r="J12" s="33">
        <v>0</v>
      </c>
      <c r="K12" s="33">
        <v>0</v>
      </c>
      <c r="L12" s="31">
        <v>3</v>
      </c>
      <c r="M12" s="33">
        <v>31032</v>
      </c>
      <c r="N12" s="33">
        <f ca="1">IFERROR(INDEX(Price_Update!$F:$F, MATCH(A12, Price_Update!$A:$A, 0)), 10259)</f>
        <v>10259</v>
      </c>
      <c r="O12" s="33">
        <f t="shared" ca="1" si="0"/>
        <v>30777</v>
      </c>
      <c r="P12" s="33">
        <v>0</v>
      </c>
      <c r="Q12" s="33">
        <f t="shared" ca="1" si="1"/>
        <v>-255</v>
      </c>
      <c r="R12" s="33">
        <f t="shared" ca="1" si="2"/>
        <v>-255</v>
      </c>
      <c r="S12" s="36">
        <f t="shared" ca="1" si="3"/>
        <v>-8.2173240525908742E-3</v>
      </c>
      <c r="T12" s="31">
        <v>2</v>
      </c>
      <c r="U12" s="31"/>
      <c r="V12" s="31" t="s">
        <v>106</v>
      </c>
      <c r="W12" s="31" t="s">
        <v>985</v>
      </c>
    </row>
    <row r="13" spans="1:76">
      <c r="A13" s="31" t="s">
        <v>318</v>
      </c>
      <c r="B13" s="31" t="s">
        <v>34</v>
      </c>
      <c r="C13" s="31" t="s">
        <v>63</v>
      </c>
      <c r="D13" s="31" t="s">
        <v>49</v>
      </c>
      <c r="E13" s="31"/>
      <c r="F13" s="31">
        <v>94</v>
      </c>
      <c r="G13" s="33">
        <v>100072.4</v>
      </c>
      <c r="H13" s="33">
        <v>1064.5999999999999</v>
      </c>
      <c r="I13" s="31">
        <v>94</v>
      </c>
      <c r="J13" s="33">
        <v>84426.099999999991</v>
      </c>
      <c r="K13" s="33">
        <v>898.15</v>
      </c>
      <c r="L13" s="31">
        <v>0</v>
      </c>
      <c r="M13" s="33">
        <v>0</v>
      </c>
      <c r="N13" s="33">
        <f>IFERROR(INDEX(Price_Update!$F:$F, MATCH(A13, Price_Update!$A:$A, 0)), 876.8)</f>
        <v>876.8</v>
      </c>
      <c r="O13" s="33">
        <f t="shared" si="0"/>
        <v>0</v>
      </c>
      <c r="P13" s="33">
        <v>-15646.3</v>
      </c>
      <c r="Q13" s="33">
        <f t="shared" si="1"/>
        <v>0</v>
      </c>
      <c r="R13" s="33">
        <f t="shared" si="2"/>
        <v>-15646.3</v>
      </c>
      <c r="S13" s="36">
        <f t="shared" si="3"/>
        <v>-0.15634980274281421</v>
      </c>
      <c r="T13" s="31">
        <v>109</v>
      </c>
      <c r="U13" s="31"/>
      <c r="V13" s="31" t="s">
        <v>106</v>
      </c>
      <c r="W13" s="31" t="s">
        <v>985</v>
      </c>
    </row>
    <row r="14" spans="1:76">
      <c r="A14" s="31" t="s">
        <v>51</v>
      </c>
      <c r="B14" s="31" t="s">
        <v>32</v>
      </c>
      <c r="C14" s="31" t="s">
        <v>62</v>
      </c>
      <c r="D14" s="31" t="s">
        <v>47</v>
      </c>
      <c r="E14" s="31" t="s">
        <v>104</v>
      </c>
      <c r="F14" s="31">
        <v>56</v>
      </c>
      <c r="G14" s="33">
        <v>98687.7</v>
      </c>
      <c r="H14" s="33">
        <v>1762.28</v>
      </c>
      <c r="I14" s="31">
        <v>0</v>
      </c>
      <c r="J14" s="33">
        <v>0</v>
      </c>
      <c r="K14" s="33">
        <v>0</v>
      </c>
      <c r="L14" s="31">
        <v>56</v>
      </c>
      <c r="M14" s="33">
        <v>98687.679999999993</v>
      </c>
      <c r="N14" s="33">
        <f ca="1">IFERROR(INDEX(Price_Update!$F:$F, MATCH(A14, Price_Update!$A:$A, 0)), 2122.2)</f>
        <v>2122.1999999999998</v>
      </c>
      <c r="O14" s="33">
        <f t="shared" ca="1" si="0"/>
        <v>118843.19999999998</v>
      </c>
      <c r="P14" s="33">
        <v>0</v>
      </c>
      <c r="Q14" s="33">
        <f t="shared" ca="1" si="1"/>
        <v>20155.51999999999</v>
      </c>
      <c r="R14" s="33">
        <f t="shared" ca="1" si="2"/>
        <v>20155.51999999999</v>
      </c>
      <c r="S14" s="36">
        <f t="shared" ca="1" si="3"/>
        <v>0.2042353809035978</v>
      </c>
      <c r="T14" s="31">
        <v>17</v>
      </c>
      <c r="U14" s="31"/>
      <c r="V14" s="31" t="s">
        <v>106</v>
      </c>
      <c r="W14" s="31" t="s">
        <v>984</v>
      </c>
    </row>
    <row r="15" spans="1:76">
      <c r="A15" s="31" t="s">
        <v>358</v>
      </c>
      <c r="B15" s="31" t="s">
        <v>34</v>
      </c>
      <c r="C15" s="31" t="s">
        <v>63</v>
      </c>
      <c r="D15" s="31" t="s">
        <v>47</v>
      </c>
      <c r="E15" s="31"/>
      <c r="F15" s="31">
        <v>260</v>
      </c>
      <c r="G15" s="33">
        <v>75946</v>
      </c>
      <c r="H15" s="33">
        <v>292.10000000000002</v>
      </c>
      <c r="I15" s="31">
        <v>260</v>
      </c>
      <c r="J15" s="33">
        <v>70604.55</v>
      </c>
      <c r="K15" s="33">
        <v>271.56</v>
      </c>
      <c r="L15" s="31">
        <v>0</v>
      </c>
      <c r="M15" s="33">
        <v>0</v>
      </c>
      <c r="N15" s="33">
        <f>IFERROR(INDEX(Price_Update!$F:$F, MATCH(A15, Price_Update!$A:$A, 0)), 268.85)</f>
        <v>268.85000000000002</v>
      </c>
      <c r="O15" s="33">
        <f t="shared" si="0"/>
        <v>0</v>
      </c>
      <c r="P15" s="33">
        <v>-5341.45</v>
      </c>
      <c r="Q15" s="33">
        <f t="shared" si="1"/>
        <v>0</v>
      </c>
      <c r="R15" s="33">
        <f t="shared" si="2"/>
        <v>-5341.45</v>
      </c>
      <c r="S15" s="36">
        <f t="shared" si="3"/>
        <v>-7.0332209727964598E-2</v>
      </c>
      <c r="T15" s="31">
        <v>91</v>
      </c>
      <c r="U15" s="31"/>
      <c r="V15" s="31" t="s">
        <v>106</v>
      </c>
      <c r="W15" s="31" t="s">
        <v>984</v>
      </c>
    </row>
    <row r="16" spans="1:76">
      <c r="A16" s="31" t="s">
        <v>431</v>
      </c>
      <c r="B16" s="31" t="s">
        <v>36</v>
      </c>
      <c r="C16" s="31" t="s">
        <v>63</v>
      </c>
      <c r="D16" s="31" t="s">
        <v>47</v>
      </c>
      <c r="E16" s="31"/>
      <c r="F16" s="31">
        <v>465</v>
      </c>
      <c r="G16" s="33">
        <v>75179.430000000008</v>
      </c>
      <c r="H16" s="33">
        <v>161.68</v>
      </c>
      <c r="I16" s="31">
        <v>465</v>
      </c>
      <c r="J16" s="33">
        <v>71056.850000000006</v>
      </c>
      <c r="K16" s="33">
        <v>152.81</v>
      </c>
      <c r="L16" s="31">
        <v>0</v>
      </c>
      <c r="M16" s="33">
        <v>0</v>
      </c>
      <c r="N16" s="33">
        <f>IFERROR(INDEX(Price_Update!$F:$F, MATCH(A16, Price_Update!$A:$A, 0)), 139.92)</f>
        <v>139.91999999999999</v>
      </c>
      <c r="O16" s="33">
        <f t="shared" si="0"/>
        <v>0</v>
      </c>
      <c r="P16" s="33">
        <v>-4124.3500000000004</v>
      </c>
      <c r="Q16" s="33">
        <f t="shared" si="1"/>
        <v>0</v>
      </c>
      <c r="R16" s="33">
        <f t="shared" si="2"/>
        <v>-4124.3500000000004</v>
      </c>
      <c r="S16" s="36">
        <f t="shared" si="3"/>
        <v>-5.4860086063435169E-2</v>
      </c>
      <c r="T16" s="31">
        <v>61</v>
      </c>
      <c r="U16" s="31"/>
      <c r="V16" s="31" t="s">
        <v>106</v>
      </c>
      <c r="W16" s="31" t="s">
        <v>984</v>
      </c>
    </row>
    <row r="17" spans="1:23">
      <c r="A17" s="31" t="s">
        <v>450</v>
      </c>
      <c r="B17" s="31" t="s">
        <v>34</v>
      </c>
      <c r="C17" s="31" t="s">
        <v>58</v>
      </c>
      <c r="D17" s="31" t="s">
        <v>47</v>
      </c>
      <c r="E17" s="31"/>
      <c r="F17" s="31">
        <v>222</v>
      </c>
      <c r="G17" s="33">
        <v>100778.25</v>
      </c>
      <c r="H17" s="33">
        <v>453.96</v>
      </c>
      <c r="I17" s="31">
        <v>222</v>
      </c>
      <c r="J17" s="33">
        <v>94405.5</v>
      </c>
      <c r="K17" s="33">
        <v>425.25</v>
      </c>
      <c r="L17" s="31">
        <v>0</v>
      </c>
      <c r="M17" s="33">
        <v>0</v>
      </c>
      <c r="N17" s="33">
        <f>IFERROR(INDEX(Price_Update!$F:$F, MATCH(A17, Price_Update!$A:$A, 0)), 406.6)</f>
        <v>406.6</v>
      </c>
      <c r="O17" s="33">
        <f t="shared" si="0"/>
        <v>0</v>
      </c>
      <c r="P17" s="33">
        <v>-6373.62</v>
      </c>
      <c r="Q17" s="33">
        <f t="shared" si="1"/>
        <v>0</v>
      </c>
      <c r="R17" s="33">
        <f t="shared" si="2"/>
        <v>-6373.62</v>
      </c>
      <c r="S17" s="36">
        <f t="shared" si="3"/>
        <v>-6.3244003542431024E-2</v>
      </c>
      <c r="T17" s="31">
        <v>105</v>
      </c>
      <c r="U17" s="31"/>
      <c r="V17" s="31" t="s">
        <v>106</v>
      </c>
      <c r="W17" s="31" t="s">
        <v>985</v>
      </c>
    </row>
    <row r="18" spans="1:23">
      <c r="A18" s="31" t="s">
        <v>372</v>
      </c>
      <c r="B18" s="31" t="s">
        <v>36</v>
      </c>
      <c r="C18" s="31" t="s">
        <v>58</v>
      </c>
      <c r="D18" s="31" t="s">
        <v>47</v>
      </c>
      <c r="E18" s="31"/>
      <c r="F18" s="31">
        <v>36</v>
      </c>
      <c r="G18" s="33">
        <v>50176.800000000003</v>
      </c>
      <c r="H18" s="33">
        <v>1393.8</v>
      </c>
      <c r="I18" s="31">
        <v>36</v>
      </c>
      <c r="J18" s="33">
        <v>50997.599999999999</v>
      </c>
      <c r="K18" s="33">
        <v>1416.6</v>
      </c>
      <c r="L18" s="31">
        <v>0</v>
      </c>
      <c r="M18" s="33">
        <v>0</v>
      </c>
      <c r="N18" s="33">
        <f>IFERROR(INDEX(Price_Update!$F:$F, MATCH(A18, Price_Update!$A:$A, 0)), 1936.5)</f>
        <v>1936.5</v>
      </c>
      <c r="O18" s="33">
        <f t="shared" si="0"/>
        <v>0</v>
      </c>
      <c r="P18" s="33">
        <v>820.8</v>
      </c>
      <c r="Q18" s="33">
        <f t="shared" si="1"/>
        <v>0</v>
      </c>
      <c r="R18" s="33">
        <f t="shared" si="2"/>
        <v>820.8</v>
      </c>
      <c r="S18" s="36">
        <f t="shared" si="3"/>
        <v>1.635815755488592E-2</v>
      </c>
      <c r="T18" s="31">
        <v>77</v>
      </c>
      <c r="U18" s="31"/>
      <c r="V18" s="31" t="s">
        <v>106</v>
      </c>
      <c r="W18" s="31" t="s">
        <v>984</v>
      </c>
    </row>
    <row r="19" spans="1:23">
      <c r="A19" s="31" t="s">
        <v>349</v>
      </c>
      <c r="B19" s="31" t="s">
        <v>34</v>
      </c>
      <c r="C19" s="31" t="s">
        <v>58</v>
      </c>
      <c r="D19" s="31" t="s">
        <v>47</v>
      </c>
      <c r="E19" s="31"/>
      <c r="F19" s="31">
        <v>82</v>
      </c>
      <c r="G19" s="33">
        <v>30151.4</v>
      </c>
      <c r="H19" s="33">
        <v>367.7</v>
      </c>
      <c r="I19" s="31">
        <v>82</v>
      </c>
      <c r="J19" s="33">
        <v>24735.3</v>
      </c>
      <c r="K19" s="33">
        <v>301.64999999999998</v>
      </c>
      <c r="L19" s="31">
        <v>0</v>
      </c>
      <c r="M19" s="33">
        <v>0</v>
      </c>
      <c r="N19" s="33">
        <f>IFERROR(INDEX(Price_Update!$F:$F, MATCH(A19, Price_Update!$A:$A, 0)), 292.1)</f>
        <v>292.10000000000002</v>
      </c>
      <c r="O19" s="33">
        <f t="shared" si="0"/>
        <v>0</v>
      </c>
      <c r="P19" s="33">
        <v>-5416.1</v>
      </c>
      <c r="Q19" s="33">
        <f t="shared" si="1"/>
        <v>0</v>
      </c>
      <c r="R19" s="33">
        <f t="shared" si="2"/>
        <v>-5416.1</v>
      </c>
      <c r="S19" s="36">
        <f t="shared" si="3"/>
        <v>-0.17963013326081045</v>
      </c>
      <c r="T19" s="31">
        <v>182</v>
      </c>
      <c r="U19" s="31"/>
      <c r="V19" s="31" t="s">
        <v>106</v>
      </c>
      <c r="W19" s="31" t="s">
        <v>985</v>
      </c>
    </row>
    <row r="20" spans="1:23">
      <c r="A20" s="31" t="s">
        <v>75</v>
      </c>
      <c r="B20" s="31" t="s">
        <v>34</v>
      </c>
      <c r="C20" s="31" t="s">
        <v>63</v>
      </c>
      <c r="D20" s="31" t="s">
        <v>49</v>
      </c>
      <c r="E20" s="31" t="s">
        <v>104</v>
      </c>
      <c r="F20" s="31">
        <v>30</v>
      </c>
      <c r="G20" s="33">
        <v>100770.003</v>
      </c>
      <c r="H20" s="33">
        <v>3359</v>
      </c>
      <c r="I20" s="31">
        <v>0</v>
      </c>
      <c r="J20" s="33">
        <v>0</v>
      </c>
      <c r="K20" s="33">
        <v>0</v>
      </c>
      <c r="L20" s="31">
        <v>30</v>
      </c>
      <c r="M20" s="33">
        <v>100770</v>
      </c>
      <c r="N20" s="33">
        <f ca="1">IFERROR(INDEX(Price_Update!$F:$F, MATCH(A20, Price_Update!$A:$A, 0)), 3966.1)</f>
        <v>3966.1</v>
      </c>
      <c r="O20" s="33">
        <f t="shared" ca="1" si="0"/>
        <v>118983</v>
      </c>
      <c r="P20" s="33">
        <v>0</v>
      </c>
      <c r="Q20" s="33">
        <f t="shared" ca="1" si="1"/>
        <v>18213</v>
      </c>
      <c r="R20" s="33">
        <f t="shared" ca="1" si="2"/>
        <v>18213</v>
      </c>
      <c r="S20" s="36">
        <f t="shared" ca="1" si="3"/>
        <v>0.1807383095939771</v>
      </c>
      <c r="T20" s="31">
        <v>178</v>
      </c>
      <c r="U20" s="31"/>
      <c r="V20" s="31" t="s">
        <v>106</v>
      </c>
      <c r="W20" s="31" t="s">
        <v>984</v>
      </c>
    </row>
    <row r="21" spans="1:23">
      <c r="A21" s="31" t="s">
        <v>386</v>
      </c>
      <c r="B21" s="31" t="s">
        <v>32</v>
      </c>
      <c r="C21" s="31" t="s">
        <v>66</v>
      </c>
      <c r="D21" s="31" t="s">
        <v>47</v>
      </c>
      <c r="E21" s="31"/>
      <c r="F21" s="31">
        <v>228</v>
      </c>
      <c r="G21" s="33">
        <v>99912.15</v>
      </c>
      <c r="H21" s="33">
        <v>438.21</v>
      </c>
      <c r="I21" s="31">
        <v>228</v>
      </c>
      <c r="J21" s="33">
        <v>90155.400000000009</v>
      </c>
      <c r="K21" s="33">
        <v>395.42</v>
      </c>
      <c r="L21" s="31">
        <v>0</v>
      </c>
      <c r="M21" s="33">
        <v>0</v>
      </c>
      <c r="N21" s="33">
        <f>IFERROR(INDEX(Price_Update!$F:$F, MATCH(A21, Price_Update!$A:$A, 0)), 327.65)</f>
        <v>327.64999999999998</v>
      </c>
      <c r="O21" s="33">
        <f t="shared" si="0"/>
        <v>0</v>
      </c>
      <c r="P21" s="33">
        <v>-9756.48</v>
      </c>
      <c r="Q21" s="33">
        <f t="shared" si="1"/>
        <v>0</v>
      </c>
      <c r="R21" s="33">
        <f t="shared" si="2"/>
        <v>-9756.48</v>
      </c>
      <c r="S21" s="36">
        <f t="shared" si="3"/>
        <v>-9.7650586039835993E-2</v>
      </c>
      <c r="T21" s="31">
        <v>50</v>
      </c>
      <c r="U21" s="31"/>
      <c r="V21" s="31" t="s">
        <v>106</v>
      </c>
      <c r="W21" s="31" t="s">
        <v>985</v>
      </c>
    </row>
    <row r="22" spans="1:23">
      <c r="A22" s="31" t="s">
        <v>283</v>
      </c>
      <c r="B22" s="31" t="s">
        <v>34</v>
      </c>
      <c r="C22" s="31" t="s">
        <v>63</v>
      </c>
      <c r="D22" s="31" t="s">
        <v>47</v>
      </c>
      <c r="E22" s="31"/>
      <c r="F22" s="31">
        <v>2062</v>
      </c>
      <c r="G22" s="33">
        <v>269285.90000000002</v>
      </c>
      <c r="H22" s="33">
        <v>130.59</v>
      </c>
      <c r="I22" s="31">
        <v>2078</v>
      </c>
      <c r="J22" s="33">
        <v>267524.40000000002</v>
      </c>
      <c r="K22" s="33">
        <v>128.74</v>
      </c>
      <c r="L22" s="31">
        <v>-16</v>
      </c>
      <c r="M22" s="33">
        <v>-2089.44</v>
      </c>
      <c r="N22" s="33">
        <f>IFERROR(INDEX(Price_Update!$F:$F, MATCH(A22, Price_Update!$A:$A, 0)), 131.85)</f>
        <v>131.85</v>
      </c>
      <c r="O22" s="33">
        <f t="shared" si="0"/>
        <v>-2109.6</v>
      </c>
      <c r="P22" s="33">
        <v>-3841.62</v>
      </c>
      <c r="Q22" s="33">
        <f t="shared" si="1"/>
        <v>-20.159999999999854</v>
      </c>
      <c r="R22" s="33">
        <f t="shared" si="2"/>
        <v>-3861.7799999999997</v>
      </c>
      <c r="S22" s="36">
        <f t="shared" si="3"/>
        <v>-1.4340817695987794E-2</v>
      </c>
      <c r="T22" s="31">
        <v>150</v>
      </c>
      <c r="U22" s="31"/>
      <c r="V22" s="31" t="s">
        <v>106</v>
      </c>
      <c r="W22" s="31" t="s">
        <v>984</v>
      </c>
    </row>
    <row r="23" spans="1:23">
      <c r="A23" s="31" t="s">
        <v>672</v>
      </c>
      <c r="B23" s="31" t="s">
        <v>32</v>
      </c>
      <c r="C23" s="31" t="s">
        <v>62</v>
      </c>
      <c r="D23" s="31" t="s">
        <v>49</v>
      </c>
      <c r="E23" s="31" t="s">
        <v>98</v>
      </c>
      <c r="F23" s="31">
        <v>15</v>
      </c>
      <c r="G23" s="33">
        <v>29586</v>
      </c>
      <c r="H23" s="33">
        <v>1972.4</v>
      </c>
      <c r="I23" s="31">
        <v>0</v>
      </c>
      <c r="J23" s="33">
        <v>0</v>
      </c>
      <c r="K23" s="33">
        <v>0</v>
      </c>
      <c r="L23" s="31">
        <v>15</v>
      </c>
      <c r="M23" s="33">
        <v>29586</v>
      </c>
      <c r="N23" s="33">
        <f ca="1">IFERROR(INDEX(Price_Update!$F:$F, MATCH(A23, Price_Update!$A:$A, 0)), 1972.9)</f>
        <v>1972.9</v>
      </c>
      <c r="O23" s="33">
        <f t="shared" ca="1" si="0"/>
        <v>29593.5</v>
      </c>
      <c r="P23" s="33">
        <v>0</v>
      </c>
      <c r="Q23" s="33">
        <f t="shared" ca="1" si="1"/>
        <v>7.5</v>
      </c>
      <c r="R23" s="33">
        <f t="shared" ca="1" si="2"/>
        <v>7.5</v>
      </c>
      <c r="S23" s="36">
        <f t="shared" ca="1" si="3"/>
        <v>2.5349827621172174E-4</v>
      </c>
      <c r="T23" s="31">
        <v>2</v>
      </c>
      <c r="U23" s="31"/>
      <c r="V23" s="31" t="s">
        <v>106</v>
      </c>
      <c r="W23" s="31" t="s">
        <v>985</v>
      </c>
    </row>
    <row r="24" spans="1:23">
      <c r="A24" s="31" t="s">
        <v>648</v>
      </c>
      <c r="B24" s="31" t="s">
        <v>32</v>
      </c>
      <c r="C24" s="31" t="s">
        <v>64</v>
      </c>
      <c r="D24" s="31" t="s">
        <v>49</v>
      </c>
      <c r="E24" s="31" t="s">
        <v>98</v>
      </c>
      <c r="F24" s="31">
        <v>27</v>
      </c>
      <c r="G24" s="33">
        <v>29735.1</v>
      </c>
      <c r="H24" s="33">
        <v>1101.3</v>
      </c>
      <c r="I24" s="31">
        <v>0</v>
      </c>
      <c r="J24" s="33">
        <v>0</v>
      </c>
      <c r="K24" s="33">
        <v>0</v>
      </c>
      <c r="L24" s="31">
        <v>27</v>
      </c>
      <c r="M24" s="33">
        <v>29735.1</v>
      </c>
      <c r="N24" s="33">
        <f ca="1">IFERROR(INDEX(Price_Update!$F:$F, MATCH(A24, Price_Update!$A:$A, 0)), 1138)</f>
        <v>1138</v>
      </c>
      <c r="O24" s="33">
        <f t="shared" ca="1" si="0"/>
        <v>30726</v>
      </c>
      <c r="P24" s="33">
        <v>0</v>
      </c>
      <c r="Q24" s="33">
        <f t="shared" ca="1" si="1"/>
        <v>990.90000000000146</v>
      </c>
      <c r="R24" s="33">
        <f t="shared" ca="1" si="2"/>
        <v>990.90000000000146</v>
      </c>
      <c r="S24" s="36">
        <f t="shared" ca="1" si="3"/>
        <v>3.3324253155361895E-2</v>
      </c>
      <c r="T24" s="31">
        <v>2</v>
      </c>
      <c r="U24" s="31"/>
      <c r="V24" s="31" t="s">
        <v>106</v>
      </c>
      <c r="W24" s="31" t="s">
        <v>984</v>
      </c>
    </row>
    <row r="25" spans="1:23">
      <c r="A25" s="31" t="s">
        <v>77</v>
      </c>
      <c r="B25" s="31" t="s">
        <v>32</v>
      </c>
      <c r="C25" s="31" t="s">
        <v>60</v>
      </c>
      <c r="D25" s="31" t="s">
        <v>49</v>
      </c>
      <c r="E25" s="31" t="s">
        <v>98</v>
      </c>
      <c r="F25" s="31">
        <v>49</v>
      </c>
      <c r="G25" s="33">
        <v>50624.600000000013</v>
      </c>
      <c r="H25" s="33">
        <v>1033.1600000000001</v>
      </c>
      <c r="I25" s="31">
        <v>0</v>
      </c>
      <c r="J25" s="33">
        <v>0</v>
      </c>
      <c r="K25" s="33">
        <v>0</v>
      </c>
      <c r="L25" s="31">
        <v>49</v>
      </c>
      <c r="M25" s="33">
        <v>50624.84</v>
      </c>
      <c r="N25" s="33">
        <f ca="1">IFERROR(INDEX(Price_Update!$F:$F, MATCH(A25, Price_Update!$A:$A, 0)), 1078.2)</f>
        <v>1078.2</v>
      </c>
      <c r="O25" s="33">
        <f t="shared" ca="1" si="0"/>
        <v>52831.8</v>
      </c>
      <c r="P25" s="33">
        <v>0</v>
      </c>
      <c r="Q25" s="33">
        <f t="shared" ca="1" si="1"/>
        <v>2206.9600000000064</v>
      </c>
      <c r="R25" s="33">
        <f t="shared" ca="1" si="2"/>
        <v>2206.9600000000064</v>
      </c>
      <c r="S25" s="36">
        <f t="shared" ca="1" si="3"/>
        <v>4.3594616056225742E-2</v>
      </c>
      <c r="T25" s="31">
        <v>87</v>
      </c>
      <c r="U25" s="31"/>
      <c r="V25" s="31" t="s">
        <v>106</v>
      </c>
      <c r="W25" s="31" t="s">
        <v>984</v>
      </c>
    </row>
    <row r="26" spans="1:23">
      <c r="A26" s="31" t="s">
        <v>88</v>
      </c>
      <c r="B26" s="31" t="s">
        <v>34</v>
      </c>
      <c r="C26" s="31" t="s">
        <v>58</v>
      </c>
      <c r="D26" s="31" t="s">
        <v>47</v>
      </c>
      <c r="E26" s="31" t="s">
        <v>107</v>
      </c>
      <c r="F26" s="31">
        <v>263</v>
      </c>
      <c r="G26" s="33">
        <v>227322.35</v>
      </c>
      <c r="H26" s="33">
        <v>864.34</v>
      </c>
      <c r="I26" s="31">
        <v>33</v>
      </c>
      <c r="J26" s="33">
        <v>25000.799999999999</v>
      </c>
      <c r="K26" s="33">
        <v>757.6</v>
      </c>
      <c r="L26" s="31">
        <v>230</v>
      </c>
      <c r="M26" s="33">
        <v>198798.2</v>
      </c>
      <c r="N26" s="33">
        <f ca="1">IFERROR(INDEX(Price_Update!$F:$F, MATCH(A26, Price_Update!$A:$A, 0)), 906.65)</f>
        <v>906.65</v>
      </c>
      <c r="O26" s="33">
        <f t="shared" ca="1" si="0"/>
        <v>208529.5</v>
      </c>
      <c r="P26" s="33">
        <v>-3522.42</v>
      </c>
      <c r="Q26" s="33">
        <f t="shared" ca="1" si="1"/>
        <v>9731.2999999999884</v>
      </c>
      <c r="R26" s="33">
        <f t="shared" ca="1" si="2"/>
        <v>6208.8799999999883</v>
      </c>
      <c r="S26" s="36">
        <f t="shared" ca="1" si="3"/>
        <v>2.7313108455899685E-2</v>
      </c>
      <c r="T26" s="31">
        <v>112</v>
      </c>
      <c r="U26" s="31"/>
      <c r="V26" s="31" t="s">
        <v>106</v>
      </c>
      <c r="W26" s="31" t="s">
        <v>985</v>
      </c>
    </row>
    <row r="27" spans="1:23">
      <c r="A27" s="31" t="s">
        <v>346</v>
      </c>
      <c r="B27" s="31" t="s">
        <v>32</v>
      </c>
      <c r="C27" s="31" t="s">
        <v>58</v>
      </c>
      <c r="D27" s="31" t="s">
        <v>47</v>
      </c>
      <c r="E27" s="31"/>
      <c r="F27" s="31">
        <v>42</v>
      </c>
      <c r="G27" s="33">
        <v>40147.050000000003</v>
      </c>
      <c r="H27" s="33">
        <v>955.88</v>
      </c>
      <c r="I27" s="31">
        <v>52</v>
      </c>
      <c r="J27" s="33">
        <v>42377.3</v>
      </c>
      <c r="K27" s="33">
        <v>814.95</v>
      </c>
      <c r="L27" s="31">
        <v>-10</v>
      </c>
      <c r="M27" s="33">
        <v>-9558.7999999999993</v>
      </c>
      <c r="N27" s="33">
        <f>IFERROR(INDEX(Price_Update!$F:$F, MATCH(A27, Price_Update!$A:$A, 0)), 1189.8)</f>
        <v>1189.8</v>
      </c>
      <c r="O27" s="33">
        <f t="shared" si="0"/>
        <v>-11898</v>
      </c>
      <c r="P27" s="33">
        <v>-7328.46</v>
      </c>
      <c r="Q27" s="33">
        <f t="shared" si="1"/>
        <v>-2339.2000000000007</v>
      </c>
      <c r="R27" s="33">
        <f t="shared" si="2"/>
        <v>-9667.66</v>
      </c>
      <c r="S27" s="36">
        <f t="shared" si="3"/>
        <v>-0.24080623607463061</v>
      </c>
      <c r="T27" s="31">
        <v>213</v>
      </c>
      <c r="U27" s="31"/>
      <c r="V27" s="31" t="s">
        <v>106</v>
      </c>
      <c r="W27" s="31" t="s">
        <v>984</v>
      </c>
    </row>
    <row r="28" spans="1:23">
      <c r="A28" s="31" t="s">
        <v>245</v>
      </c>
      <c r="B28" s="31" t="s">
        <v>34</v>
      </c>
      <c r="C28" s="31" t="s">
        <v>62</v>
      </c>
      <c r="D28" s="31" t="s">
        <v>49</v>
      </c>
      <c r="E28" s="31"/>
      <c r="F28" s="31">
        <v>64</v>
      </c>
      <c r="G28" s="33">
        <v>99129.600000000006</v>
      </c>
      <c r="H28" s="33">
        <v>1548.9</v>
      </c>
      <c r="I28" s="31">
        <v>64</v>
      </c>
      <c r="J28" s="33">
        <v>83161.600000000006</v>
      </c>
      <c r="K28" s="33">
        <v>1299.4000000000001</v>
      </c>
      <c r="L28" s="31">
        <v>0</v>
      </c>
      <c r="M28" s="33">
        <v>0</v>
      </c>
      <c r="N28" s="33">
        <f>IFERROR(INDEX(Price_Update!$F:$F, MATCH(A28, Price_Update!$A:$A, 0)), 1375.2)</f>
        <v>1375.2</v>
      </c>
      <c r="O28" s="33">
        <f t="shared" si="0"/>
        <v>0</v>
      </c>
      <c r="P28" s="33">
        <v>-15968</v>
      </c>
      <c r="Q28" s="33">
        <f t="shared" si="1"/>
        <v>0</v>
      </c>
      <c r="R28" s="33">
        <f t="shared" si="2"/>
        <v>-15968</v>
      </c>
      <c r="S28" s="36">
        <f t="shared" si="3"/>
        <v>-0.16108205823487634</v>
      </c>
      <c r="T28" s="31">
        <v>147</v>
      </c>
      <c r="U28" s="31"/>
      <c r="V28" s="31" t="s">
        <v>106</v>
      </c>
      <c r="W28" s="31" t="s">
        <v>985</v>
      </c>
    </row>
    <row r="29" spans="1:23">
      <c r="A29" s="31" t="s">
        <v>662</v>
      </c>
      <c r="B29" s="31" t="s">
        <v>32</v>
      </c>
      <c r="C29" s="31" t="s">
        <v>58</v>
      </c>
      <c r="D29" s="31" t="s">
        <v>49</v>
      </c>
      <c r="E29" s="31" t="s">
        <v>98</v>
      </c>
      <c r="F29" s="31">
        <v>6</v>
      </c>
      <c r="G29" s="33">
        <v>53748</v>
      </c>
      <c r="H29" s="33">
        <v>8958</v>
      </c>
      <c r="I29" s="31">
        <v>0</v>
      </c>
      <c r="J29" s="33">
        <v>0</v>
      </c>
      <c r="K29" s="33">
        <v>0</v>
      </c>
      <c r="L29" s="31">
        <v>6</v>
      </c>
      <c r="M29" s="33">
        <v>53748</v>
      </c>
      <c r="N29" s="33">
        <f ca="1">IFERROR(INDEX(Price_Update!$F:$F, MATCH(A29, Price_Update!$A:$A, 0)), 8898.5)</f>
        <v>8898.5</v>
      </c>
      <c r="O29" s="33">
        <f t="shared" ca="1" si="0"/>
        <v>53391</v>
      </c>
      <c r="P29" s="33">
        <v>0</v>
      </c>
      <c r="Q29" s="33">
        <f t="shared" ca="1" si="1"/>
        <v>-357</v>
      </c>
      <c r="R29" s="33">
        <f t="shared" ca="1" si="2"/>
        <v>-357</v>
      </c>
      <c r="S29" s="36">
        <f t="shared" ca="1" si="3"/>
        <v>-6.6421076133065414E-3</v>
      </c>
      <c r="T29" s="31">
        <v>2</v>
      </c>
      <c r="U29" s="31"/>
      <c r="V29" s="31" t="s">
        <v>106</v>
      </c>
      <c r="W29" s="31" t="s">
        <v>985</v>
      </c>
    </row>
    <row r="30" spans="1:23">
      <c r="A30" s="31" t="s">
        <v>48</v>
      </c>
      <c r="B30" s="31" t="s">
        <v>32</v>
      </c>
      <c r="C30" s="31" t="s">
        <v>60</v>
      </c>
      <c r="D30" s="31" t="s">
        <v>47</v>
      </c>
      <c r="E30" s="31" t="s">
        <v>107</v>
      </c>
      <c r="F30" s="31">
        <v>2490</v>
      </c>
      <c r="G30" s="33">
        <v>243383.46</v>
      </c>
      <c r="H30" s="33">
        <v>97.74</v>
      </c>
      <c r="I30" s="31">
        <v>665</v>
      </c>
      <c r="J30" s="33">
        <v>48531.7</v>
      </c>
      <c r="K30" s="33">
        <v>72.98</v>
      </c>
      <c r="L30" s="31">
        <v>1825</v>
      </c>
      <c r="M30" s="33">
        <v>178375.5</v>
      </c>
      <c r="N30" s="33">
        <f ca="1">IFERROR(INDEX(Price_Update!$F:$F, MATCH(A30, Price_Update!$A:$A, 0)), 129.8)</f>
        <v>129.80000000000001</v>
      </c>
      <c r="O30" s="33">
        <f t="shared" ca="1" si="0"/>
        <v>236885.00000000003</v>
      </c>
      <c r="P30" s="33">
        <v>-16465.400000000001</v>
      </c>
      <c r="Q30" s="33">
        <f t="shared" ca="1" si="1"/>
        <v>58509.500000000029</v>
      </c>
      <c r="R30" s="33">
        <f t="shared" ca="1" si="2"/>
        <v>42044.100000000028</v>
      </c>
      <c r="S30" s="36">
        <f t="shared" ca="1" si="3"/>
        <v>0.17274838643513421</v>
      </c>
      <c r="T30" s="31">
        <v>149</v>
      </c>
      <c r="U30" s="31" t="s">
        <v>105</v>
      </c>
      <c r="V30" s="31" t="s">
        <v>106</v>
      </c>
      <c r="W30" s="31" t="s">
        <v>984</v>
      </c>
    </row>
    <row r="31" spans="1:23">
      <c r="A31" s="31" t="s">
        <v>257</v>
      </c>
      <c r="B31" s="31" t="s">
        <v>34</v>
      </c>
      <c r="C31" s="31" t="s">
        <v>60</v>
      </c>
      <c r="D31" s="31" t="s">
        <v>49</v>
      </c>
      <c r="E31" s="31"/>
      <c r="F31" s="31">
        <v>19</v>
      </c>
      <c r="G31" s="33">
        <v>89756.600600000005</v>
      </c>
      <c r="H31" s="33">
        <v>4724.03</v>
      </c>
      <c r="I31" s="31">
        <v>19</v>
      </c>
      <c r="J31" s="33">
        <v>77079.199999999997</v>
      </c>
      <c r="K31" s="33">
        <v>4056.8</v>
      </c>
      <c r="L31" s="31">
        <v>0</v>
      </c>
      <c r="M31" s="33">
        <v>0</v>
      </c>
      <c r="N31" s="33">
        <f>IFERROR(INDEX(Price_Update!$F:$F, MATCH(A31, Price_Update!$A:$A, 0)), 4168.4)</f>
        <v>4168.3999999999996</v>
      </c>
      <c r="O31" s="33">
        <f t="shared" si="0"/>
        <v>0</v>
      </c>
      <c r="P31" s="33">
        <v>-12677.37</v>
      </c>
      <c r="Q31" s="33">
        <f t="shared" si="1"/>
        <v>0</v>
      </c>
      <c r="R31" s="33">
        <f t="shared" si="2"/>
        <v>-12677.37</v>
      </c>
      <c r="S31" s="36">
        <f t="shared" si="3"/>
        <v>-0.14124164590966026</v>
      </c>
      <c r="T31" s="31">
        <v>64</v>
      </c>
      <c r="U31" s="31"/>
      <c r="V31" s="31" t="s">
        <v>106</v>
      </c>
      <c r="W31" s="31" t="s">
        <v>984</v>
      </c>
    </row>
    <row r="32" spans="1:23">
      <c r="A32" s="31" t="s">
        <v>328</v>
      </c>
      <c r="B32" s="31" t="s">
        <v>34</v>
      </c>
      <c r="C32" s="31" t="s">
        <v>66</v>
      </c>
      <c r="D32" s="31" t="s">
        <v>47</v>
      </c>
      <c r="E32" s="31"/>
      <c r="F32" s="31">
        <v>75</v>
      </c>
      <c r="G32" s="33">
        <v>25440</v>
      </c>
      <c r="H32" s="33">
        <v>339.2</v>
      </c>
      <c r="I32" s="31">
        <v>75</v>
      </c>
      <c r="J32" s="33">
        <v>22856.25</v>
      </c>
      <c r="K32" s="33">
        <v>304.75</v>
      </c>
      <c r="L32" s="31">
        <v>0</v>
      </c>
      <c r="M32" s="33">
        <v>0</v>
      </c>
      <c r="N32" s="33">
        <f>IFERROR(INDEX(Price_Update!$F:$F, MATCH(A32, Price_Update!$A:$A, 0)), 247)</f>
        <v>247</v>
      </c>
      <c r="O32" s="33">
        <f t="shared" si="0"/>
        <v>0</v>
      </c>
      <c r="P32" s="33">
        <v>-2583.75</v>
      </c>
      <c r="Q32" s="33">
        <f t="shared" si="1"/>
        <v>0</v>
      </c>
      <c r="R32" s="33">
        <f t="shared" si="2"/>
        <v>-2583.75</v>
      </c>
      <c r="S32" s="36">
        <f t="shared" si="3"/>
        <v>-0.1015625</v>
      </c>
      <c r="T32" s="31">
        <v>20</v>
      </c>
      <c r="U32" s="31"/>
      <c r="V32" s="31" t="s">
        <v>106</v>
      </c>
      <c r="W32" s="31" t="s">
        <v>985</v>
      </c>
    </row>
    <row r="33" spans="1:23">
      <c r="A33" s="31" t="s">
        <v>127</v>
      </c>
      <c r="B33" s="31" t="s">
        <v>32</v>
      </c>
      <c r="C33" s="31" t="s">
        <v>58</v>
      </c>
      <c r="D33" s="31" t="s">
        <v>47</v>
      </c>
      <c r="E33" s="31" t="s">
        <v>98</v>
      </c>
      <c r="F33" s="31">
        <v>129</v>
      </c>
      <c r="G33" s="33">
        <v>50264.849999999991</v>
      </c>
      <c r="H33" s="33">
        <v>389.65</v>
      </c>
      <c r="I33" s="31">
        <v>0</v>
      </c>
      <c r="J33" s="33">
        <v>0</v>
      </c>
      <c r="K33" s="33">
        <v>0</v>
      </c>
      <c r="L33" s="31">
        <v>129</v>
      </c>
      <c r="M33" s="33">
        <v>50264.85</v>
      </c>
      <c r="N33" s="33">
        <f ca="1">IFERROR(INDEX(Price_Update!$F:$F, MATCH(A33, Price_Update!$A:$A, 0)), 398.95)</f>
        <v>398.95</v>
      </c>
      <c r="O33" s="33">
        <f t="shared" ca="1" si="0"/>
        <v>51464.549999999996</v>
      </c>
      <c r="P33" s="33">
        <v>0</v>
      </c>
      <c r="Q33" s="33">
        <f t="shared" ca="1" si="1"/>
        <v>1199.6999999999971</v>
      </c>
      <c r="R33" s="33">
        <f t="shared" ca="1" si="2"/>
        <v>1199.6999999999971</v>
      </c>
      <c r="S33" s="36">
        <f t="shared" ca="1" si="3"/>
        <v>2.3867573463364503E-2</v>
      </c>
      <c r="T33" s="31">
        <v>3</v>
      </c>
      <c r="U33" s="31"/>
      <c r="V33" s="31" t="s">
        <v>106</v>
      </c>
      <c r="W33" s="31" t="s">
        <v>985</v>
      </c>
    </row>
    <row r="34" spans="1:23">
      <c r="A34" s="31" t="s">
        <v>214</v>
      </c>
      <c r="B34" s="31" t="s">
        <v>32</v>
      </c>
      <c r="C34" s="31" t="s">
        <v>62</v>
      </c>
      <c r="D34" s="31" t="s">
        <v>49</v>
      </c>
      <c r="E34" s="31" t="s">
        <v>98</v>
      </c>
      <c r="F34" s="31">
        <v>685</v>
      </c>
      <c r="G34" s="33">
        <v>29016.6</v>
      </c>
      <c r="H34" s="33">
        <v>42.36</v>
      </c>
      <c r="I34" s="31">
        <v>0</v>
      </c>
      <c r="J34" s="33">
        <v>0</v>
      </c>
      <c r="K34" s="33">
        <v>0</v>
      </c>
      <c r="L34" s="31">
        <v>685</v>
      </c>
      <c r="M34" s="33">
        <v>29016.6</v>
      </c>
      <c r="N34" s="33">
        <f ca="1">IFERROR(INDEX(Price_Update!$F:$F, MATCH(A34, Price_Update!$A:$A, 0)), 43.54)</f>
        <v>43.54</v>
      </c>
      <c r="O34" s="33">
        <f t="shared" ca="1" si="0"/>
        <v>29824.899999999998</v>
      </c>
      <c r="P34" s="33">
        <v>0</v>
      </c>
      <c r="Q34" s="33">
        <f t="shared" ca="1" si="1"/>
        <v>808.29999999999927</v>
      </c>
      <c r="R34" s="33">
        <f t="shared" ca="1" si="2"/>
        <v>808.29999999999927</v>
      </c>
      <c r="S34" s="36">
        <f t="shared" ca="1" si="3"/>
        <v>2.7856468366383356E-2</v>
      </c>
      <c r="T34" s="31">
        <v>2</v>
      </c>
      <c r="U34" s="31"/>
      <c r="V34" s="31" t="s">
        <v>106</v>
      </c>
      <c r="W34" s="31" t="s">
        <v>984</v>
      </c>
    </row>
    <row r="35" spans="1:23">
      <c r="A35" s="31" t="s">
        <v>69</v>
      </c>
      <c r="B35" s="31" t="s">
        <v>36</v>
      </c>
      <c r="C35" s="31" t="s">
        <v>63</v>
      </c>
      <c r="D35" s="31" t="s">
        <v>49</v>
      </c>
      <c r="E35" s="31" t="s">
        <v>108</v>
      </c>
      <c r="F35" s="31">
        <v>1172</v>
      </c>
      <c r="G35" s="33">
        <v>300285.28000000003</v>
      </c>
      <c r="H35" s="33">
        <v>256.22000000000003</v>
      </c>
      <c r="I35" s="31">
        <v>0</v>
      </c>
      <c r="J35" s="33">
        <v>0</v>
      </c>
      <c r="K35" s="33">
        <v>0</v>
      </c>
      <c r="L35" s="31">
        <v>1172</v>
      </c>
      <c r="M35" s="33">
        <v>300289.84000000003</v>
      </c>
      <c r="N35" s="33">
        <f ca="1">IFERROR(INDEX(Price_Update!$F:$F, MATCH(A35, Price_Update!$A:$A, 0)), 301.05)</f>
        <v>301.05</v>
      </c>
      <c r="O35" s="33">
        <f t="shared" ca="1" si="0"/>
        <v>352830.60000000003</v>
      </c>
      <c r="P35" s="33">
        <v>0</v>
      </c>
      <c r="Q35" s="33">
        <f t="shared" ca="1" si="1"/>
        <v>52540.760000000009</v>
      </c>
      <c r="R35" s="33">
        <f t="shared" ca="1" si="2"/>
        <v>52540.760000000009</v>
      </c>
      <c r="S35" s="36">
        <f t="shared" ca="1" si="3"/>
        <v>0.17496948235358059</v>
      </c>
      <c r="T35" s="31">
        <v>213</v>
      </c>
      <c r="U35" s="31"/>
      <c r="V35" s="31" t="s">
        <v>106</v>
      </c>
      <c r="W35" s="31" t="s">
        <v>984</v>
      </c>
    </row>
    <row r="36" spans="1:23">
      <c r="A36" s="31" t="s">
        <v>118</v>
      </c>
      <c r="B36" s="31" t="s">
        <v>32</v>
      </c>
      <c r="C36" s="31" t="s">
        <v>60</v>
      </c>
      <c r="D36" s="31" t="s">
        <v>47</v>
      </c>
      <c r="E36" s="31" t="s">
        <v>99</v>
      </c>
      <c r="F36" s="31">
        <v>362</v>
      </c>
      <c r="G36" s="33">
        <v>50229.29</v>
      </c>
      <c r="H36" s="33">
        <v>138.75</v>
      </c>
      <c r="I36" s="31">
        <v>0</v>
      </c>
      <c r="J36" s="33">
        <v>0</v>
      </c>
      <c r="K36" s="33">
        <v>0</v>
      </c>
      <c r="L36" s="31">
        <v>362</v>
      </c>
      <c r="M36" s="33">
        <v>50227.5</v>
      </c>
      <c r="N36" s="33">
        <f ca="1">IFERROR(INDEX(Price_Update!$F:$F, MATCH(A36, Price_Update!$A:$A, 0)), 153)</f>
        <v>153</v>
      </c>
      <c r="O36" s="33">
        <f t="shared" ca="1" si="0"/>
        <v>55386</v>
      </c>
      <c r="P36" s="33">
        <v>0</v>
      </c>
      <c r="Q36" s="33">
        <f t="shared" ca="1" si="1"/>
        <v>5158.5</v>
      </c>
      <c r="R36" s="33">
        <f t="shared" ca="1" si="2"/>
        <v>5158.5</v>
      </c>
      <c r="S36" s="36">
        <f t="shared" ca="1" si="3"/>
        <v>0.10269904272984945</v>
      </c>
      <c r="T36" s="31">
        <v>153</v>
      </c>
      <c r="U36" s="31"/>
      <c r="V36" s="31" t="s">
        <v>106</v>
      </c>
      <c r="W36" s="31" t="s">
        <v>985</v>
      </c>
    </row>
    <row r="37" spans="1:23">
      <c r="A37" s="31" t="s">
        <v>267</v>
      </c>
      <c r="B37" s="31" t="s">
        <v>32</v>
      </c>
      <c r="C37" s="31" t="s">
        <v>58</v>
      </c>
      <c r="D37" s="31" t="s">
        <v>47</v>
      </c>
      <c r="E37" s="31"/>
      <c r="F37" s="31">
        <v>339</v>
      </c>
      <c r="G37" s="33">
        <v>199971.65</v>
      </c>
      <c r="H37" s="33">
        <v>589.89</v>
      </c>
      <c r="I37" s="31">
        <v>339</v>
      </c>
      <c r="J37" s="33">
        <v>201780.55</v>
      </c>
      <c r="K37" s="33">
        <v>595.22</v>
      </c>
      <c r="L37" s="31">
        <v>0</v>
      </c>
      <c r="M37" s="33">
        <v>0</v>
      </c>
      <c r="N37" s="33">
        <f>IFERROR(INDEX(Price_Update!$F:$F, MATCH(A37, Price_Update!$A:$A, 0)), 666.85)</f>
        <v>666.85</v>
      </c>
      <c r="O37" s="33">
        <f t="shared" si="0"/>
        <v>0</v>
      </c>
      <c r="P37" s="33">
        <v>1807.84</v>
      </c>
      <c r="Q37" s="33">
        <f t="shared" si="1"/>
        <v>0</v>
      </c>
      <c r="R37" s="33">
        <f t="shared" si="2"/>
        <v>1807.84</v>
      </c>
      <c r="S37" s="36">
        <f t="shared" si="3"/>
        <v>9.04048148825096E-3</v>
      </c>
      <c r="T37" s="31">
        <v>135</v>
      </c>
      <c r="U37" s="31"/>
      <c r="V37" s="31" t="s">
        <v>106</v>
      </c>
      <c r="W37" s="31" t="s">
        <v>985</v>
      </c>
    </row>
    <row r="38" spans="1:23">
      <c r="A38" s="31" t="s">
        <v>383</v>
      </c>
      <c r="B38" s="31" t="s">
        <v>36</v>
      </c>
      <c r="C38" s="31" t="s">
        <v>58</v>
      </c>
      <c r="D38" s="31" t="s">
        <v>47</v>
      </c>
      <c r="E38" s="31"/>
      <c r="F38" s="31">
        <v>920</v>
      </c>
      <c r="G38" s="33">
        <v>99801.600000000006</v>
      </c>
      <c r="H38" s="33">
        <v>108.48</v>
      </c>
      <c r="I38" s="31">
        <v>920</v>
      </c>
      <c r="J38" s="33">
        <v>82570</v>
      </c>
      <c r="K38" s="33">
        <v>89.75</v>
      </c>
      <c r="L38" s="31">
        <v>0</v>
      </c>
      <c r="M38" s="33">
        <v>0</v>
      </c>
      <c r="N38" s="33">
        <f>IFERROR(INDEX(Price_Update!$F:$F, MATCH(A38, Price_Update!$A:$A, 0)), 98.78)</f>
        <v>98.78</v>
      </c>
      <c r="O38" s="33">
        <f t="shared" si="0"/>
        <v>0</v>
      </c>
      <c r="P38" s="33">
        <v>-17231.599999999999</v>
      </c>
      <c r="Q38" s="33">
        <f t="shared" si="1"/>
        <v>0</v>
      </c>
      <c r="R38" s="33">
        <f t="shared" si="2"/>
        <v>-17231.599999999999</v>
      </c>
      <c r="S38" s="36">
        <f t="shared" si="3"/>
        <v>-0.17265855457227136</v>
      </c>
      <c r="T38" s="31">
        <v>60</v>
      </c>
      <c r="U38" s="31"/>
      <c r="V38" s="31" t="s">
        <v>106</v>
      </c>
      <c r="W38" s="31" t="s">
        <v>984</v>
      </c>
    </row>
    <row r="39" spans="1:23">
      <c r="A39" s="31" t="s">
        <v>95</v>
      </c>
      <c r="B39" s="31" t="s">
        <v>32</v>
      </c>
      <c r="C39" s="31" t="s">
        <v>58</v>
      </c>
      <c r="D39" s="31" t="s">
        <v>47</v>
      </c>
      <c r="E39" s="31" t="s">
        <v>99</v>
      </c>
      <c r="F39" s="31">
        <v>276</v>
      </c>
      <c r="G39" s="33">
        <v>76932.53</v>
      </c>
      <c r="H39" s="33">
        <v>278.74</v>
      </c>
      <c r="I39" s="31">
        <v>0</v>
      </c>
      <c r="J39" s="33">
        <v>0</v>
      </c>
      <c r="K39" s="33">
        <v>0</v>
      </c>
      <c r="L39" s="31">
        <v>276</v>
      </c>
      <c r="M39" s="33">
        <v>76932.240000000005</v>
      </c>
      <c r="N39" s="33">
        <f ca="1">IFERROR(INDEX(Price_Update!$F:$F, MATCH(A39, Price_Update!$A:$A, 0)), 286.25)</f>
        <v>286.25</v>
      </c>
      <c r="O39" s="33">
        <f t="shared" ca="1" si="0"/>
        <v>79005</v>
      </c>
      <c r="P39" s="33">
        <v>0</v>
      </c>
      <c r="Q39" s="33">
        <f t="shared" ca="1" si="1"/>
        <v>2072.7599999999948</v>
      </c>
      <c r="R39" s="33">
        <f t="shared" ca="1" si="2"/>
        <v>2072.7599999999948</v>
      </c>
      <c r="S39" s="36">
        <f t="shared" ca="1" si="3"/>
        <v>2.6942569027692119E-2</v>
      </c>
      <c r="T39" s="31">
        <v>220</v>
      </c>
      <c r="U39" s="31"/>
      <c r="V39" s="31" t="s">
        <v>106</v>
      </c>
      <c r="W39" s="31" t="s">
        <v>985</v>
      </c>
    </row>
    <row r="40" spans="1:23">
      <c r="A40" s="31" t="s">
        <v>71</v>
      </c>
      <c r="B40" s="31" t="s">
        <v>34</v>
      </c>
      <c r="C40" s="31" t="s">
        <v>60</v>
      </c>
      <c r="D40" s="31" t="s">
        <v>49</v>
      </c>
      <c r="E40" s="31" t="s">
        <v>107</v>
      </c>
      <c r="F40" s="31">
        <v>55</v>
      </c>
      <c r="G40" s="33">
        <v>228571.802</v>
      </c>
      <c r="H40" s="33">
        <v>4155.8500000000004</v>
      </c>
      <c r="I40" s="31">
        <v>0</v>
      </c>
      <c r="J40" s="33">
        <v>0</v>
      </c>
      <c r="K40" s="33">
        <v>0</v>
      </c>
      <c r="L40" s="31">
        <v>55</v>
      </c>
      <c r="M40" s="33">
        <v>228571.75</v>
      </c>
      <c r="N40" s="33">
        <f ca="1">IFERROR(INDEX(Price_Update!$F:$F, MATCH(A40, Price_Update!$A:$A, 0)), 4964.5)</f>
        <v>4964.5</v>
      </c>
      <c r="O40" s="33">
        <f t="shared" ca="1" si="0"/>
        <v>273047.5</v>
      </c>
      <c r="P40" s="33">
        <v>0</v>
      </c>
      <c r="Q40" s="33">
        <f t="shared" ca="1" si="1"/>
        <v>44475.75</v>
      </c>
      <c r="R40" s="33">
        <f t="shared" ca="1" si="2"/>
        <v>44475.75</v>
      </c>
      <c r="S40" s="36">
        <f t="shared" ca="1" si="3"/>
        <v>0.19458108835314691</v>
      </c>
      <c r="T40" s="31">
        <v>87</v>
      </c>
      <c r="U40" s="31"/>
      <c r="V40" s="31" t="s">
        <v>106</v>
      </c>
      <c r="W40" s="31" t="s">
        <v>984</v>
      </c>
    </row>
    <row r="41" spans="1:23">
      <c r="A41" s="31" t="s">
        <v>248</v>
      </c>
      <c r="B41" s="31" t="s">
        <v>32</v>
      </c>
      <c r="C41" s="31" t="s">
        <v>58</v>
      </c>
      <c r="D41" s="31" t="s">
        <v>49</v>
      </c>
      <c r="E41" s="31" t="s">
        <v>98</v>
      </c>
      <c r="F41" s="31">
        <v>263</v>
      </c>
      <c r="G41" s="33">
        <v>227676.3</v>
      </c>
      <c r="H41" s="33">
        <v>865.69</v>
      </c>
      <c r="I41" s="31">
        <v>226</v>
      </c>
      <c r="J41" s="33">
        <v>149562.45000000001</v>
      </c>
      <c r="K41" s="33">
        <v>661.78</v>
      </c>
      <c r="L41" s="31">
        <v>37</v>
      </c>
      <c r="M41" s="33">
        <v>32030.53</v>
      </c>
      <c r="N41" s="33">
        <f ca="1">IFERROR(INDEX(Price_Update!$F:$F, MATCH(A41, Price_Update!$A:$A, 0)), 786.25)</f>
        <v>786.25</v>
      </c>
      <c r="O41" s="33">
        <f t="shared" ca="1" si="0"/>
        <v>29091.25</v>
      </c>
      <c r="P41" s="33">
        <v>-46083.49</v>
      </c>
      <c r="Q41" s="33">
        <f t="shared" ca="1" si="1"/>
        <v>-2939.2799999999988</v>
      </c>
      <c r="R41" s="33">
        <f t="shared" ca="1" si="2"/>
        <v>-49022.77</v>
      </c>
      <c r="S41" s="36">
        <f t="shared" ca="1" si="3"/>
        <v>-0.21531784379841029</v>
      </c>
      <c r="T41" s="31">
        <v>2</v>
      </c>
      <c r="U41" s="31"/>
      <c r="V41" s="31" t="s">
        <v>106</v>
      </c>
      <c r="W41" s="31" t="s">
        <v>985</v>
      </c>
    </row>
    <row r="42" spans="1:23">
      <c r="A42" s="31" t="s">
        <v>248</v>
      </c>
      <c r="B42" s="31" t="s">
        <v>32</v>
      </c>
      <c r="C42" s="31" t="s">
        <v>58</v>
      </c>
      <c r="D42" s="31" t="s">
        <v>49</v>
      </c>
      <c r="E42" s="31" t="s">
        <v>98</v>
      </c>
      <c r="F42" s="31">
        <v>263</v>
      </c>
      <c r="G42" s="33">
        <v>227676.3</v>
      </c>
      <c r="H42" s="33">
        <v>865.69</v>
      </c>
      <c r="I42" s="31">
        <v>226</v>
      </c>
      <c r="J42" s="33">
        <v>149562.45000000001</v>
      </c>
      <c r="K42" s="33">
        <v>661.78</v>
      </c>
      <c r="L42" s="31">
        <v>37</v>
      </c>
      <c r="M42" s="33">
        <v>32030.53</v>
      </c>
      <c r="N42" s="33">
        <f ca="1">IFERROR(INDEX(Price_Update!$F:$F, MATCH(A42, Price_Update!$A:$A, 0)), 786.25)</f>
        <v>786.25</v>
      </c>
      <c r="O42" s="33">
        <f t="shared" ca="1" si="0"/>
        <v>29091.25</v>
      </c>
      <c r="P42" s="33">
        <v>-46083.49</v>
      </c>
      <c r="Q42" s="33">
        <f t="shared" ca="1" si="1"/>
        <v>-2939.2799999999988</v>
      </c>
      <c r="R42" s="33">
        <f t="shared" ca="1" si="2"/>
        <v>-49022.77</v>
      </c>
      <c r="S42" s="36">
        <f t="shared" ca="1" si="3"/>
        <v>-0.21531784379841029</v>
      </c>
      <c r="T42" s="31">
        <v>2</v>
      </c>
      <c r="U42" s="31"/>
      <c r="V42" s="31" t="s">
        <v>106</v>
      </c>
      <c r="W42" s="31" t="s">
        <v>985</v>
      </c>
    </row>
    <row r="43" spans="1:23">
      <c r="A43" s="31" t="s">
        <v>46</v>
      </c>
      <c r="B43" s="31" t="s">
        <v>34</v>
      </c>
      <c r="C43" s="31" t="s">
        <v>58</v>
      </c>
      <c r="D43" s="31" t="s">
        <v>47</v>
      </c>
      <c r="E43" s="31" t="s">
        <v>109</v>
      </c>
      <c r="F43" s="31">
        <v>443</v>
      </c>
      <c r="G43" s="33">
        <v>399790.8</v>
      </c>
      <c r="H43" s="33">
        <v>902.46</v>
      </c>
      <c r="I43" s="31">
        <v>103</v>
      </c>
      <c r="J43" s="33">
        <v>99714.349999999991</v>
      </c>
      <c r="K43" s="33">
        <v>968.1</v>
      </c>
      <c r="L43" s="31">
        <v>340</v>
      </c>
      <c r="M43" s="33">
        <v>306836.40000000002</v>
      </c>
      <c r="N43" s="33">
        <f ca="1">IFERROR(INDEX(Price_Update!$F:$F, MATCH(A43, Price_Update!$A:$A, 0)), 1138.9)</f>
        <v>1138.9000000000001</v>
      </c>
      <c r="O43" s="33">
        <f t="shared" ca="1" si="0"/>
        <v>387226.00000000006</v>
      </c>
      <c r="P43" s="33">
        <v>6760.97</v>
      </c>
      <c r="Q43" s="33">
        <f t="shared" ca="1" si="1"/>
        <v>80389.600000000035</v>
      </c>
      <c r="R43" s="33">
        <f t="shared" ca="1" si="2"/>
        <v>87150.570000000036</v>
      </c>
      <c r="S43" s="36">
        <f t="shared" ca="1" si="3"/>
        <v>0.21799043399698051</v>
      </c>
      <c r="T43" s="31">
        <v>241</v>
      </c>
      <c r="U43" s="31"/>
      <c r="V43" s="31" t="s">
        <v>106</v>
      </c>
      <c r="W43" s="31" t="s">
        <v>985</v>
      </c>
    </row>
    <row r="44" spans="1:23">
      <c r="A44" s="31" t="s">
        <v>342</v>
      </c>
      <c r="B44" s="31" t="s">
        <v>36</v>
      </c>
      <c r="C44" s="31" t="s">
        <v>58</v>
      </c>
      <c r="D44" s="31" t="s">
        <v>47</v>
      </c>
      <c r="E44" s="31"/>
      <c r="F44" s="31">
        <v>205</v>
      </c>
      <c r="G44" s="33">
        <v>99086.75</v>
      </c>
      <c r="H44" s="33">
        <v>483.35</v>
      </c>
      <c r="I44" s="31">
        <v>205</v>
      </c>
      <c r="J44" s="33">
        <v>75235</v>
      </c>
      <c r="K44" s="33">
        <v>367</v>
      </c>
      <c r="L44" s="31">
        <v>0</v>
      </c>
      <c r="M44" s="33">
        <v>0</v>
      </c>
      <c r="N44" s="33">
        <f>IFERROR(INDEX(Price_Update!$F:$F, MATCH(A44, Price_Update!$A:$A, 0)), 384.1)</f>
        <v>384.1</v>
      </c>
      <c r="O44" s="33">
        <f t="shared" si="0"/>
        <v>0</v>
      </c>
      <c r="P44" s="33">
        <v>-23851.75</v>
      </c>
      <c r="Q44" s="33">
        <f t="shared" si="1"/>
        <v>0</v>
      </c>
      <c r="R44" s="33">
        <f t="shared" si="2"/>
        <v>-23851.75</v>
      </c>
      <c r="S44" s="36">
        <f t="shared" si="3"/>
        <v>-0.24071583738491775</v>
      </c>
      <c r="T44" s="31">
        <v>193</v>
      </c>
      <c r="U44" s="31"/>
      <c r="V44" s="31" t="s">
        <v>106</v>
      </c>
      <c r="W44" s="31" t="s">
        <v>984</v>
      </c>
    </row>
    <row r="45" spans="1:23">
      <c r="A45" s="31" t="s">
        <v>352</v>
      </c>
      <c r="B45" s="31" t="s">
        <v>34</v>
      </c>
      <c r="C45" s="31" t="s">
        <v>58</v>
      </c>
      <c r="D45" s="31" t="s">
        <v>47</v>
      </c>
      <c r="E45" s="31"/>
      <c r="F45" s="31">
        <v>386</v>
      </c>
      <c r="G45" s="33">
        <v>70186.3</v>
      </c>
      <c r="H45" s="33">
        <v>181.83</v>
      </c>
      <c r="I45" s="31">
        <v>386</v>
      </c>
      <c r="J45" s="33">
        <v>52592.5</v>
      </c>
      <c r="K45" s="33">
        <v>136.25</v>
      </c>
      <c r="L45" s="31">
        <v>0</v>
      </c>
      <c r="M45" s="33">
        <v>0</v>
      </c>
      <c r="N45" s="33">
        <f>IFERROR(INDEX(Price_Update!$F:$F, MATCH(A45, Price_Update!$A:$A, 0)), 137.38)</f>
        <v>137.38</v>
      </c>
      <c r="O45" s="33">
        <f t="shared" si="0"/>
        <v>0</v>
      </c>
      <c r="P45" s="33">
        <v>-17593.88</v>
      </c>
      <c r="Q45" s="33">
        <f t="shared" si="1"/>
        <v>0</v>
      </c>
      <c r="R45" s="33">
        <f t="shared" si="2"/>
        <v>-17593.88</v>
      </c>
      <c r="S45" s="36">
        <f t="shared" si="3"/>
        <v>-0.25067399193289858</v>
      </c>
      <c r="T45" s="31">
        <v>193</v>
      </c>
      <c r="U45" s="31"/>
      <c r="V45" s="31" t="s">
        <v>106</v>
      </c>
      <c r="W45" s="31" t="s">
        <v>985</v>
      </c>
    </row>
    <row r="46" spans="1:23">
      <c r="A46" s="31" t="s">
        <v>279</v>
      </c>
      <c r="B46" s="31" t="s">
        <v>32</v>
      </c>
      <c r="C46" s="31" t="s">
        <v>60</v>
      </c>
      <c r="D46" s="31" t="s">
        <v>47</v>
      </c>
      <c r="E46" s="31"/>
      <c r="F46" s="31">
        <v>35</v>
      </c>
      <c r="G46" s="33">
        <v>25089.75</v>
      </c>
      <c r="H46" s="33">
        <v>716.85</v>
      </c>
      <c r="I46" s="31">
        <v>35</v>
      </c>
      <c r="J46" s="33">
        <v>22651.75</v>
      </c>
      <c r="K46" s="33">
        <v>647.19000000000005</v>
      </c>
      <c r="L46" s="31">
        <v>0</v>
      </c>
      <c r="M46" s="33">
        <v>0</v>
      </c>
      <c r="N46" s="33">
        <f>IFERROR(INDEX(Price_Update!$F:$F, MATCH(A46, Price_Update!$A:$A, 0)), 669.25)</f>
        <v>669.25</v>
      </c>
      <c r="O46" s="33">
        <f t="shared" si="0"/>
        <v>0</v>
      </c>
      <c r="P46" s="33">
        <v>-2438</v>
      </c>
      <c r="Q46" s="33">
        <f t="shared" si="1"/>
        <v>0</v>
      </c>
      <c r="R46" s="33">
        <f t="shared" si="2"/>
        <v>-2438</v>
      </c>
      <c r="S46" s="36">
        <f t="shared" si="3"/>
        <v>-9.7171155551569868E-2</v>
      </c>
      <c r="T46" s="31">
        <v>31</v>
      </c>
      <c r="U46" s="31"/>
      <c r="V46" s="31" t="s">
        <v>106</v>
      </c>
      <c r="W46" s="31" t="s">
        <v>984</v>
      </c>
    </row>
    <row r="47" spans="1:23">
      <c r="A47" s="31" t="s">
        <v>392</v>
      </c>
      <c r="B47" s="31" t="s">
        <v>32</v>
      </c>
      <c r="C47" s="31" t="s">
        <v>60</v>
      </c>
      <c r="D47" s="31" t="s">
        <v>47</v>
      </c>
      <c r="E47" s="31"/>
      <c r="F47" s="31">
        <v>196</v>
      </c>
      <c r="G47" s="33">
        <v>100079.5</v>
      </c>
      <c r="H47" s="33">
        <v>510.61</v>
      </c>
      <c r="I47" s="31">
        <v>196</v>
      </c>
      <c r="J47" s="33">
        <v>82398.399999999994</v>
      </c>
      <c r="K47" s="33">
        <v>420.4</v>
      </c>
      <c r="L47" s="31">
        <v>0</v>
      </c>
      <c r="M47" s="33">
        <v>0</v>
      </c>
      <c r="N47" s="33">
        <f>IFERROR(INDEX(Price_Update!$F:$F, MATCH(A47, Price_Update!$A:$A, 0)), 386)</f>
        <v>386</v>
      </c>
      <c r="O47" s="33">
        <f t="shared" si="0"/>
        <v>0</v>
      </c>
      <c r="P47" s="33">
        <v>-17681.16</v>
      </c>
      <c r="Q47" s="33">
        <f t="shared" si="1"/>
        <v>0</v>
      </c>
      <c r="R47" s="33">
        <f t="shared" si="2"/>
        <v>-17681.16</v>
      </c>
      <c r="S47" s="36">
        <f t="shared" si="3"/>
        <v>-0.17667114643858134</v>
      </c>
      <c r="T47" s="31">
        <v>70</v>
      </c>
      <c r="U47" s="31"/>
      <c r="V47" s="31" t="s">
        <v>106</v>
      </c>
      <c r="W47" s="31" t="s">
        <v>985</v>
      </c>
    </row>
    <row r="48" spans="1:23">
      <c r="A48" s="31" t="s">
        <v>664</v>
      </c>
      <c r="B48" s="31" t="s">
        <v>36</v>
      </c>
      <c r="C48" s="31" t="s">
        <v>64</v>
      </c>
      <c r="D48" s="31" t="s">
        <v>49</v>
      </c>
      <c r="E48" s="31" t="s">
        <v>98</v>
      </c>
      <c r="F48" s="31">
        <v>6</v>
      </c>
      <c r="G48" s="33">
        <v>31134</v>
      </c>
      <c r="H48" s="33">
        <v>5189</v>
      </c>
      <c r="I48" s="31">
        <v>0</v>
      </c>
      <c r="J48" s="33">
        <v>0</v>
      </c>
      <c r="K48" s="33">
        <v>0</v>
      </c>
      <c r="L48" s="31">
        <v>6</v>
      </c>
      <c r="M48" s="33">
        <v>31134</v>
      </c>
      <c r="N48" s="33">
        <f ca="1">IFERROR(INDEX(Price_Update!$F:$F, MATCH(A48, Price_Update!$A:$A, 0)), 5222)</f>
        <v>5222</v>
      </c>
      <c r="O48" s="33">
        <f t="shared" ca="1" si="0"/>
        <v>31332</v>
      </c>
      <c r="P48" s="33">
        <v>0</v>
      </c>
      <c r="Q48" s="33">
        <f t="shared" ca="1" si="1"/>
        <v>198</v>
      </c>
      <c r="R48" s="33">
        <f t="shared" ca="1" si="2"/>
        <v>198</v>
      </c>
      <c r="S48" s="36">
        <f t="shared" ca="1" si="3"/>
        <v>6.3596068606667951E-3</v>
      </c>
      <c r="T48" s="31">
        <v>2</v>
      </c>
      <c r="U48" s="31"/>
      <c r="V48" s="31" t="s">
        <v>106</v>
      </c>
      <c r="W48" s="31" t="s">
        <v>985</v>
      </c>
    </row>
    <row r="49" spans="1:23">
      <c r="A49" s="31" t="s">
        <v>397</v>
      </c>
      <c r="B49" s="31" t="s">
        <v>32</v>
      </c>
      <c r="C49" s="31" t="s">
        <v>58</v>
      </c>
      <c r="D49" s="31" t="s">
        <v>47</v>
      </c>
      <c r="E49" s="31"/>
      <c r="F49" s="31">
        <v>19</v>
      </c>
      <c r="G49" s="33">
        <v>24977.4</v>
      </c>
      <c r="H49" s="33">
        <v>1314.6</v>
      </c>
      <c r="I49" s="31">
        <v>19</v>
      </c>
      <c r="J49" s="33">
        <v>21475.7</v>
      </c>
      <c r="K49" s="33">
        <v>1130.3</v>
      </c>
      <c r="L49" s="31">
        <v>0</v>
      </c>
      <c r="M49" s="33">
        <v>0</v>
      </c>
      <c r="N49" s="33">
        <f>IFERROR(INDEX(Price_Update!$F:$F, MATCH(A49, Price_Update!$A:$A, 0)), 1889.5)</f>
        <v>1889.5</v>
      </c>
      <c r="O49" s="33">
        <f t="shared" si="0"/>
        <v>0</v>
      </c>
      <c r="P49" s="33">
        <v>-3501.7</v>
      </c>
      <c r="Q49" s="33">
        <f t="shared" si="1"/>
        <v>0</v>
      </c>
      <c r="R49" s="33">
        <f t="shared" si="2"/>
        <v>-3501.7</v>
      </c>
      <c r="S49" s="36">
        <f t="shared" si="3"/>
        <v>-0.14019473604138138</v>
      </c>
      <c r="T49" s="31">
        <v>27</v>
      </c>
      <c r="U49" s="31"/>
      <c r="V49" s="31" t="s">
        <v>106</v>
      </c>
      <c r="W49" s="31" t="s">
        <v>984</v>
      </c>
    </row>
    <row r="50" spans="1:23">
      <c r="A50" s="31" t="s">
        <v>665</v>
      </c>
      <c r="B50" s="31" t="s">
        <v>32</v>
      </c>
      <c r="C50" s="31" t="s">
        <v>62</v>
      </c>
      <c r="D50" s="31" t="s">
        <v>49</v>
      </c>
      <c r="E50" s="31" t="s">
        <v>98</v>
      </c>
      <c r="F50" s="31">
        <v>43</v>
      </c>
      <c r="G50" s="33">
        <v>29231.4</v>
      </c>
      <c r="H50" s="33">
        <v>679.8</v>
      </c>
      <c r="I50" s="31">
        <v>0</v>
      </c>
      <c r="J50" s="33">
        <v>0</v>
      </c>
      <c r="K50" s="33">
        <v>0</v>
      </c>
      <c r="L50" s="31">
        <v>43</v>
      </c>
      <c r="M50" s="33">
        <v>29231.4</v>
      </c>
      <c r="N50" s="33">
        <f ca="1">IFERROR(INDEX(Price_Update!$F:$F, MATCH(A50, Price_Update!$A:$A, 0)), 682.65)</f>
        <v>682.65</v>
      </c>
      <c r="O50" s="33">
        <f t="shared" ca="1" si="0"/>
        <v>29353.95</v>
      </c>
      <c r="P50" s="33">
        <v>0</v>
      </c>
      <c r="Q50" s="33">
        <f t="shared" ca="1" si="1"/>
        <v>122.54999999999927</v>
      </c>
      <c r="R50" s="33">
        <f t="shared" ca="1" si="2"/>
        <v>122.54999999999927</v>
      </c>
      <c r="S50" s="36">
        <f t="shared" ca="1" si="3"/>
        <v>4.1924095322153319E-3</v>
      </c>
      <c r="T50" s="31">
        <v>2</v>
      </c>
      <c r="U50" s="31"/>
      <c r="V50" s="31" t="s">
        <v>106</v>
      </c>
      <c r="W50" s="31" t="s">
        <v>985</v>
      </c>
    </row>
    <row r="51" spans="1:23">
      <c r="A51" s="31" t="s">
        <v>663</v>
      </c>
      <c r="B51" s="31" t="s">
        <v>32</v>
      </c>
      <c r="C51" s="31" t="s">
        <v>62</v>
      </c>
      <c r="D51" s="31" t="s">
        <v>49</v>
      </c>
      <c r="E51" s="31" t="s">
        <v>98</v>
      </c>
      <c r="F51" s="31">
        <v>18</v>
      </c>
      <c r="G51" s="33">
        <v>28119.599999999999</v>
      </c>
      <c r="H51" s="33">
        <v>1562.2</v>
      </c>
      <c r="I51" s="31">
        <v>0</v>
      </c>
      <c r="J51" s="33">
        <v>0</v>
      </c>
      <c r="K51" s="33">
        <v>0</v>
      </c>
      <c r="L51" s="31">
        <v>18</v>
      </c>
      <c r="M51" s="33">
        <v>28119.599999999999</v>
      </c>
      <c r="N51" s="33">
        <f ca="1">IFERROR(INDEX(Price_Update!$F:$F, MATCH(A51, Price_Update!$A:$A, 0)), 1569.6)</f>
        <v>1569.6</v>
      </c>
      <c r="O51" s="33">
        <f t="shared" ca="1" si="0"/>
        <v>28252.799999999999</v>
      </c>
      <c r="P51" s="33">
        <v>0</v>
      </c>
      <c r="Q51" s="33">
        <f t="shared" ca="1" si="1"/>
        <v>133.20000000000073</v>
      </c>
      <c r="R51" s="33">
        <f t="shared" ca="1" si="2"/>
        <v>133.20000000000073</v>
      </c>
      <c r="S51" s="36">
        <f t="shared" ca="1" si="3"/>
        <v>4.7369094866214576E-3</v>
      </c>
      <c r="T51" s="31">
        <v>2</v>
      </c>
      <c r="U51" s="31"/>
      <c r="V51" s="31" t="s">
        <v>106</v>
      </c>
      <c r="W51" s="31" t="s">
        <v>984</v>
      </c>
    </row>
    <row r="52" spans="1:23">
      <c r="A52" s="31" t="s">
        <v>93</v>
      </c>
      <c r="B52" s="31" t="s">
        <v>36</v>
      </c>
      <c r="C52" s="31" t="s">
        <v>62</v>
      </c>
      <c r="D52" s="31" t="s">
        <v>47</v>
      </c>
      <c r="E52" s="31" t="s">
        <v>104</v>
      </c>
      <c r="F52" s="31">
        <v>75</v>
      </c>
      <c r="G52" s="33">
        <v>101281</v>
      </c>
      <c r="H52" s="33">
        <v>1350.41</v>
      </c>
      <c r="I52" s="31">
        <v>0</v>
      </c>
      <c r="J52" s="33">
        <v>0</v>
      </c>
      <c r="K52" s="33">
        <v>0</v>
      </c>
      <c r="L52" s="31">
        <v>75</v>
      </c>
      <c r="M52" s="33">
        <v>101280.75</v>
      </c>
      <c r="N52" s="33">
        <f ca="1">IFERROR(INDEX(Price_Update!$F:$F, MATCH(A52, Price_Update!$A:$A, 0)), 1394.3)</f>
        <v>1394.3</v>
      </c>
      <c r="O52" s="33">
        <f t="shared" ca="1" si="0"/>
        <v>104572.5</v>
      </c>
      <c r="P52" s="33">
        <v>0</v>
      </c>
      <c r="Q52" s="33">
        <f t="shared" ca="1" si="1"/>
        <v>3291.75</v>
      </c>
      <c r="R52" s="33">
        <f t="shared" ca="1" si="2"/>
        <v>3291.75</v>
      </c>
      <c r="S52" s="36">
        <f t="shared" ca="1" si="3"/>
        <v>3.2501160138624224E-2</v>
      </c>
      <c r="T52" s="31">
        <v>20</v>
      </c>
      <c r="U52" s="31"/>
      <c r="V52" s="31" t="s">
        <v>106</v>
      </c>
      <c r="W52" s="31" t="s">
        <v>984</v>
      </c>
    </row>
    <row r="53" spans="1:23">
      <c r="A53" s="31" t="s">
        <v>79</v>
      </c>
      <c r="B53" s="31" t="s">
        <v>34</v>
      </c>
      <c r="C53" s="31" t="s">
        <v>58</v>
      </c>
      <c r="D53" s="31" t="s">
        <v>49</v>
      </c>
      <c r="E53" s="31" t="s">
        <v>98</v>
      </c>
      <c r="F53" s="31">
        <v>16</v>
      </c>
      <c r="G53" s="33">
        <v>50032</v>
      </c>
      <c r="H53" s="33">
        <v>3127</v>
      </c>
      <c r="I53" s="31">
        <v>0</v>
      </c>
      <c r="J53" s="33">
        <v>0</v>
      </c>
      <c r="K53" s="33">
        <v>0</v>
      </c>
      <c r="L53" s="31">
        <v>16</v>
      </c>
      <c r="M53" s="33">
        <v>50032</v>
      </c>
      <c r="N53" s="33">
        <f ca="1">IFERROR(INDEX(Price_Update!$F:$F, MATCH(A53, Price_Update!$A:$A, 0)), 3011.1)</f>
        <v>3011.1</v>
      </c>
      <c r="O53" s="33">
        <f t="shared" ca="1" si="0"/>
        <v>48177.599999999999</v>
      </c>
      <c r="P53" s="33">
        <v>0</v>
      </c>
      <c r="Q53" s="33">
        <f t="shared" ca="1" si="1"/>
        <v>-1854.4000000000015</v>
      </c>
      <c r="R53" s="33">
        <f t="shared" ca="1" si="2"/>
        <v>-1854.4000000000015</v>
      </c>
      <c r="S53" s="36">
        <f t="shared" ca="1" si="3"/>
        <v>-3.7064278861528653E-2</v>
      </c>
      <c r="T53" s="31">
        <v>20</v>
      </c>
      <c r="U53" s="31"/>
      <c r="V53" s="31" t="s">
        <v>106</v>
      </c>
      <c r="W53" s="31" t="s">
        <v>984</v>
      </c>
    </row>
    <row r="54" spans="1:23">
      <c r="A54" s="31" t="s">
        <v>434</v>
      </c>
      <c r="B54" s="31" t="s">
        <v>36</v>
      </c>
      <c r="C54" s="31" t="s">
        <v>63</v>
      </c>
      <c r="D54" s="31" t="s">
        <v>47</v>
      </c>
      <c r="E54" s="31"/>
      <c r="F54" s="31">
        <v>1315</v>
      </c>
      <c r="G54" s="33">
        <v>100907.4</v>
      </c>
      <c r="H54" s="33">
        <v>76.739999999999995</v>
      </c>
      <c r="I54" s="31">
        <v>1315</v>
      </c>
      <c r="J54" s="33">
        <v>105902.05</v>
      </c>
      <c r="K54" s="33">
        <v>80.53</v>
      </c>
      <c r="L54" s="31">
        <v>0</v>
      </c>
      <c r="M54" s="33">
        <v>0</v>
      </c>
      <c r="N54" s="33">
        <f>IFERROR(INDEX(Price_Update!$F:$F, MATCH(A54, Price_Update!$A:$A, 0)), 79.7)</f>
        <v>79.7</v>
      </c>
      <c r="O54" s="33">
        <f t="shared" si="0"/>
        <v>0</v>
      </c>
      <c r="P54" s="33">
        <v>4988.95</v>
      </c>
      <c r="Q54" s="33">
        <f t="shared" si="1"/>
        <v>0</v>
      </c>
      <c r="R54" s="33">
        <f t="shared" si="2"/>
        <v>4988.95</v>
      </c>
      <c r="S54" s="36">
        <f t="shared" si="3"/>
        <v>4.9440873513736355E-2</v>
      </c>
      <c r="T54" s="31">
        <v>124</v>
      </c>
      <c r="U54" s="31"/>
      <c r="V54" s="31" t="s">
        <v>106</v>
      </c>
      <c r="W54" s="31" t="s">
        <v>984</v>
      </c>
    </row>
    <row r="55" spans="1:23">
      <c r="A55" s="31" t="s">
        <v>520</v>
      </c>
      <c r="B55" s="31" t="s">
        <v>36</v>
      </c>
      <c r="C55" s="31" t="s">
        <v>58</v>
      </c>
      <c r="D55" s="31" t="s">
        <v>47</v>
      </c>
      <c r="E55" s="31"/>
      <c r="F55" s="31">
        <v>19</v>
      </c>
      <c r="G55" s="33">
        <v>50977</v>
      </c>
      <c r="H55" s="33">
        <v>2683</v>
      </c>
      <c r="I55" s="31">
        <v>19</v>
      </c>
      <c r="J55" s="33">
        <v>47612.048300000002</v>
      </c>
      <c r="K55" s="33">
        <v>2505.9</v>
      </c>
      <c r="L55" s="31">
        <v>0</v>
      </c>
      <c r="M55" s="33">
        <v>0</v>
      </c>
      <c r="N55" s="33">
        <f>IFERROR(INDEX(Price_Update!$F:$F, MATCH(A55, Price_Update!$A:$A, 0)), 2441.8)</f>
        <v>2441.8000000000002</v>
      </c>
      <c r="O55" s="33">
        <f t="shared" si="0"/>
        <v>0</v>
      </c>
      <c r="P55" s="33">
        <v>-3364.95</v>
      </c>
      <c r="Q55" s="33">
        <f t="shared" si="1"/>
        <v>0</v>
      </c>
      <c r="R55" s="33">
        <f t="shared" si="2"/>
        <v>-3364.95</v>
      </c>
      <c r="S55" s="36">
        <f t="shared" si="3"/>
        <v>-6.6009180610863721E-2</v>
      </c>
      <c r="T55" s="31">
        <v>18</v>
      </c>
      <c r="U55" s="31"/>
      <c r="V55" s="31" t="s">
        <v>106</v>
      </c>
      <c r="W55" s="31" t="s">
        <v>985</v>
      </c>
    </row>
    <row r="56" spans="1:23">
      <c r="A56" s="31" t="s">
        <v>260</v>
      </c>
      <c r="B56" s="31" t="s">
        <v>32</v>
      </c>
      <c r="C56" s="31" t="s">
        <v>62</v>
      </c>
      <c r="D56" s="31" t="s">
        <v>49</v>
      </c>
      <c r="E56" s="31" t="s">
        <v>98</v>
      </c>
      <c r="F56" s="31">
        <v>222</v>
      </c>
      <c r="G56" s="33">
        <v>120896</v>
      </c>
      <c r="H56" s="33">
        <v>544.58000000000004</v>
      </c>
      <c r="I56" s="31">
        <v>168</v>
      </c>
      <c r="J56" s="33">
        <v>81102.5</v>
      </c>
      <c r="K56" s="33">
        <v>482.75</v>
      </c>
      <c r="L56" s="31">
        <v>54</v>
      </c>
      <c r="M56" s="33">
        <v>29407.32</v>
      </c>
      <c r="N56" s="33">
        <f ca="1">IFERROR(INDEX(Price_Update!$F:$F, MATCH(A56, Price_Update!$A:$A, 0)), 536.15)</f>
        <v>536.15</v>
      </c>
      <c r="O56" s="33">
        <f t="shared" ca="1" si="0"/>
        <v>28952.1</v>
      </c>
      <c r="P56" s="33">
        <v>-10386.94</v>
      </c>
      <c r="Q56" s="33">
        <f t="shared" ca="1" si="1"/>
        <v>-455.22000000000116</v>
      </c>
      <c r="R56" s="33">
        <f t="shared" ca="1" si="2"/>
        <v>-10842.160000000002</v>
      </c>
      <c r="S56" s="36">
        <f t="shared" ca="1" si="3"/>
        <v>-8.9681709899417691E-2</v>
      </c>
      <c r="T56" s="31">
        <v>2</v>
      </c>
      <c r="U56" s="31" t="s">
        <v>986</v>
      </c>
      <c r="V56" s="31" t="s">
        <v>106</v>
      </c>
      <c r="W56" s="31" t="s">
        <v>985</v>
      </c>
    </row>
    <row r="57" spans="1:23">
      <c r="A57" s="31" t="s">
        <v>260</v>
      </c>
      <c r="B57" s="31" t="s">
        <v>32</v>
      </c>
      <c r="C57" s="31" t="s">
        <v>62</v>
      </c>
      <c r="D57" s="31" t="s">
        <v>49</v>
      </c>
      <c r="E57" s="31" t="s">
        <v>98</v>
      </c>
      <c r="F57" s="31">
        <v>222</v>
      </c>
      <c r="G57" s="33">
        <v>120896</v>
      </c>
      <c r="H57" s="33">
        <v>544.58000000000004</v>
      </c>
      <c r="I57" s="31">
        <v>168</v>
      </c>
      <c r="J57" s="33">
        <v>81102.5</v>
      </c>
      <c r="K57" s="33">
        <v>482.75</v>
      </c>
      <c r="L57" s="31">
        <v>54</v>
      </c>
      <c r="M57" s="33">
        <v>29407.32</v>
      </c>
      <c r="N57" s="33">
        <f ca="1">IFERROR(INDEX(Price_Update!$F:$F, MATCH(A57, Price_Update!$A:$A, 0)), 536.15)</f>
        <v>536.15</v>
      </c>
      <c r="O57" s="33">
        <f t="shared" ca="1" si="0"/>
        <v>28952.1</v>
      </c>
      <c r="P57" s="33">
        <v>-10386.94</v>
      </c>
      <c r="Q57" s="33">
        <f t="shared" ca="1" si="1"/>
        <v>-455.22000000000116</v>
      </c>
      <c r="R57" s="33">
        <f t="shared" ca="1" si="2"/>
        <v>-10842.160000000002</v>
      </c>
      <c r="S57" s="36">
        <f t="shared" ca="1" si="3"/>
        <v>-8.9681709899417691E-2</v>
      </c>
      <c r="T57" s="31">
        <v>2</v>
      </c>
      <c r="U57" s="31" t="s">
        <v>986</v>
      </c>
      <c r="V57" s="31" t="s">
        <v>106</v>
      </c>
      <c r="W57" s="31" t="s">
        <v>985</v>
      </c>
    </row>
    <row r="58" spans="1:23">
      <c r="A58" s="31" t="s">
        <v>496</v>
      </c>
      <c r="B58" s="31" t="s">
        <v>32</v>
      </c>
      <c r="C58" s="31" t="s">
        <v>58</v>
      </c>
      <c r="D58" s="31" t="s">
        <v>47</v>
      </c>
      <c r="E58" s="31"/>
      <c r="F58" s="31">
        <v>121</v>
      </c>
      <c r="G58" s="33">
        <v>24998.6</v>
      </c>
      <c r="H58" s="33">
        <v>206.6</v>
      </c>
      <c r="I58" s="31">
        <v>121</v>
      </c>
      <c r="J58" s="33">
        <v>19294.599999999999</v>
      </c>
      <c r="K58" s="33">
        <v>159.46</v>
      </c>
      <c r="L58" s="31">
        <v>0</v>
      </c>
      <c r="M58" s="33">
        <v>0</v>
      </c>
      <c r="N58" s="33">
        <f>IFERROR(INDEX(Price_Update!$F:$F, MATCH(A58, Price_Update!$A:$A, 0)), 154.16)</f>
        <v>154.16</v>
      </c>
      <c r="O58" s="33">
        <f t="shared" si="0"/>
        <v>0</v>
      </c>
      <c r="P58" s="33">
        <v>-5704</v>
      </c>
      <c r="Q58" s="33">
        <f t="shared" si="1"/>
        <v>0</v>
      </c>
      <c r="R58" s="33">
        <f t="shared" si="2"/>
        <v>-5704</v>
      </c>
      <c r="S58" s="36">
        <f t="shared" si="3"/>
        <v>-0.22817277767554983</v>
      </c>
      <c r="T58" s="31">
        <v>59</v>
      </c>
      <c r="U58" s="31"/>
      <c r="V58" s="31" t="s">
        <v>106</v>
      </c>
      <c r="W58" s="31" t="s">
        <v>984</v>
      </c>
    </row>
    <row r="59" spans="1:23">
      <c r="A59" s="31" t="s">
        <v>671</v>
      </c>
      <c r="B59" s="31" t="s">
        <v>36</v>
      </c>
      <c r="C59" s="31" t="s">
        <v>62</v>
      </c>
      <c r="D59" s="31" t="s">
        <v>49</v>
      </c>
      <c r="E59" s="31" t="s">
        <v>98</v>
      </c>
      <c r="F59" s="31">
        <v>4</v>
      </c>
      <c r="G59" s="33">
        <v>28200</v>
      </c>
      <c r="H59" s="33">
        <v>7050</v>
      </c>
      <c r="I59" s="31">
        <v>0</v>
      </c>
      <c r="J59" s="33">
        <v>0</v>
      </c>
      <c r="K59" s="33">
        <v>0</v>
      </c>
      <c r="L59" s="31">
        <v>4</v>
      </c>
      <c r="M59" s="33">
        <v>28200</v>
      </c>
      <c r="N59" s="33">
        <f ca="1">IFERROR(INDEX(Price_Update!$F:$F, MATCH(A59, Price_Update!$A:$A, 0)), 7035.5)</f>
        <v>7035.5</v>
      </c>
      <c r="O59" s="33">
        <f t="shared" ca="1" si="0"/>
        <v>28142</v>
      </c>
      <c r="P59" s="33">
        <v>0</v>
      </c>
      <c r="Q59" s="33">
        <f t="shared" ca="1" si="1"/>
        <v>-58</v>
      </c>
      <c r="R59" s="33">
        <f t="shared" ca="1" si="2"/>
        <v>-58</v>
      </c>
      <c r="S59" s="36">
        <f t="shared" ca="1" si="3"/>
        <v>-2.0567375886524821E-3</v>
      </c>
      <c r="T59" s="31">
        <v>2</v>
      </c>
      <c r="U59" s="31"/>
      <c r="V59" s="31" t="s">
        <v>106</v>
      </c>
      <c r="W59" s="31" t="s">
        <v>985</v>
      </c>
    </row>
    <row r="60" spans="1:23">
      <c r="A60" s="31" t="s">
        <v>130</v>
      </c>
      <c r="B60" s="31" t="s">
        <v>32</v>
      </c>
      <c r="C60" s="31" t="s">
        <v>66</v>
      </c>
      <c r="D60" s="31" t="s">
        <v>47</v>
      </c>
      <c r="E60" s="31" t="s">
        <v>98</v>
      </c>
      <c r="F60" s="31">
        <v>11</v>
      </c>
      <c r="G60" s="33">
        <v>50590.301299999999</v>
      </c>
      <c r="H60" s="33">
        <v>4599.12</v>
      </c>
      <c r="I60" s="31">
        <v>0</v>
      </c>
      <c r="J60" s="33">
        <v>0</v>
      </c>
      <c r="K60" s="33">
        <v>0</v>
      </c>
      <c r="L60" s="31">
        <v>11</v>
      </c>
      <c r="M60" s="33">
        <v>50590.32</v>
      </c>
      <c r="N60" s="33">
        <f ca="1">IFERROR(INDEX(Price_Update!$F:$F, MATCH(A60, Price_Update!$A:$A, 0)), 4705.3)</f>
        <v>4705.3</v>
      </c>
      <c r="O60" s="33">
        <f t="shared" ca="1" si="0"/>
        <v>51758.3</v>
      </c>
      <c r="P60" s="33">
        <v>0</v>
      </c>
      <c r="Q60" s="33">
        <f t="shared" ca="1" si="1"/>
        <v>1167.9800000000032</v>
      </c>
      <c r="R60" s="33">
        <f t="shared" ca="1" si="2"/>
        <v>1167.9800000000032</v>
      </c>
      <c r="S60" s="36">
        <f t="shared" ca="1" si="3"/>
        <v>2.3087033877776157E-2</v>
      </c>
      <c r="T60" s="31">
        <v>3</v>
      </c>
      <c r="U60" s="31"/>
      <c r="V60" s="31" t="s">
        <v>106</v>
      </c>
      <c r="W60" s="31" t="s">
        <v>985</v>
      </c>
    </row>
    <row r="61" spans="1:23">
      <c r="A61" s="31" t="s">
        <v>195</v>
      </c>
      <c r="B61" s="31" t="s">
        <v>32</v>
      </c>
      <c r="C61" s="31" t="s">
        <v>62</v>
      </c>
      <c r="D61" s="31" t="s">
        <v>49</v>
      </c>
      <c r="E61" s="31" t="s">
        <v>98</v>
      </c>
      <c r="F61" s="31">
        <v>11</v>
      </c>
      <c r="G61" s="33">
        <v>29260</v>
      </c>
      <c r="H61" s="33">
        <v>2660</v>
      </c>
      <c r="I61" s="31">
        <v>0</v>
      </c>
      <c r="J61" s="33">
        <v>0</v>
      </c>
      <c r="K61" s="33">
        <v>0</v>
      </c>
      <c r="L61" s="31">
        <v>11</v>
      </c>
      <c r="M61" s="33">
        <v>29260</v>
      </c>
      <c r="N61" s="33">
        <f ca="1">IFERROR(INDEX(Price_Update!$F:$F, MATCH(A61, Price_Update!$A:$A, 0)), 2645.1)</f>
        <v>2645.1</v>
      </c>
      <c r="O61" s="33">
        <f t="shared" ca="1" si="0"/>
        <v>29096.1</v>
      </c>
      <c r="P61" s="33">
        <v>0</v>
      </c>
      <c r="Q61" s="33">
        <f t="shared" ca="1" si="1"/>
        <v>-163.90000000000146</v>
      </c>
      <c r="R61" s="33">
        <f t="shared" ca="1" si="2"/>
        <v>-163.90000000000146</v>
      </c>
      <c r="S61" s="36">
        <f t="shared" ca="1" si="3"/>
        <v>-5.6015037593985456E-3</v>
      </c>
      <c r="T61" s="31">
        <v>2</v>
      </c>
      <c r="U61" s="31"/>
      <c r="V61" s="31" t="s">
        <v>106</v>
      </c>
      <c r="W61" s="31" t="s">
        <v>985</v>
      </c>
    </row>
    <row r="62" spans="1:23">
      <c r="A62" s="31" t="s">
        <v>666</v>
      </c>
      <c r="B62" s="31" t="s">
        <v>36</v>
      </c>
      <c r="C62" s="31" t="s">
        <v>62</v>
      </c>
      <c r="D62" s="31" t="s">
        <v>49</v>
      </c>
      <c r="E62" s="31" t="s">
        <v>98</v>
      </c>
      <c r="F62" s="31">
        <v>15</v>
      </c>
      <c r="G62" s="33">
        <v>28659.7</v>
      </c>
      <c r="H62" s="33">
        <v>1910.65</v>
      </c>
      <c r="I62" s="31">
        <v>0</v>
      </c>
      <c r="J62" s="33">
        <v>0</v>
      </c>
      <c r="K62" s="33">
        <v>0</v>
      </c>
      <c r="L62" s="31">
        <v>15</v>
      </c>
      <c r="M62" s="33">
        <v>28659.75</v>
      </c>
      <c r="N62" s="33">
        <f ca="1">IFERROR(INDEX(Price_Update!$F:$F, MATCH(A62, Price_Update!$A:$A, 0)), 1980.6)</f>
        <v>1980.6</v>
      </c>
      <c r="O62" s="33">
        <f t="shared" ca="1" si="0"/>
        <v>29709</v>
      </c>
      <c r="P62" s="33">
        <v>0</v>
      </c>
      <c r="Q62" s="33">
        <f t="shared" ca="1" si="1"/>
        <v>1049.25</v>
      </c>
      <c r="R62" s="33">
        <f t="shared" ca="1" si="2"/>
        <v>1049.25</v>
      </c>
      <c r="S62" s="36">
        <f t="shared" ca="1" si="3"/>
        <v>3.6610641423322647E-2</v>
      </c>
      <c r="T62" s="31">
        <v>2</v>
      </c>
      <c r="U62" s="31"/>
      <c r="V62" s="31" t="s">
        <v>106</v>
      </c>
      <c r="W62" s="31" t="s">
        <v>984</v>
      </c>
    </row>
    <row r="63" spans="1:23">
      <c r="A63" s="31" t="s">
        <v>501</v>
      </c>
      <c r="B63" s="31"/>
      <c r="C63" s="31" t="s">
        <v>60</v>
      </c>
      <c r="D63" s="31" t="s">
        <v>47</v>
      </c>
      <c r="E63" s="31"/>
      <c r="F63" s="31">
        <v>92</v>
      </c>
      <c r="G63" s="33">
        <v>25078.28</v>
      </c>
      <c r="H63" s="33">
        <v>272.58999999999997</v>
      </c>
      <c r="I63" s="31">
        <v>92</v>
      </c>
      <c r="J63" s="33">
        <v>24499.599999999999</v>
      </c>
      <c r="K63" s="33">
        <v>266.3</v>
      </c>
      <c r="L63" s="31">
        <v>0</v>
      </c>
      <c r="M63" s="33">
        <v>0</v>
      </c>
      <c r="N63" s="33">
        <f>IFERROR(INDEX(Price_Update!$F:$F, MATCH(A63, Price_Update!$A:$A, 0)), 266.02)</f>
        <v>266.02</v>
      </c>
      <c r="O63" s="33">
        <f t="shared" si="0"/>
        <v>0</v>
      </c>
      <c r="P63" s="33">
        <v>-578.67999999999995</v>
      </c>
      <c r="Q63" s="33">
        <f t="shared" si="1"/>
        <v>0</v>
      </c>
      <c r="R63" s="33">
        <f t="shared" si="2"/>
        <v>-578.67999999999995</v>
      </c>
      <c r="S63" s="36">
        <f t="shared" si="3"/>
        <v>-2.3074947723687587E-2</v>
      </c>
      <c r="T63" s="31">
        <v>72</v>
      </c>
      <c r="U63" s="31"/>
      <c r="V63" s="31" t="s">
        <v>106</v>
      </c>
      <c r="W63" s="31" t="s">
        <v>984</v>
      </c>
    </row>
    <row r="64" spans="1:23">
      <c r="A64" s="31" t="s">
        <v>140</v>
      </c>
      <c r="B64" s="31" t="s">
        <v>36</v>
      </c>
      <c r="C64" s="31" t="s">
        <v>58</v>
      </c>
      <c r="D64" s="31" t="s">
        <v>47</v>
      </c>
      <c r="E64" s="31"/>
      <c r="F64" s="31">
        <v>300</v>
      </c>
      <c r="G64" s="33">
        <v>25347</v>
      </c>
      <c r="H64" s="33">
        <v>84.49</v>
      </c>
      <c r="I64" s="31">
        <v>300</v>
      </c>
      <c r="J64" s="33">
        <v>26256</v>
      </c>
      <c r="K64" s="33">
        <v>87.52</v>
      </c>
      <c r="L64" s="31">
        <v>0</v>
      </c>
      <c r="M64" s="33">
        <v>0</v>
      </c>
      <c r="N64" s="33">
        <f>IFERROR(INDEX(Price_Update!$F:$F, MATCH(A64, Price_Update!$A:$A, 0)), 96.04)</f>
        <v>96.04</v>
      </c>
      <c r="O64" s="33">
        <f t="shared" si="0"/>
        <v>0</v>
      </c>
      <c r="P64" s="33">
        <v>909</v>
      </c>
      <c r="Q64" s="33">
        <f t="shared" si="1"/>
        <v>0</v>
      </c>
      <c r="R64" s="33">
        <f t="shared" si="2"/>
        <v>909</v>
      </c>
      <c r="S64" s="36">
        <f t="shared" si="3"/>
        <v>3.5862232216830395E-2</v>
      </c>
      <c r="T64" s="31">
        <v>147</v>
      </c>
      <c r="U64" s="31"/>
      <c r="V64" s="31" t="s">
        <v>106</v>
      </c>
      <c r="W64" s="31" t="s">
        <v>984</v>
      </c>
    </row>
    <row r="65" spans="1:23">
      <c r="A65" s="31" t="s">
        <v>59</v>
      </c>
      <c r="B65" s="31" t="s">
        <v>32</v>
      </c>
      <c r="C65" s="31" t="s">
        <v>58</v>
      </c>
      <c r="D65" s="31" t="s">
        <v>47</v>
      </c>
      <c r="E65" s="31" t="s">
        <v>99</v>
      </c>
      <c r="F65" s="31">
        <v>133</v>
      </c>
      <c r="G65" s="33">
        <v>50270</v>
      </c>
      <c r="H65" s="33">
        <v>377.97</v>
      </c>
      <c r="I65" s="31">
        <v>0</v>
      </c>
      <c r="J65" s="33">
        <v>0</v>
      </c>
      <c r="K65" s="33">
        <v>0</v>
      </c>
      <c r="L65" s="31">
        <v>133</v>
      </c>
      <c r="M65" s="33">
        <v>50270.01</v>
      </c>
      <c r="N65" s="33">
        <f ca="1">IFERROR(INDEX(Price_Update!$F:$F, MATCH(A65, Price_Update!$A:$A, 0)), 357.35)</f>
        <v>357.35</v>
      </c>
      <c r="O65" s="33">
        <f t="shared" ca="1" si="0"/>
        <v>47527.55</v>
      </c>
      <c r="P65" s="33">
        <v>0</v>
      </c>
      <c r="Q65" s="33">
        <f t="shared" ca="1" si="1"/>
        <v>-2742.4599999999991</v>
      </c>
      <c r="R65" s="33">
        <f t="shared" ca="1" si="2"/>
        <v>-2742.4599999999991</v>
      </c>
      <c r="S65" s="36">
        <f t="shared" ca="1" si="3"/>
        <v>-5.455460513228564E-2</v>
      </c>
      <c r="T65" s="31">
        <v>13</v>
      </c>
      <c r="U65" s="31"/>
      <c r="V65" s="31" t="s">
        <v>106</v>
      </c>
      <c r="W65" s="31" t="s">
        <v>984</v>
      </c>
    </row>
    <row r="66" spans="1:23">
      <c r="A66" s="31" t="s">
        <v>660</v>
      </c>
      <c r="B66" s="31" t="s">
        <v>36</v>
      </c>
      <c r="C66" s="31" t="s">
        <v>658</v>
      </c>
      <c r="D66" s="31" t="s">
        <v>49</v>
      </c>
      <c r="E66" s="31" t="s">
        <v>98</v>
      </c>
      <c r="F66" s="31">
        <v>3</v>
      </c>
      <c r="G66" s="33">
        <v>30903</v>
      </c>
      <c r="H66" s="33">
        <v>10301</v>
      </c>
      <c r="I66" s="31">
        <v>0</v>
      </c>
      <c r="J66" s="33">
        <v>0</v>
      </c>
      <c r="K66" s="33">
        <v>0</v>
      </c>
      <c r="L66" s="31">
        <v>3</v>
      </c>
      <c r="M66" s="33">
        <v>30903</v>
      </c>
      <c r="N66" s="33">
        <f ca="1">IFERROR(INDEX(Price_Update!$F:$F, MATCH(A66, Price_Update!$A:$A, 0)), 9997.5)</f>
        <v>9997.5</v>
      </c>
      <c r="O66" s="33">
        <f t="shared" ref="O66:O101" ca="1" si="4">L66*N66</f>
        <v>29992.5</v>
      </c>
      <c r="P66" s="33">
        <v>0</v>
      </c>
      <c r="Q66" s="33">
        <f t="shared" ref="Q66:Q101" ca="1" si="5">O66-M66</f>
        <v>-910.5</v>
      </c>
      <c r="R66" s="33">
        <f t="shared" ref="R66:R101" ca="1" si="6">P66+Q66</f>
        <v>-910.5</v>
      </c>
      <c r="S66" s="36">
        <f t="shared" ref="S66:S101" ca="1" si="7">IF(G66&gt;0, R66/G66, 0)</f>
        <v>-2.9463158916610038E-2</v>
      </c>
      <c r="T66" s="31">
        <v>2</v>
      </c>
      <c r="U66" s="31"/>
      <c r="V66" s="31" t="s">
        <v>106</v>
      </c>
      <c r="W66" s="31" t="s">
        <v>985</v>
      </c>
    </row>
    <row r="67" spans="1:23">
      <c r="A67" s="31" t="s">
        <v>273</v>
      </c>
      <c r="B67" s="31" t="s">
        <v>34</v>
      </c>
      <c r="C67" s="31" t="s">
        <v>62</v>
      </c>
      <c r="D67" s="31" t="s">
        <v>49</v>
      </c>
      <c r="E67" s="31"/>
      <c r="F67" s="31">
        <v>60</v>
      </c>
      <c r="G67" s="33">
        <v>93744</v>
      </c>
      <c r="H67" s="33">
        <v>1562.4</v>
      </c>
      <c r="I67" s="31">
        <v>60</v>
      </c>
      <c r="J67" s="33">
        <v>88621.5</v>
      </c>
      <c r="K67" s="33">
        <v>1477.02</v>
      </c>
      <c r="L67" s="31">
        <v>0</v>
      </c>
      <c r="M67" s="33">
        <v>0</v>
      </c>
      <c r="N67" s="33">
        <f>IFERROR(INDEX(Price_Update!$F:$F, MATCH(A67, Price_Update!$A:$A, 0)), 1469.2)</f>
        <v>1469.2</v>
      </c>
      <c r="O67" s="33">
        <f t="shared" si="4"/>
        <v>0</v>
      </c>
      <c r="P67" s="33">
        <v>-5122.5</v>
      </c>
      <c r="Q67" s="33">
        <f t="shared" si="5"/>
        <v>0</v>
      </c>
      <c r="R67" s="33">
        <f t="shared" si="6"/>
        <v>-5122.5</v>
      </c>
      <c r="S67" s="36">
        <f t="shared" si="7"/>
        <v>-5.4643497183819764E-2</v>
      </c>
      <c r="T67" s="31">
        <v>24</v>
      </c>
      <c r="U67" s="31" t="s">
        <v>987</v>
      </c>
      <c r="V67" s="31" t="s">
        <v>106</v>
      </c>
      <c r="W67" s="31" t="s">
        <v>984</v>
      </c>
    </row>
    <row r="68" spans="1:23">
      <c r="A68" s="31" t="s">
        <v>428</v>
      </c>
      <c r="B68" s="31" t="s">
        <v>34</v>
      </c>
      <c r="C68" s="31" t="s">
        <v>63</v>
      </c>
      <c r="D68" s="31" t="s">
        <v>47</v>
      </c>
      <c r="E68" s="31"/>
      <c r="F68" s="31">
        <v>200</v>
      </c>
      <c r="G68" s="33">
        <v>25540.1</v>
      </c>
      <c r="H68" s="33">
        <v>127.7</v>
      </c>
      <c r="I68" s="31">
        <v>200</v>
      </c>
      <c r="J68" s="33">
        <v>23912</v>
      </c>
      <c r="K68" s="33">
        <v>119.56</v>
      </c>
      <c r="L68" s="31">
        <v>0</v>
      </c>
      <c r="M68" s="33">
        <v>0</v>
      </c>
      <c r="N68" s="33">
        <f>IFERROR(INDEX(Price_Update!$F:$F, MATCH(A68, Price_Update!$A:$A, 0)), 105.8)</f>
        <v>105.8</v>
      </c>
      <c r="O68" s="33">
        <f t="shared" si="4"/>
        <v>0</v>
      </c>
      <c r="P68" s="33">
        <v>-1628</v>
      </c>
      <c r="Q68" s="33">
        <f t="shared" si="5"/>
        <v>0</v>
      </c>
      <c r="R68" s="33">
        <f t="shared" si="6"/>
        <v>-1628</v>
      </c>
      <c r="S68" s="36">
        <f t="shared" si="7"/>
        <v>-6.3742898422480723E-2</v>
      </c>
      <c r="T68" s="31">
        <v>17</v>
      </c>
      <c r="U68" s="31"/>
      <c r="V68" s="31" t="s">
        <v>106</v>
      </c>
      <c r="W68" s="31" t="s">
        <v>984</v>
      </c>
    </row>
    <row r="69" spans="1:23">
      <c r="A69" s="31" t="s">
        <v>161</v>
      </c>
      <c r="B69" s="31" t="s">
        <v>32</v>
      </c>
      <c r="C69" s="31" t="s">
        <v>58</v>
      </c>
      <c r="D69" s="31" t="s">
        <v>47</v>
      </c>
      <c r="E69" s="31"/>
      <c r="F69" s="31">
        <v>70</v>
      </c>
      <c r="G69" s="33">
        <v>99582.6</v>
      </c>
      <c r="H69" s="33">
        <v>1422.61</v>
      </c>
      <c r="I69" s="31">
        <v>70</v>
      </c>
      <c r="J69" s="33">
        <v>90500.5</v>
      </c>
      <c r="K69" s="33">
        <v>1292.8599999999999</v>
      </c>
      <c r="L69" s="31">
        <v>0</v>
      </c>
      <c r="M69" s="33">
        <v>0</v>
      </c>
      <c r="N69" s="33">
        <f>IFERROR(INDEX(Price_Update!$F:$F, MATCH(A69, Price_Update!$A:$A, 0)), 1315.9)</f>
        <v>1315.9</v>
      </c>
      <c r="O69" s="33">
        <f t="shared" si="4"/>
        <v>0</v>
      </c>
      <c r="P69" s="33">
        <v>-9082.2000000000007</v>
      </c>
      <c r="Q69" s="33">
        <f t="shared" si="5"/>
        <v>0</v>
      </c>
      <c r="R69" s="33">
        <f t="shared" si="6"/>
        <v>-9082.2000000000007</v>
      </c>
      <c r="S69" s="36">
        <f t="shared" si="7"/>
        <v>-9.1202679986262664E-2</v>
      </c>
      <c r="T69" s="31">
        <v>25</v>
      </c>
      <c r="U69" s="31"/>
      <c r="V69" s="31" t="s">
        <v>106</v>
      </c>
      <c r="W69" s="31" t="s">
        <v>985</v>
      </c>
    </row>
    <row r="70" spans="1:23">
      <c r="A70" s="31" t="s">
        <v>68</v>
      </c>
      <c r="B70" s="31" t="s">
        <v>34</v>
      </c>
      <c r="C70" s="31" t="s">
        <v>64</v>
      </c>
      <c r="D70" s="31" t="s">
        <v>49</v>
      </c>
      <c r="E70" s="31" t="s">
        <v>109</v>
      </c>
      <c r="F70" s="31">
        <v>53</v>
      </c>
      <c r="G70" s="33">
        <v>414743</v>
      </c>
      <c r="H70" s="33">
        <v>7825.34</v>
      </c>
      <c r="I70" s="31">
        <v>0</v>
      </c>
      <c r="J70" s="33">
        <v>0</v>
      </c>
      <c r="K70" s="33">
        <v>0</v>
      </c>
      <c r="L70" s="31">
        <v>53</v>
      </c>
      <c r="M70" s="33">
        <v>414743.02</v>
      </c>
      <c r="N70" s="33">
        <f ca="1">IFERROR(INDEX(Price_Update!$F:$F, MATCH(A70, Price_Update!$A:$A, 0)), 9571.5)</f>
        <v>9571.5</v>
      </c>
      <c r="O70" s="33">
        <f t="shared" ca="1" si="4"/>
        <v>507289.5</v>
      </c>
      <c r="P70" s="33">
        <v>0</v>
      </c>
      <c r="Q70" s="33">
        <f t="shared" ca="1" si="5"/>
        <v>92546.479999999981</v>
      </c>
      <c r="R70" s="33">
        <f t="shared" ca="1" si="6"/>
        <v>92546.479999999981</v>
      </c>
      <c r="S70" s="36">
        <f t="shared" ca="1" si="7"/>
        <v>0.22314175284453258</v>
      </c>
      <c r="T70" s="31">
        <v>269</v>
      </c>
      <c r="U70" s="31"/>
      <c r="V70" s="31" t="s">
        <v>106</v>
      </c>
      <c r="W70" s="31" t="s">
        <v>984</v>
      </c>
    </row>
    <row r="71" spans="1:23">
      <c r="A71" s="31" t="s">
        <v>302</v>
      </c>
      <c r="B71" s="31" t="s">
        <v>36</v>
      </c>
      <c r="C71" s="31" t="s">
        <v>63</v>
      </c>
      <c r="D71" s="31" t="s">
        <v>47</v>
      </c>
      <c r="E71" s="31"/>
      <c r="F71" s="31">
        <v>188</v>
      </c>
      <c r="G71" s="33">
        <v>99892.650000000009</v>
      </c>
      <c r="H71" s="33">
        <v>531.34</v>
      </c>
      <c r="I71" s="31">
        <v>188</v>
      </c>
      <c r="J71" s="33">
        <v>90619.099999999991</v>
      </c>
      <c r="K71" s="33">
        <v>482.02</v>
      </c>
      <c r="L71" s="31">
        <v>0</v>
      </c>
      <c r="M71" s="33">
        <v>0</v>
      </c>
      <c r="N71" s="33">
        <f>IFERROR(INDEX(Price_Update!$F:$F, MATCH(A71, Price_Update!$A:$A, 0)), 399.3)</f>
        <v>399.3</v>
      </c>
      <c r="O71" s="33">
        <f t="shared" si="4"/>
        <v>0</v>
      </c>
      <c r="P71" s="33">
        <v>-9272.82</v>
      </c>
      <c r="Q71" s="33">
        <f t="shared" si="5"/>
        <v>0</v>
      </c>
      <c r="R71" s="33">
        <f t="shared" si="6"/>
        <v>-9272.82</v>
      </c>
      <c r="S71" s="36">
        <f t="shared" si="7"/>
        <v>-9.2827850697723993E-2</v>
      </c>
      <c r="T71" s="31">
        <v>21</v>
      </c>
      <c r="U71" s="31"/>
      <c r="V71" s="31" t="s">
        <v>106</v>
      </c>
      <c r="W71" s="31" t="s">
        <v>984</v>
      </c>
    </row>
    <row r="72" spans="1:23">
      <c r="A72" s="31" t="s">
        <v>652</v>
      </c>
      <c r="B72" s="31" t="s">
        <v>34</v>
      </c>
      <c r="C72" s="31" t="s">
        <v>58</v>
      </c>
      <c r="D72" s="31" t="s">
        <v>49</v>
      </c>
      <c r="E72" s="31" t="s">
        <v>98</v>
      </c>
      <c r="F72" s="31">
        <v>1</v>
      </c>
      <c r="G72" s="33">
        <v>35105</v>
      </c>
      <c r="H72" s="33">
        <v>35105</v>
      </c>
      <c r="I72" s="31">
        <v>0</v>
      </c>
      <c r="J72" s="33">
        <v>0</v>
      </c>
      <c r="K72" s="33">
        <v>0</v>
      </c>
      <c r="L72" s="31">
        <v>1</v>
      </c>
      <c r="M72" s="33">
        <v>35105</v>
      </c>
      <c r="N72" s="33">
        <f ca="1">IFERROR(INDEX(Price_Update!$F:$F, MATCH(A72, Price_Update!$A:$A, 0)), 35190)</f>
        <v>35190</v>
      </c>
      <c r="O72" s="33">
        <f t="shared" ca="1" si="4"/>
        <v>35190</v>
      </c>
      <c r="P72" s="33">
        <v>0</v>
      </c>
      <c r="Q72" s="33">
        <f t="shared" ca="1" si="5"/>
        <v>85</v>
      </c>
      <c r="R72" s="33">
        <f t="shared" ca="1" si="6"/>
        <v>85</v>
      </c>
      <c r="S72" s="36">
        <f t="shared" ca="1" si="7"/>
        <v>2.4213075060532689E-3</v>
      </c>
      <c r="T72" s="31">
        <v>2</v>
      </c>
      <c r="U72" s="31"/>
      <c r="V72" s="31" t="s">
        <v>106</v>
      </c>
      <c r="W72" s="31" t="s">
        <v>984</v>
      </c>
    </row>
    <row r="73" spans="1:23">
      <c r="A73" s="31" t="s">
        <v>305</v>
      </c>
      <c r="B73" s="31" t="s">
        <v>32</v>
      </c>
      <c r="C73" s="31" t="s">
        <v>58</v>
      </c>
      <c r="D73" s="31" t="s">
        <v>47</v>
      </c>
      <c r="E73" s="31"/>
      <c r="F73" s="31">
        <v>204</v>
      </c>
      <c r="G73" s="33">
        <v>48757.69</v>
      </c>
      <c r="H73" s="33">
        <v>239.01</v>
      </c>
      <c r="I73" s="31">
        <v>220</v>
      </c>
      <c r="J73" s="33">
        <v>54098</v>
      </c>
      <c r="K73" s="33">
        <v>245.9</v>
      </c>
      <c r="L73" s="31">
        <v>-16</v>
      </c>
      <c r="M73" s="33">
        <v>-3824.16</v>
      </c>
      <c r="N73" s="33">
        <f>IFERROR(INDEX(Price_Update!$F:$F, MATCH(A73, Price_Update!$A:$A, 0)), 436.7)</f>
        <v>436.7</v>
      </c>
      <c r="O73" s="33">
        <f t="shared" si="4"/>
        <v>-6987.2</v>
      </c>
      <c r="P73" s="33">
        <v>1515.8</v>
      </c>
      <c r="Q73" s="33">
        <f t="shared" si="5"/>
        <v>-3163.04</v>
      </c>
      <c r="R73" s="33">
        <f t="shared" si="6"/>
        <v>-1647.24</v>
      </c>
      <c r="S73" s="36">
        <f t="shared" si="7"/>
        <v>-3.3784209219099588E-2</v>
      </c>
      <c r="T73" s="31">
        <v>241</v>
      </c>
      <c r="U73" s="31"/>
      <c r="V73" s="31" t="s">
        <v>106</v>
      </c>
      <c r="W73" s="31" t="s">
        <v>984</v>
      </c>
    </row>
    <row r="74" spans="1:23">
      <c r="A74" s="31" t="s">
        <v>667</v>
      </c>
      <c r="B74" s="31" t="s">
        <v>32</v>
      </c>
      <c r="C74" s="31" t="s">
        <v>58</v>
      </c>
      <c r="D74" s="31" t="s">
        <v>49</v>
      </c>
      <c r="E74" s="31" t="s">
        <v>98</v>
      </c>
      <c r="F74" s="31">
        <v>35</v>
      </c>
      <c r="G74" s="33">
        <v>29351</v>
      </c>
      <c r="H74" s="33">
        <v>838.6</v>
      </c>
      <c r="I74" s="31">
        <v>0</v>
      </c>
      <c r="J74" s="33">
        <v>0</v>
      </c>
      <c r="K74" s="33">
        <v>0</v>
      </c>
      <c r="L74" s="31">
        <v>35</v>
      </c>
      <c r="M74" s="33">
        <v>29351</v>
      </c>
      <c r="N74" s="33">
        <f ca="1">IFERROR(INDEX(Price_Update!$F:$F, MATCH(A74, Price_Update!$A:$A, 0)), 820.05)</f>
        <v>820.05</v>
      </c>
      <c r="O74" s="33">
        <f t="shared" ca="1" si="4"/>
        <v>28701.75</v>
      </c>
      <c r="P74" s="33">
        <v>0</v>
      </c>
      <c r="Q74" s="33">
        <f t="shared" ca="1" si="5"/>
        <v>-649.25</v>
      </c>
      <c r="R74" s="33">
        <f t="shared" ca="1" si="6"/>
        <v>-649.25</v>
      </c>
      <c r="S74" s="36">
        <f t="shared" ca="1" si="7"/>
        <v>-2.2120200333889815E-2</v>
      </c>
      <c r="T74" s="31">
        <v>2</v>
      </c>
      <c r="U74" s="31"/>
      <c r="V74" s="31" t="s">
        <v>106</v>
      </c>
      <c r="W74" s="31" t="s">
        <v>985</v>
      </c>
    </row>
    <row r="75" spans="1:23">
      <c r="A75" s="31" t="s">
        <v>668</v>
      </c>
      <c r="B75" s="31" t="s">
        <v>32</v>
      </c>
      <c r="C75" s="31" t="s">
        <v>62</v>
      </c>
      <c r="D75" s="31" t="s">
        <v>49</v>
      </c>
      <c r="E75" s="31" t="s">
        <v>98</v>
      </c>
      <c r="F75" s="31">
        <v>21</v>
      </c>
      <c r="G75" s="33">
        <v>27948.9</v>
      </c>
      <c r="H75" s="33">
        <v>1330.9</v>
      </c>
      <c r="I75" s="31">
        <v>0</v>
      </c>
      <c r="J75" s="33">
        <v>0</v>
      </c>
      <c r="K75" s="33">
        <v>0</v>
      </c>
      <c r="L75" s="31">
        <v>21</v>
      </c>
      <c r="M75" s="33">
        <v>27948.9</v>
      </c>
      <c r="N75" s="33">
        <f ca="1">IFERROR(INDEX(Price_Update!$F:$F, MATCH(A75, Price_Update!$A:$A, 0)), 1354.2)</f>
        <v>1354.2</v>
      </c>
      <c r="O75" s="33">
        <f t="shared" ca="1" si="4"/>
        <v>28438.2</v>
      </c>
      <c r="P75" s="33">
        <v>0</v>
      </c>
      <c r="Q75" s="33">
        <f t="shared" ca="1" si="5"/>
        <v>489.29999999999927</v>
      </c>
      <c r="R75" s="33">
        <f t="shared" ca="1" si="6"/>
        <v>489.29999999999927</v>
      </c>
      <c r="S75" s="36">
        <f t="shared" ca="1" si="7"/>
        <v>1.7506950184085931E-2</v>
      </c>
      <c r="T75" s="31">
        <v>2</v>
      </c>
      <c r="U75" s="31"/>
      <c r="V75" s="31" t="s">
        <v>106</v>
      </c>
      <c r="W75" s="31" t="s">
        <v>984</v>
      </c>
    </row>
    <row r="76" spans="1:23">
      <c r="A76" s="31" t="s">
        <v>474</v>
      </c>
      <c r="B76" s="31" t="s">
        <v>32</v>
      </c>
      <c r="C76" s="31" t="s">
        <v>58</v>
      </c>
      <c r="D76" s="31" t="s">
        <v>47</v>
      </c>
      <c r="E76" s="31"/>
      <c r="F76" s="31">
        <v>10</v>
      </c>
      <c r="G76" s="33">
        <v>4835.5</v>
      </c>
      <c r="H76" s="33">
        <v>483.55</v>
      </c>
      <c r="I76" s="31">
        <v>10</v>
      </c>
      <c r="J76" s="33">
        <v>4193</v>
      </c>
      <c r="K76" s="33">
        <v>419.3</v>
      </c>
      <c r="L76" s="31">
        <v>0</v>
      </c>
      <c r="M76" s="33">
        <v>0</v>
      </c>
      <c r="N76" s="33">
        <f>IFERROR(INDEX(Price_Update!$F:$F, MATCH(A76, Price_Update!$A:$A, 0)), 412.65)</f>
        <v>412.65</v>
      </c>
      <c r="O76" s="33">
        <f t="shared" si="4"/>
        <v>0</v>
      </c>
      <c r="P76" s="33">
        <v>-642.5</v>
      </c>
      <c r="Q76" s="33">
        <f t="shared" si="5"/>
        <v>0</v>
      </c>
      <c r="R76" s="33">
        <f t="shared" si="6"/>
        <v>-642.5</v>
      </c>
      <c r="S76" s="36">
        <f t="shared" si="7"/>
        <v>-0.13287147140936822</v>
      </c>
      <c r="T76" s="31">
        <v>15</v>
      </c>
      <c r="U76" s="31"/>
      <c r="V76" s="31" t="s">
        <v>106</v>
      </c>
      <c r="W76" s="31" t="s">
        <v>985</v>
      </c>
    </row>
    <row r="77" spans="1:23">
      <c r="A77" s="31" t="s">
        <v>669</v>
      </c>
      <c r="B77" s="31" t="s">
        <v>32</v>
      </c>
      <c r="C77" s="31" t="s">
        <v>58</v>
      </c>
      <c r="D77" s="31" t="s">
        <v>49</v>
      </c>
      <c r="E77" s="31" t="s">
        <v>98</v>
      </c>
      <c r="F77" s="31">
        <v>40</v>
      </c>
      <c r="G77" s="33">
        <v>29187.3</v>
      </c>
      <c r="H77" s="33">
        <v>729.68</v>
      </c>
      <c r="I77" s="31">
        <v>0</v>
      </c>
      <c r="J77" s="33">
        <v>0</v>
      </c>
      <c r="K77" s="33">
        <v>0</v>
      </c>
      <c r="L77" s="31">
        <v>40</v>
      </c>
      <c r="M77" s="33">
        <v>29187.200000000001</v>
      </c>
      <c r="N77" s="33">
        <f ca="1">IFERROR(INDEX(Price_Update!$F:$F, MATCH(A77, Price_Update!$A:$A, 0)), 723.9)</f>
        <v>723.9</v>
      </c>
      <c r="O77" s="33">
        <f t="shared" ca="1" si="4"/>
        <v>28956</v>
      </c>
      <c r="P77" s="33">
        <v>0</v>
      </c>
      <c r="Q77" s="33">
        <f t="shared" ca="1" si="5"/>
        <v>-231.20000000000073</v>
      </c>
      <c r="R77" s="33">
        <f t="shared" ca="1" si="6"/>
        <v>-231.20000000000073</v>
      </c>
      <c r="S77" s="36">
        <f t="shared" ca="1" si="7"/>
        <v>-7.9212534218650148E-3</v>
      </c>
      <c r="T77" s="31">
        <v>2</v>
      </c>
      <c r="U77" s="31"/>
      <c r="V77" s="31" t="s">
        <v>106</v>
      </c>
      <c r="W77" s="31" t="s">
        <v>985</v>
      </c>
    </row>
    <row r="78" spans="1:23">
      <c r="A78" s="31" t="s">
        <v>355</v>
      </c>
      <c r="B78" s="31" t="s">
        <v>34</v>
      </c>
      <c r="C78" s="31" t="s">
        <v>63</v>
      </c>
      <c r="D78" s="31" t="s">
        <v>47</v>
      </c>
      <c r="E78" s="31"/>
      <c r="F78" s="31">
        <v>208</v>
      </c>
      <c r="G78" s="33">
        <v>233369.9</v>
      </c>
      <c r="H78" s="33">
        <v>1121.97</v>
      </c>
      <c r="I78" s="31">
        <v>278</v>
      </c>
      <c r="J78" s="33">
        <v>269743.40000000002</v>
      </c>
      <c r="K78" s="33">
        <v>970.3</v>
      </c>
      <c r="L78" s="31">
        <v>-70</v>
      </c>
      <c r="M78" s="33">
        <v>-78537.899999999994</v>
      </c>
      <c r="N78" s="33">
        <f>IFERROR(INDEX(Price_Update!$F:$F, MATCH(A78, Price_Update!$A:$A, 0)), 970.45)</f>
        <v>970.45</v>
      </c>
      <c r="O78" s="33">
        <f t="shared" si="4"/>
        <v>-67931.5</v>
      </c>
      <c r="P78" s="33">
        <v>-42164.26</v>
      </c>
      <c r="Q78" s="33">
        <f t="shared" si="5"/>
        <v>10606.399999999994</v>
      </c>
      <c r="R78" s="33">
        <f t="shared" si="6"/>
        <v>-31557.860000000008</v>
      </c>
      <c r="S78" s="36">
        <f t="shared" si="7"/>
        <v>-0.13522677946041889</v>
      </c>
      <c r="T78" s="31">
        <v>213</v>
      </c>
      <c r="U78" s="31"/>
      <c r="V78" s="31" t="s">
        <v>106</v>
      </c>
      <c r="W78" s="31" t="s">
        <v>984</v>
      </c>
    </row>
    <row r="79" spans="1:23">
      <c r="A79" s="31" t="s">
        <v>52</v>
      </c>
      <c r="B79" s="31" t="s">
        <v>32</v>
      </c>
      <c r="C79" s="31" t="s">
        <v>58</v>
      </c>
      <c r="D79" s="31" t="s">
        <v>47</v>
      </c>
      <c r="E79" s="31" t="s">
        <v>101</v>
      </c>
      <c r="F79" s="31">
        <v>42</v>
      </c>
      <c r="G79" s="33">
        <v>56862.5</v>
      </c>
      <c r="H79" s="33">
        <v>1353.87</v>
      </c>
      <c r="I79" s="31">
        <v>0</v>
      </c>
      <c r="J79" s="33">
        <v>0</v>
      </c>
      <c r="K79" s="33">
        <v>0</v>
      </c>
      <c r="L79" s="31">
        <v>42</v>
      </c>
      <c r="M79" s="33">
        <v>56862.54</v>
      </c>
      <c r="N79" s="33">
        <f ca="1">IFERROR(INDEX(Price_Update!$F:$F, MATCH(A79, Price_Update!$A:$A, 0)), 1617.3)</f>
        <v>1617.3</v>
      </c>
      <c r="O79" s="33">
        <f t="shared" ca="1" si="4"/>
        <v>67926.599999999991</v>
      </c>
      <c r="P79" s="33">
        <v>0</v>
      </c>
      <c r="Q79" s="33">
        <f t="shared" ca="1" si="5"/>
        <v>11064.05999999999</v>
      </c>
      <c r="R79" s="33">
        <f t="shared" ca="1" si="6"/>
        <v>11064.05999999999</v>
      </c>
      <c r="S79" s="36">
        <f t="shared" ca="1" si="7"/>
        <v>0.19457568696416777</v>
      </c>
      <c r="T79" s="31">
        <v>125</v>
      </c>
      <c r="U79" s="31"/>
      <c r="V79" s="31" t="s">
        <v>106</v>
      </c>
      <c r="W79" s="31" t="s">
        <v>985</v>
      </c>
    </row>
    <row r="80" spans="1:23">
      <c r="A80" s="31" t="s">
        <v>53</v>
      </c>
      <c r="B80" s="31" t="s">
        <v>32</v>
      </c>
      <c r="C80" s="31" t="s">
        <v>60</v>
      </c>
      <c r="D80" s="31" t="s">
        <v>47</v>
      </c>
      <c r="E80" s="31" t="s">
        <v>98</v>
      </c>
      <c r="F80" s="31">
        <v>40</v>
      </c>
      <c r="G80" s="33">
        <v>25568</v>
      </c>
      <c r="H80" s="33">
        <v>639.20000000000005</v>
      </c>
      <c r="I80" s="31">
        <v>0</v>
      </c>
      <c r="J80" s="33">
        <v>0</v>
      </c>
      <c r="K80" s="33">
        <v>0</v>
      </c>
      <c r="L80" s="31">
        <v>40</v>
      </c>
      <c r="M80" s="33">
        <v>25568</v>
      </c>
      <c r="N80" s="33">
        <f ca="1">IFERROR(INDEX(Price_Update!$F:$F, MATCH(A80, Price_Update!$A:$A, 0)), 599.35)</f>
        <v>599.35</v>
      </c>
      <c r="O80" s="33">
        <f t="shared" ca="1" si="4"/>
        <v>23974</v>
      </c>
      <c r="P80" s="33">
        <v>0</v>
      </c>
      <c r="Q80" s="33">
        <f t="shared" ca="1" si="5"/>
        <v>-1594</v>
      </c>
      <c r="R80" s="33">
        <f t="shared" ca="1" si="6"/>
        <v>-1594</v>
      </c>
      <c r="S80" s="36">
        <f t="shared" ca="1" si="7"/>
        <v>-6.2343554443053818E-2</v>
      </c>
      <c r="T80" s="31">
        <v>13</v>
      </c>
      <c r="U80" s="31"/>
      <c r="V80" s="31" t="s">
        <v>106</v>
      </c>
      <c r="W80" s="31" t="s">
        <v>985</v>
      </c>
    </row>
    <row r="81" spans="1:23">
      <c r="A81" s="31" t="s">
        <v>129</v>
      </c>
      <c r="B81" s="31" t="s">
        <v>32</v>
      </c>
      <c r="C81" s="31" t="s">
        <v>58</v>
      </c>
      <c r="D81" s="31" t="s">
        <v>47</v>
      </c>
      <c r="E81" s="31" t="s">
        <v>98</v>
      </c>
      <c r="F81" s="31">
        <v>92</v>
      </c>
      <c r="G81" s="33">
        <v>50324</v>
      </c>
      <c r="H81" s="33">
        <v>547</v>
      </c>
      <c r="I81" s="31">
        <v>0</v>
      </c>
      <c r="J81" s="33">
        <v>0</v>
      </c>
      <c r="K81" s="33">
        <v>0</v>
      </c>
      <c r="L81" s="31">
        <v>92</v>
      </c>
      <c r="M81" s="33">
        <v>50324</v>
      </c>
      <c r="N81" s="33">
        <f ca="1">IFERROR(INDEX(Price_Update!$F:$F, MATCH(A81, Price_Update!$A:$A, 0)), 570.5)</f>
        <v>570.5</v>
      </c>
      <c r="O81" s="33">
        <f t="shared" ca="1" si="4"/>
        <v>52486</v>
      </c>
      <c r="P81" s="33">
        <v>0</v>
      </c>
      <c r="Q81" s="33">
        <f t="shared" ca="1" si="5"/>
        <v>2162</v>
      </c>
      <c r="R81" s="33">
        <f t="shared" ca="1" si="6"/>
        <v>2162</v>
      </c>
      <c r="S81" s="36">
        <f t="shared" ca="1" si="7"/>
        <v>4.2961608775137113E-2</v>
      </c>
      <c r="T81" s="31">
        <v>3</v>
      </c>
      <c r="U81" s="31"/>
      <c r="V81" s="31" t="s">
        <v>106</v>
      </c>
      <c r="W81" s="31" t="s">
        <v>985</v>
      </c>
    </row>
    <row r="82" spans="1:23">
      <c r="A82" s="31" t="s">
        <v>516</v>
      </c>
      <c r="B82" s="31" t="s">
        <v>34</v>
      </c>
      <c r="C82" s="31" t="s">
        <v>58</v>
      </c>
      <c r="D82" s="31" t="s">
        <v>49</v>
      </c>
      <c r="E82" s="31" t="s">
        <v>99</v>
      </c>
      <c r="F82" s="31">
        <v>4</v>
      </c>
      <c r="G82" s="33">
        <v>62560</v>
      </c>
      <c r="H82" s="33">
        <v>15640</v>
      </c>
      <c r="I82" s="31">
        <v>0</v>
      </c>
      <c r="J82" s="33">
        <v>0</v>
      </c>
      <c r="K82" s="33">
        <v>0</v>
      </c>
      <c r="L82" s="31">
        <v>4</v>
      </c>
      <c r="M82" s="33">
        <v>62560</v>
      </c>
      <c r="N82" s="33">
        <f ca="1">IFERROR(INDEX(Price_Update!$F:$F, MATCH(A82, Price_Update!$A:$A, 0)), 18577)</f>
        <v>18577</v>
      </c>
      <c r="O82" s="33">
        <f t="shared" ca="1" si="4"/>
        <v>74308</v>
      </c>
      <c r="P82" s="33">
        <v>0</v>
      </c>
      <c r="Q82" s="33">
        <f t="shared" ca="1" si="5"/>
        <v>11748</v>
      </c>
      <c r="R82" s="33">
        <f t="shared" ca="1" si="6"/>
        <v>11748</v>
      </c>
      <c r="S82" s="36">
        <f t="shared" ca="1" si="7"/>
        <v>0.18778772378516623</v>
      </c>
      <c r="T82" s="31">
        <v>76</v>
      </c>
      <c r="U82" s="31"/>
      <c r="V82" s="31" t="s">
        <v>106</v>
      </c>
      <c r="W82" s="31" t="s">
        <v>984</v>
      </c>
    </row>
    <row r="83" spans="1:23">
      <c r="A83" s="31" t="s">
        <v>516</v>
      </c>
      <c r="B83" s="31" t="s">
        <v>34</v>
      </c>
      <c r="C83" s="31" t="s">
        <v>58</v>
      </c>
      <c r="D83" s="31" t="s">
        <v>49</v>
      </c>
      <c r="E83" s="31" t="s">
        <v>99</v>
      </c>
      <c r="F83" s="31">
        <v>4</v>
      </c>
      <c r="G83" s="33">
        <v>62560</v>
      </c>
      <c r="H83" s="33">
        <v>15640</v>
      </c>
      <c r="I83" s="31">
        <v>0</v>
      </c>
      <c r="J83" s="33">
        <v>0</v>
      </c>
      <c r="K83" s="33">
        <v>0</v>
      </c>
      <c r="L83" s="31">
        <v>4</v>
      </c>
      <c r="M83" s="33">
        <v>62560</v>
      </c>
      <c r="N83" s="33">
        <f ca="1">IFERROR(INDEX(Price_Update!$F:$F, MATCH(A83, Price_Update!$A:$A, 0)), 18577)</f>
        <v>18577</v>
      </c>
      <c r="O83" s="33">
        <f t="shared" ca="1" si="4"/>
        <v>74308</v>
      </c>
      <c r="P83" s="33">
        <v>0</v>
      </c>
      <c r="Q83" s="33">
        <f t="shared" ca="1" si="5"/>
        <v>11748</v>
      </c>
      <c r="R83" s="33">
        <f t="shared" ca="1" si="6"/>
        <v>11748</v>
      </c>
      <c r="S83" s="36">
        <f t="shared" ca="1" si="7"/>
        <v>0.18778772378516623</v>
      </c>
      <c r="T83" s="31">
        <v>76</v>
      </c>
      <c r="U83" s="31"/>
      <c r="V83" s="31" t="s">
        <v>106</v>
      </c>
      <c r="W83" s="31" t="s">
        <v>984</v>
      </c>
    </row>
    <row r="84" spans="1:23">
      <c r="A84" s="31" t="s">
        <v>425</v>
      </c>
      <c r="B84" s="31" t="s">
        <v>32</v>
      </c>
      <c r="C84" s="31" t="s">
        <v>63</v>
      </c>
      <c r="D84" s="31" t="s">
        <v>47</v>
      </c>
      <c r="E84" s="31"/>
      <c r="F84" s="31">
        <v>600</v>
      </c>
      <c r="G84" s="33">
        <v>26682</v>
      </c>
      <c r="H84" s="33">
        <v>44.47</v>
      </c>
      <c r="I84" s="31">
        <v>600</v>
      </c>
      <c r="J84" s="33">
        <v>22532.01</v>
      </c>
      <c r="K84" s="33">
        <v>37.549999999999997</v>
      </c>
      <c r="L84" s="31">
        <v>0</v>
      </c>
      <c r="M84" s="33">
        <v>0</v>
      </c>
      <c r="N84" s="33">
        <f>IFERROR(INDEX(Price_Update!$F:$F, MATCH(A84, Price_Update!$A:$A, 0)), 43.6)</f>
        <v>43.6</v>
      </c>
      <c r="O84" s="33">
        <f t="shared" si="4"/>
        <v>0</v>
      </c>
      <c r="P84" s="33">
        <v>-4149.99</v>
      </c>
      <c r="Q84" s="33">
        <f t="shared" si="5"/>
        <v>0</v>
      </c>
      <c r="R84" s="33">
        <f t="shared" si="6"/>
        <v>-4149.99</v>
      </c>
      <c r="S84" s="36">
        <f t="shared" si="7"/>
        <v>-0.15553519226444792</v>
      </c>
      <c r="T84" s="31">
        <v>14</v>
      </c>
      <c r="U84" s="31"/>
      <c r="V84" s="31" t="s">
        <v>106</v>
      </c>
      <c r="W84" s="31" t="s">
        <v>984</v>
      </c>
    </row>
    <row r="85" spans="1:23">
      <c r="A85" s="31" t="s">
        <v>289</v>
      </c>
      <c r="B85" s="31" t="s">
        <v>32</v>
      </c>
      <c r="C85" s="31" t="s">
        <v>62</v>
      </c>
      <c r="D85" s="31" t="s">
        <v>47</v>
      </c>
      <c r="E85" s="31"/>
      <c r="F85" s="31">
        <v>57</v>
      </c>
      <c r="G85" s="33">
        <v>50160</v>
      </c>
      <c r="H85" s="33">
        <v>880</v>
      </c>
      <c r="I85" s="31">
        <v>57</v>
      </c>
      <c r="J85" s="33">
        <v>44850.6</v>
      </c>
      <c r="K85" s="33">
        <v>786.85</v>
      </c>
      <c r="L85" s="31">
        <v>0</v>
      </c>
      <c r="M85" s="33">
        <v>0</v>
      </c>
      <c r="N85" s="33">
        <f>IFERROR(INDEX(Price_Update!$F:$F, MATCH(A85, Price_Update!$A:$A, 0)), 706.35)</f>
        <v>706.35</v>
      </c>
      <c r="O85" s="33">
        <f t="shared" si="4"/>
        <v>0</v>
      </c>
      <c r="P85" s="33">
        <v>-5309.4</v>
      </c>
      <c r="Q85" s="33">
        <f t="shared" si="5"/>
        <v>0</v>
      </c>
      <c r="R85" s="33">
        <f t="shared" si="6"/>
        <v>-5309.4</v>
      </c>
      <c r="S85" s="36">
        <f t="shared" si="7"/>
        <v>-0.10584928229665071</v>
      </c>
      <c r="T85" s="31">
        <v>9</v>
      </c>
      <c r="U85" s="31"/>
      <c r="V85" s="31" t="s">
        <v>106</v>
      </c>
      <c r="W85" s="31" t="s">
        <v>984</v>
      </c>
    </row>
    <row r="86" spans="1:23">
      <c r="A86" s="31" t="s">
        <v>57</v>
      </c>
      <c r="B86" s="31" t="s">
        <v>34</v>
      </c>
      <c r="C86" s="31" t="s">
        <v>62</v>
      </c>
      <c r="D86" s="31" t="s">
        <v>47</v>
      </c>
      <c r="E86" s="31" t="s">
        <v>98</v>
      </c>
      <c r="F86" s="31">
        <v>26</v>
      </c>
      <c r="G86" s="33">
        <v>49379.199999999997</v>
      </c>
      <c r="H86" s="33">
        <v>1899.2</v>
      </c>
      <c r="I86" s="31">
        <v>0</v>
      </c>
      <c r="J86" s="33">
        <v>0</v>
      </c>
      <c r="K86" s="33">
        <v>0</v>
      </c>
      <c r="L86" s="31">
        <v>26</v>
      </c>
      <c r="M86" s="33">
        <v>49379.199999999997</v>
      </c>
      <c r="N86" s="33">
        <f ca="1">IFERROR(INDEX(Price_Update!$F:$F, MATCH(A86, Price_Update!$A:$A, 0)), 1788.5)</f>
        <v>1788.5</v>
      </c>
      <c r="O86" s="33">
        <f t="shared" ca="1" si="4"/>
        <v>46501</v>
      </c>
      <c r="P86" s="33">
        <v>0</v>
      </c>
      <c r="Q86" s="33">
        <f t="shared" ca="1" si="5"/>
        <v>-2878.1999999999971</v>
      </c>
      <c r="R86" s="33">
        <f t="shared" ca="1" si="6"/>
        <v>-2878.1999999999971</v>
      </c>
      <c r="S86" s="36">
        <f t="shared" ca="1" si="7"/>
        <v>-5.8287700084245941E-2</v>
      </c>
      <c r="T86" s="31">
        <v>17</v>
      </c>
      <c r="U86" s="31"/>
      <c r="V86" s="31" t="s">
        <v>106</v>
      </c>
      <c r="W86" s="31" t="s">
        <v>985</v>
      </c>
    </row>
    <row r="87" spans="1:23">
      <c r="A87" s="31" t="s">
        <v>251</v>
      </c>
      <c r="B87" s="31" t="s">
        <v>36</v>
      </c>
      <c r="C87" s="31" t="s">
        <v>62</v>
      </c>
      <c r="D87" s="31" t="s">
        <v>49</v>
      </c>
      <c r="E87" s="31"/>
      <c r="F87" s="31">
        <v>20</v>
      </c>
      <c r="G87" s="33">
        <v>90180</v>
      </c>
      <c r="H87" s="33">
        <v>4509</v>
      </c>
      <c r="I87" s="31">
        <v>20</v>
      </c>
      <c r="J87" s="33">
        <v>83602.900399999999</v>
      </c>
      <c r="K87" s="33">
        <v>4180.1499999999996</v>
      </c>
      <c r="L87" s="31">
        <v>0</v>
      </c>
      <c r="M87" s="33">
        <v>0</v>
      </c>
      <c r="N87" s="33">
        <f>IFERROR(INDEX(Price_Update!$F:$F, MATCH(A87, Price_Update!$A:$A, 0)), 3572.9)</f>
        <v>3572.9</v>
      </c>
      <c r="O87" s="33">
        <f t="shared" si="4"/>
        <v>0</v>
      </c>
      <c r="P87" s="33">
        <v>-6577.1</v>
      </c>
      <c r="Q87" s="33">
        <f t="shared" si="5"/>
        <v>0</v>
      </c>
      <c r="R87" s="33">
        <f t="shared" si="6"/>
        <v>-6577.1</v>
      </c>
      <c r="S87" s="36">
        <f t="shared" si="7"/>
        <v>-7.2933022843202494E-2</v>
      </c>
      <c r="T87" s="31">
        <v>25</v>
      </c>
      <c r="U87" s="31"/>
      <c r="V87" s="31" t="s">
        <v>106</v>
      </c>
      <c r="W87" s="31" t="s">
        <v>984</v>
      </c>
    </row>
    <row r="88" spans="1:23">
      <c r="A88" s="31" t="s">
        <v>143</v>
      </c>
      <c r="B88" s="31" t="s">
        <v>32</v>
      </c>
      <c r="C88" s="31" t="s">
        <v>58</v>
      </c>
      <c r="D88" s="31" t="s">
        <v>49</v>
      </c>
      <c r="E88" s="31" t="s">
        <v>98</v>
      </c>
      <c r="F88" s="31">
        <v>26</v>
      </c>
      <c r="G88" s="33">
        <v>29975.4</v>
      </c>
      <c r="H88" s="33">
        <v>1152.9000000000001</v>
      </c>
      <c r="I88" s="31">
        <v>0</v>
      </c>
      <c r="J88" s="33">
        <v>0</v>
      </c>
      <c r="K88" s="33">
        <v>0</v>
      </c>
      <c r="L88" s="31">
        <v>26</v>
      </c>
      <c r="M88" s="33">
        <v>29975.4</v>
      </c>
      <c r="N88" s="33">
        <f ca="1">IFERROR(INDEX(Price_Update!$F:$F, MATCH(A88, Price_Update!$A:$A, 0)), 1195.3)</f>
        <v>1195.3</v>
      </c>
      <c r="O88" s="33">
        <f t="shared" ca="1" si="4"/>
        <v>31077.8</v>
      </c>
      <c r="P88" s="33">
        <v>0</v>
      </c>
      <c r="Q88" s="33">
        <f t="shared" ca="1" si="5"/>
        <v>1102.3999999999978</v>
      </c>
      <c r="R88" s="33">
        <f t="shared" ca="1" si="6"/>
        <v>1102.3999999999978</v>
      </c>
      <c r="S88" s="36">
        <f t="shared" ca="1" si="7"/>
        <v>3.677682366206949E-2</v>
      </c>
      <c r="T88" s="31">
        <v>2</v>
      </c>
      <c r="U88" s="31"/>
      <c r="V88" s="31" t="s">
        <v>106</v>
      </c>
      <c r="W88" s="31" t="s">
        <v>984</v>
      </c>
    </row>
    <row r="89" spans="1:23">
      <c r="A89" s="31" t="s">
        <v>484</v>
      </c>
      <c r="B89" s="31" t="s">
        <v>32</v>
      </c>
      <c r="C89" s="31" t="s">
        <v>58</v>
      </c>
      <c r="D89" s="31" t="s">
        <v>47</v>
      </c>
      <c r="E89" s="31"/>
      <c r="F89" s="31">
        <v>80</v>
      </c>
      <c r="G89" s="33">
        <v>25175.98</v>
      </c>
      <c r="H89" s="33">
        <v>314.7</v>
      </c>
      <c r="I89" s="31">
        <v>80</v>
      </c>
      <c r="J89" s="33">
        <v>24328</v>
      </c>
      <c r="K89" s="33">
        <v>304.10000000000002</v>
      </c>
      <c r="L89" s="31">
        <v>0</v>
      </c>
      <c r="M89" s="33">
        <v>0</v>
      </c>
      <c r="N89" s="33">
        <f>IFERROR(INDEX(Price_Update!$F:$F, MATCH(A89, Price_Update!$A:$A, 0)), 311.75)</f>
        <v>311.75</v>
      </c>
      <c r="O89" s="33">
        <f t="shared" si="4"/>
        <v>0</v>
      </c>
      <c r="P89" s="33">
        <v>-848</v>
      </c>
      <c r="Q89" s="33">
        <f t="shared" si="5"/>
        <v>0</v>
      </c>
      <c r="R89" s="33">
        <f t="shared" si="6"/>
        <v>-848</v>
      </c>
      <c r="S89" s="36">
        <f t="shared" si="7"/>
        <v>-3.3682899335001064E-2</v>
      </c>
      <c r="T89" s="31">
        <v>84</v>
      </c>
      <c r="U89" s="31"/>
      <c r="V89" s="31" t="s">
        <v>106</v>
      </c>
      <c r="W89" s="31" t="s">
        <v>985</v>
      </c>
    </row>
    <row r="90" spans="1:23">
      <c r="A90" s="31" t="s">
        <v>128</v>
      </c>
      <c r="B90" s="31" t="s">
        <v>32</v>
      </c>
      <c r="C90" s="31" t="s">
        <v>66</v>
      </c>
      <c r="D90" s="31" t="s">
        <v>47</v>
      </c>
      <c r="E90" s="31" t="s">
        <v>104</v>
      </c>
      <c r="F90" s="31">
        <v>145</v>
      </c>
      <c r="G90" s="33">
        <v>100201.25</v>
      </c>
      <c r="H90" s="33">
        <v>691.04</v>
      </c>
      <c r="I90" s="31">
        <v>0</v>
      </c>
      <c r="J90" s="33">
        <v>0</v>
      </c>
      <c r="K90" s="33">
        <v>0</v>
      </c>
      <c r="L90" s="31">
        <v>145</v>
      </c>
      <c r="M90" s="33">
        <v>100200.8</v>
      </c>
      <c r="N90" s="33">
        <f ca="1">IFERROR(INDEX(Price_Update!$F:$F, MATCH(A90, Price_Update!$A:$A, 0)), 731.05)</f>
        <v>731.05</v>
      </c>
      <c r="O90" s="33">
        <f t="shared" ca="1" si="4"/>
        <v>106002.25</v>
      </c>
      <c r="P90" s="33">
        <v>0</v>
      </c>
      <c r="Q90" s="33">
        <f t="shared" ca="1" si="5"/>
        <v>5801.4499999999971</v>
      </c>
      <c r="R90" s="33">
        <f t="shared" ca="1" si="6"/>
        <v>5801.4499999999971</v>
      </c>
      <c r="S90" s="36">
        <f t="shared" ca="1" si="7"/>
        <v>5.7897980314616806E-2</v>
      </c>
      <c r="T90" s="31">
        <v>16</v>
      </c>
      <c r="U90" s="31"/>
      <c r="V90" s="31" t="s">
        <v>106</v>
      </c>
      <c r="W90" s="31" t="s">
        <v>985</v>
      </c>
    </row>
    <row r="91" spans="1:23">
      <c r="A91" s="31" t="s">
        <v>67</v>
      </c>
      <c r="B91" s="31" t="s">
        <v>32</v>
      </c>
      <c r="C91" s="31" t="s">
        <v>58</v>
      </c>
      <c r="D91" s="31" t="s">
        <v>49</v>
      </c>
      <c r="E91" s="31" t="s">
        <v>108</v>
      </c>
      <c r="F91" s="31">
        <v>321</v>
      </c>
      <c r="G91" s="33">
        <v>305009.75</v>
      </c>
      <c r="H91" s="33">
        <v>950.19</v>
      </c>
      <c r="I91" s="31">
        <v>0</v>
      </c>
      <c r="J91" s="33">
        <v>0</v>
      </c>
      <c r="K91" s="33">
        <v>0</v>
      </c>
      <c r="L91" s="31">
        <v>321</v>
      </c>
      <c r="M91" s="33">
        <v>305010.99</v>
      </c>
      <c r="N91" s="33">
        <f ca="1">IFERROR(INDEX(Price_Update!$F:$F, MATCH(A91, Price_Update!$A:$A, 0)), 1286.3)</f>
        <v>1286.3</v>
      </c>
      <c r="O91" s="33">
        <f t="shared" ca="1" si="4"/>
        <v>412902.3</v>
      </c>
      <c r="P91" s="33">
        <v>0</v>
      </c>
      <c r="Q91" s="33">
        <f t="shared" ca="1" si="5"/>
        <v>107891.31</v>
      </c>
      <c r="R91" s="33">
        <f t="shared" ca="1" si="6"/>
        <v>107891.31</v>
      </c>
      <c r="S91" s="36">
        <f t="shared" ca="1" si="7"/>
        <v>0.35373069221557668</v>
      </c>
      <c r="T91" s="31">
        <v>112</v>
      </c>
      <c r="U91" s="31"/>
      <c r="V91" s="31" t="s">
        <v>106</v>
      </c>
      <c r="W91" s="31" t="s">
        <v>984</v>
      </c>
    </row>
    <row r="92" spans="1:23">
      <c r="A92" s="31" t="s">
        <v>92</v>
      </c>
      <c r="B92" s="31" t="s">
        <v>36</v>
      </c>
      <c r="C92" s="31" t="s">
        <v>58</v>
      </c>
      <c r="D92" s="31" t="s">
        <v>47</v>
      </c>
      <c r="E92" s="31" t="s">
        <v>99</v>
      </c>
      <c r="F92" s="31">
        <v>11</v>
      </c>
      <c r="G92" s="33">
        <v>54590.598100000003</v>
      </c>
      <c r="H92" s="33">
        <v>4962.78</v>
      </c>
      <c r="I92" s="31">
        <v>0</v>
      </c>
      <c r="J92" s="33">
        <v>0</v>
      </c>
      <c r="K92" s="33">
        <v>0</v>
      </c>
      <c r="L92" s="31">
        <v>11</v>
      </c>
      <c r="M92" s="33">
        <v>54590.58</v>
      </c>
      <c r="N92" s="33">
        <f ca="1">IFERROR(INDEX(Price_Update!$F:$F, MATCH(A92, Price_Update!$A:$A, 0)), 4784.5)</f>
        <v>4784.5</v>
      </c>
      <c r="O92" s="33">
        <f t="shared" ca="1" si="4"/>
        <v>52629.5</v>
      </c>
      <c r="P92" s="33">
        <v>0</v>
      </c>
      <c r="Q92" s="33">
        <f t="shared" ca="1" si="5"/>
        <v>-1961.0800000000017</v>
      </c>
      <c r="R92" s="33">
        <f t="shared" ca="1" si="6"/>
        <v>-1961.0800000000017</v>
      </c>
      <c r="S92" s="36">
        <f t="shared" ca="1" si="7"/>
        <v>-3.5923401982291187E-2</v>
      </c>
      <c r="T92" s="31">
        <v>6</v>
      </c>
      <c r="U92" s="31"/>
      <c r="V92" s="31" t="s">
        <v>106</v>
      </c>
      <c r="W92" s="31" t="s">
        <v>985</v>
      </c>
    </row>
    <row r="93" spans="1:23">
      <c r="A93" s="31" t="s">
        <v>670</v>
      </c>
      <c r="B93" s="31" t="s">
        <v>32</v>
      </c>
      <c r="C93" s="31" t="s">
        <v>58</v>
      </c>
      <c r="D93" s="31" t="s">
        <v>49</v>
      </c>
      <c r="E93" s="31" t="s">
        <v>98</v>
      </c>
      <c r="F93" s="31">
        <v>8</v>
      </c>
      <c r="G93" s="33">
        <v>28160.800800000001</v>
      </c>
      <c r="H93" s="33">
        <v>3520.1</v>
      </c>
      <c r="I93" s="31">
        <v>0</v>
      </c>
      <c r="J93" s="33">
        <v>0</v>
      </c>
      <c r="K93" s="33">
        <v>0</v>
      </c>
      <c r="L93" s="31">
        <v>8</v>
      </c>
      <c r="M93" s="33">
        <v>28160.799999999999</v>
      </c>
      <c r="N93" s="33">
        <f ca="1">IFERROR(INDEX(Price_Update!$F:$F, MATCH(A93, Price_Update!$A:$A, 0)), 3491.9)</f>
        <v>3491.9</v>
      </c>
      <c r="O93" s="33">
        <f t="shared" ca="1" si="4"/>
        <v>27935.200000000001</v>
      </c>
      <c r="P93" s="33">
        <v>0</v>
      </c>
      <c r="Q93" s="33">
        <f t="shared" ca="1" si="5"/>
        <v>-225.59999999999854</v>
      </c>
      <c r="R93" s="33">
        <f t="shared" ca="1" si="6"/>
        <v>-225.59999999999854</v>
      </c>
      <c r="S93" s="36">
        <f t="shared" ca="1" si="7"/>
        <v>-8.0111358196887118E-3</v>
      </c>
      <c r="T93" s="31">
        <v>2</v>
      </c>
      <c r="U93" s="31"/>
      <c r="V93" s="31" t="s">
        <v>106</v>
      </c>
      <c r="W93" s="31" t="s">
        <v>985</v>
      </c>
    </row>
    <row r="94" spans="1:23">
      <c r="A94" s="31" t="s">
        <v>657</v>
      </c>
      <c r="B94" s="31" t="s">
        <v>32</v>
      </c>
      <c r="C94" s="31" t="s">
        <v>658</v>
      </c>
      <c r="D94" s="31" t="s">
        <v>49</v>
      </c>
      <c r="E94" s="31" t="s">
        <v>98</v>
      </c>
      <c r="F94" s="31">
        <v>43</v>
      </c>
      <c r="G94" s="33">
        <v>28541.25</v>
      </c>
      <c r="H94" s="33">
        <v>663.75</v>
      </c>
      <c r="I94" s="31">
        <v>0</v>
      </c>
      <c r="J94" s="33">
        <v>0</v>
      </c>
      <c r="K94" s="33">
        <v>0</v>
      </c>
      <c r="L94" s="31">
        <v>43</v>
      </c>
      <c r="M94" s="33">
        <v>28541.25</v>
      </c>
      <c r="N94" s="33">
        <f ca="1">IFERROR(INDEX(Price_Update!$F:$F, MATCH(A94, Price_Update!$A:$A, 0)), 659.85)</f>
        <v>659.85</v>
      </c>
      <c r="O94" s="33">
        <f t="shared" ca="1" si="4"/>
        <v>28373.55</v>
      </c>
      <c r="P94" s="33">
        <v>0</v>
      </c>
      <c r="Q94" s="33">
        <f t="shared" ca="1" si="5"/>
        <v>-167.70000000000073</v>
      </c>
      <c r="R94" s="33">
        <f t="shared" ca="1" si="6"/>
        <v>-167.70000000000073</v>
      </c>
      <c r="S94" s="36">
        <f t="shared" ca="1" si="7"/>
        <v>-5.8757062146892912E-3</v>
      </c>
      <c r="T94" s="31">
        <v>2</v>
      </c>
      <c r="U94" s="31"/>
      <c r="V94" s="31" t="s">
        <v>106</v>
      </c>
      <c r="W94" s="31" t="s">
        <v>985</v>
      </c>
    </row>
    <row r="95" spans="1:23">
      <c r="A95" s="31" t="s">
        <v>254</v>
      </c>
      <c r="B95" s="31" t="s">
        <v>34</v>
      </c>
      <c r="C95" s="31" t="s">
        <v>60</v>
      </c>
      <c r="D95" s="31" t="s">
        <v>49</v>
      </c>
      <c r="E95" s="31"/>
      <c r="F95" s="31">
        <v>25</v>
      </c>
      <c r="G95" s="33">
        <v>91567.5</v>
      </c>
      <c r="H95" s="33">
        <v>3662.7</v>
      </c>
      <c r="I95" s="31">
        <v>25</v>
      </c>
      <c r="J95" s="33">
        <v>84762.5</v>
      </c>
      <c r="K95" s="33">
        <v>3390.5</v>
      </c>
      <c r="L95" s="31">
        <v>0</v>
      </c>
      <c r="M95" s="33">
        <v>0</v>
      </c>
      <c r="N95" s="33">
        <f>IFERROR(INDEX(Price_Update!$F:$F, MATCH(A95, Price_Update!$A:$A, 0)), 4088.8)</f>
        <v>4088.8</v>
      </c>
      <c r="O95" s="33">
        <f t="shared" si="4"/>
        <v>0</v>
      </c>
      <c r="P95" s="33">
        <v>-6805</v>
      </c>
      <c r="Q95" s="33">
        <f t="shared" si="5"/>
        <v>0</v>
      </c>
      <c r="R95" s="33">
        <f t="shared" si="6"/>
        <v>-6805</v>
      </c>
      <c r="S95" s="36">
        <f t="shared" si="7"/>
        <v>-7.431676085947525E-2</v>
      </c>
      <c r="T95" s="31">
        <v>25</v>
      </c>
      <c r="U95" s="31"/>
      <c r="V95" s="31" t="s">
        <v>106</v>
      </c>
      <c r="W95" s="31" t="s">
        <v>984</v>
      </c>
    </row>
    <row r="96" spans="1:23">
      <c r="A96" s="31" t="s">
        <v>78</v>
      </c>
      <c r="B96" s="31" t="s">
        <v>32</v>
      </c>
      <c r="C96" s="31" t="s">
        <v>58</v>
      </c>
      <c r="D96" s="31" t="s">
        <v>49</v>
      </c>
      <c r="E96" s="31" t="s">
        <v>99</v>
      </c>
      <c r="F96" s="31">
        <v>114</v>
      </c>
      <c r="G96" s="33">
        <v>78698.700000000012</v>
      </c>
      <c r="H96" s="33">
        <v>690.34</v>
      </c>
      <c r="I96" s="31">
        <v>0</v>
      </c>
      <c r="J96" s="33">
        <v>0</v>
      </c>
      <c r="K96" s="33">
        <v>0</v>
      </c>
      <c r="L96" s="31">
        <v>114</v>
      </c>
      <c r="M96" s="33">
        <v>78698.759999999995</v>
      </c>
      <c r="N96" s="33">
        <f ca="1">IFERROR(INDEX(Price_Update!$F:$F, MATCH(A96, Price_Update!$A:$A, 0)), 668.85)</f>
        <v>668.85</v>
      </c>
      <c r="O96" s="33">
        <f t="shared" ca="1" si="4"/>
        <v>76248.900000000009</v>
      </c>
      <c r="P96" s="33">
        <v>0</v>
      </c>
      <c r="Q96" s="33">
        <f t="shared" ca="1" si="5"/>
        <v>-2449.859999999986</v>
      </c>
      <c r="R96" s="33">
        <f t="shared" ca="1" si="6"/>
        <v>-2449.859999999986</v>
      </c>
      <c r="S96" s="36">
        <f t="shared" ca="1" si="7"/>
        <v>-3.1129612052041337E-2</v>
      </c>
      <c r="T96" s="31">
        <v>3</v>
      </c>
      <c r="U96" s="31"/>
      <c r="V96" s="31" t="s">
        <v>106</v>
      </c>
      <c r="W96" s="31" t="s">
        <v>985</v>
      </c>
    </row>
    <row r="97" spans="1:23">
      <c r="A97" s="31" t="s">
        <v>375</v>
      </c>
      <c r="B97" s="31" t="s">
        <v>32</v>
      </c>
      <c r="C97" s="31" t="s">
        <v>60</v>
      </c>
      <c r="D97" s="31" t="s">
        <v>47</v>
      </c>
      <c r="E97" s="31"/>
      <c r="F97" s="31">
        <v>22</v>
      </c>
      <c r="G97" s="33">
        <v>101483.5</v>
      </c>
      <c r="H97" s="33">
        <v>4612.8900000000003</v>
      </c>
      <c r="I97" s="31">
        <v>22</v>
      </c>
      <c r="J97" s="33">
        <v>88669.197999999989</v>
      </c>
      <c r="K97" s="33">
        <v>4030.42</v>
      </c>
      <c r="L97" s="31">
        <v>0</v>
      </c>
      <c r="M97" s="33">
        <v>0</v>
      </c>
      <c r="N97" s="33">
        <f>IFERROR(INDEX(Price_Update!$F:$F, MATCH(A97, Price_Update!$A:$A, 0)), 3968.9)</f>
        <v>3968.9</v>
      </c>
      <c r="O97" s="33">
        <f t="shared" si="4"/>
        <v>0</v>
      </c>
      <c r="P97" s="33">
        <v>-12814.38</v>
      </c>
      <c r="Q97" s="33">
        <f t="shared" si="5"/>
        <v>0</v>
      </c>
      <c r="R97" s="33">
        <f t="shared" si="6"/>
        <v>-12814.38</v>
      </c>
      <c r="S97" s="36">
        <f t="shared" si="7"/>
        <v>-0.12627057600496633</v>
      </c>
      <c r="T97" s="31">
        <v>60</v>
      </c>
      <c r="U97" s="31"/>
      <c r="V97" s="31" t="s">
        <v>106</v>
      </c>
      <c r="W97" s="31" t="s">
        <v>984</v>
      </c>
    </row>
    <row r="98" spans="1:23">
      <c r="A98" s="31" t="s">
        <v>270</v>
      </c>
      <c r="B98" s="31" t="s">
        <v>36</v>
      </c>
      <c r="C98" s="31" t="s">
        <v>60</v>
      </c>
      <c r="D98" s="31" t="s">
        <v>49</v>
      </c>
      <c r="E98" s="31"/>
      <c r="F98" s="31">
        <v>37</v>
      </c>
      <c r="G98" s="33">
        <v>47700.4</v>
      </c>
      <c r="H98" s="33">
        <v>1289.2</v>
      </c>
      <c r="I98" s="31">
        <v>71</v>
      </c>
      <c r="J98" s="33">
        <v>77517.8</v>
      </c>
      <c r="K98" s="33">
        <v>1091.8</v>
      </c>
      <c r="L98" s="31">
        <v>-34</v>
      </c>
      <c r="M98" s="33">
        <v>-43832.800000000003</v>
      </c>
      <c r="N98" s="33">
        <f>IFERROR(INDEX(Price_Update!$F:$F, MATCH(A98, Price_Update!$A:$A, 0)), 1082.7)</f>
        <v>1082.7</v>
      </c>
      <c r="O98" s="33">
        <f t="shared" si="4"/>
        <v>-36811.800000000003</v>
      </c>
      <c r="P98" s="33">
        <v>-14015.4</v>
      </c>
      <c r="Q98" s="33">
        <f t="shared" si="5"/>
        <v>7021</v>
      </c>
      <c r="R98" s="33">
        <f t="shared" si="6"/>
        <v>-6994.4</v>
      </c>
      <c r="S98" s="36">
        <f t="shared" si="7"/>
        <v>-0.14663189407216709</v>
      </c>
      <c r="T98" s="31">
        <v>268</v>
      </c>
      <c r="U98" s="31"/>
      <c r="V98" s="31" t="s">
        <v>106</v>
      </c>
      <c r="W98" s="31" t="s">
        <v>985</v>
      </c>
    </row>
    <row r="99" spans="1:23">
      <c r="A99" s="31" t="s">
        <v>654</v>
      </c>
      <c r="B99" s="31" t="s">
        <v>34</v>
      </c>
      <c r="C99" s="31" t="s">
        <v>64</v>
      </c>
      <c r="D99" s="31" t="s">
        <v>49</v>
      </c>
      <c r="E99" s="31" t="s">
        <v>98</v>
      </c>
      <c r="F99" s="31">
        <v>55</v>
      </c>
      <c r="G99" s="33">
        <v>29356.25</v>
      </c>
      <c r="H99" s="33">
        <v>533.75</v>
      </c>
      <c r="I99" s="31">
        <v>0</v>
      </c>
      <c r="J99" s="33">
        <v>0</v>
      </c>
      <c r="K99" s="33">
        <v>0</v>
      </c>
      <c r="L99" s="31">
        <v>55</v>
      </c>
      <c r="M99" s="33">
        <v>29356.25</v>
      </c>
      <c r="N99" s="33">
        <f ca="1">IFERROR(INDEX(Price_Update!$F:$F, MATCH(A99, Price_Update!$A:$A, 0)), 533.4)</f>
        <v>533.4</v>
      </c>
      <c r="O99" s="33">
        <f t="shared" ca="1" si="4"/>
        <v>29337</v>
      </c>
      <c r="P99" s="33">
        <v>0</v>
      </c>
      <c r="Q99" s="33">
        <f t="shared" ca="1" si="5"/>
        <v>-19.25</v>
      </c>
      <c r="R99" s="33">
        <f t="shared" ca="1" si="6"/>
        <v>-19.25</v>
      </c>
      <c r="S99" s="36">
        <f t="shared" ca="1" si="7"/>
        <v>-6.5573770491803279E-4</v>
      </c>
      <c r="T99" s="31">
        <v>2</v>
      </c>
      <c r="U99" s="31"/>
      <c r="V99" s="31" t="s">
        <v>106</v>
      </c>
      <c r="W99" s="31" t="s">
        <v>985</v>
      </c>
    </row>
    <row r="100" spans="1:23">
      <c r="A100" s="31" t="s">
        <v>533</v>
      </c>
      <c r="B100" s="31" t="s">
        <v>32</v>
      </c>
      <c r="C100" s="31" t="s">
        <v>58</v>
      </c>
      <c r="D100" s="31" t="s">
        <v>47</v>
      </c>
      <c r="E100" s="31"/>
      <c r="F100" s="31">
        <v>10</v>
      </c>
      <c r="G100" s="33">
        <v>100330</v>
      </c>
      <c r="H100" s="33">
        <v>10033</v>
      </c>
      <c r="I100" s="31">
        <v>10</v>
      </c>
      <c r="J100" s="33">
        <v>99010</v>
      </c>
      <c r="K100" s="33">
        <v>9901</v>
      </c>
      <c r="L100" s="31">
        <v>0</v>
      </c>
      <c r="M100" s="33">
        <v>0</v>
      </c>
      <c r="N100" s="33">
        <f>IFERROR(INDEX(Price_Update!$F:$F, MATCH(A100, Price_Update!$A:$A, 0)), 9375)</f>
        <v>9375</v>
      </c>
      <c r="O100" s="33">
        <f t="shared" si="4"/>
        <v>0</v>
      </c>
      <c r="P100" s="33">
        <v>-1320</v>
      </c>
      <c r="Q100" s="33">
        <f t="shared" si="5"/>
        <v>0</v>
      </c>
      <c r="R100" s="33">
        <f t="shared" si="6"/>
        <v>-1320</v>
      </c>
      <c r="S100" s="36">
        <f t="shared" si="7"/>
        <v>-1.3156583275191867E-2</v>
      </c>
      <c r="T100" s="31">
        <v>1</v>
      </c>
      <c r="U100" s="31"/>
      <c r="V100" s="31" t="s">
        <v>106</v>
      </c>
      <c r="W100" s="31" t="s">
        <v>984</v>
      </c>
    </row>
    <row r="101" spans="1:23">
      <c r="A101" s="31" t="s">
        <v>91</v>
      </c>
      <c r="B101" s="31" t="s">
        <v>34</v>
      </c>
      <c r="C101" s="31" t="s">
        <v>62</v>
      </c>
      <c r="D101" s="31" t="s">
        <v>47</v>
      </c>
      <c r="E101" s="31" t="s">
        <v>98</v>
      </c>
      <c r="F101" s="31">
        <v>46</v>
      </c>
      <c r="G101" s="33">
        <v>50250.400000000001</v>
      </c>
      <c r="H101" s="33">
        <v>1092.4000000000001</v>
      </c>
      <c r="I101" s="31">
        <v>0</v>
      </c>
      <c r="J101" s="33">
        <v>0</v>
      </c>
      <c r="K101" s="33">
        <v>0</v>
      </c>
      <c r="L101" s="31">
        <v>46</v>
      </c>
      <c r="M101" s="33">
        <v>50250.400000000001</v>
      </c>
      <c r="N101" s="33">
        <f ca="1">IFERROR(INDEX(Price_Update!$F:$F, MATCH(A101, Price_Update!$A:$A, 0)), 1076.6)</f>
        <v>1076.5999999999999</v>
      </c>
      <c r="O101" s="33">
        <f t="shared" ca="1" si="4"/>
        <v>49523.6</v>
      </c>
      <c r="P101" s="33">
        <v>0</v>
      </c>
      <c r="Q101" s="33">
        <f t="shared" ca="1" si="5"/>
        <v>-726.80000000000291</v>
      </c>
      <c r="R101" s="33">
        <f t="shared" ca="1" si="6"/>
        <v>-726.80000000000291</v>
      </c>
      <c r="S101" s="36">
        <f t="shared" ca="1" si="7"/>
        <v>-1.4463566459172522E-2</v>
      </c>
      <c r="T101" s="31">
        <v>3</v>
      </c>
      <c r="U101" s="31"/>
      <c r="V101" s="31" t="s">
        <v>106</v>
      </c>
      <c r="W101" s="31" t="s">
        <v>985</v>
      </c>
    </row>
  </sheetData>
  <autoFilter ref="A1:BX101" xr:uid="{00000000-0001-0000-0700-000000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2"/>
  <sheetViews>
    <sheetView topLeftCell="B1" workbookViewId="0">
      <selection activeCell="K3" sqref="K3"/>
    </sheetView>
  </sheetViews>
  <sheetFormatPr defaultRowHeight="15"/>
  <cols>
    <col min="1" max="1" width="13.28515625" bestFit="1" customWidth="1"/>
    <col min="2" max="2" width="75.140625" customWidth="1"/>
    <col min="3" max="3" width="18.5703125" customWidth="1"/>
    <col min="4" max="4" width="23.42578125" customWidth="1"/>
    <col min="5" max="5" width="19.85546875" customWidth="1"/>
    <col min="6" max="6" width="17.7109375" customWidth="1"/>
    <col min="7" max="7" width="23.140625" customWidth="1"/>
    <col min="8" max="8" width="19.5703125" customWidth="1"/>
    <col min="9" max="9" width="19.5703125" bestFit="1" customWidth="1"/>
    <col min="10" max="10" width="16" customWidth="1"/>
    <col min="11" max="11" width="15.85546875" customWidth="1"/>
    <col min="12" max="12" width="20.5703125" customWidth="1"/>
  </cols>
  <sheetData>
    <row r="1" spans="1:12">
      <c r="E1" s="1">
        <f>SUM(E3:E30)</f>
        <v>2069783.0000000002</v>
      </c>
      <c r="G1" s="1">
        <f ca="1">SUM(G3:G30)</f>
        <v>2255727.0000000005</v>
      </c>
      <c r="H1" s="1">
        <f ca="1">SUM(H3:H30)</f>
        <v>185943.99999999997</v>
      </c>
    </row>
    <row r="2" spans="1:12">
      <c r="A2" t="s">
        <v>41</v>
      </c>
      <c r="B2" t="s">
        <v>111</v>
      </c>
      <c r="C2" t="s">
        <v>234</v>
      </c>
      <c r="D2" t="s">
        <v>988</v>
      </c>
      <c r="E2" t="s">
        <v>114</v>
      </c>
      <c r="F2" t="s">
        <v>82</v>
      </c>
      <c r="G2" t="s">
        <v>115</v>
      </c>
      <c r="H2" t="s">
        <v>989</v>
      </c>
      <c r="I2" t="s">
        <v>990</v>
      </c>
      <c r="J2" t="s">
        <v>991</v>
      </c>
      <c r="K2" t="s">
        <v>992</v>
      </c>
      <c r="L2" t="s">
        <v>993</v>
      </c>
    </row>
    <row r="3" spans="1:12">
      <c r="A3" s="31" t="s">
        <v>76</v>
      </c>
      <c r="B3" s="31" t="e" vm="10">
        <v>#VALUE!</v>
      </c>
      <c r="C3" s="31">
        <v>28</v>
      </c>
      <c r="D3" s="33">
        <v>2802.75</v>
      </c>
      <c r="E3" s="1">
        <f>C3*D3</f>
        <v>78477</v>
      </c>
      <c r="F3" s="1">
        <f t="array" aca="1" ref="F3" ca="1">_FV(B3,"Price")</f>
        <v>3135.7</v>
      </c>
      <c r="G3" s="1">
        <f t="shared" ref="G3:G62" ca="1" si="0">C3*F3</f>
        <v>87799.599999999991</v>
      </c>
      <c r="H3" s="1">
        <f t="shared" ref="H3:H62" ca="1" si="1">G3-E3</f>
        <v>9322.5999999999913</v>
      </c>
      <c r="I3" s="1">
        <f t="array" aca="1" ref="I3" ca="1">_FV(B3,"Previous close",TRUE)</f>
        <v>3037.6</v>
      </c>
      <c r="J3" s="79">
        <f ca="1">(F3-I3)/I3</f>
        <v>3.2295233078746349E-2</v>
      </c>
      <c r="K3" s="1">
        <v>2457</v>
      </c>
      <c r="L3" s="1">
        <v>577.79999999999995</v>
      </c>
    </row>
    <row r="4" spans="1:12">
      <c r="A4" s="55" t="s">
        <v>659</v>
      </c>
      <c r="B4" s="55" t="e" vm="9">
        <v>#VALUE!</v>
      </c>
      <c r="C4" s="31">
        <v>6</v>
      </c>
      <c r="D4" s="33">
        <v>4554.1000000000004</v>
      </c>
      <c r="E4" s="1">
        <f t="shared" ref="E4:E62" si="2">C4*D4</f>
        <v>27324.600000000002</v>
      </c>
      <c r="F4" s="1">
        <f t="array" aca="1" ref="F4" ca="1">_FV(B4,"Price")</f>
        <v>4521.3</v>
      </c>
      <c r="G4" s="1">
        <f t="shared" ca="1" si="0"/>
        <v>27127.800000000003</v>
      </c>
      <c r="H4" s="1">
        <f t="shared" ca="1" si="1"/>
        <v>-196.79999999999927</v>
      </c>
      <c r="I4" s="1">
        <f t="array" aca="1" ref="I4" ca="1">_FV(B4,"Previous close",TRUE)</f>
        <v>4552.3</v>
      </c>
      <c r="J4" s="79">
        <f t="shared" ref="J4:J62" ca="1" si="3">(F4-I4)/I4</f>
        <v>-6.8097445247457325E-3</v>
      </c>
      <c r="K4" s="1">
        <v>2454.48</v>
      </c>
      <c r="L4" s="1">
        <v>514.82000000000005</v>
      </c>
    </row>
    <row r="5" spans="1:12">
      <c r="A5" s="53" t="s">
        <v>661</v>
      </c>
      <c r="B5" s="53" t="e" vm="12">
        <v>#VALUE!</v>
      </c>
      <c r="C5" s="31">
        <v>4</v>
      </c>
      <c r="D5" s="33">
        <v>12829</v>
      </c>
      <c r="E5" s="1">
        <f t="shared" si="2"/>
        <v>51316</v>
      </c>
      <c r="F5" s="1">
        <f t="array" aca="1" ref="F5" ca="1">_FV(B5,"Price")</f>
        <v>13538</v>
      </c>
      <c r="G5" s="1">
        <f t="shared" ca="1" si="0"/>
        <v>54152</v>
      </c>
      <c r="H5" s="1">
        <f t="shared" ca="1" si="1"/>
        <v>2836</v>
      </c>
      <c r="I5" s="1">
        <f t="array" aca="1" ref="I5" ca="1">_FV(B5,"Previous close",TRUE)</f>
        <v>13270</v>
      </c>
      <c r="J5" s="79">
        <f t="shared" ca="1" si="3"/>
        <v>2.0195930670685758E-2</v>
      </c>
      <c r="K5" s="1">
        <v>2821.19</v>
      </c>
      <c r="L5" s="1">
        <v>275.91000000000003</v>
      </c>
    </row>
    <row r="6" spans="1:12">
      <c r="A6" s="31" t="s">
        <v>80</v>
      </c>
      <c r="B6" s="31" t="e" vm="36">
        <v>#VALUE!</v>
      </c>
      <c r="C6" s="31">
        <v>96</v>
      </c>
      <c r="D6" s="33">
        <v>2100.8000000000002</v>
      </c>
      <c r="E6" s="1">
        <f t="shared" si="2"/>
        <v>201676.80000000002</v>
      </c>
      <c r="F6" s="1">
        <f t="array" aca="1" ref="F6" ca="1">_FV(B6,"Price")</f>
        <v>1805.4</v>
      </c>
      <c r="G6" s="1">
        <f t="shared" ca="1" si="0"/>
        <v>173318.40000000002</v>
      </c>
      <c r="H6" s="1">
        <f t="shared" ca="1" si="1"/>
        <v>-28358.399999999994</v>
      </c>
      <c r="I6" s="1">
        <f t="array" aca="1" ref="I6" ca="1">_FV(B6,"Previous close",TRUE)</f>
        <v>1769.2</v>
      </c>
      <c r="J6" s="79">
        <f t="shared" ca="1" si="3"/>
        <v>2.0461225412615896E-2</v>
      </c>
      <c r="K6" s="1">
        <v>2237.6</v>
      </c>
      <c r="L6" s="1">
        <v>-363.5</v>
      </c>
    </row>
    <row r="7" spans="1:12">
      <c r="A7" s="53" t="s">
        <v>656</v>
      </c>
      <c r="B7" s="53" t="e" vm="7">
        <v>#VALUE!</v>
      </c>
      <c r="C7" s="31">
        <v>3</v>
      </c>
      <c r="D7" s="33">
        <v>10344</v>
      </c>
      <c r="E7" s="1">
        <f t="shared" si="2"/>
        <v>31032</v>
      </c>
      <c r="F7" s="1">
        <f t="array" aca="1" ref="F7" ca="1">_FV(B7,"Price")</f>
        <v>10259</v>
      </c>
      <c r="G7" s="1">
        <f t="shared" ca="1" si="0"/>
        <v>30777</v>
      </c>
      <c r="H7" s="1">
        <f t="shared" ca="1" si="1"/>
        <v>-255</v>
      </c>
      <c r="I7" s="1">
        <f t="array" aca="1" ref="I7" ca="1">_FV(B7,"Previous close",TRUE)</f>
        <v>10281</v>
      </c>
      <c r="J7" s="79">
        <f t="shared" ca="1" si="3"/>
        <v>-2.1398696624841942E-3</v>
      </c>
      <c r="K7" s="1">
        <v>289.54000000000002</v>
      </c>
      <c r="L7" s="1">
        <v>122.56</v>
      </c>
    </row>
    <row r="8" spans="1:12">
      <c r="A8" s="54" t="s">
        <v>75</v>
      </c>
      <c r="B8" s="54" t="e" vm="154">
        <v>#VALUE!</v>
      </c>
      <c r="C8" s="31">
        <v>30</v>
      </c>
      <c r="D8" s="33">
        <v>3359</v>
      </c>
      <c r="E8" s="1">
        <f t="shared" si="2"/>
        <v>100770</v>
      </c>
      <c r="F8" s="1">
        <f t="array" aca="1" ref="F8" ca="1">_FV(B8,"Price")</f>
        <v>3966.1</v>
      </c>
      <c r="G8" s="1">
        <f t="shared" ca="1" si="0"/>
        <v>118983</v>
      </c>
      <c r="H8" s="1">
        <f t="shared" ca="1" si="1"/>
        <v>18213</v>
      </c>
      <c r="I8" s="1">
        <f t="array" aca="1" ref="I8" ca="1">_FV(B8,"Previous close",TRUE)</f>
        <v>3931.9</v>
      </c>
      <c r="J8" s="79">
        <f t="shared" ca="1" si="3"/>
        <v>8.6980848953431712E-3</v>
      </c>
      <c r="K8" s="1">
        <v>1027.3900000000001</v>
      </c>
      <c r="L8" s="1">
        <v>329.61</v>
      </c>
    </row>
    <row r="9" spans="1:12">
      <c r="A9" s="53" t="s">
        <v>672</v>
      </c>
      <c r="B9" s="53" t="e" vm="28">
        <v>#VALUE!</v>
      </c>
      <c r="C9" s="31">
        <v>15</v>
      </c>
      <c r="D9" s="33">
        <v>1972.4</v>
      </c>
      <c r="E9" s="1">
        <f t="shared" si="2"/>
        <v>29586</v>
      </c>
      <c r="F9" s="1">
        <f t="array" aca="1" ref="F9" ca="1">_FV(B9,"Price")</f>
        <v>1972.9</v>
      </c>
      <c r="G9" s="1">
        <f t="shared" ca="1" si="0"/>
        <v>29593.5</v>
      </c>
      <c r="H9" s="1">
        <f t="shared" ca="1" si="1"/>
        <v>7.5</v>
      </c>
      <c r="I9" s="1">
        <f t="array" aca="1" ref="I9" ca="1">_FV(B9,"Previous close",TRUE)</f>
        <v>1988.1</v>
      </c>
      <c r="J9" s="79">
        <f t="shared" ca="1" si="3"/>
        <v>-7.6454906694833355E-3</v>
      </c>
      <c r="K9" s="1">
        <v>1355.04</v>
      </c>
      <c r="L9" s="1">
        <v>106.16</v>
      </c>
    </row>
    <row r="10" spans="1:12">
      <c r="A10" s="53" t="s">
        <v>648</v>
      </c>
      <c r="B10" s="53" t="e" vm="1">
        <v>#VALUE!</v>
      </c>
      <c r="C10" s="31">
        <v>27</v>
      </c>
      <c r="D10" s="33">
        <v>1101.3</v>
      </c>
      <c r="E10" s="1">
        <f t="shared" si="2"/>
        <v>29735.1</v>
      </c>
      <c r="F10" s="1">
        <f t="array" aca="1" ref="F10" ca="1">_FV(B10,"Price")</f>
        <v>1138</v>
      </c>
      <c r="G10" s="1">
        <f t="shared" ca="1" si="0"/>
        <v>30726</v>
      </c>
      <c r="H10" s="1">
        <f t="shared" ca="1" si="1"/>
        <v>990.90000000000146</v>
      </c>
      <c r="I10" s="1">
        <f t="array" aca="1" ref="I10" ca="1">_FV(B10,"Previous close",TRUE)</f>
        <v>1113.5</v>
      </c>
      <c r="J10" s="79">
        <f t="shared" ca="1" si="3"/>
        <v>2.2002694207453974E-2</v>
      </c>
      <c r="K10" s="1">
        <v>1586.05</v>
      </c>
      <c r="L10" s="1">
        <v>287.35000000000002</v>
      </c>
    </row>
    <row r="11" spans="1:12">
      <c r="A11" s="52" t="s">
        <v>77</v>
      </c>
      <c r="B11" s="52" t="e" vm="54">
        <v>#VALUE!</v>
      </c>
      <c r="C11" s="31">
        <v>49</v>
      </c>
      <c r="D11" s="33">
        <v>1033.1600000000001</v>
      </c>
      <c r="E11" s="1">
        <f t="shared" si="2"/>
        <v>50624.840000000004</v>
      </c>
      <c r="F11" s="1">
        <f t="array" aca="1" ref="F11" ca="1">_FV(B11,"Price")</f>
        <v>1078.2</v>
      </c>
      <c r="G11" s="1">
        <f t="shared" ca="1" si="0"/>
        <v>52831.8</v>
      </c>
      <c r="H11" s="1">
        <f t="shared" ca="1" si="1"/>
        <v>2206.9599999999991</v>
      </c>
      <c r="I11" s="1">
        <f t="array" aca="1" ref="I11" ca="1">_FV(B11,"Previous close",TRUE)</f>
        <v>1070.5</v>
      </c>
      <c r="J11" s="79">
        <f t="shared" ca="1" si="3"/>
        <v>7.192900513778651E-3</v>
      </c>
      <c r="K11" s="1">
        <v>3023.1</v>
      </c>
      <c r="L11" s="1">
        <v>1380.2</v>
      </c>
    </row>
    <row r="12" spans="1:12">
      <c r="A12" s="31" t="s">
        <v>662</v>
      </c>
      <c r="B12" s="31" t="e" vm="13">
        <v>#VALUE!</v>
      </c>
      <c r="C12" s="31">
        <v>6</v>
      </c>
      <c r="D12" s="33">
        <v>8958</v>
      </c>
      <c r="E12" s="1">
        <f t="shared" si="2"/>
        <v>53748</v>
      </c>
      <c r="F12" s="1">
        <f t="array" aca="1" ref="F12" ca="1">_FV(B12,"Price")</f>
        <v>8898.5</v>
      </c>
      <c r="G12" s="1">
        <f t="shared" ca="1" si="0"/>
        <v>53391</v>
      </c>
      <c r="H12" s="1">
        <f t="shared" ca="1" si="1"/>
        <v>-357</v>
      </c>
      <c r="I12" s="1">
        <f t="array" aca="1" ref="I12" ca="1">_FV(B12,"Previous close",TRUE)</f>
        <v>8979</v>
      </c>
      <c r="J12" s="79">
        <f t="shared" ca="1" si="3"/>
        <v>-8.9653636262390021E-3</v>
      </c>
      <c r="K12" s="1">
        <v>929.84</v>
      </c>
      <c r="L12" s="1">
        <v>134.06</v>
      </c>
    </row>
    <row r="13" spans="1:12">
      <c r="A13" s="54" t="s">
        <v>214</v>
      </c>
      <c r="B13" s="54" t="e" vm="15">
        <v>#VALUE!</v>
      </c>
      <c r="C13" s="31">
        <v>685</v>
      </c>
      <c r="D13" s="33">
        <v>42.36</v>
      </c>
      <c r="E13" s="1">
        <f t="shared" si="2"/>
        <v>29016.6</v>
      </c>
      <c r="F13" s="1">
        <f t="array" aca="1" ref="F13" ca="1">_FV(B13,"Price")</f>
        <v>43.54</v>
      </c>
      <c r="G13" s="1">
        <f t="shared" ca="1" si="0"/>
        <v>29824.899999999998</v>
      </c>
      <c r="H13" s="1">
        <f t="shared" ca="1" si="1"/>
        <v>808.29999999999927</v>
      </c>
      <c r="I13" s="1">
        <f t="array" aca="1" ref="I13" ca="1">_FV(B13,"Previous close",TRUE)</f>
        <v>42.36</v>
      </c>
      <c r="J13" s="79">
        <f t="shared" ca="1" si="3"/>
        <v>2.7856468366383374E-2</v>
      </c>
      <c r="K13" s="1">
        <v>720.73</v>
      </c>
      <c r="L13" s="1">
        <v>158.41999999999999</v>
      </c>
    </row>
    <row r="14" spans="1:12">
      <c r="A14" s="52" t="s">
        <v>69</v>
      </c>
      <c r="B14" s="52" t="e" vm="58">
        <v>#VALUE!</v>
      </c>
      <c r="C14" s="31">
        <v>1172</v>
      </c>
      <c r="D14" s="33">
        <v>256.22000000000003</v>
      </c>
      <c r="E14" s="1">
        <f t="shared" si="2"/>
        <v>300289.84000000003</v>
      </c>
      <c r="F14" s="1">
        <f t="array" aca="1" ref="F14" ca="1">_FV(B14,"Price")</f>
        <v>301.05</v>
      </c>
      <c r="G14" s="1">
        <f t="shared" ca="1" si="0"/>
        <v>352830.60000000003</v>
      </c>
      <c r="H14" s="1">
        <f t="shared" ca="1" si="1"/>
        <v>52540.760000000009</v>
      </c>
      <c r="I14" s="1">
        <f t="array" aca="1" ref="I14" ca="1">_FV(B14,"Previous close",TRUE)</f>
        <v>293.05</v>
      </c>
      <c r="J14" s="79">
        <f t="shared" ca="1" si="3"/>
        <v>2.7299095717454359E-2</v>
      </c>
      <c r="K14" s="1">
        <v>82.79</v>
      </c>
      <c r="L14" s="1">
        <v>45.05</v>
      </c>
    </row>
    <row r="15" spans="1:12">
      <c r="A15" s="31" t="s">
        <v>71</v>
      </c>
      <c r="B15" s="31" t="e" vm="31">
        <v>#VALUE!</v>
      </c>
      <c r="C15" s="31">
        <v>55</v>
      </c>
      <c r="D15" s="33">
        <v>4155.8500000000004</v>
      </c>
      <c r="E15" s="1">
        <f t="shared" si="2"/>
        <v>228571.75000000003</v>
      </c>
      <c r="F15" s="1">
        <f t="array" aca="1" ref="F15" ca="1">_FV(B15,"Price")</f>
        <v>4964.5</v>
      </c>
      <c r="G15" s="1">
        <f t="shared" ca="1" si="0"/>
        <v>273047.5</v>
      </c>
      <c r="H15" s="1">
        <f t="shared" ca="1" si="1"/>
        <v>44475.749999999971</v>
      </c>
      <c r="I15" s="1">
        <f t="array" aca="1" ref="I15" ca="1">_FV(B15,"Previous close",TRUE)</f>
        <v>4781</v>
      </c>
      <c r="J15" s="79">
        <f t="shared" ca="1" si="3"/>
        <v>3.8381091821794604E-2</v>
      </c>
      <c r="K15" s="1">
        <v>260.10000000000002</v>
      </c>
      <c r="L15" s="1">
        <v>30.1</v>
      </c>
    </row>
    <row r="16" spans="1:12">
      <c r="A16" s="31" t="s">
        <v>248</v>
      </c>
      <c r="B16" s="31" t="e" vm="2">
        <v>#VALUE!</v>
      </c>
      <c r="C16" s="31">
        <v>37</v>
      </c>
      <c r="D16" s="33">
        <v>865.69</v>
      </c>
      <c r="E16" s="1">
        <f t="shared" si="2"/>
        <v>32030.530000000002</v>
      </c>
      <c r="F16" s="1">
        <f t="array" aca="1" ref="F16" ca="1">_FV(B16,"Price")</f>
        <v>786.25</v>
      </c>
      <c r="G16" s="1">
        <f t="shared" ca="1" si="0"/>
        <v>29091.25</v>
      </c>
      <c r="H16" s="1">
        <f t="shared" ca="1" si="1"/>
        <v>-2939.2800000000025</v>
      </c>
      <c r="I16" s="1">
        <f t="array" aca="1" ref="I16" ca="1">_FV(B16,"Previous close",TRUE)</f>
        <v>802.7</v>
      </c>
      <c r="J16" s="79">
        <f t="shared" ca="1" si="3"/>
        <v>-2.0493334994393975E-2</v>
      </c>
      <c r="K16" s="1">
        <v>124.88</v>
      </c>
      <c r="L16" s="1">
        <v>37.56</v>
      </c>
    </row>
    <row r="17" spans="1:12">
      <c r="A17" s="31" t="s">
        <v>248</v>
      </c>
      <c r="B17" s="31" t="e" vm="2">
        <v>#VALUE!</v>
      </c>
      <c r="C17" s="31">
        <v>37</v>
      </c>
      <c r="D17" s="33">
        <v>865.69</v>
      </c>
      <c r="E17" s="1">
        <f t="shared" si="2"/>
        <v>32030.530000000002</v>
      </c>
      <c r="F17" s="1">
        <f t="array" aca="1" ref="F17" ca="1">_FV(B17,"Price")</f>
        <v>786.25</v>
      </c>
      <c r="G17" s="1">
        <f t="shared" ca="1" si="0"/>
        <v>29091.25</v>
      </c>
      <c r="H17" s="1">
        <f t="shared" ca="1" si="1"/>
        <v>-2939.2800000000025</v>
      </c>
      <c r="I17" s="1">
        <f t="array" aca="1" ref="I17" ca="1">_FV(B17,"Previous close",TRUE)</f>
        <v>802.7</v>
      </c>
      <c r="J17" s="79">
        <f t="shared" ca="1" si="3"/>
        <v>-2.0493334994393975E-2</v>
      </c>
      <c r="K17" s="1">
        <v>250.87</v>
      </c>
      <c r="L17" s="1">
        <v>34.53</v>
      </c>
    </row>
    <row r="18" spans="1:12">
      <c r="A18" s="31" t="s">
        <v>664</v>
      </c>
      <c r="B18" s="31" t="e" vm="16">
        <v>#VALUE!</v>
      </c>
      <c r="C18" s="31">
        <v>6</v>
      </c>
      <c r="D18" s="33">
        <v>5189</v>
      </c>
      <c r="E18" s="1">
        <f t="shared" si="2"/>
        <v>31134</v>
      </c>
      <c r="F18" s="1">
        <f t="array" aca="1" ref="F18" ca="1">_FV(B18,"Price")</f>
        <v>5222</v>
      </c>
      <c r="G18" s="1">
        <f t="shared" ca="1" si="0"/>
        <v>31332</v>
      </c>
      <c r="H18" s="1">
        <f t="shared" ca="1" si="1"/>
        <v>198</v>
      </c>
      <c r="I18" s="1">
        <f t="array" aca="1" ref="I18" ca="1">_FV(B18,"Previous close",TRUE)</f>
        <v>5261.5</v>
      </c>
      <c r="J18" s="79">
        <f t="shared" ca="1" si="3"/>
        <v>-7.5073648199182746E-3</v>
      </c>
      <c r="K18" s="1">
        <v>3676.8</v>
      </c>
      <c r="L18" s="1">
        <v>1171.5</v>
      </c>
    </row>
    <row r="19" spans="1:12">
      <c r="A19" s="31" t="s">
        <v>665</v>
      </c>
      <c r="B19" s="31" t="e" vm="17">
        <v>#VALUE!</v>
      </c>
      <c r="C19" s="31">
        <v>43</v>
      </c>
      <c r="D19" s="33">
        <v>679.8</v>
      </c>
      <c r="E19" s="1">
        <f t="shared" si="2"/>
        <v>29231.399999999998</v>
      </c>
      <c r="F19" s="1">
        <f t="array" aca="1" ref="F19" ca="1">_FV(B19,"Price")</f>
        <v>682.65</v>
      </c>
      <c r="G19" s="1">
        <f t="shared" ca="1" si="0"/>
        <v>29353.95</v>
      </c>
      <c r="H19" s="1">
        <f t="shared" ca="1" si="1"/>
        <v>122.55000000000291</v>
      </c>
      <c r="I19" s="1">
        <f t="array" aca="1" ref="I19" ca="1">_FV(B19,"Previous close",TRUE)</f>
        <v>686.45</v>
      </c>
      <c r="J19" s="79">
        <f t="shared" ca="1" si="3"/>
        <v>-5.5357272925924215E-3</v>
      </c>
      <c r="K19" s="1">
        <v>843.31</v>
      </c>
      <c r="L19" s="1">
        <v>260.49</v>
      </c>
    </row>
    <row r="20" spans="1:12">
      <c r="A20" s="52" t="s">
        <v>663</v>
      </c>
      <c r="B20" s="52" t="e" vm="14">
        <v>#VALUE!</v>
      </c>
      <c r="C20" s="31">
        <v>18</v>
      </c>
      <c r="D20" s="33">
        <v>1562.2</v>
      </c>
      <c r="E20" s="1">
        <f t="shared" si="2"/>
        <v>28119.600000000002</v>
      </c>
      <c r="F20" s="1">
        <f t="array" aca="1" ref="F20" ca="1">_FV(B20,"Price")</f>
        <v>1569.6</v>
      </c>
      <c r="G20" s="1">
        <f t="shared" ca="1" si="0"/>
        <v>28252.799999999999</v>
      </c>
      <c r="H20" s="1">
        <f t="shared" ca="1" si="1"/>
        <v>133.19999999999709</v>
      </c>
      <c r="I20" s="1">
        <f t="array" aca="1" ref="I20" ca="1">_FV(B20,"Previous close",TRUE)</f>
        <v>1561</v>
      </c>
      <c r="J20" s="79">
        <f t="shared" ca="1" si="3"/>
        <v>5.5092889173606078E-3</v>
      </c>
      <c r="K20" s="1">
        <v>1192.95</v>
      </c>
      <c r="L20" s="1">
        <v>180.95</v>
      </c>
    </row>
    <row r="21" spans="1:12">
      <c r="A21" s="31" t="s">
        <v>79</v>
      </c>
      <c r="B21" s="31" t="e" vm="57">
        <v>#VALUE!</v>
      </c>
      <c r="C21" s="31">
        <v>16</v>
      </c>
      <c r="D21" s="33">
        <v>3127</v>
      </c>
      <c r="E21" s="1">
        <f t="shared" si="2"/>
        <v>50032</v>
      </c>
      <c r="F21" s="1">
        <f t="array" aca="1" ref="F21" ca="1">_FV(B21,"Price")</f>
        <v>3011.1</v>
      </c>
      <c r="G21" s="1">
        <f t="shared" ca="1" si="0"/>
        <v>48177.599999999999</v>
      </c>
      <c r="H21" s="1">
        <f t="shared" ca="1" si="1"/>
        <v>-1854.4000000000015</v>
      </c>
      <c r="I21" s="1">
        <f t="array" aca="1" ref="I21" ca="1">_FV(B21,"Previous close",TRUE)</f>
        <v>2998.3</v>
      </c>
      <c r="J21" s="79">
        <f t="shared" ca="1" si="3"/>
        <v>4.2690858152952425E-3</v>
      </c>
      <c r="K21" s="1">
        <v>2814.3</v>
      </c>
      <c r="L21" s="1">
        <v>293</v>
      </c>
    </row>
    <row r="22" spans="1:12">
      <c r="A22" s="54" t="s">
        <v>260</v>
      </c>
      <c r="B22" s="54" t="e" vm="25">
        <v>#VALUE!</v>
      </c>
      <c r="C22" s="31">
        <v>54</v>
      </c>
      <c r="D22" s="33">
        <v>544.58000000000004</v>
      </c>
      <c r="E22" s="1">
        <f t="shared" si="2"/>
        <v>29407.320000000003</v>
      </c>
      <c r="F22" s="1">
        <f t="array" aca="1" ref="F22" ca="1">_FV(B22,"Price")</f>
        <v>536.15</v>
      </c>
      <c r="G22" s="1">
        <f t="shared" ca="1" si="0"/>
        <v>28952.1</v>
      </c>
      <c r="H22" s="1">
        <f t="shared" ca="1" si="1"/>
        <v>-455.2200000000048</v>
      </c>
      <c r="I22" s="1">
        <f t="array" aca="1" ref="I22" ca="1">_FV(B22,"Previous close",TRUE)</f>
        <v>541.5</v>
      </c>
      <c r="J22" s="79">
        <f t="shared" ca="1" si="3"/>
        <v>-9.8799630655586751E-3</v>
      </c>
      <c r="K22" s="1">
        <v>76.040000000000006</v>
      </c>
      <c r="L22" s="1">
        <v>14.63</v>
      </c>
    </row>
    <row r="23" spans="1:12">
      <c r="A23" s="54" t="s">
        <v>260</v>
      </c>
      <c r="B23" s="54" t="e" vm="25">
        <v>#VALUE!</v>
      </c>
      <c r="C23" s="31">
        <v>54</v>
      </c>
      <c r="D23" s="33">
        <v>544.58000000000004</v>
      </c>
      <c r="E23" s="1">
        <f t="shared" si="2"/>
        <v>29407.320000000003</v>
      </c>
      <c r="F23" s="1">
        <f t="array" aca="1" ref="F23" ca="1">_FV(B23,"Price")</f>
        <v>536.15</v>
      </c>
      <c r="G23" s="1">
        <f t="shared" ca="1" si="0"/>
        <v>28952.1</v>
      </c>
      <c r="H23" s="1">
        <f t="shared" ca="1" si="1"/>
        <v>-455.2200000000048</v>
      </c>
      <c r="I23" s="1">
        <f t="array" aca="1" ref="I23" ca="1">_FV(B23,"Previous close",TRUE)</f>
        <v>541.5</v>
      </c>
      <c r="J23" s="79">
        <f t="shared" ca="1" si="3"/>
        <v>-9.8799630655586751E-3</v>
      </c>
      <c r="K23" s="1">
        <v>340.17</v>
      </c>
      <c r="L23" s="1">
        <v>44.43</v>
      </c>
    </row>
    <row r="24" spans="1:12">
      <c r="A24" s="54" t="s">
        <v>671</v>
      </c>
      <c r="B24" s="54" t="e" vm="26">
        <v>#VALUE!</v>
      </c>
      <c r="C24" s="31">
        <v>4</v>
      </c>
      <c r="D24" s="33">
        <v>7050</v>
      </c>
      <c r="E24" s="1">
        <f t="shared" si="2"/>
        <v>28200</v>
      </c>
      <c r="F24" s="1">
        <f t="array" aca="1" ref="F24" ca="1">_FV(B24,"Price")</f>
        <v>7035.5</v>
      </c>
      <c r="G24" s="1">
        <f t="shared" ca="1" si="0"/>
        <v>28142</v>
      </c>
      <c r="H24" s="1">
        <f t="shared" ca="1" si="1"/>
        <v>-58</v>
      </c>
      <c r="I24" s="1">
        <f t="array" aca="1" ref="I24" ca="1">_FV(B24,"Previous close",TRUE)</f>
        <v>7052</v>
      </c>
      <c r="J24" s="79">
        <f t="shared" ca="1" si="3"/>
        <v>-2.3397617697107202E-3</v>
      </c>
      <c r="K24" s="1">
        <v>1280.3499999999999</v>
      </c>
      <c r="L24" s="1">
        <v>113.65</v>
      </c>
    </row>
    <row r="25" spans="1:12">
      <c r="A25" s="31" t="s">
        <v>195</v>
      </c>
      <c r="B25" s="31" t="e" vm="27">
        <v>#VALUE!</v>
      </c>
      <c r="C25" s="31">
        <v>11</v>
      </c>
      <c r="D25" s="33">
        <v>2660</v>
      </c>
      <c r="E25" s="1">
        <f t="shared" si="2"/>
        <v>29260</v>
      </c>
      <c r="F25" s="1">
        <f t="array" aca="1" ref="F25" ca="1">_FV(B25,"Price")</f>
        <v>2645.1</v>
      </c>
      <c r="G25" s="1">
        <f t="shared" ca="1" si="0"/>
        <v>29096.1</v>
      </c>
      <c r="H25" s="1">
        <f t="shared" ca="1" si="1"/>
        <v>-163.90000000000146</v>
      </c>
      <c r="I25" s="1">
        <f t="array" aca="1" ref="I25" ca="1">_FV(B25,"Previous close",TRUE)</f>
        <v>2654.5</v>
      </c>
      <c r="J25" s="79">
        <f t="shared" ca="1" si="3"/>
        <v>-3.5411565266528877E-3</v>
      </c>
      <c r="K25" s="1">
        <v>8833.94</v>
      </c>
      <c r="L25" s="1">
        <v>779.56</v>
      </c>
    </row>
    <row r="26" spans="1:12">
      <c r="A26" s="31" t="s">
        <v>666</v>
      </c>
      <c r="B26" s="31" t="e" vm="18">
        <v>#VALUE!</v>
      </c>
      <c r="C26" s="31">
        <v>15</v>
      </c>
      <c r="D26" s="33">
        <v>1910.65</v>
      </c>
      <c r="E26" s="1">
        <f t="shared" si="2"/>
        <v>28659.75</v>
      </c>
      <c r="F26" s="1">
        <f t="array" aca="1" ref="F26" ca="1">_FV(B26,"Price")</f>
        <v>1980.6</v>
      </c>
      <c r="G26" s="1">
        <f t="shared" ca="1" si="0"/>
        <v>29709</v>
      </c>
      <c r="H26" s="1">
        <f t="shared" ca="1" si="1"/>
        <v>1049.25</v>
      </c>
      <c r="I26" s="1">
        <f t="array" aca="1" ref="I26" ca="1">_FV(B26,"Previous close",TRUE)</f>
        <v>1934.2</v>
      </c>
      <c r="J26" s="79">
        <f t="shared" ca="1" si="3"/>
        <v>2.3989246199979247E-2</v>
      </c>
      <c r="K26" s="1">
        <v>1218.48</v>
      </c>
      <c r="L26" s="1">
        <v>376.72</v>
      </c>
    </row>
    <row r="27" spans="1:12">
      <c r="A27" s="53" t="s">
        <v>660</v>
      </c>
      <c r="B27" s="53" t="e" vm="11">
        <v>#VALUE!</v>
      </c>
      <c r="C27" s="31">
        <v>3</v>
      </c>
      <c r="D27" s="33">
        <v>10301</v>
      </c>
      <c r="E27" s="1">
        <f t="shared" si="2"/>
        <v>30903</v>
      </c>
      <c r="F27" s="1">
        <f t="array" aca="1" ref="F27" ca="1">_FV(B27,"Price")</f>
        <v>9997.5</v>
      </c>
      <c r="G27" s="1">
        <f t="shared" ca="1" si="0"/>
        <v>29992.5</v>
      </c>
      <c r="H27" s="1">
        <f t="shared" ca="1" si="1"/>
        <v>-910.5</v>
      </c>
      <c r="I27" s="1">
        <f t="array" aca="1" ref="I27" ca="1">_FV(B27,"Previous close",TRUE)</f>
        <v>10344.5</v>
      </c>
      <c r="J27" s="79">
        <f t="shared" ca="1" si="3"/>
        <v>-3.3544395572526461E-2</v>
      </c>
      <c r="K27" s="1">
        <v>575.28</v>
      </c>
      <c r="L27" s="1">
        <v>51.42</v>
      </c>
    </row>
    <row r="28" spans="1:12">
      <c r="A28" s="31" t="s">
        <v>68</v>
      </c>
      <c r="B28" s="31" t="e" vm="19">
        <v>#VALUE!</v>
      </c>
      <c r="C28" s="31">
        <v>53</v>
      </c>
      <c r="D28" s="33">
        <v>7825.34</v>
      </c>
      <c r="E28" s="1">
        <f t="shared" si="2"/>
        <v>414743.02</v>
      </c>
      <c r="F28" s="1">
        <f t="array" aca="1" ref="F28" ca="1">_FV(B28,"Price")</f>
        <v>9571.5</v>
      </c>
      <c r="G28" s="1">
        <f t="shared" ca="1" si="0"/>
        <v>507289.5</v>
      </c>
      <c r="H28" s="1">
        <f t="shared" ca="1" si="1"/>
        <v>92546.479999999981</v>
      </c>
      <c r="I28" s="1">
        <f t="array" aca="1" ref="I28" ca="1">_FV(B28,"Previous close",TRUE)</f>
        <v>9531.5</v>
      </c>
      <c r="J28" s="79">
        <f t="shared" ca="1" si="3"/>
        <v>4.1966112364265852E-3</v>
      </c>
      <c r="K28" s="1">
        <v>11718.9</v>
      </c>
      <c r="L28" s="1">
        <v>6760.1</v>
      </c>
    </row>
    <row r="29" spans="1:12">
      <c r="A29" s="53" t="s">
        <v>652</v>
      </c>
      <c r="B29" s="53" t="e" vm="4">
        <v>#VALUE!</v>
      </c>
      <c r="C29" s="31">
        <v>1</v>
      </c>
      <c r="D29" s="33">
        <v>35105</v>
      </c>
      <c r="E29" s="1">
        <f t="shared" si="2"/>
        <v>35105</v>
      </c>
      <c r="F29" s="1">
        <f t="array" aca="1" ref="F29" ca="1">_FV(B29,"Price")</f>
        <v>35190</v>
      </c>
      <c r="G29" s="1">
        <f t="shared" ca="1" si="0"/>
        <v>35190</v>
      </c>
      <c r="H29" s="1">
        <f t="shared" ca="1" si="1"/>
        <v>85</v>
      </c>
      <c r="I29" s="1">
        <f t="array" aca="1" ref="I29" ca="1">_FV(B29,"Previous close",TRUE)</f>
        <v>35105</v>
      </c>
      <c r="J29" s="79">
        <f t="shared" ca="1" si="3"/>
        <v>2.4213075060532689E-3</v>
      </c>
      <c r="K29" s="1">
        <v>1709.28</v>
      </c>
      <c r="L29" s="1">
        <v>131.52000000000001</v>
      </c>
    </row>
    <row r="30" spans="1:12">
      <c r="A30" s="31" t="s">
        <v>667</v>
      </c>
      <c r="B30" s="31" t="e" vm="20">
        <v>#VALUE!</v>
      </c>
      <c r="C30" s="31">
        <v>35</v>
      </c>
      <c r="D30" s="33">
        <v>838.6</v>
      </c>
      <c r="E30" s="1">
        <f t="shared" si="2"/>
        <v>29351</v>
      </c>
      <c r="F30" s="1">
        <f t="array" aca="1" ref="F30" ca="1">_FV(B30,"Price")</f>
        <v>820.05</v>
      </c>
      <c r="G30" s="1">
        <f t="shared" ca="1" si="0"/>
        <v>28701.75</v>
      </c>
      <c r="H30" s="1">
        <f t="shared" ca="1" si="1"/>
        <v>-649.25</v>
      </c>
      <c r="I30" s="1">
        <f t="array" aca="1" ref="I30" ca="1">_FV(B30,"Previous close",TRUE)</f>
        <v>842.65</v>
      </c>
      <c r="J30" s="79">
        <f t="shared" ca="1" si="3"/>
        <v>-2.6820150715006257E-2</v>
      </c>
      <c r="K30" s="1">
        <v>603.5</v>
      </c>
      <c r="L30" s="1">
        <v>102.8</v>
      </c>
    </row>
    <row r="31" spans="1:12">
      <c r="A31" t="s">
        <v>668</v>
      </c>
      <c r="B31" t="e" vm="21">
        <v>#VALUE!</v>
      </c>
      <c r="C31">
        <v>21</v>
      </c>
      <c r="D31">
        <v>1330.9</v>
      </c>
      <c r="E31" s="1">
        <f t="shared" si="2"/>
        <v>27948.9</v>
      </c>
      <c r="F31" s="1">
        <f t="array" aca="1" ref="F31" ca="1">_FV(B31,"Price")</f>
        <v>1354.2</v>
      </c>
      <c r="G31" s="1">
        <f t="shared" ca="1" si="0"/>
        <v>28438.2</v>
      </c>
      <c r="H31" s="1">
        <f t="shared" ca="1" si="1"/>
        <v>489.29999999999927</v>
      </c>
      <c r="I31" s="1">
        <f t="array" aca="1" ref="I31" ca="1">_FV(B31,"Previous close",TRUE)</f>
        <v>1341.4</v>
      </c>
      <c r="J31" s="79">
        <f t="shared" ca="1" si="3"/>
        <v>9.5422692709109542E-3</v>
      </c>
    </row>
    <row r="32" spans="1:12">
      <c r="A32" t="s">
        <v>669</v>
      </c>
      <c r="B32" t="e" vm="22">
        <v>#VALUE!</v>
      </c>
      <c r="C32">
        <v>40</v>
      </c>
      <c r="D32">
        <v>729.68</v>
      </c>
      <c r="E32" s="1">
        <f t="shared" si="2"/>
        <v>29187.199999999997</v>
      </c>
      <c r="F32" s="1">
        <f t="array" aca="1" ref="F32" ca="1">_FV(B32,"Price")</f>
        <v>723.9</v>
      </c>
      <c r="G32" s="1">
        <f t="shared" ca="1" si="0"/>
        <v>28956</v>
      </c>
      <c r="H32" s="1">
        <f t="shared" ca="1" si="1"/>
        <v>-231.19999999999709</v>
      </c>
      <c r="I32" s="1">
        <f t="array" aca="1" ref="I32" ca="1">_FV(B32,"Previous close",TRUE)</f>
        <v>734.55</v>
      </c>
      <c r="J32" s="79">
        <f t="shared" ca="1" si="3"/>
        <v>-1.449867265672858E-2</v>
      </c>
    </row>
    <row r="33" spans="1:10">
      <c r="A33" t="s">
        <v>516</v>
      </c>
      <c r="B33" t="e" vm="24">
        <v>#VALUE!</v>
      </c>
      <c r="C33">
        <v>4</v>
      </c>
      <c r="D33">
        <v>15640</v>
      </c>
      <c r="E33" s="1">
        <f t="shared" si="2"/>
        <v>62560</v>
      </c>
      <c r="F33" s="1">
        <f t="array" aca="1" ref="F33" ca="1">_FV(B33,"Price")</f>
        <v>18577</v>
      </c>
      <c r="G33" s="1">
        <f t="shared" ca="1" si="0"/>
        <v>74308</v>
      </c>
      <c r="H33" s="1">
        <f t="shared" ca="1" si="1"/>
        <v>11748</v>
      </c>
      <c r="I33" s="1">
        <f t="array" aca="1" ref="I33" ca="1">_FV(B33,"Previous close",TRUE)</f>
        <v>18386</v>
      </c>
      <c r="J33" s="79">
        <f t="shared" ca="1" si="3"/>
        <v>1.0388338953551615E-2</v>
      </c>
    </row>
    <row r="34" spans="1:10">
      <c r="A34" t="s">
        <v>516</v>
      </c>
      <c r="B34" t="e" vm="24">
        <v>#VALUE!</v>
      </c>
      <c r="C34">
        <v>4</v>
      </c>
      <c r="D34">
        <v>15640</v>
      </c>
      <c r="E34" s="1">
        <f t="shared" si="2"/>
        <v>62560</v>
      </c>
      <c r="F34" s="1">
        <f t="array" aca="1" ref="F34" ca="1">_FV(B34,"Price")</f>
        <v>18577</v>
      </c>
      <c r="G34" s="1">
        <f t="shared" ca="1" si="0"/>
        <v>74308</v>
      </c>
      <c r="H34" s="1">
        <f t="shared" ca="1" si="1"/>
        <v>11748</v>
      </c>
      <c r="I34" s="1">
        <f t="array" aca="1" ref="I34" ca="1">_FV(B34,"Previous close",TRUE)</f>
        <v>18386</v>
      </c>
      <c r="J34" s="79">
        <f t="shared" ca="1" si="3"/>
        <v>1.0388338953551615E-2</v>
      </c>
    </row>
    <row r="35" spans="1:10">
      <c r="A35" t="s">
        <v>143</v>
      </c>
      <c r="B35" t="e" vm="5">
        <v>#VALUE!</v>
      </c>
      <c r="C35">
        <v>26</v>
      </c>
      <c r="D35">
        <v>1152.9000000000001</v>
      </c>
      <c r="E35" s="1">
        <f t="shared" si="2"/>
        <v>29975.4</v>
      </c>
      <c r="F35" s="1">
        <f t="array" aca="1" ref="F35" ca="1">_FV(B35,"Price")</f>
        <v>1195.3</v>
      </c>
      <c r="G35" s="1">
        <f t="shared" ca="1" si="0"/>
        <v>31077.8</v>
      </c>
      <c r="H35" s="1">
        <f t="shared" ca="1" si="1"/>
        <v>1102.3999999999978</v>
      </c>
      <c r="I35" s="1">
        <f t="array" aca="1" ref="I35" ca="1">_FV(B35,"Previous close",TRUE)</f>
        <v>1166.8</v>
      </c>
      <c r="J35" s="79">
        <f t="shared" ca="1" si="3"/>
        <v>2.4425779910867331E-2</v>
      </c>
    </row>
    <row r="36" spans="1:10">
      <c r="A36" t="s">
        <v>67</v>
      </c>
      <c r="B36" t="e" vm="30">
        <v>#VALUE!</v>
      </c>
      <c r="C36">
        <v>321</v>
      </c>
      <c r="D36">
        <v>950.19</v>
      </c>
      <c r="E36" s="1">
        <f t="shared" si="2"/>
        <v>305010.99</v>
      </c>
      <c r="F36" s="1">
        <f t="array" aca="1" ref="F36" ca="1">_FV(B36,"Price")</f>
        <v>1286.3</v>
      </c>
      <c r="G36" s="1">
        <f t="shared" ca="1" si="0"/>
        <v>412902.3</v>
      </c>
      <c r="H36" s="1">
        <f t="shared" ca="1" si="1"/>
        <v>107891.31</v>
      </c>
      <c r="I36" s="1">
        <f t="array" aca="1" ref="I36" ca="1">_FV(B36,"Previous close",TRUE)</f>
        <v>1235</v>
      </c>
      <c r="J36" s="79">
        <f t="shared" ca="1" si="3"/>
        <v>4.1538461538461503E-2</v>
      </c>
    </row>
    <row r="37" spans="1:10">
      <c r="A37" t="s">
        <v>670</v>
      </c>
      <c r="B37" t="e" vm="23">
        <v>#VALUE!</v>
      </c>
      <c r="C37">
        <v>8</v>
      </c>
      <c r="D37">
        <v>3520.1</v>
      </c>
      <c r="E37" s="1">
        <f t="shared" si="2"/>
        <v>28160.799999999999</v>
      </c>
      <c r="F37" s="1">
        <f t="array" aca="1" ref="F37" ca="1">_FV(B37,"Price")</f>
        <v>3491.9</v>
      </c>
      <c r="G37" s="1">
        <f t="shared" ca="1" si="0"/>
        <v>27935.200000000001</v>
      </c>
      <c r="H37" s="1">
        <f t="shared" ca="1" si="1"/>
        <v>-225.59999999999854</v>
      </c>
      <c r="I37" s="1">
        <f t="array" aca="1" ref="I37" ca="1">_FV(B37,"Previous close",TRUE)</f>
        <v>3529.2</v>
      </c>
      <c r="J37" s="79">
        <f t="shared" ca="1" si="3"/>
        <v>-1.056896747138154E-2</v>
      </c>
    </row>
    <row r="38" spans="1:10">
      <c r="A38" t="s">
        <v>657</v>
      </c>
      <c r="B38" t="e" vm="8">
        <v>#VALUE!</v>
      </c>
      <c r="C38">
        <v>43</v>
      </c>
      <c r="D38">
        <v>663.75</v>
      </c>
      <c r="E38" s="1">
        <f t="shared" si="2"/>
        <v>28541.25</v>
      </c>
      <c r="F38" s="1">
        <f t="array" aca="1" ref="F38" ca="1">_FV(B38,"Price")</f>
        <v>659.85</v>
      </c>
      <c r="G38" s="1">
        <f t="shared" ca="1" si="0"/>
        <v>28373.55</v>
      </c>
      <c r="H38" s="1">
        <f t="shared" ca="1" si="1"/>
        <v>-167.70000000000073</v>
      </c>
      <c r="I38" s="1">
        <f t="array" aca="1" ref="I38" ca="1">_FV(B38,"Previous close",TRUE)</f>
        <v>672.3</v>
      </c>
      <c r="J38" s="79">
        <f t="shared" ca="1" si="3"/>
        <v>-1.8518518518518417E-2</v>
      </c>
    </row>
    <row r="39" spans="1:10">
      <c r="A39" t="s">
        <v>78</v>
      </c>
      <c r="B39" t="e" vm="29">
        <v>#VALUE!</v>
      </c>
      <c r="C39">
        <v>114</v>
      </c>
      <c r="D39">
        <v>690.34</v>
      </c>
      <c r="E39" s="1">
        <f t="shared" si="2"/>
        <v>78698.760000000009</v>
      </c>
      <c r="F39" s="1">
        <f t="array" aca="1" ref="F39" ca="1">_FV(B39,"Price")</f>
        <v>668.85</v>
      </c>
      <c r="G39" s="1">
        <f t="shared" ca="1" si="0"/>
        <v>76248.900000000009</v>
      </c>
      <c r="H39" s="1">
        <f t="shared" ca="1" si="1"/>
        <v>-2449.8600000000006</v>
      </c>
      <c r="I39" s="1">
        <f t="array" aca="1" ref="I39" ca="1">_FV(B39,"Previous close",TRUE)</f>
        <v>689.25</v>
      </c>
      <c r="J39" s="79">
        <f t="shared" ca="1" si="3"/>
        <v>-2.959738846572358E-2</v>
      </c>
    </row>
    <row r="40" spans="1:10">
      <c r="A40" t="s">
        <v>654</v>
      </c>
      <c r="B40" t="e" vm="6">
        <v>#VALUE!</v>
      </c>
      <c r="C40">
        <v>55</v>
      </c>
      <c r="D40">
        <v>533.75</v>
      </c>
      <c r="E40" s="1">
        <f t="shared" si="2"/>
        <v>29356.25</v>
      </c>
      <c r="F40" s="1">
        <f t="array" aca="1" ref="F40" ca="1">_FV(B40,"Price")</f>
        <v>533.4</v>
      </c>
      <c r="G40" s="1">
        <f t="shared" ca="1" si="0"/>
        <v>29337</v>
      </c>
      <c r="H40" s="1">
        <f t="shared" ca="1" si="1"/>
        <v>-19.25</v>
      </c>
      <c r="I40" s="1">
        <f t="array" aca="1" ref="I40" ca="1">_FV(B40,"Previous close",TRUE)</f>
        <v>537</v>
      </c>
      <c r="J40" s="79">
        <f t="shared" ca="1" si="3"/>
        <v>-6.703910614525182E-3</v>
      </c>
    </row>
    <row r="41" spans="1:10">
      <c r="A41" t="s">
        <v>131</v>
      </c>
      <c r="B41" t="e" vm="221">
        <v>#VALUE!</v>
      </c>
      <c r="C41">
        <v>36</v>
      </c>
      <c r="D41">
        <v>2834.43</v>
      </c>
      <c r="E41" s="1">
        <f t="shared" si="2"/>
        <v>102039.48</v>
      </c>
      <c r="F41" s="1">
        <f t="array" aca="1" ref="F41" ca="1">_FV(B41,"Price")</f>
        <v>2925.6</v>
      </c>
      <c r="G41" s="1">
        <f t="shared" ca="1" si="0"/>
        <v>105321.59999999999</v>
      </c>
      <c r="H41" s="1">
        <f t="shared" ca="1" si="1"/>
        <v>3282.1199999999953</v>
      </c>
      <c r="I41" s="1">
        <f t="array" aca="1" ref="I41" ca="1">_FV(B41,"Previous close",TRUE)</f>
        <v>2968.1</v>
      </c>
      <c r="J41" s="79">
        <f t="shared" ca="1" si="3"/>
        <v>-1.4318924564536236E-2</v>
      </c>
    </row>
    <row r="42" spans="1:10">
      <c r="A42" t="s">
        <v>61</v>
      </c>
      <c r="B42" t="e" vm="170">
        <v>#VALUE!</v>
      </c>
      <c r="C42">
        <v>14</v>
      </c>
      <c r="D42">
        <v>3134.66</v>
      </c>
      <c r="E42" s="1">
        <f t="shared" si="2"/>
        <v>43885.24</v>
      </c>
      <c r="F42" s="1">
        <f t="array" aca="1" ref="F42" ca="1">_FV(B42,"Price")</f>
        <v>2929.2</v>
      </c>
      <c r="G42" s="1">
        <f t="shared" ca="1" si="0"/>
        <v>41008.799999999996</v>
      </c>
      <c r="H42" s="1">
        <f t="shared" ca="1" si="1"/>
        <v>-2876.4400000000023</v>
      </c>
      <c r="I42" s="1">
        <f t="array" aca="1" ref="I42" ca="1">_FV(B42,"Previous close",TRUE)</f>
        <v>2912.2</v>
      </c>
      <c r="J42" s="79">
        <f t="shared" ca="1" si="3"/>
        <v>5.837511159947806E-3</v>
      </c>
    </row>
    <row r="43" spans="1:10">
      <c r="A43" t="s">
        <v>50</v>
      </c>
      <c r="B43" t="e" vm="163">
        <v>#VALUE!</v>
      </c>
      <c r="C43">
        <v>556</v>
      </c>
      <c r="D43">
        <v>360.41</v>
      </c>
      <c r="E43" s="1">
        <f t="shared" si="2"/>
        <v>200387.96000000002</v>
      </c>
      <c r="F43" s="1">
        <f t="array" aca="1" ref="F43" ca="1">_FV(B43,"Price")</f>
        <v>407.55</v>
      </c>
      <c r="G43" s="1">
        <f t="shared" ca="1" si="0"/>
        <v>226597.80000000002</v>
      </c>
      <c r="H43" s="1">
        <f t="shared" ca="1" si="1"/>
        <v>26209.839999999997</v>
      </c>
      <c r="I43" s="1">
        <f t="array" aca="1" ref="I43" ca="1">_FV(B43,"Previous close",TRUE)</f>
        <v>437</v>
      </c>
      <c r="J43" s="79">
        <f t="shared" ca="1" si="3"/>
        <v>-6.7391304347826059E-2</v>
      </c>
    </row>
    <row r="44" spans="1:10">
      <c r="A44" t="s">
        <v>176</v>
      </c>
      <c r="B44" t="e" vm="216">
        <v>#VALUE!</v>
      </c>
      <c r="C44">
        <v>80</v>
      </c>
      <c r="D44">
        <v>1259.46</v>
      </c>
      <c r="E44" s="1">
        <f t="shared" si="2"/>
        <v>100756.8</v>
      </c>
      <c r="F44" s="1">
        <f t="array" aca="1" ref="F44" ca="1">_FV(B44,"Price")</f>
        <v>1323.7</v>
      </c>
      <c r="G44" s="1">
        <f t="shared" ca="1" si="0"/>
        <v>105896</v>
      </c>
      <c r="H44" s="1">
        <f t="shared" ca="1" si="1"/>
        <v>5139.1999999999971</v>
      </c>
      <c r="I44" s="1">
        <f t="array" aca="1" ref="I44" ca="1">_FV(B44,"Previous close",TRUE)</f>
        <v>1323.8</v>
      </c>
      <c r="J44" s="79">
        <f t="shared" ca="1" si="3"/>
        <v>-7.5540111799296761E-5</v>
      </c>
    </row>
    <row r="45" spans="1:10">
      <c r="A45" t="s">
        <v>55</v>
      </c>
      <c r="B45" t="e" vm="165">
        <v>#VALUE!</v>
      </c>
      <c r="C45">
        <v>33</v>
      </c>
      <c r="D45">
        <v>1505.6</v>
      </c>
      <c r="E45" s="1">
        <f t="shared" si="2"/>
        <v>49684.799999999996</v>
      </c>
      <c r="F45" s="1">
        <f t="array" aca="1" ref="F45" ca="1">_FV(B45,"Price")</f>
        <v>1440.4</v>
      </c>
      <c r="G45" s="1">
        <f t="shared" ca="1" si="0"/>
        <v>47533.200000000004</v>
      </c>
      <c r="H45" s="1">
        <f t="shared" ca="1" si="1"/>
        <v>-2151.5999999999913</v>
      </c>
      <c r="I45" s="1">
        <f t="array" aca="1" ref="I45" ca="1">_FV(B45,"Previous close",TRUE)</f>
        <v>1429.2</v>
      </c>
      <c r="J45" s="79">
        <f t="shared" ca="1" si="3"/>
        <v>7.8365519171564833E-3</v>
      </c>
    </row>
    <row r="46" spans="1:10">
      <c r="A46" t="s">
        <v>51</v>
      </c>
      <c r="B46" t="e" vm="73">
        <v>#VALUE!</v>
      </c>
      <c r="C46">
        <v>56</v>
      </c>
      <c r="D46">
        <v>1762.28</v>
      </c>
      <c r="E46" s="1">
        <f t="shared" si="2"/>
        <v>98687.679999999993</v>
      </c>
      <c r="F46" s="1">
        <f t="array" aca="1" ref="F46" ca="1">_FV(B46,"Price")</f>
        <v>2122.1999999999998</v>
      </c>
      <c r="G46" s="1">
        <f t="shared" ca="1" si="0"/>
        <v>118843.19999999998</v>
      </c>
      <c r="H46" s="1">
        <f t="shared" ca="1" si="1"/>
        <v>20155.51999999999</v>
      </c>
      <c r="I46" s="1">
        <f t="array" aca="1" ref="I46" ca="1">_FV(B46,"Previous close",TRUE)</f>
        <v>2016.1</v>
      </c>
      <c r="J46" s="79">
        <f t="shared" ca="1" si="3"/>
        <v>5.2626357819552556E-2</v>
      </c>
    </row>
    <row r="47" spans="1:10">
      <c r="A47" t="s">
        <v>88</v>
      </c>
      <c r="B47" t="e" vm="214">
        <v>#VALUE!</v>
      </c>
      <c r="C47">
        <v>230</v>
      </c>
      <c r="D47">
        <v>864.34</v>
      </c>
      <c r="E47" s="1">
        <f t="shared" si="2"/>
        <v>198798.2</v>
      </c>
      <c r="F47" s="1">
        <f t="array" aca="1" ref="F47" ca="1">_FV(B47,"Price")</f>
        <v>906.65</v>
      </c>
      <c r="G47" s="1">
        <f t="shared" ca="1" si="0"/>
        <v>208529.5</v>
      </c>
      <c r="H47" s="1">
        <f t="shared" ca="1" si="1"/>
        <v>9731.2999999999884</v>
      </c>
      <c r="I47" s="1">
        <f t="array" aca="1" ref="I47" ca="1">_FV(B47,"Previous close",TRUE)</f>
        <v>907.7</v>
      </c>
      <c r="J47" s="79">
        <f t="shared" ca="1" si="3"/>
        <v>-1.1567698578826354E-3</v>
      </c>
    </row>
    <row r="48" spans="1:10">
      <c r="A48" t="s">
        <v>48</v>
      </c>
      <c r="B48" t="e" vm="187">
        <v>#VALUE!</v>
      </c>
      <c r="C48">
        <v>1825</v>
      </c>
      <c r="D48">
        <v>97.74</v>
      </c>
      <c r="E48" s="1">
        <f t="shared" si="2"/>
        <v>178375.5</v>
      </c>
      <c r="F48" s="1">
        <f t="array" aca="1" ref="F48" ca="1">_FV(B48,"Price")</f>
        <v>129.80000000000001</v>
      </c>
      <c r="G48" s="1">
        <f t="shared" ca="1" si="0"/>
        <v>236885.00000000003</v>
      </c>
      <c r="H48" s="1">
        <f t="shared" ca="1" si="1"/>
        <v>58509.500000000029</v>
      </c>
      <c r="I48" s="1">
        <f t="array" aca="1" ref="I48" ca="1">_FV(B48,"Previous close",TRUE)</f>
        <v>128.35</v>
      </c>
      <c r="J48" s="79">
        <f t="shared" ca="1" si="3"/>
        <v>1.1297234125438389E-2</v>
      </c>
    </row>
    <row r="49" spans="1:10">
      <c r="A49" t="s">
        <v>127</v>
      </c>
      <c r="B49" t="e" vm="272">
        <v>#VALUE!</v>
      </c>
      <c r="C49">
        <v>129</v>
      </c>
      <c r="D49">
        <v>389.65</v>
      </c>
      <c r="E49" s="1">
        <f t="shared" si="2"/>
        <v>50264.85</v>
      </c>
      <c r="F49" s="1">
        <f t="array" aca="1" ref="F49" ca="1">_FV(B49,"Price")</f>
        <v>398.95</v>
      </c>
      <c r="G49" s="1">
        <f t="shared" ca="1" si="0"/>
        <v>51464.549999999996</v>
      </c>
      <c r="H49" s="1">
        <f t="shared" ca="1" si="1"/>
        <v>1199.6999999999971</v>
      </c>
      <c r="I49" s="1">
        <f t="array" aca="1" ref="I49" ca="1">_FV(B49,"Previous close",TRUE)</f>
        <v>406.25</v>
      </c>
      <c r="J49" s="79">
        <f t="shared" ca="1" si="3"/>
        <v>-1.7969230769230796E-2</v>
      </c>
    </row>
    <row r="50" spans="1:10">
      <c r="A50" t="s">
        <v>118</v>
      </c>
      <c r="B50" t="e" vm="299">
        <v>#VALUE!</v>
      </c>
      <c r="C50">
        <v>362</v>
      </c>
      <c r="D50">
        <v>138.75</v>
      </c>
      <c r="E50" s="1">
        <f t="shared" si="2"/>
        <v>50227.5</v>
      </c>
      <c r="F50" s="1">
        <f t="array" aca="1" ref="F50" ca="1">_FV(B50,"Price")</f>
        <v>153</v>
      </c>
      <c r="G50" s="1">
        <f t="shared" ca="1" si="0"/>
        <v>55386</v>
      </c>
      <c r="H50" s="1">
        <f t="shared" ca="1" si="1"/>
        <v>5158.5</v>
      </c>
      <c r="I50" s="1">
        <f t="array" aca="1" ref="I50" ca="1">_FV(B50,"Previous close",TRUE)</f>
        <v>155.62</v>
      </c>
      <c r="J50" s="79">
        <f t="shared" ca="1" si="3"/>
        <v>-1.6835882277342274E-2</v>
      </c>
    </row>
    <row r="51" spans="1:10">
      <c r="A51" t="s">
        <v>95</v>
      </c>
      <c r="B51" t="e" vm="300">
        <v>#VALUE!</v>
      </c>
      <c r="C51">
        <v>276</v>
      </c>
      <c r="D51">
        <v>278.74</v>
      </c>
      <c r="E51" s="1">
        <f t="shared" si="2"/>
        <v>76932.240000000005</v>
      </c>
      <c r="F51" s="1">
        <f t="array" aca="1" ref="F51" ca="1">_FV(B51,"Price")</f>
        <v>286.25</v>
      </c>
      <c r="G51" s="1">
        <f t="shared" ca="1" si="0"/>
        <v>79005</v>
      </c>
      <c r="H51" s="1">
        <f t="shared" ca="1" si="1"/>
        <v>2072.7599999999948</v>
      </c>
      <c r="I51" s="1">
        <f t="array" aca="1" ref="I51" ca="1">_FV(B51,"Previous close",TRUE)</f>
        <v>286.35000000000002</v>
      </c>
      <c r="J51" s="79">
        <f t="shared" ca="1" si="3"/>
        <v>-3.4922297887208918E-4</v>
      </c>
    </row>
    <row r="52" spans="1:10">
      <c r="A52" t="s">
        <v>46</v>
      </c>
      <c r="B52" t="e" vm="301">
        <v>#VALUE!</v>
      </c>
      <c r="C52">
        <v>340</v>
      </c>
      <c r="D52">
        <v>902.46</v>
      </c>
      <c r="E52" s="1">
        <f t="shared" si="2"/>
        <v>306836.40000000002</v>
      </c>
      <c r="F52" s="1">
        <f t="array" aca="1" ref="F52" ca="1">_FV(B52,"Price")</f>
        <v>1138.9000000000001</v>
      </c>
      <c r="G52" s="1">
        <f t="shared" ca="1" si="0"/>
        <v>387226.00000000006</v>
      </c>
      <c r="H52" s="1">
        <f t="shared" ca="1" si="1"/>
        <v>80389.600000000035</v>
      </c>
      <c r="I52" s="1">
        <f t="array" aca="1" ref="I52" ca="1">_FV(B52,"Previous close",TRUE)</f>
        <v>1146.3</v>
      </c>
      <c r="J52" s="79">
        <f t="shared" ca="1" si="3"/>
        <v>-6.4555526476488389E-3</v>
      </c>
    </row>
    <row r="53" spans="1:10">
      <c r="A53" t="s">
        <v>93</v>
      </c>
      <c r="B53" t="e" vm="188">
        <v>#VALUE!</v>
      </c>
      <c r="C53">
        <v>75</v>
      </c>
      <c r="D53">
        <v>1350.41</v>
      </c>
      <c r="E53" s="1">
        <f t="shared" si="2"/>
        <v>101280.75</v>
      </c>
      <c r="F53" s="1">
        <f t="array" aca="1" ref="F53" ca="1">_FV(B53,"Price")</f>
        <v>1394.3</v>
      </c>
      <c r="G53" s="1">
        <f t="shared" ca="1" si="0"/>
        <v>104572.5</v>
      </c>
      <c r="H53" s="1">
        <f t="shared" ca="1" si="1"/>
        <v>3291.75</v>
      </c>
      <c r="I53" s="1">
        <f t="array" aca="1" ref="I53" ca="1">_FV(B53,"Previous close",TRUE)</f>
        <v>1382.6</v>
      </c>
      <c r="J53" s="79">
        <f t="shared" ca="1" si="3"/>
        <v>8.4623173730652736E-3</v>
      </c>
    </row>
    <row r="54" spans="1:10">
      <c r="A54" t="s">
        <v>130</v>
      </c>
      <c r="B54" t="e" vm="263">
        <v>#VALUE!</v>
      </c>
      <c r="C54">
        <v>11</v>
      </c>
      <c r="D54">
        <v>4599.12</v>
      </c>
      <c r="E54" s="1">
        <f t="shared" si="2"/>
        <v>50590.32</v>
      </c>
      <c r="F54" s="1">
        <f t="array" aca="1" ref="F54" ca="1">_FV(B54,"Price")</f>
        <v>4705.3</v>
      </c>
      <c r="G54" s="1">
        <f t="shared" ca="1" si="0"/>
        <v>51758.3</v>
      </c>
      <c r="H54" s="1">
        <f t="shared" ca="1" si="1"/>
        <v>1167.9800000000032</v>
      </c>
      <c r="I54" s="1">
        <f t="array" aca="1" ref="I54" ca="1">_FV(B54,"Previous close",TRUE)</f>
        <v>4782.8</v>
      </c>
      <c r="J54" s="79">
        <f t="shared" ca="1" si="3"/>
        <v>-1.6203897298653507E-2</v>
      </c>
    </row>
    <row r="55" spans="1:10">
      <c r="A55" t="s">
        <v>59</v>
      </c>
      <c r="B55" t="e" vm="208">
        <v>#VALUE!</v>
      </c>
      <c r="C55">
        <v>133</v>
      </c>
      <c r="D55">
        <v>377.97</v>
      </c>
      <c r="E55" s="1">
        <f t="shared" si="2"/>
        <v>50270.01</v>
      </c>
      <c r="F55" s="1">
        <f t="array" aca="1" ref="F55" ca="1">_FV(B55,"Price")</f>
        <v>357.35</v>
      </c>
      <c r="G55" s="1">
        <f t="shared" ca="1" si="0"/>
        <v>47527.55</v>
      </c>
      <c r="H55" s="1">
        <f t="shared" ca="1" si="1"/>
        <v>-2742.4599999999991</v>
      </c>
      <c r="I55" s="1">
        <f t="array" aca="1" ref="I55" ca="1">_FV(B55,"Previous close",TRUE)</f>
        <v>356.45</v>
      </c>
      <c r="J55" s="79">
        <f t="shared" ca="1" si="3"/>
        <v>2.5248983027073477E-3</v>
      </c>
    </row>
    <row r="56" spans="1:10">
      <c r="A56" t="s">
        <v>52</v>
      </c>
      <c r="B56" t="e" vm="262">
        <v>#VALUE!</v>
      </c>
      <c r="C56">
        <v>42</v>
      </c>
      <c r="D56">
        <v>1353.87</v>
      </c>
      <c r="E56" s="1">
        <f t="shared" si="2"/>
        <v>56862.539999999994</v>
      </c>
      <c r="F56" s="1">
        <f t="array" aca="1" ref="F56" ca="1">_FV(B56,"Price")</f>
        <v>1617.3</v>
      </c>
      <c r="G56" s="1">
        <f t="shared" ca="1" si="0"/>
        <v>67926.599999999991</v>
      </c>
      <c r="H56" s="1">
        <f t="shared" ca="1" si="1"/>
        <v>11064.059999999998</v>
      </c>
      <c r="I56" s="1">
        <f t="array" aca="1" ref="I56" ca="1">_FV(B56,"Previous close",TRUE)</f>
        <v>1643.3</v>
      </c>
      <c r="J56" s="79">
        <f t="shared" ca="1" si="3"/>
        <v>-1.5821821943649974E-2</v>
      </c>
    </row>
    <row r="57" spans="1:10">
      <c r="A57" t="s">
        <v>53</v>
      </c>
      <c r="B57" t="e" vm="172">
        <v>#VALUE!</v>
      </c>
      <c r="C57">
        <v>40</v>
      </c>
      <c r="D57">
        <v>639.20000000000005</v>
      </c>
      <c r="E57" s="1">
        <f t="shared" si="2"/>
        <v>25568</v>
      </c>
      <c r="F57" s="1">
        <f t="array" aca="1" ref="F57" ca="1">_FV(B57,"Price")</f>
        <v>599.35</v>
      </c>
      <c r="G57" s="1">
        <f t="shared" ca="1" si="0"/>
        <v>23974</v>
      </c>
      <c r="H57" s="1">
        <f t="shared" ca="1" si="1"/>
        <v>-1594</v>
      </c>
      <c r="I57" s="1">
        <f t="array" aca="1" ref="I57" ca="1">_FV(B57,"Previous close",TRUE)</f>
        <v>604.95000000000005</v>
      </c>
      <c r="J57" s="79">
        <f t="shared" ca="1" si="3"/>
        <v>-9.2569633854037887E-3</v>
      </c>
    </row>
    <row r="58" spans="1:10">
      <c r="A58" t="s">
        <v>129</v>
      </c>
      <c r="B58" t="e" vm="275">
        <v>#VALUE!</v>
      </c>
      <c r="C58">
        <v>92</v>
      </c>
      <c r="D58">
        <v>547</v>
      </c>
      <c r="E58" s="1">
        <f t="shared" si="2"/>
        <v>50324</v>
      </c>
      <c r="F58" s="1">
        <f t="array" aca="1" ref="F58" ca="1">_FV(B58,"Price")</f>
        <v>570.5</v>
      </c>
      <c r="G58" s="1">
        <f t="shared" ca="1" si="0"/>
        <v>52486</v>
      </c>
      <c r="H58" s="1">
        <f t="shared" ca="1" si="1"/>
        <v>2162</v>
      </c>
      <c r="I58" s="1">
        <f t="array" aca="1" ref="I58" ca="1">_FV(B58,"Previous close",TRUE)</f>
        <v>572.4</v>
      </c>
      <c r="J58" s="79">
        <f t="shared" ca="1" si="3"/>
        <v>-3.319357092941959E-3</v>
      </c>
    </row>
    <row r="59" spans="1:10">
      <c r="A59" t="s">
        <v>57</v>
      </c>
      <c r="B59" t="e" vm="35">
        <v>#VALUE!</v>
      </c>
      <c r="C59">
        <v>26</v>
      </c>
      <c r="D59">
        <v>1899.2</v>
      </c>
      <c r="E59" s="1">
        <f t="shared" si="2"/>
        <v>49379.200000000004</v>
      </c>
      <c r="F59" s="1">
        <f t="array" aca="1" ref="F59" ca="1">_FV(B59,"Price")</f>
        <v>1788.5</v>
      </c>
      <c r="G59" s="1">
        <f t="shared" ca="1" si="0"/>
        <v>46501</v>
      </c>
      <c r="H59" s="1">
        <f t="shared" ca="1" si="1"/>
        <v>-2878.2000000000044</v>
      </c>
      <c r="I59" s="1">
        <f t="array" aca="1" ref="I59" ca="1">_FV(B59,"Previous close",TRUE)</f>
        <v>1789.9</v>
      </c>
      <c r="J59" s="79">
        <f t="shared" ca="1" si="3"/>
        <v>-7.8216660148616734E-4</v>
      </c>
    </row>
    <row r="60" spans="1:10">
      <c r="A60" t="s">
        <v>128</v>
      </c>
      <c r="B60" t="e" vm="302">
        <v>#VALUE!</v>
      </c>
      <c r="C60">
        <v>145</v>
      </c>
      <c r="D60">
        <v>691.04</v>
      </c>
      <c r="E60" s="1">
        <f t="shared" si="2"/>
        <v>100200.79999999999</v>
      </c>
      <c r="F60" s="1">
        <f t="array" aca="1" ref="F60" ca="1">_FV(B60,"Price")</f>
        <v>731.05</v>
      </c>
      <c r="G60" s="1">
        <f t="shared" ca="1" si="0"/>
        <v>106002.25</v>
      </c>
      <c r="H60" s="1">
        <f t="shared" ca="1" si="1"/>
        <v>5801.4500000000116</v>
      </c>
      <c r="I60" s="1">
        <f t="array" aca="1" ref="I60" ca="1">_FV(B60,"Previous close",TRUE)</f>
        <v>737.95</v>
      </c>
      <c r="J60" s="79">
        <f t="shared" ca="1" si="3"/>
        <v>-9.3502269801478289E-3</v>
      </c>
    </row>
    <row r="61" spans="1:10">
      <c r="A61" t="s">
        <v>92</v>
      </c>
      <c r="B61" t="e" vm="246">
        <v>#VALUE!</v>
      </c>
      <c r="C61">
        <v>11</v>
      </c>
      <c r="D61">
        <v>4962.78</v>
      </c>
      <c r="E61" s="1">
        <f t="shared" si="2"/>
        <v>54590.579999999994</v>
      </c>
      <c r="F61" s="1">
        <f t="array" aca="1" ref="F61" ca="1">_FV(B61,"Price")</f>
        <v>4784.5</v>
      </c>
      <c r="G61" s="1">
        <f t="shared" ca="1" si="0"/>
        <v>52629.5</v>
      </c>
      <c r="H61" s="1">
        <f t="shared" ca="1" si="1"/>
        <v>-1961.0799999999945</v>
      </c>
      <c r="I61" s="1">
        <f t="array" aca="1" ref="I61" ca="1">_FV(B61,"Previous close",TRUE)</f>
        <v>4969.7</v>
      </c>
      <c r="J61" s="79">
        <f t="shared" ca="1" si="3"/>
        <v>-3.7265830935468904E-2</v>
      </c>
    </row>
    <row r="62" spans="1:10">
      <c r="A62" t="s">
        <v>91</v>
      </c>
      <c r="B62" t="e" vm="168">
        <v>#VALUE!</v>
      </c>
      <c r="C62">
        <v>46</v>
      </c>
      <c r="D62">
        <v>1092.4000000000001</v>
      </c>
      <c r="E62" s="1">
        <f t="shared" si="2"/>
        <v>50250.400000000001</v>
      </c>
      <c r="F62" s="1">
        <f t="array" aca="1" ref="F62" ca="1">_FV(B62,"Price")</f>
        <v>1076.5999999999999</v>
      </c>
      <c r="G62" s="1">
        <f t="shared" ca="1" si="0"/>
        <v>49523.6</v>
      </c>
      <c r="H62" s="1">
        <f t="shared" ca="1" si="1"/>
        <v>-726.80000000000291</v>
      </c>
      <c r="I62" s="1">
        <f t="array" aca="1" ref="I62" ca="1">_FV(B62,"Previous close",TRUE)</f>
        <v>1078.3</v>
      </c>
      <c r="J62" s="79">
        <f t="shared" ca="1" si="3"/>
        <v>-1.5765556895113099E-3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7"/>
  <sheetViews>
    <sheetView workbookViewId="0">
      <selection activeCell="N3" sqref="N3"/>
    </sheetView>
  </sheetViews>
  <sheetFormatPr defaultRowHeight="15"/>
  <cols>
    <col min="1" max="1" width="9.140625" style="8" customWidth="1"/>
    <col min="2" max="2" width="36.5703125" customWidth="1"/>
    <col min="3" max="3" width="13.7109375" bestFit="1" customWidth="1"/>
    <col min="4" max="4" width="17.85546875" customWidth="1"/>
  </cols>
  <sheetData>
    <row r="1" spans="1:14">
      <c r="A1" s="9" t="s">
        <v>994</v>
      </c>
      <c r="B1" s="10" t="s">
        <v>995</v>
      </c>
      <c r="C1" s="10" t="s">
        <v>996</v>
      </c>
      <c r="D1" s="11" t="s">
        <v>997</v>
      </c>
    </row>
    <row r="2" spans="1:14">
      <c r="A2" s="6">
        <v>1</v>
      </c>
      <c r="B2" s="31" t="s">
        <v>998</v>
      </c>
      <c r="C2" s="31" t="s">
        <v>999</v>
      </c>
      <c r="D2" s="2" t="s">
        <v>1000</v>
      </c>
    </row>
    <row r="3" spans="1:14" ht="30" customHeight="1">
      <c r="A3" s="6">
        <v>2</v>
      </c>
      <c r="B3" s="78" t="s">
        <v>1001</v>
      </c>
      <c r="C3" s="31" t="s">
        <v>999</v>
      </c>
      <c r="D3" s="2" t="s">
        <v>1002</v>
      </c>
      <c r="N3">
        <v>900000</v>
      </c>
    </row>
    <row r="4" spans="1:14" ht="30" customHeight="1">
      <c r="A4" s="6">
        <v>3</v>
      </c>
      <c r="B4" s="78" t="s">
        <v>1003</v>
      </c>
      <c r="C4" s="31" t="s">
        <v>1004</v>
      </c>
      <c r="D4" s="2" t="s">
        <v>1002</v>
      </c>
    </row>
    <row r="5" spans="1:14" ht="30" customHeight="1">
      <c r="A5" s="6">
        <v>4</v>
      </c>
      <c r="B5" s="78" t="s">
        <v>1005</v>
      </c>
      <c r="C5" s="31" t="s">
        <v>999</v>
      </c>
      <c r="D5" s="2" t="s">
        <v>1002</v>
      </c>
    </row>
    <row r="6" spans="1:14" ht="30" customHeight="1">
      <c r="A6" s="6">
        <v>5</v>
      </c>
      <c r="B6" s="78" t="s">
        <v>1006</v>
      </c>
      <c r="C6" s="31" t="s">
        <v>1004</v>
      </c>
      <c r="D6" s="2" t="s">
        <v>1002</v>
      </c>
    </row>
    <row r="7" spans="1:14" ht="30" customHeight="1">
      <c r="A7" s="6">
        <v>6</v>
      </c>
      <c r="B7" s="78" t="s">
        <v>1007</v>
      </c>
      <c r="C7" s="31" t="s">
        <v>999</v>
      </c>
      <c r="D7" s="2" t="s">
        <v>1002</v>
      </c>
    </row>
    <row r="8" spans="1:14">
      <c r="A8" s="6">
        <v>7</v>
      </c>
      <c r="B8" s="31" t="s">
        <v>1008</v>
      </c>
      <c r="C8" s="31" t="s">
        <v>999</v>
      </c>
      <c r="D8" s="2" t="s">
        <v>1000</v>
      </c>
    </row>
    <row r="9" spans="1:14">
      <c r="A9" s="6">
        <v>8</v>
      </c>
      <c r="B9" s="31" t="s">
        <v>1009</v>
      </c>
      <c r="C9" s="31" t="s">
        <v>999</v>
      </c>
      <c r="D9" s="2" t="s">
        <v>1000</v>
      </c>
    </row>
    <row r="10" spans="1:14">
      <c r="A10" s="6">
        <v>9</v>
      </c>
      <c r="B10" s="31" t="s">
        <v>1010</v>
      </c>
      <c r="C10" s="31" t="s">
        <v>999</v>
      </c>
      <c r="D10" s="2" t="s">
        <v>1002</v>
      </c>
    </row>
    <row r="11" spans="1:14">
      <c r="A11" s="6">
        <v>10</v>
      </c>
      <c r="B11" s="31" t="s">
        <v>1011</v>
      </c>
      <c r="C11" s="31" t="s">
        <v>999</v>
      </c>
      <c r="D11" s="2" t="s">
        <v>1002</v>
      </c>
    </row>
    <row r="12" spans="1:14">
      <c r="A12" s="6">
        <v>11</v>
      </c>
      <c r="B12" s="31" t="s">
        <v>1012</v>
      </c>
      <c r="C12" s="31" t="s">
        <v>999</v>
      </c>
      <c r="D12" s="2" t="s">
        <v>1000</v>
      </c>
    </row>
    <row r="13" spans="1:14" ht="45" customHeight="1">
      <c r="A13" s="7">
        <v>12</v>
      </c>
      <c r="B13" s="3" t="s">
        <v>1013</v>
      </c>
      <c r="C13" s="4" t="s">
        <v>999</v>
      </c>
      <c r="D13" s="5" t="s">
        <v>1002</v>
      </c>
    </row>
    <row r="14" spans="1:14" ht="30" customHeight="1">
      <c r="A14" s="35">
        <v>13</v>
      </c>
      <c r="B14" s="78" t="s">
        <v>1014</v>
      </c>
      <c r="C14" s="31" t="s">
        <v>999</v>
      </c>
      <c r="D14" s="31" t="s">
        <v>1002</v>
      </c>
    </row>
    <row r="15" spans="1:14" ht="30" customHeight="1">
      <c r="A15" s="35">
        <v>14</v>
      </c>
      <c r="B15" s="78" t="s">
        <v>1015</v>
      </c>
      <c r="C15" s="31" t="s">
        <v>999</v>
      </c>
      <c r="D15" s="31" t="s">
        <v>1000</v>
      </c>
    </row>
    <row r="16" spans="1:14" ht="30" customHeight="1">
      <c r="A16" s="35">
        <v>15</v>
      </c>
      <c r="B16" s="78" t="s">
        <v>1016</v>
      </c>
      <c r="C16" s="31" t="s">
        <v>1004</v>
      </c>
      <c r="D16" s="31" t="s">
        <v>1000</v>
      </c>
    </row>
    <row r="17" spans="1:4" ht="45" customHeight="1">
      <c r="A17" s="35">
        <v>16</v>
      </c>
      <c r="B17" s="78" t="s">
        <v>1017</v>
      </c>
      <c r="C17" s="31" t="s">
        <v>1004</v>
      </c>
      <c r="D17" s="31" t="s">
        <v>1002</v>
      </c>
    </row>
    <row r="18" spans="1:4">
      <c r="A18" s="35">
        <v>17</v>
      </c>
      <c r="B18" s="31"/>
      <c r="C18" s="31"/>
      <c r="D18" s="31"/>
    </row>
    <row r="19" spans="1:4">
      <c r="A19" s="35">
        <v>18</v>
      </c>
      <c r="B19" s="31"/>
      <c r="C19" s="31"/>
      <c r="D19" s="31"/>
    </row>
    <row r="20" spans="1:4">
      <c r="A20" s="35">
        <v>19</v>
      </c>
      <c r="B20" s="31"/>
      <c r="C20" s="31"/>
      <c r="D20" s="31"/>
    </row>
    <row r="21" spans="1:4">
      <c r="A21" s="35">
        <v>20</v>
      </c>
      <c r="B21" s="31"/>
      <c r="C21" s="31"/>
      <c r="D21" s="31"/>
    </row>
    <row r="22" spans="1:4">
      <c r="A22" s="35">
        <v>21</v>
      </c>
      <c r="B22" s="31"/>
      <c r="C22" s="31"/>
      <c r="D22" s="31"/>
    </row>
    <row r="23" spans="1:4">
      <c r="A23" s="35">
        <v>22</v>
      </c>
      <c r="B23" s="31"/>
      <c r="C23" s="31"/>
      <c r="D23" s="31"/>
    </row>
    <row r="24" spans="1:4">
      <c r="A24" s="35">
        <v>23</v>
      </c>
      <c r="B24" s="31"/>
      <c r="C24" s="31"/>
      <c r="D24" s="31"/>
    </row>
    <row r="25" spans="1:4">
      <c r="A25" s="35">
        <v>24</v>
      </c>
      <c r="B25" s="31"/>
      <c r="C25" s="31"/>
      <c r="D25" s="31"/>
    </row>
    <row r="26" spans="1:4">
      <c r="A26" s="35">
        <v>25</v>
      </c>
      <c r="B26" s="31"/>
      <c r="C26" s="31"/>
      <c r="D26" s="31"/>
    </row>
    <row r="27" spans="1:4">
      <c r="A27" s="35"/>
      <c r="B27" s="31"/>
      <c r="C27" s="31"/>
      <c r="D27" s="3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Dashboard</vt:lpstr>
      <vt:lpstr>Action Tracker</vt:lpstr>
      <vt:lpstr>Raw_Tradebook</vt:lpstr>
      <vt:lpstr>Transaction</vt:lpstr>
      <vt:lpstr>Current_Portfolio</vt:lpstr>
      <vt:lpstr>Core_Watchlist</vt:lpstr>
      <vt:lpstr>Satellite_Watchlist</vt:lpstr>
      <vt:lpstr>Overall_Portfolio</vt:lpstr>
      <vt:lpstr>Price_Update</vt:lpstr>
      <vt:lpstr>Todo </vt:lpstr>
      <vt:lpstr>SAT_WATCH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Muralidharan Krishnaraj</cp:lastModifiedBy>
  <cp:revision/>
  <dcterms:created xsi:type="dcterms:W3CDTF">2026-03-07T14:21:25Z</dcterms:created>
  <dcterms:modified xsi:type="dcterms:W3CDTF">2026-06-04T00:43:44Z</dcterms:modified>
  <cp:category/>
  <cp:contentStatus/>
</cp:coreProperties>
</file>