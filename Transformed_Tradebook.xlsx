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143b6e31b9e74e02/Desktop/Projects/stockjournal/"/>
    </mc:Choice>
  </mc:AlternateContent>
  <xr:revisionPtr revIDLastSave="1" documentId="11_1C39BDF3264EEEB1BAB3D65AEEC8A3A7B599A96F" xr6:coauthVersionLast="47" xr6:coauthVersionMax="47" xr10:uidLastSave="{1191E32F-706F-4AA3-8C10-D3BCD023A6FB}"/>
  <bookViews>
    <workbookView xWindow="28680" yWindow="-120" windowWidth="29040" windowHeight="15720" xr2:uid="{00000000-000D-0000-FFFF-FFFF00000000}"/>
  </bookViews>
  <sheets>
    <sheet name="Dashboard" sheetId="1" r:id="rId1"/>
    <sheet name="Raw_Tradebook" sheetId="2" r:id="rId2"/>
    <sheet name="Transaction" sheetId="3" r:id="rId3"/>
    <sheet name="Current_Portfolio" sheetId="4" r:id="rId4"/>
    <sheet name="Sheet1" sheetId="5" r:id="rId5"/>
    <sheet name="Overall_Portfolio" sheetId="6" r:id="rId6"/>
    <sheet name="Price_Updat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0" i="7" l="1"/>
  <c r="I30" i="7" a="1"/>
  <c r="I30" i="7" s="1"/>
  <c r="F30" i="7" a="1"/>
  <c r="F30" i="7" s="1"/>
  <c r="D30" i="7"/>
  <c r="C30" i="7"/>
  <c r="K29" i="7"/>
  <c r="I29" i="7" a="1"/>
  <c r="I29" i="7" s="1"/>
  <c r="F29" i="7" a="1"/>
  <c r="F29" i="7" s="1"/>
  <c r="D29" i="7"/>
  <c r="C29" i="7"/>
  <c r="E29" i="7" s="1"/>
  <c r="K28" i="7"/>
  <c r="I28" i="7" a="1"/>
  <c r="I28" i="7" s="1"/>
  <c r="F28" i="7" a="1"/>
  <c r="F28" i="7" s="1"/>
  <c r="D28" i="7"/>
  <c r="C28" i="7"/>
  <c r="G28" i="7" s="1"/>
  <c r="K27" i="7"/>
  <c r="I27" i="7" a="1"/>
  <c r="I27" i="7" s="1"/>
  <c r="F27" i="7" a="1"/>
  <c r="F27" i="7" s="1"/>
  <c r="D27" i="7"/>
  <c r="C27" i="7"/>
  <c r="E27" i="7" s="1"/>
  <c r="K26" i="7"/>
  <c r="I26" i="7" a="1"/>
  <c r="I26" i="7" s="1"/>
  <c r="F26" i="7" a="1"/>
  <c r="F26" i="7" s="1"/>
  <c r="D26" i="7"/>
  <c r="C26" i="7"/>
  <c r="G26" i="7" s="1"/>
  <c r="K25" i="7"/>
  <c r="I25" i="7" a="1"/>
  <c r="I25" i="7" s="1"/>
  <c r="F25" i="7" a="1"/>
  <c r="F25" i="7" s="1"/>
  <c r="D25" i="7"/>
  <c r="C25" i="7"/>
  <c r="E25" i="7" s="1"/>
  <c r="K24" i="7"/>
  <c r="I24" i="7" a="1"/>
  <c r="I24" i="7" s="1"/>
  <c r="F24" i="7" a="1"/>
  <c r="F24" i="7" s="1"/>
  <c r="D24" i="7"/>
  <c r="C24" i="7"/>
  <c r="K23" i="7"/>
  <c r="I23" i="7" a="1"/>
  <c r="I23" i="7" s="1"/>
  <c r="F23" i="7" a="1"/>
  <c r="F23" i="7" s="1"/>
  <c r="D23" i="7"/>
  <c r="C23" i="7"/>
  <c r="E23" i="7" s="1"/>
  <c r="K22" i="7"/>
  <c r="I22" i="7" a="1"/>
  <c r="I22" i="7" s="1"/>
  <c r="F22" i="7" a="1"/>
  <c r="F22" i="7" s="1"/>
  <c r="D22" i="7"/>
  <c r="C22" i="7"/>
  <c r="K21" i="7"/>
  <c r="I21" i="7" a="1"/>
  <c r="I21" i="7" s="1"/>
  <c r="F21" i="7" a="1"/>
  <c r="F21" i="7" s="1"/>
  <c r="D21" i="7"/>
  <c r="C21" i="7"/>
  <c r="E21" i="7" s="1"/>
  <c r="K20" i="7"/>
  <c r="I20" i="7" a="1"/>
  <c r="I20" i="7" s="1"/>
  <c r="F20" i="7" a="1"/>
  <c r="F20" i="7" s="1"/>
  <c r="D20" i="7"/>
  <c r="C20" i="7"/>
  <c r="G20" i="7" s="1"/>
  <c r="K19" i="7"/>
  <c r="I19" i="7" a="1"/>
  <c r="I19" i="7" s="1"/>
  <c r="F19" i="7" a="1"/>
  <c r="F19" i="7" s="1"/>
  <c r="D19" i="7"/>
  <c r="C19" i="7"/>
  <c r="E19" i="7" s="1"/>
  <c r="K18" i="7"/>
  <c r="I18" i="7" a="1"/>
  <c r="I18" i="7" s="1"/>
  <c r="F18" i="7" a="1"/>
  <c r="F18" i="7" s="1"/>
  <c r="D18" i="7"/>
  <c r="C18" i="7"/>
  <c r="G18" i="7" s="1"/>
  <c r="K17" i="7"/>
  <c r="I17" i="7" a="1"/>
  <c r="I17" i="7" s="1"/>
  <c r="F17" i="7" a="1"/>
  <c r="F17" i="7" s="1"/>
  <c r="D17" i="7"/>
  <c r="C17" i="7"/>
  <c r="E17" i="7" s="1"/>
  <c r="K16" i="7"/>
  <c r="I16" i="7" a="1"/>
  <c r="I16" i="7" s="1"/>
  <c r="F16" i="7" a="1"/>
  <c r="F16" i="7" s="1"/>
  <c r="D16" i="7"/>
  <c r="C16" i="7"/>
  <c r="K15" i="7"/>
  <c r="I15" i="7" a="1"/>
  <c r="I15" i="7" s="1"/>
  <c r="F15" i="7" a="1"/>
  <c r="F15" i="7" s="1"/>
  <c r="D15" i="7"/>
  <c r="C15" i="7"/>
  <c r="E15" i="7" s="1"/>
  <c r="K14" i="7"/>
  <c r="I14" i="7" a="1"/>
  <c r="I14" i="7" s="1"/>
  <c r="F14" i="7" a="1"/>
  <c r="F14" i="7" s="1"/>
  <c r="D14" i="7"/>
  <c r="C14" i="7"/>
  <c r="K13" i="7"/>
  <c r="I13" i="7" a="1"/>
  <c r="I13" i="7" s="1"/>
  <c r="F13" i="7" a="1"/>
  <c r="F13" i="7" s="1"/>
  <c r="D13" i="7"/>
  <c r="C13" i="7"/>
  <c r="E13" i="7" s="1"/>
  <c r="K12" i="7"/>
  <c r="I12" i="7" a="1"/>
  <c r="I12" i="7" s="1"/>
  <c r="F12" i="7" a="1"/>
  <c r="F12" i="7" s="1"/>
  <c r="D12" i="7"/>
  <c r="C12" i="7"/>
  <c r="G12" i="7" s="1"/>
  <c r="K11" i="7"/>
  <c r="I11" i="7" a="1"/>
  <c r="I11" i="7" s="1"/>
  <c r="F11" i="7" a="1"/>
  <c r="F11" i="7" s="1"/>
  <c r="D11" i="7"/>
  <c r="C11" i="7"/>
  <c r="E11" i="7" s="1"/>
  <c r="K10" i="7"/>
  <c r="I10" i="7" a="1"/>
  <c r="I10" i="7" s="1"/>
  <c r="F10" i="7" a="1"/>
  <c r="F10" i="7" s="1"/>
  <c r="D10" i="7"/>
  <c r="C10" i="7"/>
  <c r="G10" i="7" s="1"/>
  <c r="K9" i="7"/>
  <c r="I9" i="7" a="1"/>
  <c r="I9" i="7" s="1"/>
  <c r="F9" i="7" a="1"/>
  <c r="F9" i="7" s="1"/>
  <c r="D9" i="7"/>
  <c r="C9" i="7"/>
  <c r="E9" i="7" s="1"/>
  <c r="K8" i="7"/>
  <c r="I8" i="7" a="1"/>
  <c r="I8" i="7" s="1"/>
  <c r="F8" i="7" a="1"/>
  <c r="F8" i="7" s="1"/>
  <c r="D8" i="7"/>
  <c r="C8" i="7"/>
  <c r="K7" i="7"/>
  <c r="I7" i="7" a="1"/>
  <c r="I7" i="7" s="1"/>
  <c r="F7" i="7" a="1"/>
  <c r="F7" i="7" s="1"/>
  <c r="D7" i="7"/>
  <c r="C7" i="7"/>
  <c r="E7" i="7" s="1"/>
  <c r="K6" i="7"/>
  <c r="I6" i="7" a="1"/>
  <c r="I6" i="7" s="1"/>
  <c r="F6" i="7" a="1"/>
  <c r="F6" i="7" s="1"/>
  <c r="D6" i="7"/>
  <c r="C6" i="7"/>
  <c r="K5" i="7"/>
  <c r="I5" i="7" a="1"/>
  <c r="I5" i="7" s="1"/>
  <c r="F5" i="7" a="1"/>
  <c r="F5" i="7" s="1"/>
  <c r="D5" i="7"/>
  <c r="C5" i="7"/>
  <c r="E5" i="7" s="1"/>
  <c r="K4" i="7"/>
  <c r="I4" i="7" a="1"/>
  <c r="I4" i="7" s="1"/>
  <c r="F4" i="7" a="1"/>
  <c r="F4" i="7" s="1"/>
  <c r="D4" i="7"/>
  <c r="C4" i="7"/>
  <c r="G4" i="7" s="1"/>
  <c r="K3" i="7"/>
  <c r="I3" i="7" a="1"/>
  <c r="I3" i="7" s="1"/>
  <c r="F3" i="7" a="1"/>
  <c r="F3" i="7" s="1"/>
  <c r="D3" i="7"/>
  <c r="C3" i="7"/>
  <c r="E3" i="7" s="1"/>
  <c r="K2" i="7"/>
  <c r="I2" i="7" a="1"/>
  <c r="I2" i="7" s="1"/>
  <c r="F2" i="7" a="1"/>
  <c r="F2" i="7" s="1"/>
  <c r="D2" i="7"/>
  <c r="C2" i="7"/>
  <c r="G2" i="7" s="1"/>
  <c r="L16" i="7" l="1"/>
  <c r="J16" i="7"/>
  <c r="L24" i="7"/>
  <c r="J24" i="7"/>
  <c r="J5" i="7"/>
  <c r="L5" i="7"/>
  <c r="J13" i="7"/>
  <c r="L13" i="7"/>
  <c r="J21" i="7"/>
  <c r="L21" i="7"/>
  <c r="J29" i="7"/>
  <c r="L29" i="7"/>
  <c r="L2" i="7"/>
  <c r="J2" i="7"/>
  <c r="G31" i="7"/>
  <c r="L8" i="7"/>
  <c r="J8" i="7"/>
  <c r="J7" i="7"/>
  <c r="L7" i="7"/>
  <c r="J15" i="7"/>
  <c r="L15" i="7"/>
  <c r="J23" i="7"/>
  <c r="L23" i="7"/>
  <c r="L4" i="7"/>
  <c r="J4" i="7"/>
  <c r="G6" i="7"/>
  <c r="H6" i="7" s="1"/>
  <c r="L12" i="7"/>
  <c r="J12" i="7"/>
  <c r="G14" i="7"/>
  <c r="L20" i="7"/>
  <c r="J20" i="7"/>
  <c r="G22" i="7"/>
  <c r="L28" i="7"/>
  <c r="J28" i="7"/>
  <c r="G30" i="7"/>
  <c r="H30" i="7" s="1"/>
  <c r="H12" i="7"/>
  <c r="L18" i="7"/>
  <c r="J18" i="7"/>
  <c r="H20" i="7"/>
  <c r="L26" i="7"/>
  <c r="J26" i="7"/>
  <c r="J9" i="7"/>
  <c r="L9" i="7"/>
  <c r="J17" i="7"/>
  <c r="L17" i="7"/>
  <c r="J25" i="7"/>
  <c r="L25" i="7"/>
  <c r="L6" i="7"/>
  <c r="J6" i="7"/>
  <c r="G8" i="7"/>
  <c r="H8" i="7" s="1"/>
  <c r="L14" i="7"/>
  <c r="J14" i="7"/>
  <c r="G16" i="7"/>
  <c r="L22" i="7"/>
  <c r="J22" i="7"/>
  <c r="G24" i="7"/>
  <c r="L30" i="7"/>
  <c r="J30" i="7"/>
  <c r="H4" i="7"/>
  <c r="L10" i="7"/>
  <c r="J10" i="7"/>
  <c r="J3" i="7"/>
  <c r="L3" i="7"/>
  <c r="J11" i="7"/>
  <c r="L11" i="7"/>
  <c r="J19" i="7"/>
  <c r="L19" i="7"/>
  <c r="J27" i="7"/>
  <c r="L27" i="7"/>
  <c r="G11" i="7"/>
  <c r="H11" i="7" s="1"/>
  <c r="G17" i="7"/>
  <c r="H17" i="7" s="1"/>
  <c r="G21" i="7"/>
  <c r="H21" i="7" s="1"/>
  <c r="G25" i="7"/>
  <c r="H25" i="7" s="1"/>
  <c r="G27" i="7"/>
  <c r="H27" i="7" s="1"/>
  <c r="E2" i="7"/>
  <c r="E31" i="7" s="1"/>
  <c r="E4" i="7"/>
  <c r="E6" i="7"/>
  <c r="E8" i="7"/>
  <c r="E10" i="7"/>
  <c r="H10" i="7" s="1"/>
  <c r="E12" i="7"/>
  <c r="E14" i="7"/>
  <c r="E16" i="7"/>
  <c r="E18" i="7"/>
  <c r="H18" i="7" s="1"/>
  <c r="E20" i="7"/>
  <c r="E22" i="7"/>
  <c r="E24" i="7"/>
  <c r="E26" i="7"/>
  <c r="H26" i="7" s="1"/>
  <c r="E28" i="7"/>
  <c r="H28" i="7" s="1"/>
  <c r="E30" i="7"/>
  <c r="G3" i="7"/>
  <c r="H3" i="7" s="1"/>
  <c r="G5" i="7"/>
  <c r="H5" i="7" s="1"/>
  <c r="G7" i="7"/>
  <c r="H7" i="7" s="1"/>
  <c r="G9" i="7"/>
  <c r="H9" i="7" s="1"/>
  <c r="G13" i="7"/>
  <c r="H13" i="7" s="1"/>
  <c r="G15" i="7"/>
  <c r="H15" i="7" s="1"/>
  <c r="G19" i="7"/>
  <c r="H19" i="7" s="1"/>
  <c r="G23" i="7"/>
  <c r="H23" i="7" s="1"/>
  <c r="G29" i="7"/>
  <c r="H29" i="7" s="1"/>
  <c r="H24" i="7" l="1"/>
  <c r="H22" i="7"/>
  <c r="H16" i="7"/>
  <c r="H14" i="7"/>
  <c r="H2" i="7"/>
  <c r="H31" i="7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<sst xmlns="http://schemas.openxmlformats.org/spreadsheetml/2006/main" count="5016" uniqueCount="498">
  <si>
    <t>📊 Portfolio Dashboard</t>
  </si>
  <si>
    <t>🕒 Last Transacted Date: 18 May 2026</t>
  </si>
  <si>
    <t>Portfolio Summary</t>
  </si>
  <si>
    <t>📈 Benchmark Returns (Since Invest Start)</t>
  </si>
  <si>
    <t>Metric</t>
  </si>
  <si>
    <t>Value</t>
  </si>
  <si>
    <t>Index Tracker (ETF)</t>
  </si>
  <si>
    <t>Start Price (₹)</t>
  </si>
  <si>
    <t>LTP (₹)</t>
  </si>
  <si>
    <t>Return %</t>
  </si>
  <si>
    <t>Total Invested Value</t>
  </si>
  <si>
    <t>NIFTY_50</t>
  </si>
  <si>
    <t>Total Current Value</t>
  </si>
  <si>
    <t>CNXMIDCAP</t>
  </si>
  <si>
    <t>Unrealized PnL</t>
  </si>
  <si>
    <t>Realized PnL</t>
  </si>
  <si>
    <t>Combined PnL</t>
  </si>
  <si>
    <t>Allocation by Market Cap</t>
  </si>
  <si>
    <t>Combined PnL %</t>
  </si>
  <si>
    <t>Market Cap</t>
  </si>
  <si>
    <t>Invested (₹)</t>
  </si>
  <si>
    <t>% of Total</t>
  </si>
  <si>
    <t>Returns</t>
  </si>
  <si>
    <t>Core Allocation (%)</t>
  </si>
  <si>
    <t>Large Cap</t>
  </si>
  <si>
    <t>Satellite Allocation (%)</t>
  </si>
  <si>
    <t>Small Cap</t>
  </si>
  <si>
    <t>Active Holdings</t>
  </si>
  <si>
    <t>Mid Cap</t>
  </si>
  <si>
    <t>Total Stocks Traded</t>
  </si>
  <si>
    <t>TOTAL</t>
  </si>
  <si>
    <t>Top 5 Gainers / Bottom 5 Losers</t>
  </si>
  <si>
    <t>Core &amp; Satellite Distribution</t>
  </si>
  <si>
    <t>Symbol</t>
  </si>
  <si>
    <t>Classification</t>
  </si>
  <si>
    <t>Current (₹)</t>
  </si>
  <si>
    <t>PnL (₹)</t>
  </si>
  <si>
    <t>PnL %</t>
  </si>
  <si>
    <t>TDPOWERSYS</t>
  </si>
  <si>
    <t>Core</t>
  </si>
  <si>
    <t>Satellite</t>
  </si>
  <si>
    <t>POLYCAB</t>
  </si>
  <si>
    <t>HINDALCO</t>
  </si>
  <si>
    <t>FEDERALBNK</t>
  </si>
  <si>
    <t>CUPID</t>
  </si>
  <si>
    <t>SUNPHARMA</t>
  </si>
  <si>
    <t>Allocation by Sector</t>
  </si>
  <si>
    <t>NIFTYBEES</t>
  </si>
  <si>
    <t>Sector</t>
  </si>
  <si>
    <t>M&amp;M</t>
  </si>
  <si>
    <t>Industrial</t>
  </si>
  <si>
    <t>ASTRAMICRO</t>
  </si>
  <si>
    <t>Consumption</t>
  </si>
  <si>
    <t>APLAPOLLO</t>
  </si>
  <si>
    <t>Finance</t>
  </si>
  <si>
    <t>Health / Pharma / Chem</t>
  </si>
  <si>
    <t>⚠️ Stocks Nearest to Stop Loss</t>
  </si>
  <si>
    <t>LTP</t>
  </si>
  <si>
    <t>SL</t>
  </si>
  <si>
    <t>Diff (₹)</t>
  </si>
  <si>
    <t>Diff (%)</t>
  </si>
  <si>
    <t>Tranche</t>
  </si>
  <si>
    <t>Tranch 2</t>
  </si>
  <si>
    <t>Sector Allocation (Core vs Satellite)</t>
  </si>
  <si>
    <t>Tranch 4</t>
  </si>
  <si>
    <t>Core (₹)</t>
  </si>
  <si>
    <t>Satellite (₹)</t>
  </si>
  <si>
    <t>Total (₹)</t>
  </si>
  <si>
    <t>Cheat 1</t>
  </si>
  <si>
    <t>Tranch 3</t>
  </si>
  <si>
    <t>BALAMINES</t>
  </si>
  <si>
    <t>ADANIENT</t>
  </si>
  <si>
    <t>AUROPHARMA</t>
  </si>
  <si>
    <t>PnL Breakdown by Cap</t>
  </si>
  <si>
    <t>Cap</t>
  </si>
  <si>
    <t>Total PnL</t>
  </si>
  <si>
    <t>🔔 Corporate Actions (Splits / Bonus)</t>
  </si>
  <si>
    <t>Split / Bonus Details</t>
  </si>
  <si>
    <t>Adj Required</t>
  </si>
  <si>
    <t>5:1 Split on 2026-03-09</t>
  </si>
  <si>
    <t>No</t>
  </si>
  <si>
    <t>METROPOLIS</t>
  </si>
  <si>
    <t>4:1 Split on 2026-03-20</t>
  </si>
  <si>
    <t>PIDILITIND</t>
  </si>
  <si>
    <t>2:1 Split on 2025-09-23</t>
  </si>
  <si>
    <t>Tranche Distribution</t>
  </si>
  <si>
    <t>Top 5 Cheat Stocks by Holding Period</t>
  </si>
  <si>
    <t>Count</t>
  </si>
  <si>
    <t>% of Holdings</t>
  </si>
  <si>
    <t>Stock Name</t>
  </si>
  <si>
    <t>Cheat</t>
  </si>
  <si>
    <t>Holding Period (Days)</t>
  </si>
  <si>
    <t>Invested Value</t>
  </si>
  <si>
    <t>Current Value</t>
  </si>
  <si>
    <t>GMDCLTD</t>
  </si>
  <si>
    <t>Cheat 3</t>
  </si>
  <si>
    <t>Cheat 2</t>
  </si>
  <si>
    <t>CGPOWER</t>
  </si>
  <si>
    <t>Cheat 4</t>
  </si>
  <si>
    <t>GPIL</t>
  </si>
  <si>
    <t>BSE</t>
  </si>
  <si>
    <t>GAEL</t>
  </si>
  <si>
    <t>Holding Period Distribution</t>
  </si>
  <si>
    <t>Period</t>
  </si>
  <si>
    <t>0 - 30 days</t>
  </si>
  <si>
    <t>31 - 90 days</t>
  </si>
  <si>
    <t>91 - 180 days</t>
  </si>
  <si>
    <t>180+ days</t>
  </si>
  <si>
    <t>Unnamed: 0.1</t>
  </si>
  <si>
    <t>ISIN</t>
  </si>
  <si>
    <t>Trade Date</t>
  </si>
  <si>
    <t>Exchange</t>
  </si>
  <si>
    <t>Segment</t>
  </si>
  <si>
    <t>Series</t>
  </si>
  <si>
    <t>Trade Type</t>
  </si>
  <si>
    <t>Auction</t>
  </si>
  <si>
    <t>Quantity</t>
  </si>
  <si>
    <t>Price</t>
  </si>
  <si>
    <t>Trade ID</t>
  </si>
  <si>
    <t>Order ID</t>
  </si>
  <si>
    <t>Order Execution Time</t>
  </si>
  <si>
    <t>Unnamed: 0</t>
  </si>
  <si>
    <t>INE455K01017</t>
  </si>
  <si>
    <t>2025-09-08</t>
  </si>
  <si>
    <t>NSE</t>
  </si>
  <si>
    <t>EQ</t>
  </si>
  <si>
    <t>buy</t>
  </si>
  <si>
    <t>2025-09-08T13:01:01</t>
  </si>
  <si>
    <t>CIPLA</t>
  </si>
  <si>
    <t>INE059A01026</t>
  </si>
  <si>
    <t>2025-09-08T13:15:31</t>
  </si>
  <si>
    <t>HBLENGINE</t>
  </si>
  <si>
    <t>INE292B01021</t>
  </si>
  <si>
    <t>2025-09-08T13:22:33</t>
  </si>
  <si>
    <t>SUPREMEIND</t>
  </si>
  <si>
    <t>INE195A01028</t>
  </si>
  <si>
    <t>2025-09-08T13:36:34</t>
  </si>
  <si>
    <t>TITAN</t>
  </si>
  <si>
    <t>INE280A01028</t>
  </si>
  <si>
    <t>2025-09-08T13:52:01</t>
  </si>
  <si>
    <t>DMART</t>
  </si>
  <si>
    <t>INE192R01011</t>
  </si>
  <si>
    <t>2025-09-08T13:56:18</t>
  </si>
  <si>
    <t>INE112L01020</t>
  </si>
  <si>
    <t>2025-09-08T14:00:59</t>
  </si>
  <si>
    <t>AVANTEL</t>
  </si>
  <si>
    <t>INE005B01027</t>
  </si>
  <si>
    <t>2025-09-09</t>
  </si>
  <si>
    <t>2025-09-09T11:27:29</t>
  </si>
  <si>
    <t>INE131A01031</t>
  </si>
  <si>
    <t>2025-09-09T11:27:52</t>
  </si>
  <si>
    <t>UNOMINDA</t>
  </si>
  <si>
    <t>INE405E01023</t>
  </si>
  <si>
    <t>2025-09-09T11:50:25</t>
  </si>
  <si>
    <t>INE318A01026</t>
  </si>
  <si>
    <t>2025-09-09T11:58:50</t>
  </si>
  <si>
    <t>INE067A01029</t>
  </si>
  <si>
    <t>2025-09-15</t>
  </si>
  <si>
    <t>2025-09-15T10:20:52</t>
  </si>
  <si>
    <t>JBMA</t>
  </si>
  <si>
    <t>INE927D01051</t>
  </si>
  <si>
    <t>2025-09-16</t>
  </si>
  <si>
    <t>2025-09-16T15:22:47</t>
  </si>
  <si>
    <t>CANBK</t>
  </si>
  <si>
    <t>INE476A01022</t>
  </si>
  <si>
    <t>2025-09-22</t>
  </si>
  <si>
    <t>2025-09-22T13:57:19</t>
  </si>
  <si>
    <t>2025-09-22T14:09:54</t>
  </si>
  <si>
    <t>2025-09-22T14:14:57</t>
  </si>
  <si>
    <t>SPLPETRO</t>
  </si>
  <si>
    <t>INE663A01033</t>
  </si>
  <si>
    <t>2025-09-29</t>
  </si>
  <si>
    <t>2025-09-29T13:44:57</t>
  </si>
  <si>
    <t>2025-10-03</t>
  </si>
  <si>
    <t>sell</t>
  </si>
  <si>
    <t>2025-10-03T10:11:43</t>
  </si>
  <si>
    <t>2025-10-03T10:12:04</t>
  </si>
  <si>
    <t>2025-10-03T10:12:36</t>
  </si>
  <si>
    <t>2025-10-06</t>
  </si>
  <si>
    <t>2025-10-06T14:28:07</t>
  </si>
  <si>
    <t>A</t>
  </si>
  <si>
    <t>2025-10-06T14:43:43</t>
  </si>
  <si>
    <t>POONAWALLA</t>
  </si>
  <si>
    <t>INE511C01022</t>
  </si>
  <si>
    <t>2025-10-06T14:49:23</t>
  </si>
  <si>
    <t>PRECWIRE</t>
  </si>
  <si>
    <t>INE372C01037</t>
  </si>
  <si>
    <t>2025-10-06T14:53:24</t>
  </si>
  <si>
    <t>2025-10-06T14:55:34</t>
  </si>
  <si>
    <t>INE038A01020</t>
  </si>
  <si>
    <t>2025-10-06T15:06:32</t>
  </si>
  <si>
    <t>2025-10-08</t>
  </si>
  <si>
    <t>2025-10-08T13:18:12</t>
  </si>
  <si>
    <t>2025-10-09</t>
  </si>
  <si>
    <t>2025-10-09T11:10:16</t>
  </si>
  <si>
    <t>2025-10-13</t>
  </si>
  <si>
    <t>2025-10-13T14:44:00</t>
  </si>
  <si>
    <t>2025-10-13T15:12:12</t>
  </si>
  <si>
    <t>BAJFINANCE</t>
  </si>
  <si>
    <t>INE296A01032</t>
  </si>
  <si>
    <t>2025-10-16</t>
  </si>
  <si>
    <t>2025-10-16T14:02:53</t>
  </si>
  <si>
    <t>2025-10-16T14:05:36</t>
  </si>
  <si>
    <t>2025-10-17</t>
  </si>
  <si>
    <t>2025-10-17T14:27:40</t>
  </si>
  <si>
    <t>2025-10-17T14:27:54</t>
  </si>
  <si>
    <t>2025-10-20</t>
  </si>
  <si>
    <t>2025-10-20T09:00:03</t>
  </si>
  <si>
    <t>ETERNAL</t>
  </si>
  <si>
    <t>INE758T01015</t>
  </si>
  <si>
    <t>2025-10-21</t>
  </si>
  <si>
    <t>2025-10-21T14:13:25</t>
  </si>
  <si>
    <t>2025-10-21T14:42:11</t>
  </si>
  <si>
    <t>2025-10-24</t>
  </si>
  <si>
    <t>2025-10-24T12:58:42</t>
  </si>
  <si>
    <t>2025-10-27</t>
  </si>
  <si>
    <t>2025-10-27T09:15:24</t>
  </si>
  <si>
    <t>2025-10-27T14:53:01</t>
  </si>
  <si>
    <t>INE177H01039</t>
  </si>
  <si>
    <t>2025-10-27T14:56:38</t>
  </si>
  <si>
    <t>2025-10-31</t>
  </si>
  <si>
    <t>2025-10-31T15:14:31</t>
  </si>
  <si>
    <t>HINDPETRO</t>
  </si>
  <si>
    <t>INE094A01015</t>
  </si>
  <si>
    <t>2025-11-03</t>
  </si>
  <si>
    <t>2025-11-03T14:37:07</t>
  </si>
  <si>
    <t>CHENNPETRO</t>
  </si>
  <si>
    <t>INE178A01016</t>
  </si>
  <si>
    <t>2025-11-03T14:37:50</t>
  </si>
  <si>
    <t>BPCL</t>
  </si>
  <si>
    <t>INE029A01011</t>
  </si>
  <si>
    <t>2025-11-03T14:38:30</t>
  </si>
  <si>
    <t>IOC</t>
  </si>
  <si>
    <t>INE242A01010</t>
  </si>
  <si>
    <t>2025-11-03T14:38:57</t>
  </si>
  <si>
    <t>SBIN</t>
  </si>
  <si>
    <t>INE062A01020</t>
  </si>
  <si>
    <t>2025-11-03T14:39:52</t>
  </si>
  <si>
    <t>BANKBARODA</t>
  </si>
  <si>
    <t>INE028A01039</t>
  </si>
  <si>
    <t>2025-11-03T14:40:15</t>
  </si>
  <si>
    <t>INE171A01029</t>
  </si>
  <si>
    <t>2025-11-03T14:41:00</t>
  </si>
  <si>
    <t>2025-11-10</t>
  </si>
  <si>
    <t>2025-11-10T09:26:54</t>
  </si>
  <si>
    <t>2025-11-11</t>
  </si>
  <si>
    <t>2025-11-11T13:34:21</t>
  </si>
  <si>
    <t>2025-11-11T13:35:27</t>
  </si>
  <si>
    <t>2025-11-13</t>
  </si>
  <si>
    <t>2025-11-13T10:59:29</t>
  </si>
  <si>
    <t>2025-11-14</t>
  </si>
  <si>
    <t>2025-11-14T15:19:43</t>
  </si>
  <si>
    <t>BHARATFORG</t>
  </si>
  <si>
    <t>2025-11-17</t>
  </si>
  <si>
    <t>2025-11-17T11:53:38</t>
  </si>
  <si>
    <t>TVSSRICHAK</t>
  </si>
  <si>
    <t>2025-11-17T12:03:55</t>
  </si>
  <si>
    <t>INE421C01016</t>
  </si>
  <si>
    <t>2025-11-21</t>
  </si>
  <si>
    <t>2025-11-21T14:27:21</t>
  </si>
  <si>
    <t>2025-11-21T14:28:03</t>
  </si>
  <si>
    <t>2025-11-28</t>
  </si>
  <si>
    <t>2025-11-28T14:55:57</t>
  </si>
  <si>
    <t>GMRAIRPORT</t>
  </si>
  <si>
    <t>INE776C01039</t>
  </si>
  <si>
    <t>2025-11-28T14:58:37</t>
  </si>
  <si>
    <t>BSOFT</t>
  </si>
  <si>
    <t>INE836A01035</t>
  </si>
  <si>
    <t>2025-12-08</t>
  </si>
  <si>
    <t>2025-12-08T14:24:37</t>
  </si>
  <si>
    <t>INE118H01025</t>
  </si>
  <si>
    <t>2025-12-08T14:25:48</t>
  </si>
  <si>
    <t>JKTYRE</t>
  </si>
  <si>
    <t>INE573A01042</t>
  </si>
  <si>
    <t>2025-12-22</t>
  </si>
  <si>
    <t>2025-12-22T10:04:41</t>
  </si>
  <si>
    <t>2025-12-22T10:38:47</t>
  </si>
  <si>
    <t>KIRLOSENG</t>
  </si>
  <si>
    <t>INE146L01010</t>
  </si>
  <si>
    <t>2025-12-23</t>
  </si>
  <si>
    <t>2025-12-23T10:32:12</t>
  </si>
  <si>
    <t>2025-12-30</t>
  </si>
  <si>
    <t>2025-12-30T10:09:53</t>
  </si>
  <si>
    <t>2026-01-02</t>
  </si>
  <si>
    <t>2026-01-02T14:57:40</t>
  </si>
  <si>
    <t>NMDC</t>
  </si>
  <si>
    <t>INE584A01023</t>
  </si>
  <si>
    <t>2026-01-02T14:58:35</t>
  </si>
  <si>
    <t>INE036B01030</t>
  </si>
  <si>
    <t>2026-01-02T15:08:42</t>
  </si>
  <si>
    <t>INE509F01029</t>
  </si>
  <si>
    <t>2026-01-05</t>
  </si>
  <si>
    <t>2026-01-05T12:26:28</t>
  </si>
  <si>
    <t>2026-01-05T13:16:53</t>
  </si>
  <si>
    <t>2026-01-05T13:37:39</t>
  </si>
  <si>
    <t>2026-01-05T15:02:07</t>
  </si>
  <si>
    <t>2026-01-05T15:03:01</t>
  </si>
  <si>
    <t>AJANTPHARM</t>
  </si>
  <si>
    <t>INE031B01049</t>
  </si>
  <si>
    <t>2026-01-05T15:04:11</t>
  </si>
  <si>
    <t>2026-01-06</t>
  </si>
  <si>
    <t>2026-01-06T09:20:12</t>
  </si>
  <si>
    <t>2026-01-16</t>
  </si>
  <si>
    <t>2026-01-16T13:10:12</t>
  </si>
  <si>
    <t>2026-01-16T13:52:00</t>
  </si>
  <si>
    <t>B</t>
  </si>
  <si>
    <t>2026-01-16T14:35:07</t>
  </si>
  <si>
    <t>SOUTHBANK</t>
  </si>
  <si>
    <t>INE683A01023</t>
  </si>
  <si>
    <t>2026-01-16T14:45:38</t>
  </si>
  <si>
    <t>PNB</t>
  </si>
  <si>
    <t>INE160A01022</t>
  </si>
  <si>
    <t>2026-01-16T14:47:54</t>
  </si>
  <si>
    <t>BANKINDIA</t>
  </si>
  <si>
    <t>INE084A01016</t>
  </si>
  <si>
    <t>2026-01-16T14:48:01</t>
  </si>
  <si>
    <t>MAHABANK</t>
  </si>
  <si>
    <t>INE457A01014</t>
  </si>
  <si>
    <t>2026-01-16T14:48:13</t>
  </si>
  <si>
    <t>2026-01-16T15:03:27</t>
  </si>
  <si>
    <t>2026-01-16T15:06:29</t>
  </si>
  <si>
    <t>2026-01-16T15:07:23</t>
  </si>
  <si>
    <t>2026-01-19</t>
  </si>
  <si>
    <t>2026-01-19T15:02:09</t>
  </si>
  <si>
    <t>2026-01-19T15:02:46</t>
  </si>
  <si>
    <t>2026-01-19T15:13:22</t>
  </si>
  <si>
    <t>2026-01-27</t>
  </si>
  <si>
    <t>2026-01-27T12:05:51</t>
  </si>
  <si>
    <t>2026-01-27T12:06:38</t>
  </si>
  <si>
    <t>2026-01-30</t>
  </si>
  <si>
    <t>2026-01-30T14:07:47</t>
  </si>
  <si>
    <t>2026-01-30T15:03:50</t>
  </si>
  <si>
    <t>BEL</t>
  </si>
  <si>
    <t>INE263A01024</t>
  </si>
  <si>
    <t>2026-01-30T15:05:10</t>
  </si>
  <si>
    <t>SEAMECLTD</t>
  </si>
  <si>
    <t>INE497B01018</t>
  </si>
  <si>
    <t>2026-01-30T15:11:39</t>
  </si>
  <si>
    <t>2026-01-30T15:15:06</t>
  </si>
  <si>
    <t>2026-01-30T15:17:25</t>
  </si>
  <si>
    <t>2026-02-02</t>
  </si>
  <si>
    <t>2026-02-02T09:16:02</t>
  </si>
  <si>
    <t>2026-02-02T09:20:16</t>
  </si>
  <si>
    <t>2026-02-02T11:20:59</t>
  </si>
  <si>
    <t>2026-02-02T12:07:44</t>
  </si>
  <si>
    <t>2026-02-02T12:08:58</t>
  </si>
  <si>
    <t>INE465A01025</t>
  </si>
  <si>
    <t>2026-02-02T13:47:52</t>
  </si>
  <si>
    <t>2026-02-06</t>
  </si>
  <si>
    <t>2026-02-06T15:05:00</t>
  </si>
  <si>
    <t>INE702C01027</t>
  </si>
  <si>
    <t>2026-02-09</t>
  </si>
  <si>
    <t>2026-02-09T15:07:12</t>
  </si>
  <si>
    <t>INE419M01027</t>
  </si>
  <si>
    <t>2026-02-12</t>
  </si>
  <si>
    <t>2026-02-12T13:37:04</t>
  </si>
  <si>
    <t>2026-02-12T13:37:37</t>
  </si>
  <si>
    <t>RAJRATAN</t>
  </si>
  <si>
    <t>INE451D01029</t>
  </si>
  <si>
    <t>2026-02-12T13:37:49</t>
  </si>
  <si>
    <t>2026-02-12T15:00:09</t>
  </si>
  <si>
    <t>2026-02-13</t>
  </si>
  <si>
    <t>2026-02-13T15:13:06</t>
  </si>
  <si>
    <t>2026-02-20</t>
  </si>
  <si>
    <t>2026-02-20T14:54:17</t>
  </si>
  <si>
    <t>2026-02-20T14:55:29</t>
  </si>
  <si>
    <t>2026-02-20T14:57:35</t>
  </si>
  <si>
    <t>TARIL</t>
  </si>
  <si>
    <t>INE763I01026</t>
  </si>
  <si>
    <t>2026-02-20T15:09:31</t>
  </si>
  <si>
    <t>2026-02-27</t>
  </si>
  <si>
    <t>2026-02-27T14:12:27</t>
  </si>
  <si>
    <t>2026-02-27T14:16:17</t>
  </si>
  <si>
    <t>2026-02-27T14:24:28</t>
  </si>
  <si>
    <t>2026-02-27T15:13:26</t>
  </si>
  <si>
    <t>2026-03-02</t>
  </si>
  <si>
    <t>2026-03-02T09:00:08</t>
  </si>
  <si>
    <t>2026-03-06</t>
  </si>
  <si>
    <t>2026-03-06T15:06:07</t>
  </si>
  <si>
    <t>MRPL</t>
  </si>
  <si>
    <t>INE103A01014</t>
  </si>
  <si>
    <t>2026-03-06T15:29:10</t>
  </si>
  <si>
    <t>2026-03-09</t>
  </si>
  <si>
    <t>2026-03-09T15:08:32</t>
  </si>
  <si>
    <t>INF204KB14I2</t>
  </si>
  <si>
    <t>2026-03-09T15:10:00</t>
  </si>
  <si>
    <t>2026-03-09T15:18:40</t>
  </si>
  <si>
    <t>CCL</t>
  </si>
  <si>
    <t>INE421D01022</t>
  </si>
  <si>
    <t>2026-03-09T15:22:29</t>
  </si>
  <si>
    <t>GVT&amp;D</t>
  </si>
  <si>
    <t>INE200A01026</t>
  </si>
  <si>
    <t>2026-03-09T15:26:29</t>
  </si>
  <si>
    <t>2026-03-18</t>
  </si>
  <si>
    <t>2026-03-18T10:02:29</t>
  </si>
  <si>
    <t>2026-03-20</t>
  </si>
  <si>
    <t>2026-03-20T14:34:29</t>
  </si>
  <si>
    <t>2026-03-20T14:37:00</t>
  </si>
  <si>
    <t>2026-03-20T14:37:36</t>
  </si>
  <si>
    <t>2026-03-20T14:44:09</t>
  </si>
  <si>
    <t>SOLARINDS</t>
  </si>
  <si>
    <t>INE343H01029</t>
  </si>
  <si>
    <t>2026-03-20T14:47:54</t>
  </si>
  <si>
    <t>2026-03-20T15:22:03</t>
  </si>
  <si>
    <t>MAZDOCK</t>
  </si>
  <si>
    <t>INE249Z01020</t>
  </si>
  <si>
    <t>2026-04-27</t>
  </si>
  <si>
    <t>2026-04-27T14:56:01</t>
  </si>
  <si>
    <t>INE386C01029</t>
  </si>
  <si>
    <t>2026-04-27T14:56:23</t>
  </si>
  <si>
    <t>2026-05-04</t>
  </si>
  <si>
    <t>2026-05-04T14:57:16</t>
  </si>
  <si>
    <t>2026-05-04T14:58:14</t>
  </si>
  <si>
    <t>POCL</t>
  </si>
  <si>
    <t>INE063E01053</t>
  </si>
  <si>
    <t>2026-05-04T15:00:15</t>
  </si>
  <si>
    <t>APOLLO</t>
  </si>
  <si>
    <t>INE713T01028</t>
  </si>
  <si>
    <t>2026-05-04T15:00:40</t>
  </si>
  <si>
    <t>VOLTAMP</t>
  </si>
  <si>
    <t>INE540H01012</t>
  </si>
  <si>
    <t>2026-05-05</t>
  </si>
  <si>
    <t>2026-05-05T13:54:18</t>
  </si>
  <si>
    <t>2026-05-06</t>
  </si>
  <si>
    <t>2026-05-06T09:18:16</t>
  </si>
  <si>
    <t>2026-05-06T09:34:29</t>
  </si>
  <si>
    <t>2026-05-06T09:38:07</t>
  </si>
  <si>
    <t>2026-05-08</t>
  </si>
  <si>
    <t>2026-05-08T14:53:19</t>
  </si>
  <si>
    <t>2026-05-08T14:55:01</t>
  </si>
  <si>
    <t>2026-05-08T14:56:21</t>
  </si>
  <si>
    <t>2026-05-06T09:43:13</t>
  </si>
  <si>
    <t>2026-05-15</t>
  </si>
  <si>
    <t>2026-05-15T13:23:52</t>
  </si>
  <si>
    <t>2026-05-15T13:32:35</t>
  </si>
  <si>
    <t>2026-05-15T13:33:48</t>
  </si>
  <si>
    <t>2026-05-15T13:34:47</t>
  </si>
  <si>
    <t>2026-05-15T13:35:53</t>
  </si>
  <si>
    <t>2026-05-15T13:35:59</t>
  </si>
  <si>
    <t>2026-05-15T14:04:50</t>
  </si>
  <si>
    <t>LAURUSLABS</t>
  </si>
  <si>
    <t>INE947Q01028</t>
  </si>
  <si>
    <t>2026-05-15T15:04:11</t>
  </si>
  <si>
    <t>INE423A01024</t>
  </si>
  <si>
    <t>2026-05-15T15:06:02</t>
  </si>
  <si>
    <t>ACUTAAS</t>
  </si>
  <si>
    <t>INE00FF01025</t>
  </si>
  <si>
    <t>2026-05-15T15:21:39</t>
  </si>
  <si>
    <t>INE101A01026</t>
  </si>
  <si>
    <t>2026-05-15T15:22:04</t>
  </si>
  <si>
    <t>INE406A01037</t>
  </si>
  <si>
    <t>2026-05-18</t>
  </si>
  <si>
    <t>2026-05-18T14:02:54</t>
  </si>
  <si>
    <t>INE050E01027</t>
  </si>
  <si>
    <t>2026-05-18T14:03:13</t>
  </si>
  <si>
    <t>2026-05-18T14:04:56</t>
  </si>
  <si>
    <t>2026-05-18T14:30:58</t>
  </si>
  <si>
    <t>INE044A01036</t>
  </si>
  <si>
    <t>2026-05-18T14:31:39</t>
  </si>
  <si>
    <t>Total_Quantity</t>
  </si>
  <si>
    <t>Average_Price</t>
  </si>
  <si>
    <t>Total_Value</t>
  </si>
  <si>
    <t>Tranches/Cheat</t>
  </si>
  <si>
    <t>Tranch 1</t>
  </si>
  <si>
    <t>N/A</t>
  </si>
  <si>
    <t>TF_Sector</t>
  </si>
  <si>
    <t>TF_Classification</t>
  </si>
  <si>
    <t>Latest_Tranche</t>
  </si>
  <si>
    <t>Current_Quantity</t>
  </si>
  <si>
    <t>Average_Buy_Price</t>
  </si>
  <si>
    <t>LTP_SL_Diff</t>
  </si>
  <si>
    <t>LTP_SL_Diff_Pct</t>
  </si>
  <si>
    <t>Invested_Value</t>
  </si>
  <si>
    <t>EMA9</t>
  </si>
  <si>
    <t>EMA10</t>
  </si>
  <si>
    <t>EMA11</t>
  </si>
  <si>
    <t>EMA21</t>
  </si>
  <si>
    <t>Current_Value</t>
  </si>
  <si>
    <t>Unrealized_PnL</t>
  </si>
  <si>
    <t>Holding_Period</t>
  </si>
  <si>
    <t>Split_Info</t>
  </si>
  <si>
    <t>Adj_Required</t>
  </si>
  <si>
    <t>,</t>
  </si>
  <si>
    <t>Total_Buy_Quantity</t>
  </si>
  <si>
    <t>Total_Buy_Value</t>
  </si>
  <si>
    <t>Total_Sell_Quantity</t>
  </si>
  <si>
    <t>Total_Sell_Value</t>
  </si>
  <si>
    <t>Average_Sell_Price</t>
  </si>
  <si>
    <t>Realized_PnL</t>
  </si>
  <si>
    <t>Total_PnL</t>
  </si>
  <si>
    <t>Total_PnL_Percentage</t>
  </si>
  <si>
    <t>Tech / Platform / IT</t>
  </si>
  <si>
    <t>Buy Price</t>
  </si>
  <si>
    <t>P/L</t>
  </si>
  <si>
    <t>Yday - Close</t>
  </si>
  <si>
    <t>1 Day Change %</t>
  </si>
  <si>
    <t xml:space="preserve">SL Price </t>
  </si>
  <si>
    <t>SL-LTP 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</si>
</sst>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[$₹-44D]\ * #,##0.00_ ;_ [$₹-44D]\ * \-#,##0.00_ ;_ [$₹-44D]\ * &quot;-&quot;??_ ;_ @_ "/>
    <numFmt numFmtId="165" formatCode="[$₹-4009]\ #,##0.00"/>
    <numFmt numFmtId="166" formatCode="0.0%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  <font>
      <b/>
      <sz val="18"/>
      <color rgb="FF2F5496"/>
      <name val="Calibri"/>
    </font>
    <font>
      <b/>
      <i/>
      <sz val="12"/>
      <color rgb="FF595959"/>
      <name val="Calibri"/>
    </font>
    <font>
      <b/>
      <sz val="12"/>
      <color rgb="FF2F5496"/>
      <name val="Calibri"/>
    </font>
    <font>
      <b/>
      <sz val="11"/>
      <color rgb="FFFFFFFF"/>
      <name val="Calibri"/>
    </font>
    <font>
      <b/>
      <sz val="11"/>
      <color rgb="FF147A1E"/>
      <name val="Calibri"/>
    </font>
    <font>
      <b/>
      <sz val="11"/>
      <color rgb="FFC00000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164" fontId="0" fillId="0" borderId="0" xfId="0" applyNumberFormat="1"/>
    <xf numFmtId="0" fontId="0" fillId="0" borderId="1" xfId="0" applyBorder="1"/>
    <xf numFmtId="0" fontId="0" fillId="0" borderId="2" xfId="0" applyBorder="1"/>
    <xf numFmtId="166" fontId="0" fillId="0" borderId="0" xfId="0" applyNumberFormat="1"/>
    <xf numFmtId="0" fontId="5" fillId="0" borderId="0" xfId="0" applyFont="1"/>
    <xf numFmtId="0" fontId="6" fillId="2" borderId="4" xfId="0" applyFont="1" applyFill="1" applyBorder="1" applyAlignment="1">
      <alignment horizontal="center"/>
    </xf>
    <xf numFmtId="0" fontId="1" fillId="0" borderId="4" xfId="0" applyFont="1" applyBorder="1"/>
    <xf numFmtId="165" fontId="0" fillId="0" borderId="4" xfId="0" applyNumberFormat="1" applyBorder="1"/>
    <xf numFmtId="10" fontId="8" fillId="0" borderId="4" xfId="0" applyNumberFormat="1" applyFont="1" applyBorder="1"/>
    <xf numFmtId="10" fontId="7" fillId="0" borderId="4" xfId="0" applyNumberFormat="1" applyFont="1" applyBorder="1"/>
    <xf numFmtId="165" fontId="7" fillId="0" borderId="4" xfId="0" applyNumberFormat="1" applyFont="1" applyBorder="1"/>
    <xf numFmtId="165" fontId="8" fillId="0" borderId="4" xfId="0" applyNumberFormat="1" applyFont="1" applyBorder="1"/>
    <xf numFmtId="10" fontId="0" fillId="0" borderId="4" xfId="0" applyNumberFormat="1" applyBorder="1"/>
    <xf numFmtId="1" fontId="0" fillId="0" borderId="4" xfId="0" applyNumberFormat="1" applyBorder="1"/>
    <xf numFmtId="165" fontId="1" fillId="0" borderId="4" xfId="0" applyNumberFormat="1" applyFont="1" applyBorder="1"/>
    <xf numFmtId="10" fontId="1" fillId="0" borderId="4" xfId="0" applyNumberFormat="1" applyFont="1" applyBorder="1"/>
    <xf numFmtId="0" fontId="0" fillId="0" borderId="4" xfId="0" applyBorder="1"/>
    <xf numFmtId="0" fontId="2" fillId="2" borderId="3" xfId="0" applyFont="1" applyFill="1" applyBorder="1" applyAlignment="1">
      <alignment horizontal="center" vertical="center" wrapText="1"/>
    </xf>
    <xf numFmtId="0" fontId="0" fillId="0" borderId="3" xfId="0" applyBorder="1"/>
    <xf numFmtId="1" fontId="0" fillId="0" borderId="3" xfId="0" applyNumberFormat="1" applyBorder="1"/>
    <xf numFmtId="165" fontId="0" fillId="0" borderId="3" xfId="0" applyNumberFormat="1" applyBorder="1"/>
    <xf numFmtId="10" fontId="0" fillId="0" borderId="3" xfId="0" applyNumberFormat="1" applyBorder="1"/>
    <xf numFmtId="0" fontId="9" fillId="0" borderId="4" xfId="0" applyFont="1" applyBorder="1"/>
    <xf numFmtId="1" fontId="9" fillId="0" borderId="4" xfId="0" applyNumberFormat="1" applyFont="1" applyBorder="1"/>
    <xf numFmtId="165" fontId="9" fillId="0" borderId="4" xfId="0" applyNumberFormat="1" applyFont="1" applyBorder="1"/>
    <xf numFmtId="0" fontId="4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12</v>
    <v>Price</v>
    <v>0</v>
  </rv>
  <rv s="1">
    <v>12</v>
    <v>1</v>
  </rv>
  <rv s="0">
    <v>12</v>
    <v>Previous close</v>
    <v>0</v>
  </rv>
</rvData>
</file>

<file path=xl/richData/rdrichvaluestructure.xml><?xml version="1.0" encoding="utf-8"?>
<rvStructures xmlns="http://schemas.microsoft.com/office/spreadsheetml/2017/richdata" count="2">
  <s t="_error">
    <k n="errorType" t="i"/>
    <k n="field" t="s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7"/>
  <sheetViews>
    <sheetView tabSelected="1" topLeftCell="A33" workbookViewId="0">
      <selection activeCell="C54" sqref="C54"/>
    </sheetView>
  </sheetViews>
  <sheetFormatPr defaultRowHeight="15" x14ac:dyDescent="0.25"/>
  <cols>
    <col min="1" max="1" width="24" customWidth="1"/>
    <col min="2" max="2" width="18" customWidth="1"/>
    <col min="3" max="3" width="20" customWidth="1"/>
    <col min="4" max="7" width="18" customWidth="1"/>
    <col min="8" max="8" width="4" customWidth="1"/>
    <col min="9" max="9" width="24" customWidth="1"/>
    <col min="10" max="12" width="18" customWidth="1"/>
  </cols>
  <sheetData>
    <row r="1" spans="1:12" ht="23.25" x14ac:dyDescent="0.35">
      <c r="A1" s="28" t="s">
        <v>0</v>
      </c>
      <c r="B1" s="27"/>
      <c r="C1" s="27"/>
      <c r="D1" s="27"/>
      <c r="E1" s="27"/>
      <c r="F1" s="27"/>
      <c r="G1" s="27"/>
      <c r="I1" s="26" t="s">
        <v>1</v>
      </c>
      <c r="J1" s="27"/>
      <c r="K1" s="27"/>
      <c r="L1" s="27"/>
    </row>
    <row r="3" spans="1:12" ht="15.75" x14ac:dyDescent="0.25">
      <c r="A3" s="5" t="s">
        <v>2</v>
      </c>
      <c r="I3" s="5" t="s">
        <v>3</v>
      </c>
    </row>
    <row r="4" spans="1:12" x14ac:dyDescent="0.25">
      <c r="A4" s="6" t="s">
        <v>4</v>
      </c>
      <c r="B4" s="6" t="s">
        <v>5</v>
      </c>
      <c r="I4" s="6" t="s">
        <v>6</v>
      </c>
      <c r="J4" s="6" t="s">
        <v>7</v>
      </c>
      <c r="K4" s="6" t="s">
        <v>8</v>
      </c>
      <c r="L4" s="6" t="s">
        <v>9</v>
      </c>
    </row>
    <row r="5" spans="1:12" x14ac:dyDescent="0.25">
      <c r="A5" s="7" t="s">
        <v>10</v>
      </c>
      <c r="B5" s="8">
        <v>2819279.41</v>
      </c>
      <c r="I5" s="7" t="s">
        <v>11</v>
      </c>
      <c r="J5" s="8">
        <v>24625.05</v>
      </c>
      <c r="K5" s="8">
        <v>23618</v>
      </c>
      <c r="L5" s="9">
        <v>-4.0895378864225063E-2</v>
      </c>
    </row>
    <row r="6" spans="1:12" x14ac:dyDescent="0.25">
      <c r="A6" s="7" t="s">
        <v>12</v>
      </c>
      <c r="B6" s="8">
        <v>3181104.35</v>
      </c>
      <c r="I6" s="7" t="s">
        <v>13</v>
      </c>
      <c r="J6" s="8">
        <v>16033.55</v>
      </c>
      <c r="K6" s="8">
        <v>17413.75</v>
      </c>
      <c r="L6" s="10">
        <v>8.6082010043028068E-2</v>
      </c>
    </row>
    <row r="7" spans="1:12" x14ac:dyDescent="0.25">
      <c r="A7" s="7" t="s">
        <v>14</v>
      </c>
      <c r="B7" s="11">
        <v>361824.94</v>
      </c>
    </row>
    <row r="8" spans="1:12" x14ac:dyDescent="0.25">
      <c r="A8" s="7" t="s">
        <v>15</v>
      </c>
      <c r="B8" s="12">
        <v>-354099.68000000011</v>
      </c>
    </row>
    <row r="9" spans="1:12" ht="15.75" x14ac:dyDescent="0.25">
      <c r="A9" s="7" t="s">
        <v>16</v>
      </c>
      <c r="B9" s="11">
        <v>7725.2599999999511</v>
      </c>
      <c r="I9" s="5" t="s">
        <v>17</v>
      </c>
    </row>
    <row r="10" spans="1:12" x14ac:dyDescent="0.25">
      <c r="A10" s="7" t="s">
        <v>18</v>
      </c>
      <c r="B10" s="10">
        <v>2.7401540878135059E-3</v>
      </c>
      <c r="I10" s="6" t="s">
        <v>19</v>
      </c>
      <c r="J10" s="6" t="s">
        <v>20</v>
      </c>
      <c r="K10" s="6" t="s">
        <v>21</v>
      </c>
      <c r="L10" s="6" t="s">
        <v>22</v>
      </c>
    </row>
    <row r="11" spans="1:12" x14ac:dyDescent="0.25">
      <c r="A11" s="7" t="s">
        <v>23</v>
      </c>
      <c r="B11" s="13">
        <v>0.4394953673641025</v>
      </c>
      <c r="I11" s="7" t="s">
        <v>24</v>
      </c>
      <c r="J11" s="8">
        <v>1103103.1299999999</v>
      </c>
      <c r="K11" s="13">
        <v>0.39478300905275199</v>
      </c>
      <c r="L11" s="10">
        <v>0.15773962131718369</v>
      </c>
    </row>
    <row r="12" spans="1:12" x14ac:dyDescent="0.25">
      <c r="A12" s="7" t="s">
        <v>25</v>
      </c>
      <c r="B12" s="13">
        <v>0.56050463263589756</v>
      </c>
      <c r="I12" s="7" t="s">
        <v>26</v>
      </c>
      <c r="J12" s="8">
        <v>964592.52</v>
      </c>
      <c r="K12" s="13">
        <v>0.34521227181666769</v>
      </c>
      <c r="L12" s="10">
        <v>0.17653476102012469</v>
      </c>
    </row>
    <row r="13" spans="1:12" x14ac:dyDescent="0.25">
      <c r="A13" s="7" t="s">
        <v>27</v>
      </c>
      <c r="B13" s="14">
        <v>29</v>
      </c>
      <c r="I13" s="7" t="s">
        <v>28</v>
      </c>
      <c r="J13" s="8">
        <v>726505.48</v>
      </c>
      <c r="K13" s="13">
        <v>0.26000471913058032</v>
      </c>
      <c r="L13" s="10">
        <v>2.4770522033777422E-2</v>
      </c>
    </row>
    <row r="14" spans="1:12" x14ac:dyDescent="0.25">
      <c r="A14" s="7" t="s">
        <v>29</v>
      </c>
      <c r="B14" s="14">
        <v>66</v>
      </c>
      <c r="I14" s="7" t="s">
        <v>30</v>
      </c>
      <c r="J14" s="15">
        <v>2794201.13</v>
      </c>
      <c r="K14" s="16">
        <v>1</v>
      </c>
      <c r="L14" s="10">
        <v>0.1296553408809194</v>
      </c>
    </row>
    <row r="17" spans="1:11" ht="15.75" x14ac:dyDescent="0.25">
      <c r="A17" s="5" t="s">
        <v>31</v>
      </c>
      <c r="I17" s="5" t="s">
        <v>32</v>
      </c>
    </row>
    <row r="18" spans="1:11" x14ac:dyDescent="0.25">
      <c r="A18" s="6" t="s">
        <v>33</v>
      </c>
      <c r="B18" s="6" t="s">
        <v>34</v>
      </c>
      <c r="C18" s="6" t="s">
        <v>20</v>
      </c>
      <c r="D18" s="6" t="s">
        <v>35</v>
      </c>
      <c r="E18" s="6" t="s">
        <v>36</v>
      </c>
      <c r="F18" s="6" t="s">
        <v>37</v>
      </c>
      <c r="I18" s="6" t="s">
        <v>34</v>
      </c>
      <c r="J18" s="6" t="s">
        <v>20</v>
      </c>
      <c r="K18" s="6" t="s">
        <v>21</v>
      </c>
    </row>
    <row r="19" spans="1:11" x14ac:dyDescent="0.25">
      <c r="A19" s="7" t="s">
        <v>38</v>
      </c>
      <c r="B19" s="17" t="s">
        <v>39</v>
      </c>
      <c r="C19" s="8">
        <v>274773.84000000003</v>
      </c>
      <c r="D19" s="8">
        <v>371864.8</v>
      </c>
      <c r="E19" s="11">
        <v>97090.96</v>
      </c>
      <c r="F19" s="10">
        <v>0.35334863027717628</v>
      </c>
      <c r="I19" s="7" t="s">
        <v>40</v>
      </c>
      <c r="J19" s="8">
        <v>1580219.17</v>
      </c>
      <c r="K19" s="13">
        <v>0.56050463263589756</v>
      </c>
    </row>
    <row r="20" spans="1:11" x14ac:dyDescent="0.25">
      <c r="A20" s="7" t="s">
        <v>41</v>
      </c>
      <c r="B20" s="17" t="s">
        <v>39</v>
      </c>
      <c r="C20" s="8">
        <v>386447</v>
      </c>
      <c r="D20" s="8">
        <v>458125</v>
      </c>
      <c r="E20" s="11">
        <v>71678</v>
      </c>
      <c r="F20" s="10">
        <v>0.18547950947995459</v>
      </c>
      <c r="I20" s="7" t="s">
        <v>39</v>
      </c>
      <c r="J20" s="8">
        <v>1239060.24</v>
      </c>
      <c r="K20" s="13">
        <v>0.43949536736410239</v>
      </c>
    </row>
    <row r="21" spans="1:11" x14ac:dyDescent="0.25">
      <c r="A21" s="7" t="s">
        <v>42</v>
      </c>
      <c r="B21" s="17" t="s">
        <v>40</v>
      </c>
      <c r="C21" s="8">
        <v>213357.43</v>
      </c>
      <c r="D21" s="8">
        <v>265219.90000000002</v>
      </c>
      <c r="E21" s="11">
        <v>51862.47</v>
      </c>
      <c r="F21" s="10">
        <v>0.24307787171977091</v>
      </c>
      <c r="I21" s="7" t="s">
        <v>30</v>
      </c>
      <c r="J21" s="15">
        <v>2819279.41</v>
      </c>
      <c r="K21" s="16">
        <v>1</v>
      </c>
    </row>
    <row r="22" spans="1:11" x14ac:dyDescent="0.25">
      <c r="A22" s="7" t="s">
        <v>43</v>
      </c>
      <c r="B22" s="17" t="s">
        <v>40</v>
      </c>
      <c r="C22" s="8">
        <v>300289.84000000003</v>
      </c>
      <c r="D22" s="8">
        <v>335895.2</v>
      </c>
      <c r="E22" s="11">
        <v>35605.360000000001</v>
      </c>
      <c r="F22" s="10">
        <v>0.1185699789243619</v>
      </c>
    </row>
    <row r="23" spans="1:11" x14ac:dyDescent="0.25">
      <c r="A23" s="7" t="s">
        <v>44</v>
      </c>
      <c r="B23" s="17" t="s">
        <v>40</v>
      </c>
      <c r="C23" s="8">
        <v>132097.64000000001</v>
      </c>
      <c r="D23" s="8">
        <v>164192.24</v>
      </c>
      <c r="E23" s="11">
        <v>32094.6</v>
      </c>
      <c r="F23" s="10">
        <v>0.2429611914338515</v>
      </c>
    </row>
    <row r="24" spans="1:11" ht="15.75" x14ac:dyDescent="0.25">
      <c r="A24" s="7" t="s">
        <v>45</v>
      </c>
      <c r="B24" s="17" t="s">
        <v>40</v>
      </c>
      <c r="C24" s="8">
        <v>49379.199999999997</v>
      </c>
      <c r="D24" s="8">
        <v>48939.8</v>
      </c>
      <c r="E24" s="12">
        <v>-439.4</v>
      </c>
      <c r="F24" s="9">
        <v>-8.8984835720303281E-3</v>
      </c>
      <c r="I24" s="5" t="s">
        <v>46</v>
      </c>
    </row>
    <row r="25" spans="1:11" x14ac:dyDescent="0.25">
      <c r="A25" s="7" t="s">
        <v>47</v>
      </c>
      <c r="B25" s="17" t="s">
        <v>40</v>
      </c>
      <c r="C25" s="8">
        <v>25078.28</v>
      </c>
      <c r="D25" s="8">
        <v>24620.12</v>
      </c>
      <c r="E25" s="12">
        <v>-458.16</v>
      </c>
      <c r="F25" s="9">
        <v>-1.8269195495065851E-2</v>
      </c>
      <c r="I25" s="6" t="s">
        <v>48</v>
      </c>
      <c r="J25" s="6" t="s">
        <v>20</v>
      </c>
      <c r="K25" s="6" t="s">
        <v>21</v>
      </c>
    </row>
    <row r="26" spans="1:11" x14ac:dyDescent="0.25">
      <c r="A26" s="7" t="s">
        <v>49</v>
      </c>
      <c r="B26" s="17" t="s">
        <v>39</v>
      </c>
      <c r="C26" s="8">
        <v>50032</v>
      </c>
      <c r="D26" s="8">
        <v>49476.800000000003</v>
      </c>
      <c r="E26" s="12">
        <v>-555.20000000000005</v>
      </c>
      <c r="F26" s="9">
        <v>-1.1096897985289419E-2</v>
      </c>
      <c r="I26" s="7" t="s">
        <v>50</v>
      </c>
      <c r="J26" s="8">
        <v>1662808.53</v>
      </c>
      <c r="K26" s="13">
        <v>0.58979912530202183</v>
      </c>
    </row>
    <row r="27" spans="1:11" x14ac:dyDescent="0.25">
      <c r="A27" s="7" t="s">
        <v>51</v>
      </c>
      <c r="B27" s="17" t="s">
        <v>40</v>
      </c>
      <c r="C27" s="8">
        <v>50228.2</v>
      </c>
      <c r="D27" s="8">
        <v>48078.8</v>
      </c>
      <c r="E27" s="12">
        <v>-2149.4</v>
      </c>
      <c r="F27" s="9">
        <v>-4.2792694143927119E-2</v>
      </c>
      <c r="I27" s="7" t="s">
        <v>52</v>
      </c>
      <c r="J27" s="8">
        <v>458352.02</v>
      </c>
      <c r="K27" s="13">
        <v>0.16257772052469249</v>
      </c>
    </row>
    <row r="28" spans="1:11" x14ac:dyDescent="0.25">
      <c r="A28" s="7" t="s">
        <v>53</v>
      </c>
      <c r="B28" s="17" t="s">
        <v>39</v>
      </c>
      <c r="C28" s="8">
        <v>201676.79999999999</v>
      </c>
      <c r="D28" s="8">
        <v>178992</v>
      </c>
      <c r="E28" s="12">
        <v>-22684.799999999999</v>
      </c>
      <c r="F28" s="9">
        <v>-0.112480959634425</v>
      </c>
      <c r="I28" s="7" t="s">
        <v>54</v>
      </c>
      <c r="J28" s="8">
        <v>405971.44</v>
      </c>
      <c r="K28" s="13">
        <v>0.1439982991966022</v>
      </c>
    </row>
    <row r="29" spans="1:11" x14ac:dyDescent="0.25">
      <c r="I29" s="7" t="s">
        <v>55</v>
      </c>
      <c r="J29" s="8">
        <v>292147.42</v>
      </c>
      <c r="K29" s="13">
        <v>0.1036248549766836</v>
      </c>
    </row>
    <row r="30" spans="1:11" x14ac:dyDescent="0.25">
      <c r="I30" s="7" t="s">
        <v>30</v>
      </c>
      <c r="J30" s="15">
        <v>2819279.41</v>
      </c>
      <c r="K30" s="16">
        <v>1</v>
      </c>
    </row>
    <row r="31" spans="1:11" ht="15.75" x14ac:dyDescent="0.25">
      <c r="A31" s="5" t="s">
        <v>56</v>
      </c>
    </row>
    <row r="32" spans="1:11" x14ac:dyDescent="0.25">
      <c r="A32" s="6" t="s">
        <v>33</v>
      </c>
      <c r="B32" s="6" t="s">
        <v>34</v>
      </c>
      <c r="C32" s="6" t="s">
        <v>57</v>
      </c>
      <c r="D32" s="6" t="s">
        <v>58</v>
      </c>
      <c r="E32" s="6" t="s">
        <v>59</v>
      </c>
      <c r="F32" s="6" t="s">
        <v>60</v>
      </c>
      <c r="G32" s="6" t="s">
        <v>61</v>
      </c>
    </row>
    <row r="33" spans="1:12" ht="15.75" x14ac:dyDescent="0.25">
      <c r="A33" s="17" t="s">
        <v>53</v>
      </c>
      <c r="B33" s="17" t="s">
        <v>39</v>
      </c>
      <c r="C33" s="8">
        <v>1864.5</v>
      </c>
      <c r="D33" s="8">
        <v>2237.6</v>
      </c>
      <c r="E33" s="8">
        <v>-373.1</v>
      </c>
      <c r="F33" s="9">
        <v>-0.2001072673639045</v>
      </c>
      <c r="G33" s="17" t="s">
        <v>62</v>
      </c>
      <c r="I33" s="5" t="s">
        <v>63</v>
      </c>
    </row>
    <row r="34" spans="1:12" x14ac:dyDescent="0.25">
      <c r="A34" s="17" t="s">
        <v>41</v>
      </c>
      <c r="B34" s="17" t="s">
        <v>39</v>
      </c>
      <c r="C34" s="8">
        <v>9162.5</v>
      </c>
      <c r="D34" s="8">
        <v>8630.76</v>
      </c>
      <c r="E34" s="8">
        <v>531.74</v>
      </c>
      <c r="F34" s="13">
        <v>5.8034379263301468E-2</v>
      </c>
      <c r="G34" s="17" t="s">
        <v>64</v>
      </c>
      <c r="I34" s="6" t="s">
        <v>48</v>
      </c>
      <c r="J34" s="6" t="s">
        <v>65</v>
      </c>
      <c r="K34" s="6" t="s">
        <v>66</v>
      </c>
      <c r="L34" s="6" t="s">
        <v>67</v>
      </c>
    </row>
    <row r="35" spans="1:12" x14ac:dyDescent="0.25">
      <c r="A35" s="17" t="s">
        <v>51</v>
      </c>
      <c r="B35" s="17" t="s">
        <v>40</v>
      </c>
      <c r="C35" s="8">
        <v>1092.7</v>
      </c>
      <c r="D35" s="8">
        <v>1027.3900000000001</v>
      </c>
      <c r="E35" s="8">
        <v>65.31</v>
      </c>
      <c r="F35" s="13">
        <v>5.9769378603459267E-2</v>
      </c>
      <c r="G35" s="17" t="s">
        <v>68</v>
      </c>
      <c r="I35" s="7" t="s">
        <v>50</v>
      </c>
      <c r="J35" s="8">
        <v>938971.64</v>
      </c>
      <c r="K35" s="8">
        <v>723836.89</v>
      </c>
      <c r="L35" s="8">
        <v>1662808.53</v>
      </c>
    </row>
    <row r="36" spans="1:12" x14ac:dyDescent="0.25">
      <c r="A36" s="17" t="s">
        <v>43</v>
      </c>
      <c r="B36" s="17" t="s">
        <v>40</v>
      </c>
      <c r="C36" s="8">
        <v>286.60000000000002</v>
      </c>
      <c r="D36" s="8">
        <v>263.82</v>
      </c>
      <c r="E36" s="8">
        <v>22.78</v>
      </c>
      <c r="F36" s="13">
        <v>7.9483600837404147E-2</v>
      </c>
      <c r="G36" s="17" t="s">
        <v>69</v>
      </c>
      <c r="I36" s="7" t="s">
        <v>52</v>
      </c>
      <c r="J36" s="8">
        <v>250948.6</v>
      </c>
      <c r="K36" s="8">
        <v>207403.42</v>
      </c>
      <c r="L36" s="8">
        <v>458352.02</v>
      </c>
    </row>
    <row r="37" spans="1:12" x14ac:dyDescent="0.25">
      <c r="A37" s="17" t="s">
        <v>47</v>
      </c>
      <c r="B37" s="17" t="s">
        <v>40</v>
      </c>
      <c r="C37" s="8">
        <v>267.61</v>
      </c>
      <c r="D37" s="8">
        <v>245.33</v>
      </c>
      <c r="E37" s="8">
        <v>22.28</v>
      </c>
      <c r="F37" s="13">
        <v>8.325548372631815E-2</v>
      </c>
      <c r="G37" s="17" t="s">
        <v>68</v>
      </c>
      <c r="I37" s="7" t="s">
        <v>54</v>
      </c>
      <c r="J37" s="8">
        <v>0</v>
      </c>
      <c r="K37" s="8">
        <v>405971.44</v>
      </c>
      <c r="L37" s="8">
        <v>405971.44</v>
      </c>
    </row>
    <row r="38" spans="1:12" x14ac:dyDescent="0.25">
      <c r="A38" s="17" t="s">
        <v>49</v>
      </c>
      <c r="B38" s="17" t="s">
        <v>39</v>
      </c>
      <c r="C38" s="8">
        <v>3092.3</v>
      </c>
      <c r="D38" s="8">
        <v>2814.3</v>
      </c>
      <c r="E38" s="8">
        <v>278</v>
      </c>
      <c r="F38" s="13">
        <v>8.9900721146072504E-2</v>
      </c>
      <c r="G38" s="17" t="s">
        <v>68</v>
      </c>
      <c r="I38" s="7" t="s">
        <v>55</v>
      </c>
      <c r="J38" s="8">
        <v>49140</v>
      </c>
      <c r="K38" s="8">
        <v>243007.42</v>
      </c>
      <c r="L38" s="8">
        <v>292147.42</v>
      </c>
    </row>
    <row r="39" spans="1:12" x14ac:dyDescent="0.25">
      <c r="A39" s="17" t="s">
        <v>45</v>
      </c>
      <c r="B39" s="17" t="s">
        <v>40</v>
      </c>
      <c r="C39" s="8">
        <v>1882.3</v>
      </c>
      <c r="D39" s="8">
        <v>1709.28</v>
      </c>
      <c r="E39" s="8">
        <v>173.02</v>
      </c>
      <c r="F39" s="13">
        <v>9.1919460234819103E-2</v>
      </c>
      <c r="G39" s="17" t="s">
        <v>68</v>
      </c>
      <c r="I39" s="7" t="s">
        <v>30</v>
      </c>
      <c r="J39" s="15">
        <v>1239060.24</v>
      </c>
      <c r="K39" s="15">
        <v>1580219.17</v>
      </c>
      <c r="L39" s="15">
        <v>2819279.41</v>
      </c>
    </row>
    <row r="40" spans="1:12" x14ac:dyDescent="0.25">
      <c r="A40" s="17" t="s">
        <v>70</v>
      </c>
      <c r="B40" s="17" t="s">
        <v>40</v>
      </c>
      <c r="C40" s="8">
        <v>1708.8</v>
      </c>
      <c r="D40" s="8">
        <v>1542.08</v>
      </c>
      <c r="E40" s="8">
        <v>166.72</v>
      </c>
      <c r="F40" s="13">
        <v>9.7565543071161068E-2</v>
      </c>
      <c r="G40" s="17" t="s">
        <v>68</v>
      </c>
    </row>
    <row r="41" spans="1:12" x14ac:dyDescent="0.25">
      <c r="A41" s="17" t="s">
        <v>71</v>
      </c>
      <c r="B41" s="17" t="s">
        <v>40</v>
      </c>
      <c r="C41" s="8">
        <v>2725</v>
      </c>
      <c r="D41" s="8">
        <v>2454.48</v>
      </c>
      <c r="E41" s="8">
        <v>270.52</v>
      </c>
      <c r="F41" s="13">
        <v>9.9273394495412837E-2</v>
      </c>
      <c r="G41" s="17" t="s">
        <v>68</v>
      </c>
    </row>
    <row r="42" spans="1:12" ht="15.75" x14ac:dyDescent="0.25">
      <c r="A42" s="17" t="s">
        <v>72</v>
      </c>
      <c r="B42" s="17" t="s">
        <v>40</v>
      </c>
      <c r="C42" s="8">
        <v>1512.8</v>
      </c>
      <c r="D42" s="8">
        <v>1355.04</v>
      </c>
      <c r="E42" s="8">
        <v>157.76</v>
      </c>
      <c r="F42" s="13">
        <v>0.10428344791115809</v>
      </c>
      <c r="G42" s="17" t="s">
        <v>68</v>
      </c>
      <c r="I42" s="5" t="s">
        <v>73</v>
      </c>
    </row>
    <row r="43" spans="1:12" x14ac:dyDescent="0.25">
      <c r="I43" s="6" t="s">
        <v>74</v>
      </c>
      <c r="J43" s="6" t="s">
        <v>15</v>
      </c>
      <c r="K43" s="6" t="s">
        <v>14</v>
      </c>
      <c r="L43" s="6" t="s">
        <v>75</v>
      </c>
    </row>
    <row r="44" spans="1:12" x14ac:dyDescent="0.25">
      <c r="I44" s="7"/>
      <c r="J44" s="8">
        <v>0</v>
      </c>
      <c r="K44" s="12">
        <v>-458.16</v>
      </c>
      <c r="L44" s="12">
        <v>-458.16</v>
      </c>
    </row>
    <row r="45" spans="1:12" ht="15.75" x14ac:dyDescent="0.25">
      <c r="A45" s="5" t="s">
        <v>76</v>
      </c>
      <c r="I45" s="7" t="s">
        <v>24</v>
      </c>
      <c r="J45" s="12">
        <v>-129734.36</v>
      </c>
      <c r="K45" s="11">
        <v>186196.01</v>
      </c>
      <c r="L45" s="11">
        <v>56461.650000000009</v>
      </c>
    </row>
    <row r="46" spans="1:12" x14ac:dyDescent="0.25">
      <c r="A46" s="6" t="s">
        <v>33</v>
      </c>
      <c r="B46" s="6" t="s">
        <v>77</v>
      </c>
      <c r="C46" s="6" t="s">
        <v>78</v>
      </c>
      <c r="I46" s="7" t="s">
        <v>28</v>
      </c>
      <c r="J46" s="12">
        <v>-73326.62</v>
      </c>
      <c r="K46" s="11">
        <v>26064.12</v>
      </c>
      <c r="L46" s="12">
        <v>-47262.5</v>
      </c>
    </row>
    <row r="47" spans="1:12" x14ac:dyDescent="0.25">
      <c r="A47" s="7" t="s">
        <v>44</v>
      </c>
      <c r="B47" s="17" t="s">
        <v>79</v>
      </c>
      <c r="C47" s="17" t="s">
        <v>80</v>
      </c>
      <c r="I47" s="7" t="s">
        <v>26</v>
      </c>
      <c r="J47" s="12">
        <v>-151038.70000000001</v>
      </c>
      <c r="K47" s="11">
        <v>167732.67000000001</v>
      </c>
      <c r="L47" s="11">
        <v>16693.97</v>
      </c>
    </row>
    <row r="48" spans="1:12" x14ac:dyDescent="0.25">
      <c r="A48" s="7" t="s">
        <v>81</v>
      </c>
      <c r="B48" s="17" t="s">
        <v>82</v>
      </c>
      <c r="C48" s="17" t="s">
        <v>80</v>
      </c>
      <c r="I48" s="7" t="s">
        <v>30</v>
      </c>
      <c r="J48" s="15">
        <v>-354099.68</v>
      </c>
      <c r="K48" s="15">
        <v>379534.64</v>
      </c>
      <c r="L48" s="15">
        <v>25434.960000000021</v>
      </c>
    </row>
    <row r="49" spans="1:11" x14ac:dyDescent="0.25">
      <c r="A49" s="7" t="s">
        <v>83</v>
      </c>
      <c r="B49" s="17" t="s">
        <v>84</v>
      </c>
      <c r="C49" s="17" t="s">
        <v>80</v>
      </c>
    </row>
    <row r="51" spans="1:11" ht="15.75" x14ac:dyDescent="0.25">
      <c r="I51" s="5" t="s">
        <v>85</v>
      </c>
    </row>
    <row r="52" spans="1:11" ht="15.75" x14ac:dyDescent="0.25">
      <c r="A52" s="5" t="s">
        <v>86</v>
      </c>
      <c r="I52" s="6" t="s">
        <v>61</v>
      </c>
      <c r="J52" s="6" t="s">
        <v>87</v>
      </c>
      <c r="K52" s="6" t="s">
        <v>88</v>
      </c>
    </row>
    <row r="53" spans="1:11" x14ac:dyDescent="0.25">
      <c r="A53" s="6" t="s">
        <v>89</v>
      </c>
      <c r="B53" s="6" t="s">
        <v>90</v>
      </c>
      <c r="C53" s="6" t="s">
        <v>91</v>
      </c>
      <c r="D53" s="6" t="s">
        <v>92</v>
      </c>
      <c r="E53" s="6" t="s">
        <v>93</v>
      </c>
      <c r="I53" s="7" t="s">
        <v>68</v>
      </c>
      <c r="J53" s="17">
        <v>14</v>
      </c>
      <c r="K53" s="13">
        <v>0.48275862068965519</v>
      </c>
    </row>
    <row r="54" spans="1:11" x14ac:dyDescent="0.25">
      <c r="A54" s="7" t="s">
        <v>94</v>
      </c>
      <c r="B54" s="23" t="s">
        <v>95</v>
      </c>
      <c r="C54" s="24">
        <v>252</v>
      </c>
      <c r="D54" s="25">
        <v>24185.49</v>
      </c>
      <c r="E54" s="25">
        <v>26397.85</v>
      </c>
      <c r="I54" s="7" t="s">
        <v>96</v>
      </c>
      <c r="J54" s="17">
        <v>4</v>
      </c>
      <c r="K54" s="13">
        <v>0.13793103448275859</v>
      </c>
    </row>
    <row r="55" spans="1:11" x14ac:dyDescent="0.25">
      <c r="A55" s="7" t="s">
        <v>97</v>
      </c>
      <c r="B55" s="23" t="s">
        <v>98</v>
      </c>
      <c r="C55" s="24">
        <v>246</v>
      </c>
      <c r="D55" s="25">
        <v>75276.14</v>
      </c>
      <c r="E55" s="25">
        <v>77023.600000000006</v>
      </c>
      <c r="I55" s="7" t="s">
        <v>95</v>
      </c>
      <c r="J55" s="17">
        <v>1</v>
      </c>
      <c r="K55" s="13">
        <v>3.4482758620689648E-2</v>
      </c>
    </row>
    <row r="56" spans="1:11" x14ac:dyDescent="0.25">
      <c r="A56" s="7" t="s">
        <v>99</v>
      </c>
      <c r="B56" s="23" t="s">
        <v>96</v>
      </c>
      <c r="C56" s="24">
        <v>204</v>
      </c>
      <c r="D56" s="25">
        <v>76932.240000000005</v>
      </c>
      <c r="E56" s="25">
        <v>80191.8</v>
      </c>
      <c r="I56" s="7" t="s">
        <v>98</v>
      </c>
      <c r="J56" s="17">
        <v>4</v>
      </c>
      <c r="K56" s="13">
        <v>0.13793103448275859</v>
      </c>
    </row>
    <row r="57" spans="1:11" x14ac:dyDescent="0.25">
      <c r="A57" s="7" t="s">
        <v>100</v>
      </c>
      <c r="B57" s="23" t="s">
        <v>68</v>
      </c>
      <c r="C57" s="24">
        <v>162</v>
      </c>
      <c r="D57" s="25">
        <v>50428.800000000003</v>
      </c>
      <c r="E57" s="25">
        <v>75434.399999999994</v>
      </c>
      <c r="I57" s="7" t="s">
        <v>62</v>
      </c>
      <c r="J57" s="17">
        <v>2</v>
      </c>
      <c r="K57" s="13">
        <v>6.8965517241379309E-2</v>
      </c>
    </row>
    <row r="58" spans="1:11" x14ac:dyDescent="0.25">
      <c r="A58" s="7" t="s">
        <v>101</v>
      </c>
      <c r="B58" s="23" t="s">
        <v>96</v>
      </c>
      <c r="C58" s="24">
        <v>137</v>
      </c>
      <c r="D58" s="25">
        <v>50227.5</v>
      </c>
      <c r="E58" s="25">
        <v>58325.440000000002</v>
      </c>
      <c r="I58" s="7" t="s">
        <v>69</v>
      </c>
      <c r="J58" s="17">
        <v>3</v>
      </c>
      <c r="K58" s="13">
        <v>0.10344827586206901</v>
      </c>
    </row>
    <row r="59" spans="1:11" x14ac:dyDescent="0.25">
      <c r="I59" s="7" t="s">
        <v>64</v>
      </c>
      <c r="J59" s="17">
        <v>1</v>
      </c>
      <c r="K59" s="13">
        <v>3.4482758620689648E-2</v>
      </c>
    </row>
    <row r="62" spans="1:11" ht="15.75" x14ac:dyDescent="0.25">
      <c r="I62" s="5" t="s">
        <v>102</v>
      </c>
    </row>
    <row r="63" spans="1:11" x14ac:dyDescent="0.25">
      <c r="I63" s="6" t="s">
        <v>103</v>
      </c>
      <c r="J63" s="6" t="s">
        <v>87</v>
      </c>
      <c r="K63" s="6" t="s">
        <v>88</v>
      </c>
    </row>
    <row r="64" spans="1:11" x14ac:dyDescent="0.25">
      <c r="I64" s="7" t="s">
        <v>104</v>
      </c>
      <c r="J64" s="17">
        <v>10</v>
      </c>
      <c r="K64" s="13">
        <v>0.34482758620689657</v>
      </c>
    </row>
    <row r="65" spans="9:11" x14ac:dyDescent="0.25">
      <c r="I65" s="7" t="s">
        <v>105</v>
      </c>
      <c r="J65" s="17">
        <v>4</v>
      </c>
      <c r="K65" s="13">
        <v>0.13793103448275859</v>
      </c>
    </row>
    <row r="66" spans="9:11" x14ac:dyDescent="0.25">
      <c r="I66" s="7" t="s">
        <v>106</v>
      </c>
      <c r="J66" s="17">
        <v>9</v>
      </c>
      <c r="K66" s="13">
        <v>0.31034482758620691</v>
      </c>
    </row>
    <row r="67" spans="9:11" x14ac:dyDescent="0.25">
      <c r="I67" s="7" t="s">
        <v>107</v>
      </c>
      <c r="J67" s="17">
        <v>6</v>
      </c>
      <c r="K67" s="13">
        <v>0.2068965517241379</v>
      </c>
    </row>
  </sheetData>
  <mergeCells count="2">
    <mergeCell ref="I1:L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2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4" customWidth="1"/>
    <col min="2" max="2" width="12" customWidth="1"/>
    <col min="3" max="3" width="14" customWidth="1"/>
    <col min="4" max="4" width="12" customWidth="1"/>
    <col min="5" max="7" width="10" customWidth="1"/>
    <col min="8" max="8" width="12" customWidth="1"/>
    <col min="9" max="10" width="10" customWidth="1"/>
    <col min="11" max="11" width="19" customWidth="1"/>
    <col min="12" max="12" width="11" customWidth="1"/>
    <col min="13" max="13" width="21" customWidth="1"/>
    <col min="14" max="14" width="22" customWidth="1"/>
    <col min="15" max="15" width="12" customWidth="1"/>
  </cols>
  <sheetData>
    <row r="1" spans="1:15" x14ac:dyDescent="0.25">
      <c r="A1" s="18" t="s">
        <v>108</v>
      </c>
      <c r="B1" s="18" t="s">
        <v>33</v>
      </c>
      <c r="C1" s="18" t="s">
        <v>109</v>
      </c>
      <c r="D1" s="18" t="s">
        <v>110</v>
      </c>
      <c r="E1" s="18" t="s">
        <v>111</v>
      </c>
      <c r="F1" s="18" t="s">
        <v>112</v>
      </c>
      <c r="G1" s="18" t="s">
        <v>113</v>
      </c>
      <c r="H1" s="18" t="s">
        <v>114</v>
      </c>
      <c r="I1" s="18" t="s">
        <v>115</v>
      </c>
      <c r="J1" s="18" t="s">
        <v>116</v>
      </c>
      <c r="K1" s="18" t="s">
        <v>117</v>
      </c>
      <c r="L1" s="18" t="s">
        <v>118</v>
      </c>
      <c r="M1" s="18" t="s">
        <v>119</v>
      </c>
      <c r="N1" s="18" t="s">
        <v>120</v>
      </c>
      <c r="O1" s="18" t="s">
        <v>121</v>
      </c>
    </row>
    <row r="2" spans="1:15" x14ac:dyDescent="0.25">
      <c r="A2" s="19"/>
      <c r="B2" s="19" t="s">
        <v>41</v>
      </c>
      <c r="C2" s="19" t="s">
        <v>122</v>
      </c>
      <c r="D2" s="19" t="s">
        <v>123</v>
      </c>
      <c r="E2" s="19" t="s">
        <v>124</v>
      </c>
      <c r="F2" s="19" t="s">
        <v>125</v>
      </c>
      <c r="G2" s="19" t="s">
        <v>125</v>
      </c>
      <c r="H2" s="19" t="s">
        <v>126</v>
      </c>
      <c r="I2" s="19" t="b">
        <v>0</v>
      </c>
      <c r="J2" s="19">
        <v>13</v>
      </c>
      <c r="K2" s="19">
        <v>7343</v>
      </c>
      <c r="L2" s="20">
        <v>405271862</v>
      </c>
      <c r="M2" s="20">
        <v>1200000047930385</v>
      </c>
      <c r="N2" s="19" t="s">
        <v>127</v>
      </c>
      <c r="O2" s="19"/>
    </row>
    <row r="3" spans="1:15" x14ac:dyDescent="0.25">
      <c r="A3" s="19"/>
      <c r="B3" s="19" t="s">
        <v>128</v>
      </c>
      <c r="C3" s="19" t="s">
        <v>129</v>
      </c>
      <c r="D3" s="19" t="s">
        <v>123</v>
      </c>
      <c r="E3" s="19" t="s">
        <v>124</v>
      </c>
      <c r="F3" s="19" t="s">
        <v>125</v>
      </c>
      <c r="G3" s="19" t="s">
        <v>125</v>
      </c>
      <c r="H3" s="19" t="s">
        <v>126</v>
      </c>
      <c r="I3" s="19" t="b">
        <v>0</v>
      </c>
      <c r="J3" s="19">
        <v>64</v>
      </c>
      <c r="K3" s="19">
        <v>1548.9</v>
      </c>
      <c r="L3" s="20">
        <v>3877073</v>
      </c>
      <c r="M3" s="20">
        <v>1000000036265725</v>
      </c>
      <c r="N3" s="19" t="s">
        <v>130</v>
      </c>
      <c r="O3" s="19"/>
    </row>
    <row r="4" spans="1:15" x14ac:dyDescent="0.25">
      <c r="A4" s="19"/>
      <c r="B4" s="19" t="s">
        <v>131</v>
      </c>
      <c r="C4" s="19" t="s">
        <v>132</v>
      </c>
      <c r="D4" s="19" t="s">
        <v>123</v>
      </c>
      <c r="E4" s="19" t="s">
        <v>124</v>
      </c>
      <c r="F4" s="19" t="s">
        <v>125</v>
      </c>
      <c r="G4" s="19" t="s">
        <v>125</v>
      </c>
      <c r="H4" s="19" t="s">
        <v>126</v>
      </c>
      <c r="I4" s="19" t="b">
        <v>0</v>
      </c>
      <c r="J4" s="19">
        <v>7</v>
      </c>
      <c r="K4" s="19">
        <v>844.15</v>
      </c>
      <c r="L4" s="20">
        <v>205329072</v>
      </c>
      <c r="M4" s="20">
        <v>1100000044831951</v>
      </c>
      <c r="N4" s="19" t="s">
        <v>133</v>
      </c>
      <c r="O4" s="19"/>
    </row>
    <row r="5" spans="1:15" x14ac:dyDescent="0.25">
      <c r="A5" s="19"/>
      <c r="B5" s="19" t="s">
        <v>131</v>
      </c>
      <c r="C5" s="19" t="s">
        <v>132</v>
      </c>
      <c r="D5" s="19" t="s">
        <v>123</v>
      </c>
      <c r="E5" s="19" t="s">
        <v>124</v>
      </c>
      <c r="F5" s="19" t="s">
        <v>125</v>
      </c>
      <c r="G5" s="19" t="s">
        <v>125</v>
      </c>
      <c r="H5" s="19" t="s">
        <v>126</v>
      </c>
      <c r="I5" s="19" t="b">
        <v>0</v>
      </c>
      <c r="J5" s="19">
        <v>50</v>
      </c>
      <c r="K5" s="19">
        <v>844.15</v>
      </c>
      <c r="L5" s="20">
        <v>205330804</v>
      </c>
      <c r="M5" s="20">
        <v>1100000044831951</v>
      </c>
      <c r="N5" s="19" t="s">
        <v>133</v>
      </c>
      <c r="O5" s="19"/>
    </row>
    <row r="6" spans="1:15" x14ac:dyDescent="0.25">
      <c r="A6" s="19"/>
      <c r="B6" s="19" t="s">
        <v>131</v>
      </c>
      <c r="C6" s="19" t="s">
        <v>132</v>
      </c>
      <c r="D6" s="19" t="s">
        <v>123</v>
      </c>
      <c r="E6" s="19" t="s">
        <v>124</v>
      </c>
      <c r="F6" s="19" t="s">
        <v>125</v>
      </c>
      <c r="G6" s="19" t="s">
        <v>125</v>
      </c>
      <c r="H6" s="19" t="s">
        <v>126</v>
      </c>
      <c r="I6" s="19" t="b">
        <v>0</v>
      </c>
      <c r="J6" s="19">
        <v>4</v>
      </c>
      <c r="K6" s="19">
        <v>844.15</v>
      </c>
      <c r="L6" s="20">
        <v>205330817</v>
      </c>
      <c r="M6" s="20">
        <v>1100000044831951</v>
      </c>
      <c r="N6" s="19" t="s">
        <v>133</v>
      </c>
      <c r="O6" s="19"/>
    </row>
    <row r="7" spans="1:15" x14ac:dyDescent="0.25">
      <c r="A7" s="19"/>
      <c r="B7" s="19" t="s">
        <v>131</v>
      </c>
      <c r="C7" s="19" t="s">
        <v>132</v>
      </c>
      <c r="D7" s="19" t="s">
        <v>123</v>
      </c>
      <c r="E7" s="19" t="s">
        <v>124</v>
      </c>
      <c r="F7" s="19" t="s">
        <v>125</v>
      </c>
      <c r="G7" s="19" t="s">
        <v>125</v>
      </c>
      <c r="H7" s="19" t="s">
        <v>126</v>
      </c>
      <c r="I7" s="19" t="b">
        <v>0</v>
      </c>
      <c r="J7" s="19">
        <v>55</v>
      </c>
      <c r="K7" s="19">
        <v>844.15</v>
      </c>
      <c r="L7" s="20">
        <v>205331314</v>
      </c>
      <c r="M7" s="20">
        <v>1100000044831951</v>
      </c>
      <c r="N7" s="19" t="s">
        <v>133</v>
      </c>
      <c r="O7" s="19"/>
    </row>
    <row r="8" spans="1:15" x14ac:dyDescent="0.25">
      <c r="A8" s="19"/>
      <c r="B8" s="19" t="s">
        <v>134</v>
      </c>
      <c r="C8" s="19" t="s">
        <v>135</v>
      </c>
      <c r="D8" s="19" t="s">
        <v>123</v>
      </c>
      <c r="E8" s="19" t="s">
        <v>124</v>
      </c>
      <c r="F8" s="19" t="s">
        <v>125</v>
      </c>
      <c r="G8" s="19" t="s">
        <v>125</v>
      </c>
      <c r="H8" s="19" t="s">
        <v>126</v>
      </c>
      <c r="I8" s="19" t="b">
        <v>0</v>
      </c>
      <c r="J8" s="19">
        <v>20</v>
      </c>
      <c r="K8" s="19">
        <v>4509</v>
      </c>
      <c r="L8" s="20">
        <v>605415434</v>
      </c>
      <c r="M8" s="20">
        <v>1300000045456483</v>
      </c>
      <c r="N8" s="19" t="s">
        <v>136</v>
      </c>
      <c r="O8" s="19"/>
    </row>
    <row r="9" spans="1:15" x14ac:dyDescent="0.25">
      <c r="A9" s="19"/>
      <c r="B9" s="19" t="s">
        <v>137</v>
      </c>
      <c r="C9" s="19" t="s">
        <v>138</v>
      </c>
      <c r="D9" s="19" t="s">
        <v>123</v>
      </c>
      <c r="E9" s="19" t="s">
        <v>124</v>
      </c>
      <c r="F9" s="19" t="s">
        <v>125</v>
      </c>
      <c r="G9" s="19" t="s">
        <v>125</v>
      </c>
      <c r="H9" s="19" t="s">
        <v>126</v>
      </c>
      <c r="I9" s="19" t="b">
        <v>0</v>
      </c>
      <c r="J9" s="19">
        <v>11</v>
      </c>
      <c r="K9" s="19">
        <v>3662.7</v>
      </c>
      <c r="L9" s="20">
        <v>605630531</v>
      </c>
      <c r="M9" s="20">
        <v>1300000047488914</v>
      </c>
      <c r="N9" s="19" t="s">
        <v>139</v>
      </c>
      <c r="O9" s="19"/>
    </row>
    <row r="10" spans="1:15" x14ac:dyDescent="0.25">
      <c r="A10" s="19"/>
      <c r="B10" s="19" t="s">
        <v>137</v>
      </c>
      <c r="C10" s="19" t="s">
        <v>138</v>
      </c>
      <c r="D10" s="19" t="s">
        <v>123</v>
      </c>
      <c r="E10" s="19" t="s">
        <v>124</v>
      </c>
      <c r="F10" s="19" t="s">
        <v>125</v>
      </c>
      <c r="G10" s="19" t="s">
        <v>125</v>
      </c>
      <c r="H10" s="19" t="s">
        <v>126</v>
      </c>
      <c r="I10" s="19" t="b">
        <v>0</v>
      </c>
      <c r="J10" s="19">
        <v>14</v>
      </c>
      <c r="K10" s="19">
        <v>3662.7</v>
      </c>
      <c r="L10" s="20">
        <v>605630530</v>
      </c>
      <c r="M10" s="20">
        <v>1300000047488914</v>
      </c>
      <c r="N10" s="19" t="s">
        <v>139</v>
      </c>
      <c r="O10" s="19"/>
    </row>
    <row r="11" spans="1:15" x14ac:dyDescent="0.25">
      <c r="A11" s="19"/>
      <c r="B11" s="19" t="s">
        <v>140</v>
      </c>
      <c r="C11" s="19" t="s">
        <v>141</v>
      </c>
      <c r="D11" s="19" t="s">
        <v>123</v>
      </c>
      <c r="E11" s="19" t="s">
        <v>124</v>
      </c>
      <c r="F11" s="19" t="s">
        <v>125</v>
      </c>
      <c r="G11" s="19" t="s">
        <v>125</v>
      </c>
      <c r="H11" s="19" t="s">
        <v>126</v>
      </c>
      <c r="I11" s="19" t="b">
        <v>0</v>
      </c>
      <c r="J11" s="19">
        <v>5</v>
      </c>
      <c r="K11" s="19">
        <v>4724.1000999999997</v>
      </c>
      <c r="L11" s="20">
        <v>205904922</v>
      </c>
      <c r="M11" s="20">
        <v>1100000049703254</v>
      </c>
      <c r="N11" s="19" t="s">
        <v>142</v>
      </c>
      <c r="O11" s="19"/>
    </row>
    <row r="12" spans="1:15" x14ac:dyDescent="0.25">
      <c r="A12" s="19"/>
      <c r="B12" s="19" t="s">
        <v>140</v>
      </c>
      <c r="C12" s="19" t="s">
        <v>141</v>
      </c>
      <c r="D12" s="19" t="s">
        <v>123</v>
      </c>
      <c r="E12" s="19" t="s">
        <v>124</v>
      </c>
      <c r="F12" s="19" t="s">
        <v>125</v>
      </c>
      <c r="G12" s="19" t="s">
        <v>125</v>
      </c>
      <c r="H12" s="19" t="s">
        <v>126</v>
      </c>
      <c r="I12" s="19" t="b">
        <v>0</v>
      </c>
      <c r="J12" s="19">
        <v>1</v>
      </c>
      <c r="K12" s="19">
        <v>4724.1000999999997</v>
      </c>
      <c r="L12" s="20">
        <v>205904923</v>
      </c>
      <c r="M12" s="20">
        <v>1100000049703254</v>
      </c>
      <c r="N12" s="19" t="s">
        <v>142</v>
      </c>
      <c r="O12" s="19"/>
    </row>
    <row r="13" spans="1:15" x14ac:dyDescent="0.25">
      <c r="A13" s="19"/>
      <c r="B13" s="19" t="s">
        <v>140</v>
      </c>
      <c r="C13" s="19" t="s">
        <v>141</v>
      </c>
      <c r="D13" s="19" t="s">
        <v>123</v>
      </c>
      <c r="E13" s="19" t="s">
        <v>124</v>
      </c>
      <c r="F13" s="19" t="s">
        <v>125</v>
      </c>
      <c r="G13" s="19" t="s">
        <v>125</v>
      </c>
      <c r="H13" s="19" t="s">
        <v>126</v>
      </c>
      <c r="I13" s="19" t="b">
        <v>0</v>
      </c>
      <c r="J13" s="19">
        <v>1</v>
      </c>
      <c r="K13" s="19">
        <v>4724</v>
      </c>
      <c r="L13" s="20">
        <v>205904921</v>
      </c>
      <c r="M13" s="20">
        <v>1100000049703254</v>
      </c>
      <c r="N13" s="19" t="s">
        <v>142</v>
      </c>
      <c r="O13" s="19"/>
    </row>
    <row r="14" spans="1:15" x14ac:dyDescent="0.25">
      <c r="A14" s="19"/>
      <c r="B14" s="19" t="s">
        <v>140</v>
      </c>
      <c r="C14" s="19" t="s">
        <v>141</v>
      </c>
      <c r="D14" s="19" t="s">
        <v>123</v>
      </c>
      <c r="E14" s="19" t="s">
        <v>124</v>
      </c>
      <c r="F14" s="19" t="s">
        <v>125</v>
      </c>
      <c r="G14" s="19" t="s">
        <v>125</v>
      </c>
      <c r="H14" s="19" t="s">
        <v>126</v>
      </c>
      <c r="I14" s="19" t="b">
        <v>0</v>
      </c>
      <c r="J14" s="19">
        <v>12</v>
      </c>
      <c r="K14" s="19">
        <v>4724</v>
      </c>
      <c r="L14" s="20">
        <v>205904920</v>
      </c>
      <c r="M14" s="20">
        <v>1100000049703254</v>
      </c>
      <c r="N14" s="19" t="s">
        <v>142</v>
      </c>
      <c r="O14" s="19"/>
    </row>
    <row r="15" spans="1:15" x14ac:dyDescent="0.25">
      <c r="A15" s="19"/>
      <c r="B15" s="19" t="s">
        <v>81</v>
      </c>
      <c r="C15" s="19" t="s">
        <v>143</v>
      </c>
      <c r="D15" s="19" t="s">
        <v>123</v>
      </c>
      <c r="E15" s="19" t="s">
        <v>124</v>
      </c>
      <c r="F15" s="19" t="s">
        <v>125</v>
      </c>
      <c r="G15" s="19" t="s">
        <v>125</v>
      </c>
      <c r="H15" s="19" t="s">
        <v>126</v>
      </c>
      <c r="I15" s="19" t="b">
        <v>0</v>
      </c>
      <c r="J15" s="19">
        <v>168</v>
      </c>
      <c r="K15" s="19">
        <v>543</v>
      </c>
      <c r="L15" s="20">
        <v>406172265</v>
      </c>
      <c r="M15" s="20">
        <v>1200000056506188</v>
      </c>
      <c r="N15" s="19" t="s">
        <v>144</v>
      </c>
      <c r="O15" s="19"/>
    </row>
    <row r="16" spans="1:15" x14ac:dyDescent="0.25">
      <c r="A16" s="19"/>
      <c r="B16" s="19" t="s">
        <v>145</v>
      </c>
      <c r="C16" s="19" t="s">
        <v>146</v>
      </c>
      <c r="D16" s="19" t="s">
        <v>147</v>
      </c>
      <c r="E16" s="19" t="s">
        <v>124</v>
      </c>
      <c r="F16" s="19" t="s">
        <v>125</v>
      </c>
      <c r="G16" s="19" t="s">
        <v>125</v>
      </c>
      <c r="H16" s="19" t="s">
        <v>126</v>
      </c>
      <c r="I16" s="19" t="b">
        <v>0</v>
      </c>
      <c r="J16" s="19">
        <v>48</v>
      </c>
      <c r="K16" s="19">
        <v>175.36</v>
      </c>
      <c r="L16" s="20">
        <v>2344605</v>
      </c>
      <c r="M16" s="20">
        <v>1000000022356020</v>
      </c>
      <c r="N16" s="19" t="s">
        <v>148</v>
      </c>
      <c r="O16" s="19"/>
    </row>
    <row r="17" spans="1:15" x14ac:dyDescent="0.25">
      <c r="A17" s="19"/>
      <c r="B17" s="19" t="s">
        <v>145</v>
      </c>
      <c r="C17" s="19" t="s">
        <v>146</v>
      </c>
      <c r="D17" s="19" t="s">
        <v>147</v>
      </c>
      <c r="E17" s="19" t="s">
        <v>124</v>
      </c>
      <c r="F17" s="19" t="s">
        <v>125</v>
      </c>
      <c r="G17" s="19" t="s">
        <v>125</v>
      </c>
      <c r="H17" s="19" t="s">
        <v>126</v>
      </c>
      <c r="I17" s="19" t="b">
        <v>0</v>
      </c>
      <c r="J17" s="19">
        <v>6</v>
      </c>
      <c r="K17" s="19">
        <v>175.36</v>
      </c>
      <c r="L17" s="20">
        <v>2344520</v>
      </c>
      <c r="M17" s="20">
        <v>1000000022356020</v>
      </c>
      <c r="N17" s="19" t="s">
        <v>148</v>
      </c>
      <c r="O17" s="19"/>
    </row>
    <row r="18" spans="1:15" x14ac:dyDescent="0.25">
      <c r="A18" s="19"/>
      <c r="B18" s="19" t="s">
        <v>145</v>
      </c>
      <c r="C18" s="19" t="s">
        <v>146</v>
      </c>
      <c r="D18" s="19" t="s">
        <v>147</v>
      </c>
      <c r="E18" s="19" t="s">
        <v>124</v>
      </c>
      <c r="F18" s="19" t="s">
        <v>125</v>
      </c>
      <c r="G18" s="19" t="s">
        <v>125</v>
      </c>
      <c r="H18" s="19" t="s">
        <v>126</v>
      </c>
      <c r="I18" s="19" t="b">
        <v>0</v>
      </c>
      <c r="J18" s="19">
        <v>86</v>
      </c>
      <c r="K18" s="19">
        <v>175.36</v>
      </c>
      <c r="L18" s="20">
        <v>2342640</v>
      </c>
      <c r="M18" s="20">
        <v>1000000022356020</v>
      </c>
      <c r="N18" s="19" t="s">
        <v>148</v>
      </c>
      <c r="O18" s="19"/>
    </row>
    <row r="19" spans="1:15" x14ac:dyDescent="0.25">
      <c r="A19" s="19"/>
      <c r="B19" s="19" t="s">
        <v>94</v>
      </c>
      <c r="C19" s="19" t="s">
        <v>149</v>
      </c>
      <c r="D19" s="19" t="s">
        <v>147</v>
      </c>
      <c r="E19" s="19" t="s">
        <v>124</v>
      </c>
      <c r="F19" s="19" t="s">
        <v>125</v>
      </c>
      <c r="G19" s="19" t="s">
        <v>125</v>
      </c>
      <c r="H19" s="19" t="s">
        <v>126</v>
      </c>
      <c r="I19" s="19" t="b">
        <v>0</v>
      </c>
      <c r="J19" s="19">
        <v>28</v>
      </c>
      <c r="K19" s="19">
        <v>517.1</v>
      </c>
      <c r="L19" s="20">
        <v>203621195</v>
      </c>
      <c r="M19" s="20">
        <v>1100000031435771</v>
      </c>
      <c r="N19" s="19" t="s">
        <v>150</v>
      </c>
      <c r="O19" s="19"/>
    </row>
    <row r="20" spans="1:15" x14ac:dyDescent="0.25">
      <c r="A20" s="19"/>
      <c r="B20" s="19" t="s">
        <v>94</v>
      </c>
      <c r="C20" s="19" t="s">
        <v>149</v>
      </c>
      <c r="D20" s="19" t="s">
        <v>147</v>
      </c>
      <c r="E20" s="19" t="s">
        <v>124</v>
      </c>
      <c r="F20" s="19" t="s">
        <v>125</v>
      </c>
      <c r="G20" s="19" t="s">
        <v>125</v>
      </c>
      <c r="H20" s="19" t="s">
        <v>126</v>
      </c>
      <c r="I20" s="19" t="b">
        <v>0</v>
      </c>
      <c r="J20" s="19">
        <v>5</v>
      </c>
      <c r="K20" s="19">
        <v>517.1</v>
      </c>
      <c r="L20" s="20">
        <v>203618990</v>
      </c>
      <c r="M20" s="20">
        <v>1100000031435771</v>
      </c>
      <c r="N20" s="19" t="s">
        <v>150</v>
      </c>
      <c r="O20" s="19"/>
    </row>
    <row r="21" spans="1:15" x14ac:dyDescent="0.25">
      <c r="A21" s="19"/>
      <c r="B21" s="19" t="s">
        <v>94</v>
      </c>
      <c r="C21" s="19" t="s">
        <v>149</v>
      </c>
      <c r="D21" s="19" t="s">
        <v>147</v>
      </c>
      <c r="E21" s="19" t="s">
        <v>124</v>
      </c>
      <c r="F21" s="19" t="s">
        <v>125</v>
      </c>
      <c r="G21" s="19" t="s">
        <v>125</v>
      </c>
      <c r="H21" s="19" t="s">
        <v>126</v>
      </c>
      <c r="I21" s="19" t="b">
        <v>0</v>
      </c>
      <c r="J21" s="19">
        <v>14</v>
      </c>
      <c r="K21" s="19">
        <v>517.1</v>
      </c>
      <c r="L21" s="20">
        <v>203667601</v>
      </c>
      <c r="M21" s="20">
        <v>1100000031435771</v>
      </c>
      <c r="N21" s="19" t="s">
        <v>150</v>
      </c>
      <c r="O21" s="19"/>
    </row>
    <row r="22" spans="1:15" x14ac:dyDescent="0.25">
      <c r="A22" s="19"/>
      <c r="B22" s="19" t="s">
        <v>94</v>
      </c>
      <c r="C22" s="19" t="s">
        <v>149</v>
      </c>
      <c r="D22" s="19" t="s">
        <v>147</v>
      </c>
      <c r="E22" s="19" t="s">
        <v>124</v>
      </c>
      <c r="F22" s="19" t="s">
        <v>125</v>
      </c>
      <c r="G22" s="19" t="s">
        <v>125</v>
      </c>
      <c r="H22" s="19" t="s">
        <v>126</v>
      </c>
      <c r="I22" s="19" t="b">
        <v>0</v>
      </c>
      <c r="J22" s="19">
        <v>1</v>
      </c>
      <c r="K22" s="19">
        <v>517.1</v>
      </c>
      <c r="L22" s="20">
        <v>203621030</v>
      </c>
      <c r="M22" s="20">
        <v>1100000031435771</v>
      </c>
      <c r="N22" s="19" t="s">
        <v>150</v>
      </c>
      <c r="O22" s="19"/>
    </row>
    <row r="23" spans="1:15" x14ac:dyDescent="0.25">
      <c r="A23" s="19"/>
      <c r="B23" s="19" t="s">
        <v>151</v>
      </c>
      <c r="C23" s="19" t="s">
        <v>152</v>
      </c>
      <c r="D23" s="19" t="s">
        <v>147</v>
      </c>
      <c r="E23" s="19" t="s">
        <v>124</v>
      </c>
      <c r="F23" s="19" t="s">
        <v>125</v>
      </c>
      <c r="G23" s="19" t="s">
        <v>125</v>
      </c>
      <c r="H23" s="19" t="s">
        <v>126</v>
      </c>
      <c r="I23" s="19" t="b">
        <v>0</v>
      </c>
      <c r="J23" s="19">
        <v>13</v>
      </c>
      <c r="K23" s="19">
        <v>1289.2</v>
      </c>
      <c r="L23" s="20">
        <v>603829142</v>
      </c>
      <c r="M23" s="20">
        <v>1300000030742059</v>
      </c>
      <c r="N23" s="19" t="s">
        <v>153</v>
      </c>
      <c r="O23" s="19"/>
    </row>
    <row r="24" spans="1:15" x14ac:dyDescent="0.25">
      <c r="A24" s="19"/>
      <c r="B24" s="19" t="s">
        <v>151</v>
      </c>
      <c r="C24" s="19" t="s">
        <v>152</v>
      </c>
      <c r="D24" s="19" t="s">
        <v>147</v>
      </c>
      <c r="E24" s="19" t="s">
        <v>124</v>
      </c>
      <c r="F24" s="19" t="s">
        <v>125</v>
      </c>
      <c r="G24" s="19" t="s">
        <v>125</v>
      </c>
      <c r="H24" s="19" t="s">
        <v>126</v>
      </c>
      <c r="I24" s="19" t="b">
        <v>0</v>
      </c>
      <c r="J24" s="19">
        <v>11</v>
      </c>
      <c r="K24" s="19">
        <v>1289.2</v>
      </c>
      <c r="L24" s="20">
        <v>603829143</v>
      </c>
      <c r="M24" s="20">
        <v>1300000030742059</v>
      </c>
      <c r="N24" s="19" t="s">
        <v>153</v>
      </c>
      <c r="O24" s="19"/>
    </row>
    <row r="25" spans="1:15" x14ac:dyDescent="0.25">
      <c r="A25" s="19"/>
      <c r="B25" s="19" t="s">
        <v>151</v>
      </c>
      <c r="C25" s="19" t="s">
        <v>152</v>
      </c>
      <c r="D25" s="19" t="s">
        <v>147</v>
      </c>
      <c r="E25" s="19" t="s">
        <v>124</v>
      </c>
      <c r="F25" s="19" t="s">
        <v>125</v>
      </c>
      <c r="G25" s="19" t="s">
        <v>125</v>
      </c>
      <c r="H25" s="19" t="s">
        <v>126</v>
      </c>
      <c r="I25" s="19" t="b">
        <v>0</v>
      </c>
      <c r="J25" s="19">
        <v>10</v>
      </c>
      <c r="K25" s="19">
        <v>1289.2</v>
      </c>
      <c r="L25" s="20">
        <v>603825496</v>
      </c>
      <c r="M25" s="20">
        <v>1300000030742059</v>
      </c>
      <c r="N25" s="19" t="s">
        <v>153</v>
      </c>
      <c r="O25" s="19"/>
    </row>
    <row r="26" spans="1:15" x14ac:dyDescent="0.25">
      <c r="A26" s="19"/>
      <c r="B26" s="19" t="s">
        <v>151</v>
      </c>
      <c r="C26" s="19" t="s">
        <v>152</v>
      </c>
      <c r="D26" s="19" t="s">
        <v>147</v>
      </c>
      <c r="E26" s="19" t="s">
        <v>124</v>
      </c>
      <c r="F26" s="19" t="s">
        <v>125</v>
      </c>
      <c r="G26" s="19" t="s">
        <v>125</v>
      </c>
      <c r="H26" s="19" t="s">
        <v>126</v>
      </c>
      <c r="I26" s="19" t="b">
        <v>0</v>
      </c>
      <c r="J26" s="19">
        <v>3</v>
      </c>
      <c r="K26" s="19">
        <v>1289.2</v>
      </c>
      <c r="L26" s="20">
        <v>603832890</v>
      </c>
      <c r="M26" s="20">
        <v>1300000030742059</v>
      </c>
      <c r="N26" s="19" t="s">
        <v>153</v>
      </c>
      <c r="O26" s="19"/>
    </row>
    <row r="27" spans="1:15" x14ac:dyDescent="0.25">
      <c r="A27" s="19"/>
      <c r="B27" s="19" t="s">
        <v>83</v>
      </c>
      <c r="C27" s="19" t="s">
        <v>154</v>
      </c>
      <c r="D27" s="19" t="s">
        <v>147</v>
      </c>
      <c r="E27" s="19" t="s">
        <v>124</v>
      </c>
      <c r="F27" s="19" t="s">
        <v>125</v>
      </c>
      <c r="G27" s="19" t="s">
        <v>125</v>
      </c>
      <c r="H27" s="19" t="s">
        <v>126</v>
      </c>
      <c r="I27" s="19" t="b">
        <v>0</v>
      </c>
      <c r="J27" s="19">
        <v>60</v>
      </c>
      <c r="K27" s="19">
        <v>1562.4</v>
      </c>
      <c r="L27" s="20">
        <v>403366394</v>
      </c>
      <c r="M27" s="20">
        <v>1200000033081200</v>
      </c>
      <c r="N27" s="19" t="s">
        <v>155</v>
      </c>
      <c r="O27" s="19"/>
    </row>
    <row r="28" spans="1:15" x14ac:dyDescent="0.25">
      <c r="A28" s="19"/>
      <c r="B28" s="19" t="s">
        <v>97</v>
      </c>
      <c r="C28" s="19" t="s">
        <v>156</v>
      </c>
      <c r="D28" s="19" t="s">
        <v>157</v>
      </c>
      <c r="E28" s="19" t="s">
        <v>124</v>
      </c>
      <c r="F28" s="19" t="s">
        <v>125</v>
      </c>
      <c r="G28" s="19" t="s">
        <v>125</v>
      </c>
      <c r="H28" s="19" t="s">
        <v>126</v>
      </c>
      <c r="I28" s="19" t="b">
        <v>0</v>
      </c>
      <c r="J28" s="19">
        <v>17</v>
      </c>
      <c r="K28" s="19">
        <v>785.35</v>
      </c>
      <c r="L28" s="20">
        <v>1789285</v>
      </c>
      <c r="M28" s="20">
        <v>1000000016049556</v>
      </c>
      <c r="N28" s="19" t="s">
        <v>158</v>
      </c>
      <c r="O28" s="19"/>
    </row>
    <row r="29" spans="1:15" x14ac:dyDescent="0.25">
      <c r="A29" s="19"/>
      <c r="B29" s="19" t="s">
        <v>97</v>
      </c>
      <c r="C29" s="19" t="s">
        <v>156</v>
      </c>
      <c r="D29" s="19" t="s">
        <v>157</v>
      </c>
      <c r="E29" s="19" t="s">
        <v>124</v>
      </c>
      <c r="F29" s="19" t="s">
        <v>125</v>
      </c>
      <c r="G29" s="19" t="s">
        <v>125</v>
      </c>
      <c r="H29" s="19" t="s">
        <v>126</v>
      </c>
      <c r="I29" s="19" t="b">
        <v>0</v>
      </c>
      <c r="J29" s="19">
        <v>16</v>
      </c>
      <c r="K29" s="19">
        <v>785.35</v>
      </c>
      <c r="L29" s="20">
        <v>1789286</v>
      </c>
      <c r="M29" s="20">
        <v>1000000016049556</v>
      </c>
      <c r="N29" s="19" t="s">
        <v>158</v>
      </c>
      <c r="O29" s="19"/>
    </row>
    <row r="30" spans="1:15" x14ac:dyDescent="0.25">
      <c r="A30" s="19"/>
      <c r="B30" s="19" t="s">
        <v>159</v>
      </c>
      <c r="C30" s="19" t="s">
        <v>160</v>
      </c>
      <c r="D30" s="19" t="s">
        <v>161</v>
      </c>
      <c r="E30" s="19" t="s">
        <v>124</v>
      </c>
      <c r="F30" s="19" t="s">
        <v>125</v>
      </c>
      <c r="G30" s="19" t="s">
        <v>125</v>
      </c>
      <c r="H30" s="19" t="s">
        <v>126</v>
      </c>
      <c r="I30" s="19" t="b">
        <v>0</v>
      </c>
      <c r="J30" s="19">
        <v>35</v>
      </c>
      <c r="K30" s="19">
        <v>716.85</v>
      </c>
      <c r="L30" s="20">
        <v>208118057</v>
      </c>
      <c r="M30" s="20">
        <v>1100000062670206</v>
      </c>
      <c r="N30" s="19" t="s">
        <v>162</v>
      </c>
      <c r="O30" s="19"/>
    </row>
    <row r="31" spans="1:15" x14ac:dyDescent="0.25">
      <c r="A31" s="19"/>
      <c r="B31" s="19" t="s">
        <v>163</v>
      </c>
      <c r="C31" s="19" t="s">
        <v>164</v>
      </c>
      <c r="D31" s="19" t="s">
        <v>165</v>
      </c>
      <c r="E31" s="19" t="s">
        <v>124</v>
      </c>
      <c r="F31" s="19" t="s">
        <v>125</v>
      </c>
      <c r="G31" s="19" t="s">
        <v>125</v>
      </c>
      <c r="H31" s="19" t="s">
        <v>126</v>
      </c>
      <c r="I31" s="19" t="b">
        <v>0</v>
      </c>
      <c r="J31" s="19">
        <v>43</v>
      </c>
      <c r="K31" s="19">
        <v>119.3</v>
      </c>
      <c r="L31" s="20">
        <v>5959861</v>
      </c>
      <c r="M31" s="20">
        <v>1000000060868317</v>
      </c>
      <c r="N31" s="19" t="s">
        <v>166</v>
      </c>
      <c r="O31" s="19"/>
    </row>
    <row r="32" spans="1:15" x14ac:dyDescent="0.25">
      <c r="A32" s="19"/>
      <c r="B32" s="19" t="s">
        <v>163</v>
      </c>
      <c r="C32" s="19" t="s">
        <v>164</v>
      </c>
      <c r="D32" s="19" t="s">
        <v>165</v>
      </c>
      <c r="E32" s="19" t="s">
        <v>124</v>
      </c>
      <c r="F32" s="19" t="s">
        <v>125</v>
      </c>
      <c r="G32" s="19" t="s">
        <v>125</v>
      </c>
      <c r="H32" s="19" t="s">
        <v>126</v>
      </c>
      <c r="I32" s="19" t="b">
        <v>0</v>
      </c>
      <c r="J32" s="19">
        <v>77</v>
      </c>
      <c r="K32" s="19">
        <v>119.3</v>
      </c>
      <c r="L32" s="20">
        <v>5959859</v>
      </c>
      <c r="M32" s="20">
        <v>1000000060868317</v>
      </c>
      <c r="N32" s="19" t="s">
        <v>166</v>
      </c>
      <c r="O32" s="19"/>
    </row>
    <row r="33" spans="1:15" x14ac:dyDescent="0.25">
      <c r="A33" s="19"/>
      <c r="B33" s="19" t="s">
        <v>163</v>
      </c>
      <c r="C33" s="19" t="s">
        <v>164</v>
      </c>
      <c r="D33" s="19" t="s">
        <v>165</v>
      </c>
      <c r="E33" s="19" t="s">
        <v>124</v>
      </c>
      <c r="F33" s="19" t="s">
        <v>125</v>
      </c>
      <c r="G33" s="19" t="s">
        <v>125</v>
      </c>
      <c r="H33" s="19" t="s">
        <v>126</v>
      </c>
      <c r="I33" s="19" t="b">
        <v>0</v>
      </c>
      <c r="J33" s="19">
        <v>100</v>
      </c>
      <c r="K33" s="19">
        <v>119.3</v>
      </c>
      <c r="L33" s="20">
        <v>5959860</v>
      </c>
      <c r="M33" s="20">
        <v>1000000060868317</v>
      </c>
      <c r="N33" s="19" t="s">
        <v>166</v>
      </c>
      <c r="O33" s="19"/>
    </row>
    <row r="34" spans="1:15" x14ac:dyDescent="0.25">
      <c r="A34" s="19"/>
      <c r="B34" s="19" t="s">
        <v>145</v>
      </c>
      <c r="C34" s="19" t="s">
        <v>146</v>
      </c>
      <c r="D34" s="19" t="s">
        <v>165</v>
      </c>
      <c r="E34" s="19" t="s">
        <v>124</v>
      </c>
      <c r="F34" s="19" t="s">
        <v>125</v>
      </c>
      <c r="G34" s="19" t="s">
        <v>125</v>
      </c>
      <c r="H34" s="19" t="s">
        <v>126</v>
      </c>
      <c r="I34" s="19" t="b">
        <v>0</v>
      </c>
      <c r="J34" s="19">
        <v>55</v>
      </c>
      <c r="K34" s="19">
        <v>189</v>
      </c>
      <c r="L34" s="20">
        <v>6217725</v>
      </c>
      <c r="M34" s="20">
        <v>1000000063494426</v>
      </c>
      <c r="N34" s="19" t="s">
        <v>167</v>
      </c>
      <c r="O34" s="19"/>
    </row>
    <row r="35" spans="1:15" x14ac:dyDescent="0.25">
      <c r="A35" s="19"/>
      <c r="B35" s="19" t="s">
        <v>145</v>
      </c>
      <c r="C35" s="19" t="s">
        <v>146</v>
      </c>
      <c r="D35" s="19" t="s">
        <v>165</v>
      </c>
      <c r="E35" s="19" t="s">
        <v>124</v>
      </c>
      <c r="F35" s="19" t="s">
        <v>125</v>
      </c>
      <c r="G35" s="19" t="s">
        <v>125</v>
      </c>
      <c r="H35" s="19" t="s">
        <v>126</v>
      </c>
      <c r="I35" s="19" t="b">
        <v>0</v>
      </c>
      <c r="J35" s="19">
        <v>62</v>
      </c>
      <c r="K35" s="19">
        <v>188.99</v>
      </c>
      <c r="L35" s="20">
        <v>6217724</v>
      </c>
      <c r="M35" s="20">
        <v>1000000063494426</v>
      </c>
      <c r="N35" s="19" t="s">
        <v>167</v>
      </c>
      <c r="O35" s="19"/>
    </row>
    <row r="36" spans="1:15" x14ac:dyDescent="0.25">
      <c r="A36" s="19"/>
      <c r="B36" s="19" t="s">
        <v>145</v>
      </c>
      <c r="C36" s="19" t="s">
        <v>146</v>
      </c>
      <c r="D36" s="19" t="s">
        <v>165</v>
      </c>
      <c r="E36" s="19" t="s">
        <v>124</v>
      </c>
      <c r="F36" s="19" t="s">
        <v>125</v>
      </c>
      <c r="G36" s="19" t="s">
        <v>125</v>
      </c>
      <c r="H36" s="19" t="s">
        <v>126</v>
      </c>
      <c r="I36" s="19" t="b">
        <v>0</v>
      </c>
      <c r="J36" s="19">
        <v>14</v>
      </c>
      <c r="K36" s="19">
        <v>188.94</v>
      </c>
      <c r="L36" s="20">
        <v>6217723</v>
      </c>
      <c r="M36" s="20">
        <v>1000000063494426</v>
      </c>
      <c r="N36" s="19" t="s">
        <v>167</v>
      </c>
      <c r="O36" s="19"/>
    </row>
    <row r="37" spans="1:15" x14ac:dyDescent="0.25">
      <c r="A37" s="19"/>
      <c r="B37" s="19" t="s">
        <v>94</v>
      </c>
      <c r="C37" s="19" t="s">
        <v>149</v>
      </c>
      <c r="D37" s="19" t="s">
        <v>165</v>
      </c>
      <c r="E37" s="19" t="s">
        <v>124</v>
      </c>
      <c r="F37" s="19" t="s">
        <v>125</v>
      </c>
      <c r="G37" s="19" t="s">
        <v>125</v>
      </c>
      <c r="H37" s="19" t="s">
        <v>126</v>
      </c>
      <c r="I37" s="19" t="b">
        <v>0</v>
      </c>
      <c r="J37" s="19">
        <v>54</v>
      </c>
      <c r="K37" s="19">
        <v>577.79999999999995</v>
      </c>
      <c r="L37" s="20">
        <v>206567205</v>
      </c>
      <c r="M37" s="20">
        <v>1100000055164659</v>
      </c>
      <c r="N37" s="19" t="s">
        <v>168</v>
      </c>
      <c r="O37" s="19"/>
    </row>
    <row r="38" spans="1:15" x14ac:dyDescent="0.25">
      <c r="A38" s="19"/>
      <c r="B38" s="19" t="s">
        <v>94</v>
      </c>
      <c r="C38" s="19" t="s">
        <v>149</v>
      </c>
      <c r="D38" s="19" t="s">
        <v>165</v>
      </c>
      <c r="E38" s="19" t="s">
        <v>124</v>
      </c>
      <c r="F38" s="19" t="s">
        <v>125</v>
      </c>
      <c r="G38" s="19" t="s">
        <v>125</v>
      </c>
      <c r="H38" s="19" t="s">
        <v>126</v>
      </c>
      <c r="I38" s="19" t="b">
        <v>0</v>
      </c>
      <c r="J38" s="19">
        <v>33</v>
      </c>
      <c r="K38" s="19">
        <v>577.85</v>
      </c>
      <c r="L38" s="20">
        <v>206567206</v>
      </c>
      <c r="M38" s="20">
        <v>1100000055164659</v>
      </c>
      <c r="N38" s="19" t="s">
        <v>168</v>
      </c>
      <c r="O38" s="19"/>
    </row>
    <row r="39" spans="1:15" x14ac:dyDescent="0.25">
      <c r="A39" s="19"/>
      <c r="B39" s="19" t="s">
        <v>169</v>
      </c>
      <c r="C39" s="19" t="s">
        <v>170</v>
      </c>
      <c r="D39" s="19" t="s">
        <v>171</v>
      </c>
      <c r="E39" s="19" t="s">
        <v>124</v>
      </c>
      <c r="F39" s="19" t="s">
        <v>125</v>
      </c>
      <c r="G39" s="19" t="s">
        <v>125</v>
      </c>
      <c r="H39" s="19" t="s">
        <v>126</v>
      </c>
      <c r="I39" s="19" t="b">
        <v>0</v>
      </c>
      <c r="J39" s="19">
        <v>16</v>
      </c>
      <c r="K39" s="19">
        <v>880</v>
      </c>
      <c r="L39" s="20">
        <v>606877843</v>
      </c>
      <c r="M39" s="20">
        <v>1300000066618858</v>
      </c>
      <c r="N39" s="19" t="s">
        <v>172</v>
      </c>
      <c r="O39" s="19"/>
    </row>
    <row r="40" spans="1:15" x14ac:dyDescent="0.25">
      <c r="A40" s="19"/>
      <c r="B40" s="19" t="s">
        <v>169</v>
      </c>
      <c r="C40" s="19" t="s">
        <v>170</v>
      </c>
      <c r="D40" s="19" t="s">
        <v>171</v>
      </c>
      <c r="E40" s="19" t="s">
        <v>124</v>
      </c>
      <c r="F40" s="19" t="s">
        <v>125</v>
      </c>
      <c r="G40" s="19" t="s">
        <v>125</v>
      </c>
      <c r="H40" s="19" t="s">
        <v>126</v>
      </c>
      <c r="I40" s="19" t="b">
        <v>0</v>
      </c>
      <c r="J40" s="19">
        <v>40</v>
      </c>
      <c r="K40" s="19">
        <v>880</v>
      </c>
      <c r="L40" s="20">
        <v>606877841</v>
      </c>
      <c r="M40" s="20">
        <v>1300000066618858</v>
      </c>
      <c r="N40" s="19" t="s">
        <v>172</v>
      </c>
      <c r="O40" s="19"/>
    </row>
    <row r="41" spans="1:15" x14ac:dyDescent="0.25">
      <c r="A41" s="19"/>
      <c r="B41" s="19" t="s">
        <v>169</v>
      </c>
      <c r="C41" s="19" t="s">
        <v>170</v>
      </c>
      <c r="D41" s="19" t="s">
        <v>171</v>
      </c>
      <c r="E41" s="19" t="s">
        <v>124</v>
      </c>
      <c r="F41" s="19" t="s">
        <v>125</v>
      </c>
      <c r="G41" s="19" t="s">
        <v>125</v>
      </c>
      <c r="H41" s="19" t="s">
        <v>126</v>
      </c>
      <c r="I41" s="19" t="b">
        <v>0</v>
      </c>
      <c r="J41" s="19">
        <v>1</v>
      </c>
      <c r="K41" s="19">
        <v>880</v>
      </c>
      <c r="L41" s="20">
        <v>606877842</v>
      </c>
      <c r="M41" s="20">
        <v>1300000066618858</v>
      </c>
      <c r="N41" s="19" t="s">
        <v>172</v>
      </c>
      <c r="O41" s="19"/>
    </row>
    <row r="42" spans="1:15" x14ac:dyDescent="0.25">
      <c r="A42" s="19"/>
      <c r="B42" s="19" t="s">
        <v>137</v>
      </c>
      <c r="C42" s="19" t="s">
        <v>138</v>
      </c>
      <c r="D42" s="19" t="s">
        <v>173</v>
      </c>
      <c r="E42" s="19" t="s">
        <v>124</v>
      </c>
      <c r="F42" s="19" t="s">
        <v>125</v>
      </c>
      <c r="G42" s="19" t="s">
        <v>125</v>
      </c>
      <c r="H42" s="19" t="s">
        <v>174</v>
      </c>
      <c r="I42" s="19" t="b">
        <v>0</v>
      </c>
      <c r="J42" s="19">
        <v>7</v>
      </c>
      <c r="K42" s="19">
        <v>3390.5</v>
      </c>
      <c r="L42" s="20">
        <v>602384371</v>
      </c>
      <c r="M42" s="20">
        <v>1300000019285280</v>
      </c>
      <c r="N42" s="19" t="s">
        <v>175</v>
      </c>
      <c r="O42" s="19"/>
    </row>
    <row r="43" spans="1:15" x14ac:dyDescent="0.25">
      <c r="A43" s="19"/>
      <c r="B43" s="19" t="s">
        <v>137</v>
      </c>
      <c r="C43" s="19" t="s">
        <v>138</v>
      </c>
      <c r="D43" s="19" t="s">
        <v>173</v>
      </c>
      <c r="E43" s="19" t="s">
        <v>124</v>
      </c>
      <c r="F43" s="19" t="s">
        <v>125</v>
      </c>
      <c r="G43" s="19" t="s">
        <v>125</v>
      </c>
      <c r="H43" s="19" t="s">
        <v>174</v>
      </c>
      <c r="I43" s="19" t="b">
        <v>0</v>
      </c>
      <c r="J43" s="19">
        <v>8</v>
      </c>
      <c r="K43" s="19">
        <v>3390.5</v>
      </c>
      <c r="L43" s="20">
        <v>602384370</v>
      </c>
      <c r="M43" s="20">
        <v>1300000019285280</v>
      </c>
      <c r="N43" s="19" t="s">
        <v>175</v>
      </c>
      <c r="O43" s="19"/>
    </row>
    <row r="44" spans="1:15" x14ac:dyDescent="0.25">
      <c r="A44" s="19"/>
      <c r="B44" s="19" t="s">
        <v>137</v>
      </c>
      <c r="C44" s="19" t="s">
        <v>138</v>
      </c>
      <c r="D44" s="19" t="s">
        <v>173</v>
      </c>
      <c r="E44" s="19" t="s">
        <v>124</v>
      </c>
      <c r="F44" s="19" t="s">
        <v>125</v>
      </c>
      <c r="G44" s="19" t="s">
        <v>125</v>
      </c>
      <c r="H44" s="19" t="s">
        <v>174</v>
      </c>
      <c r="I44" s="19" t="b">
        <v>0</v>
      </c>
      <c r="J44" s="19">
        <v>1</v>
      </c>
      <c r="K44" s="19">
        <v>3390.5</v>
      </c>
      <c r="L44" s="20">
        <v>602384368</v>
      </c>
      <c r="M44" s="20">
        <v>1300000019285280</v>
      </c>
      <c r="N44" s="19" t="s">
        <v>175</v>
      </c>
      <c r="O44" s="19"/>
    </row>
    <row r="45" spans="1:15" x14ac:dyDescent="0.25">
      <c r="A45" s="19"/>
      <c r="B45" s="19" t="s">
        <v>137</v>
      </c>
      <c r="C45" s="19" t="s">
        <v>138</v>
      </c>
      <c r="D45" s="19" t="s">
        <v>173</v>
      </c>
      <c r="E45" s="19" t="s">
        <v>124</v>
      </c>
      <c r="F45" s="19" t="s">
        <v>125</v>
      </c>
      <c r="G45" s="19" t="s">
        <v>125</v>
      </c>
      <c r="H45" s="19" t="s">
        <v>174</v>
      </c>
      <c r="I45" s="19" t="b">
        <v>0</v>
      </c>
      <c r="J45" s="19">
        <v>9</v>
      </c>
      <c r="K45" s="19">
        <v>3390.5</v>
      </c>
      <c r="L45" s="20">
        <v>602384369</v>
      </c>
      <c r="M45" s="20">
        <v>1300000019285280</v>
      </c>
      <c r="N45" s="19" t="s">
        <v>175</v>
      </c>
      <c r="O45" s="19"/>
    </row>
    <row r="46" spans="1:15" x14ac:dyDescent="0.25">
      <c r="A46" s="19"/>
      <c r="B46" s="19" t="s">
        <v>134</v>
      </c>
      <c r="C46" s="19" t="s">
        <v>135</v>
      </c>
      <c r="D46" s="19" t="s">
        <v>173</v>
      </c>
      <c r="E46" s="19" t="s">
        <v>124</v>
      </c>
      <c r="F46" s="19" t="s">
        <v>125</v>
      </c>
      <c r="G46" s="19" t="s">
        <v>125</v>
      </c>
      <c r="H46" s="19" t="s">
        <v>174</v>
      </c>
      <c r="I46" s="19" t="b">
        <v>0</v>
      </c>
      <c r="J46" s="19">
        <v>2</v>
      </c>
      <c r="K46" s="19">
        <v>4180.2002000000002</v>
      </c>
      <c r="L46" s="20">
        <v>602393098</v>
      </c>
      <c r="M46" s="20">
        <v>1300000019368715</v>
      </c>
      <c r="N46" s="19" t="s">
        <v>176</v>
      </c>
      <c r="O46" s="19"/>
    </row>
    <row r="47" spans="1:15" x14ac:dyDescent="0.25">
      <c r="A47" s="19"/>
      <c r="B47" s="19" t="s">
        <v>134</v>
      </c>
      <c r="C47" s="19" t="s">
        <v>135</v>
      </c>
      <c r="D47" s="19" t="s">
        <v>173</v>
      </c>
      <c r="E47" s="19" t="s">
        <v>124</v>
      </c>
      <c r="F47" s="19" t="s">
        <v>125</v>
      </c>
      <c r="G47" s="19" t="s">
        <v>125</v>
      </c>
      <c r="H47" s="19" t="s">
        <v>174</v>
      </c>
      <c r="I47" s="19" t="b">
        <v>0</v>
      </c>
      <c r="J47" s="19">
        <v>4</v>
      </c>
      <c r="K47" s="19">
        <v>4180.2997999999998</v>
      </c>
      <c r="L47" s="20">
        <v>602393093</v>
      </c>
      <c r="M47" s="20">
        <v>1300000019368715</v>
      </c>
      <c r="N47" s="19" t="s">
        <v>176</v>
      </c>
      <c r="O47" s="19"/>
    </row>
    <row r="48" spans="1:15" x14ac:dyDescent="0.25">
      <c r="A48" s="19"/>
      <c r="B48" s="19" t="s">
        <v>134</v>
      </c>
      <c r="C48" s="19" t="s">
        <v>135</v>
      </c>
      <c r="D48" s="19" t="s">
        <v>173</v>
      </c>
      <c r="E48" s="19" t="s">
        <v>124</v>
      </c>
      <c r="F48" s="19" t="s">
        <v>125</v>
      </c>
      <c r="G48" s="19" t="s">
        <v>125</v>
      </c>
      <c r="H48" s="19" t="s">
        <v>174</v>
      </c>
      <c r="I48" s="19" t="b">
        <v>0</v>
      </c>
      <c r="J48" s="19">
        <v>1</v>
      </c>
      <c r="K48" s="19">
        <v>4180.2002000000002</v>
      </c>
      <c r="L48" s="20">
        <v>602393095</v>
      </c>
      <c r="M48" s="20">
        <v>1300000019368715</v>
      </c>
      <c r="N48" s="19" t="s">
        <v>176</v>
      </c>
      <c r="O48" s="19"/>
    </row>
    <row r="49" spans="1:15" x14ac:dyDescent="0.25">
      <c r="A49" s="19"/>
      <c r="B49" s="19" t="s">
        <v>134</v>
      </c>
      <c r="C49" s="19" t="s">
        <v>135</v>
      </c>
      <c r="D49" s="19" t="s">
        <v>173</v>
      </c>
      <c r="E49" s="19" t="s">
        <v>124</v>
      </c>
      <c r="F49" s="19" t="s">
        <v>125</v>
      </c>
      <c r="G49" s="19" t="s">
        <v>125</v>
      </c>
      <c r="H49" s="19" t="s">
        <v>174</v>
      </c>
      <c r="I49" s="19" t="b">
        <v>0</v>
      </c>
      <c r="J49" s="19">
        <v>1</v>
      </c>
      <c r="K49" s="19">
        <v>4180.2997999999998</v>
      </c>
      <c r="L49" s="20">
        <v>602393092</v>
      </c>
      <c r="M49" s="20">
        <v>1300000019368715</v>
      </c>
      <c r="N49" s="19" t="s">
        <v>176</v>
      </c>
      <c r="O49" s="19"/>
    </row>
    <row r="50" spans="1:15" x14ac:dyDescent="0.25">
      <c r="A50" s="19"/>
      <c r="B50" s="19" t="s">
        <v>134</v>
      </c>
      <c r="C50" s="19" t="s">
        <v>135</v>
      </c>
      <c r="D50" s="19" t="s">
        <v>173</v>
      </c>
      <c r="E50" s="19" t="s">
        <v>124</v>
      </c>
      <c r="F50" s="19" t="s">
        <v>125</v>
      </c>
      <c r="G50" s="19" t="s">
        <v>125</v>
      </c>
      <c r="H50" s="19" t="s">
        <v>174</v>
      </c>
      <c r="I50" s="19" t="b">
        <v>0</v>
      </c>
      <c r="J50" s="19">
        <v>8</v>
      </c>
      <c r="K50" s="19">
        <v>4180</v>
      </c>
      <c r="L50" s="20">
        <v>602393099</v>
      </c>
      <c r="M50" s="20">
        <v>1300000019368715</v>
      </c>
      <c r="N50" s="19" t="s">
        <v>176</v>
      </c>
      <c r="O50" s="19"/>
    </row>
    <row r="51" spans="1:15" x14ac:dyDescent="0.25">
      <c r="A51" s="19"/>
      <c r="B51" s="19" t="s">
        <v>83</v>
      </c>
      <c r="C51" s="19" t="s">
        <v>154</v>
      </c>
      <c r="D51" s="19" t="s">
        <v>173</v>
      </c>
      <c r="E51" s="19" t="s">
        <v>124</v>
      </c>
      <c r="F51" s="19" t="s">
        <v>125</v>
      </c>
      <c r="G51" s="19" t="s">
        <v>125</v>
      </c>
      <c r="H51" s="19" t="s">
        <v>174</v>
      </c>
      <c r="I51" s="19" t="b">
        <v>0</v>
      </c>
      <c r="J51" s="19">
        <v>8</v>
      </c>
      <c r="K51" s="19">
        <v>1476.9</v>
      </c>
      <c r="L51" s="20">
        <v>402017002</v>
      </c>
      <c r="M51" s="20">
        <v>1200000018561473</v>
      </c>
      <c r="N51" s="19" t="s">
        <v>177</v>
      </c>
      <c r="O51" s="19"/>
    </row>
    <row r="52" spans="1:15" x14ac:dyDescent="0.25">
      <c r="A52" s="19"/>
      <c r="B52" s="19" t="s">
        <v>83</v>
      </c>
      <c r="C52" s="19" t="s">
        <v>154</v>
      </c>
      <c r="D52" s="19" t="s">
        <v>173</v>
      </c>
      <c r="E52" s="19" t="s">
        <v>124</v>
      </c>
      <c r="F52" s="19" t="s">
        <v>125</v>
      </c>
      <c r="G52" s="19" t="s">
        <v>125</v>
      </c>
      <c r="H52" s="19" t="s">
        <v>174</v>
      </c>
      <c r="I52" s="19" t="b">
        <v>0</v>
      </c>
      <c r="J52" s="19">
        <v>7</v>
      </c>
      <c r="K52" s="19">
        <v>1476.9</v>
      </c>
      <c r="L52" s="20">
        <v>402017003</v>
      </c>
      <c r="M52" s="20">
        <v>1200000018561473</v>
      </c>
      <c r="N52" s="19" t="s">
        <v>177</v>
      </c>
      <c r="O52" s="19"/>
    </row>
    <row r="53" spans="1:15" x14ac:dyDescent="0.25">
      <c r="A53" s="19"/>
      <c r="B53" s="19" t="s">
        <v>83</v>
      </c>
      <c r="C53" s="19" t="s">
        <v>154</v>
      </c>
      <c r="D53" s="19" t="s">
        <v>173</v>
      </c>
      <c r="E53" s="19" t="s">
        <v>124</v>
      </c>
      <c r="F53" s="19" t="s">
        <v>125</v>
      </c>
      <c r="G53" s="19" t="s">
        <v>125</v>
      </c>
      <c r="H53" s="19" t="s">
        <v>174</v>
      </c>
      <c r="I53" s="19" t="b">
        <v>0</v>
      </c>
      <c r="J53" s="19">
        <v>4</v>
      </c>
      <c r="K53" s="19">
        <v>1477.1</v>
      </c>
      <c r="L53" s="20">
        <v>402016996</v>
      </c>
      <c r="M53" s="20">
        <v>1200000018561473</v>
      </c>
      <c r="N53" s="19" t="s">
        <v>177</v>
      </c>
      <c r="O53" s="19"/>
    </row>
    <row r="54" spans="1:15" x14ac:dyDescent="0.25">
      <c r="A54" s="19"/>
      <c r="B54" s="19" t="s">
        <v>83</v>
      </c>
      <c r="C54" s="19" t="s">
        <v>154</v>
      </c>
      <c r="D54" s="19" t="s">
        <v>173</v>
      </c>
      <c r="E54" s="19" t="s">
        <v>124</v>
      </c>
      <c r="F54" s="19" t="s">
        <v>125</v>
      </c>
      <c r="G54" s="19" t="s">
        <v>125</v>
      </c>
      <c r="H54" s="19" t="s">
        <v>174</v>
      </c>
      <c r="I54" s="19" t="b">
        <v>0</v>
      </c>
      <c r="J54" s="19">
        <v>2</v>
      </c>
      <c r="K54" s="19">
        <v>1477.1</v>
      </c>
      <c r="L54" s="20">
        <v>402016994</v>
      </c>
      <c r="M54" s="20">
        <v>1200000018561473</v>
      </c>
      <c r="N54" s="19" t="s">
        <v>177</v>
      </c>
      <c r="O54" s="19"/>
    </row>
    <row r="55" spans="1:15" x14ac:dyDescent="0.25">
      <c r="A55" s="19"/>
      <c r="B55" s="19" t="s">
        <v>83</v>
      </c>
      <c r="C55" s="19" t="s">
        <v>154</v>
      </c>
      <c r="D55" s="19" t="s">
        <v>173</v>
      </c>
      <c r="E55" s="19" t="s">
        <v>124</v>
      </c>
      <c r="F55" s="19" t="s">
        <v>125</v>
      </c>
      <c r="G55" s="19" t="s">
        <v>125</v>
      </c>
      <c r="H55" s="19" t="s">
        <v>174</v>
      </c>
      <c r="I55" s="19" t="b">
        <v>0</v>
      </c>
      <c r="J55" s="19">
        <v>1</v>
      </c>
      <c r="K55" s="19">
        <v>1477</v>
      </c>
      <c r="L55" s="20">
        <v>402017000</v>
      </c>
      <c r="M55" s="20">
        <v>1200000018561473</v>
      </c>
      <c r="N55" s="19" t="s">
        <v>177</v>
      </c>
      <c r="O55" s="19"/>
    </row>
    <row r="56" spans="1:15" x14ac:dyDescent="0.25">
      <c r="A56" s="19"/>
      <c r="B56" s="19" t="s">
        <v>83</v>
      </c>
      <c r="C56" s="19" t="s">
        <v>154</v>
      </c>
      <c r="D56" s="19" t="s">
        <v>173</v>
      </c>
      <c r="E56" s="19" t="s">
        <v>124</v>
      </c>
      <c r="F56" s="19" t="s">
        <v>125</v>
      </c>
      <c r="G56" s="19" t="s">
        <v>125</v>
      </c>
      <c r="H56" s="19" t="s">
        <v>174</v>
      </c>
      <c r="I56" s="19" t="b">
        <v>0</v>
      </c>
      <c r="J56" s="19">
        <v>1</v>
      </c>
      <c r="K56" s="19">
        <v>1477.1</v>
      </c>
      <c r="L56" s="20">
        <v>402016997</v>
      </c>
      <c r="M56" s="20">
        <v>1200000018561473</v>
      </c>
      <c r="N56" s="19" t="s">
        <v>177</v>
      </c>
      <c r="O56" s="19"/>
    </row>
    <row r="57" spans="1:15" x14ac:dyDescent="0.25">
      <c r="A57" s="19"/>
      <c r="B57" s="19" t="s">
        <v>83</v>
      </c>
      <c r="C57" s="19" t="s">
        <v>154</v>
      </c>
      <c r="D57" s="19" t="s">
        <v>173</v>
      </c>
      <c r="E57" s="19" t="s">
        <v>124</v>
      </c>
      <c r="F57" s="19" t="s">
        <v>125</v>
      </c>
      <c r="G57" s="19" t="s">
        <v>125</v>
      </c>
      <c r="H57" s="19" t="s">
        <v>174</v>
      </c>
      <c r="I57" s="19" t="b">
        <v>0</v>
      </c>
      <c r="J57" s="19">
        <v>14</v>
      </c>
      <c r="K57" s="19">
        <v>1477</v>
      </c>
      <c r="L57" s="20">
        <v>402017001</v>
      </c>
      <c r="M57" s="20">
        <v>1200000018561473</v>
      </c>
      <c r="N57" s="19" t="s">
        <v>177</v>
      </c>
      <c r="O57" s="19"/>
    </row>
    <row r="58" spans="1:15" x14ac:dyDescent="0.25">
      <c r="A58" s="19"/>
      <c r="B58" s="19" t="s">
        <v>83</v>
      </c>
      <c r="C58" s="19" t="s">
        <v>154</v>
      </c>
      <c r="D58" s="19" t="s">
        <v>173</v>
      </c>
      <c r="E58" s="19" t="s">
        <v>124</v>
      </c>
      <c r="F58" s="19" t="s">
        <v>125</v>
      </c>
      <c r="G58" s="19" t="s">
        <v>125</v>
      </c>
      <c r="H58" s="19" t="s">
        <v>174</v>
      </c>
      <c r="I58" s="19" t="b">
        <v>0</v>
      </c>
      <c r="J58" s="19">
        <v>5</v>
      </c>
      <c r="K58" s="19">
        <v>1477.1</v>
      </c>
      <c r="L58" s="20">
        <v>402016998</v>
      </c>
      <c r="M58" s="20">
        <v>1200000018561473</v>
      </c>
      <c r="N58" s="19" t="s">
        <v>177</v>
      </c>
      <c r="O58" s="19"/>
    </row>
    <row r="59" spans="1:15" x14ac:dyDescent="0.25">
      <c r="A59" s="19"/>
      <c r="B59" s="19" t="s">
        <v>83</v>
      </c>
      <c r="C59" s="19" t="s">
        <v>154</v>
      </c>
      <c r="D59" s="19" t="s">
        <v>173</v>
      </c>
      <c r="E59" s="19" t="s">
        <v>124</v>
      </c>
      <c r="F59" s="19" t="s">
        <v>125</v>
      </c>
      <c r="G59" s="19" t="s">
        <v>125</v>
      </c>
      <c r="H59" s="19" t="s">
        <v>174</v>
      </c>
      <c r="I59" s="19" t="b">
        <v>0</v>
      </c>
      <c r="J59" s="19">
        <v>10</v>
      </c>
      <c r="K59" s="19">
        <v>1477.1</v>
      </c>
      <c r="L59" s="20">
        <v>402016999</v>
      </c>
      <c r="M59" s="20">
        <v>1200000018561473</v>
      </c>
      <c r="N59" s="19" t="s">
        <v>177</v>
      </c>
      <c r="O59" s="19"/>
    </row>
    <row r="60" spans="1:15" x14ac:dyDescent="0.25">
      <c r="A60" s="19"/>
      <c r="B60" s="19" t="s">
        <v>163</v>
      </c>
      <c r="C60" s="19" t="s">
        <v>164</v>
      </c>
      <c r="D60" s="19" t="s">
        <v>178</v>
      </c>
      <c r="E60" s="19" t="s">
        <v>124</v>
      </c>
      <c r="F60" s="19" t="s">
        <v>125</v>
      </c>
      <c r="G60" s="19" t="s">
        <v>125</v>
      </c>
      <c r="H60" s="19" t="s">
        <v>126</v>
      </c>
      <c r="I60" s="19" t="b">
        <v>0</v>
      </c>
      <c r="J60" s="19">
        <v>1</v>
      </c>
      <c r="K60" s="19">
        <v>126.69</v>
      </c>
      <c r="L60" s="20">
        <v>5171536</v>
      </c>
      <c r="M60" s="20">
        <v>1000000056548613</v>
      </c>
      <c r="N60" s="19" t="s">
        <v>179</v>
      </c>
      <c r="O60" s="19"/>
    </row>
    <row r="61" spans="1:15" x14ac:dyDescent="0.25">
      <c r="A61" s="19"/>
      <c r="B61" s="19" t="s">
        <v>163</v>
      </c>
      <c r="C61" s="19" t="s">
        <v>164</v>
      </c>
      <c r="D61" s="19" t="s">
        <v>178</v>
      </c>
      <c r="E61" s="19" t="s">
        <v>124</v>
      </c>
      <c r="F61" s="19" t="s">
        <v>125</v>
      </c>
      <c r="G61" s="19" t="s">
        <v>125</v>
      </c>
      <c r="H61" s="19" t="s">
        <v>126</v>
      </c>
      <c r="I61" s="19" t="b">
        <v>0</v>
      </c>
      <c r="J61" s="19">
        <v>2</v>
      </c>
      <c r="K61" s="19">
        <v>126.67</v>
      </c>
      <c r="L61" s="20">
        <v>5171523</v>
      </c>
      <c r="M61" s="20">
        <v>1000000056548613</v>
      </c>
      <c r="N61" s="19" t="s">
        <v>179</v>
      </c>
      <c r="O61" s="19"/>
    </row>
    <row r="62" spans="1:15" x14ac:dyDescent="0.25">
      <c r="A62" s="19"/>
      <c r="B62" s="19" t="s">
        <v>163</v>
      </c>
      <c r="C62" s="19" t="s">
        <v>164</v>
      </c>
      <c r="D62" s="19" t="s">
        <v>178</v>
      </c>
      <c r="E62" s="19" t="s">
        <v>124</v>
      </c>
      <c r="F62" s="19" t="s">
        <v>125</v>
      </c>
      <c r="G62" s="19" t="s">
        <v>125</v>
      </c>
      <c r="H62" s="19" t="s">
        <v>126</v>
      </c>
      <c r="I62" s="19" t="b">
        <v>0</v>
      </c>
      <c r="J62" s="19">
        <v>1</v>
      </c>
      <c r="K62" s="19">
        <v>126.67</v>
      </c>
      <c r="L62" s="20">
        <v>5171524</v>
      </c>
      <c r="M62" s="20">
        <v>1000000056548613</v>
      </c>
      <c r="N62" s="19" t="s">
        <v>179</v>
      </c>
      <c r="O62" s="19"/>
    </row>
    <row r="63" spans="1:15" x14ac:dyDescent="0.25">
      <c r="A63" s="19"/>
      <c r="B63" s="19" t="s">
        <v>163</v>
      </c>
      <c r="C63" s="19" t="s">
        <v>164</v>
      </c>
      <c r="D63" s="19" t="s">
        <v>178</v>
      </c>
      <c r="E63" s="19" t="s">
        <v>124</v>
      </c>
      <c r="F63" s="19" t="s">
        <v>125</v>
      </c>
      <c r="G63" s="19" t="s">
        <v>125</v>
      </c>
      <c r="H63" s="19" t="s">
        <v>126</v>
      </c>
      <c r="I63" s="19" t="b">
        <v>0</v>
      </c>
      <c r="J63" s="19">
        <v>369</v>
      </c>
      <c r="K63" s="19">
        <v>126.7</v>
      </c>
      <c r="L63" s="20">
        <v>5171538</v>
      </c>
      <c r="M63" s="20">
        <v>1000000056548613</v>
      </c>
      <c r="N63" s="19" t="s">
        <v>179</v>
      </c>
      <c r="O63" s="19"/>
    </row>
    <row r="64" spans="1:15" x14ac:dyDescent="0.25">
      <c r="A64" s="19"/>
      <c r="B64" s="19" t="s">
        <v>163</v>
      </c>
      <c r="C64" s="19" t="s">
        <v>164</v>
      </c>
      <c r="D64" s="19" t="s">
        <v>178</v>
      </c>
      <c r="E64" s="19" t="s">
        <v>124</v>
      </c>
      <c r="F64" s="19" t="s">
        <v>125</v>
      </c>
      <c r="G64" s="19" t="s">
        <v>125</v>
      </c>
      <c r="H64" s="19" t="s">
        <v>126</v>
      </c>
      <c r="I64" s="19" t="b">
        <v>0</v>
      </c>
      <c r="J64" s="19">
        <v>60</v>
      </c>
      <c r="K64" s="19">
        <v>126.7</v>
      </c>
      <c r="L64" s="20">
        <v>5171540</v>
      </c>
      <c r="M64" s="20">
        <v>1000000056548613</v>
      </c>
      <c r="N64" s="19" t="s">
        <v>179</v>
      </c>
      <c r="O64" s="19"/>
    </row>
    <row r="65" spans="1:15" x14ac:dyDescent="0.25">
      <c r="A65" s="19"/>
      <c r="B65" s="19" t="s">
        <v>163</v>
      </c>
      <c r="C65" s="19" t="s">
        <v>164</v>
      </c>
      <c r="D65" s="19" t="s">
        <v>178</v>
      </c>
      <c r="E65" s="19" t="s">
        <v>124</v>
      </c>
      <c r="F65" s="19" t="s">
        <v>125</v>
      </c>
      <c r="G65" s="19" t="s">
        <v>125</v>
      </c>
      <c r="H65" s="19" t="s">
        <v>126</v>
      </c>
      <c r="I65" s="19" t="b">
        <v>0</v>
      </c>
      <c r="J65" s="19">
        <v>125</v>
      </c>
      <c r="K65" s="19">
        <v>126.69</v>
      </c>
      <c r="L65" s="20">
        <v>5171535</v>
      </c>
      <c r="M65" s="20">
        <v>1000000056548613</v>
      </c>
      <c r="N65" s="19" t="s">
        <v>179</v>
      </c>
      <c r="O65" s="19"/>
    </row>
    <row r="66" spans="1:15" x14ac:dyDescent="0.25">
      <c r="A66" s="19"/>
      <c r="B66" s="19" t="s">
        <v>163</v>
      </c>
      <c r="C66" s="19" t="s">
        <v>164</v>
      </c>
      <c r="D66" s="19" t="s">
        <v>178</v>
      </c>
      <c r="E66" s="19" t="s">
        <v>124</v>
      </c>
      <c r="F66" s="19" t="s">
        <v>125</v>
      </c>
      <c r="G66" s="19" t="s">
        <v>125</v>
      </c>
      <c r="H66" s="19" t="s">
        <v>126</v>
      </c>
      <c r="I66" s="19" t="b">
        <v>0</v>
      </c>
      <c r="J66" s="19">
        <v>110</v>
      </c>
      <c r="K66" s="19">
        <v>126.7</v>
      </c>
      <c r="L66" s="20">
        <v>5171539</v>
      </c>
      <c r="M66" s="20">
        <v>1000000056548613</v>
      </c>
      <c r="N66" s="19" t="s">
        <v>179</v>
      </c>
      <c r="O66" s="19"/>
    </row>
    <row r="67" spans="1:15" x14ac:dyDescent="0.25">
      <c r="A67" s="19"/>
      <c r="B67" s="19" t="s">
        <v>163</v>
      </c>
      <c r="C67" s="19" t="s">
        <v>164</v>
      </c>
      <c r="D67" s="19" t="s">
        <v>178</v>
      </c>
      <c r="E67" s="19" t="s">
        <v>124</v>
      </c>
      <c r="F67" s="19" t="s">
        <v>125</v>
      </c>
      <c r="G67" s="19" t="s">
        <v>125</v>
      </c>
      <c r="H67" s="19" t="s">
        <v>126</v>
      </c>
      <c r="I67" s="19" t="b">
        <v>0</v>
      </c>
      <c r="J67" s="19">
        <v>59</v>
      </c>
      <c r="K67" s="19">
        <v>126.69</v>
      </c>
      <c r="L67" s="20">
        <v>5171537</v>
      </c>
      <c r="M67" s="20">
        <v>1000000056548613</v>
      </c>
      <c r="N67" s="19" t="s">
        <v>179</v>
      </c>
      <c r="O67" s="19"/>
    </row>
    <row r="68" spans="1:15" x14ac:dyDescent="0.25">
      <c r="A68" s="19"/>
      <c r="B68" s="19" t="s">
        <v>163</v>
      </c>
      <c r="C68" s="19" t="s">
        <v>164</v>
      </c>
      <c r="D68" s="19" t="s">
        <v>178</v>
      </c>
      <c r="E68" s="19" t="s">
        <v>124</v>
      </c>
      <c r="F68" s="19" t="s">
        <v>125</v>
      </c>
      <c r="G68" s="19" t="s">
        <v>125</v>
      </c>
      <c r="H68" s="19" t="s">
        <v>126</v>
      </c>
      <c r="I68" s="19" t="b">
        <v>0</v>
      </c>
      <c r="J68" s="19">
        <v>7</v>
      </c>
      <c r="K68" s="19">
        <v>126.7</v>
      </c>
      <c r="L68" s="20">
        <v>5171541</v>
      </c>
      <c r="M68" s="20">
        <v>1000000056548613</v>
      </c>
      <c r="N68" s="19" t="s">
        <v>179</v>
      </c>
      <c r="O68" s="19"/>
    </row>
    <row r="69" spans="1:15" x14ac:dyDescent="0.25">
      <c r="A69" s="19"/>
      <c r="B69" s="19" t="s">
        <v>145</v>
      </c>
      <c r="C69" s="19" t="s">
        <v>146</v>
      </c>
      <c r="D69" s="19" t="s">
        <v>178</v>
      </c>
      <c r="E69" s="19" t="s">
        <v>100</v>
      </c>
      <c r="F69" s="19" t="s">
        <v>125</v>
      </c>
      <c r="G69" s="19" t="s">
        <v>180</v>
      </c>
      <c r="H69" s="19" t="s">
        <v>126</v>
      </c>
      <c r="I69" s="19" t="b">
        <v>0</v>
      </c>
      <c r="J69" s="19">
        <v>250</v>
      </c>
      <c r="K69" s="19">
        <v>207</v>
      </c>
      <c r="L69" s="20">
        <v>8112900</v>
      </c>
      <c r="M69" s="20">
        <v>1.7597414366261729E+18</v>
      </c>
      <c r="N69" s="19" t="s">
        <v>181</v>
      </c>
      <c r="O69" s="19"/>
    </row>
    <row r="70" spans="1:15" x14ac:dyDescent="0.25">
      <c r="A70" s="19"/>
      <c r="B70" s="19" t="s">
        <v>182</v>
      </c>
      <c r="C70" s="19" t="s">
        <v>183</v>
      </c>
      <c r="D70" s="19" t="s">
        <v>178</v>
      </c>
      <c r="E70" s="19" t="s">
        <v>124</v>
      </c>
      <c r="F70" s="19" t="s">
        <v>125</v>
      </c>
      <c r="G70" s="19" t="s">
        <v>125</v>
      </c>
      <c r="H70" s="19" t="s">
        <v>126</v>
      </c>
      <c r="I70" s="19" t="b">
        <v>0</v>
      </c>
      <c r="J70" s="19">
        <v>154</v>
      </c>
      <c r="K70" s="19">
        <v>531.35</v>
      </c>
      <c r="L70" s="20">
        <v>406721086</v>
      </c>
      <c r="M70" s="20">
        <v>1200000079369794</v>
      </c>
      <c r="N70" s="19" t="s">
        <v>184</v>
      </c>
      <c r="O70" s="19"/>
    </row>
    <row r="71" spans="1:15" x14ac:dyDescent="0.25">
      <c r="A71" s="19"/>
      <c r="B71" s="19" t="s">
        <v>182</v>
      </c>
      <c r="C71" s="19" t="s">
        <v>183</v>
      </c>
      <c r="D71" s="19" t="s">
        <v>178</v>
      </c>
      <c r="E71" s="19" t="s">
        <v>124</v>
      </c>
      <c r="F71" s="19" t="s">
        <v>125</v>
      </c>
      <c r="G71" s="19" t="s">
        <v>125</v>
      </c>
      <c r="H71" s="19" t="s">
        <v>126</v>
      </c>
      <c r="I71" s="19" t="b">
        <v>0</v>
      </c>
      <c r="J71" s="19">
        <v>23</v>
      </c>
      <c r="K71" s="19">
        <v>531.29999999999995</v>
      </c>
      <c r="L71" s="20">
        <v>406721085</v>
      </c>
      <c r="M71" s="20">
        <v>1200000079369794</v>
      </c>
      <c r="N71" s="19" t="s">
        <v>184</v>
      </c>
      <c r="O71" s="19"/>
    </row>
    <row r="72" spans="1:15" x14ac:dyDescent="0.25">
      <c r="A72" s="19"/>
      <c r="B72" s="19" t="s">
        <v>182</v>
      </c>
      <c r="C72" s="19" t="s">
        <v>183</v>
      </c>
      <c r="D72" s="19" t="s">
        <v>178</v>
      </c>
      <c r="E72" s="19" t="s">
        <v>124</v>
      </c>
      <c r="F72" s="19" t="s">
        <v>125</v>
      </c>
      <c r="G72" s="19" t="s">
        <v>125</v>
      </c>
      <c r="H72" s="19" t="s">
        <v>126</v>
      </c>
      <c r="I72" s="19" t="b">
        <v>0</v>
      </c>
      <c r="J72" s="19">
        <v>11</v>
      </c>
      <c r="K72" s="19">
        <v>531.35</v>
      </c>
      <c r="L72" s="20">
        <v>406721087</v>
      </c>
      <c r="M72" s="20">
        <v>1200000079369794</v>
      </c>
      <c r="N72" s="19" t="s">
        <v>184</v>
      </c>
      <c r="O72" s="19"/>
    </row>
    <row r="73" spans="1:15" x14ac:dyDescent="0.25">
      <c r="A73" s="19"/>
      <c r="B73" s="19" t="s">
        <v>185</v>
      </c>
      <c r="C73" s="19" t="s">
        <v>186</v>
      </c>
      <c r="D73" s="19" t="s">
        <v>178</v>
      </c>
      <c r="E73" s="19" t="s">
        <v>124</v>
      </c>
      <c r="F73" s="19" t="s">
        <v>125</v>
      </c>
      <c r="G73" s="19" t="s">
        <v>125</v>
      </c>
      <c r="H73" s="19" t="s">
        <v>126</v>
      </c>
      <c r="I73" s="19" t="b">
        <v>0</v>
      </c>
      <c r="J73" s="19">
        <v>5</v>
      </c>
      <c r="K73" s="19">
        <v>210.48</v>
      </c>
      <c r="L73" s="20">
        <v>406814089</v>
      </c>
      <c r="M73" s="20">
        <v>1200000080227979</v>
      </c>
      <c r="N73" s="19" t="s">
        <v>187</v>
      </c>
      <c r="O73" s="19"/>
    </row>
    <row r="74" spans="1:15" x14ac:dyDescent="0.25">
      <c r="A74" s="19"/>
      <c r="B74" s="19" t="s">
        <v>185</v>
      </c>
      <c r="C74" s="19" t="s">
        <v>186</v>
      </c>
      <c r="D74" s="19" t="s">
        <v>178</v>
      </c>
      <c r="E74" s="19" t="s">
        <v>124</v>
      </c>
      <c r="F74" s="19" t="s">
        <v>125</v>
      </c>
      <c r="G74" s="19" t="s">
        <v>125</v>
      </c>
      <c r="H74" s="19" t="s">
        <v>126</v>
      </c>
      <c r="I74" s="19" t="b">
        <v>0</v>
      </c>
      <c r="J74" s="19">
        <v>19</v>
      </c>
      <c r="K74" s="19">
        <v>210.48</v>
      </c>
      <c r="L74" s="20">
        <v>406814086</v>
      </c>
      <c r="M74" s="20">
        <v>1200000080227979</v>
      </c>
      <c r="N74" s="19" t="s">
        <v>187</v>
      </c>
      <c r="O74" s="19"/>
    </row>
    <row r="75" spans="1:15" x14ac:dyDescent="0.25">
      <c r="A75" s="19"/>
      <c r="B75" s="19" t="s">
        <v>185</v>
      </c>
      <c r="C75" s="19" t="s">
        <v>186</v>
      </c>
      <c r="D75" s="19" t="s">
        <v>178</v>
      </c>
      <c r="E75" s="19" t="s">
        <v>124</v>
      </c>
      <c r="F75" s="19" t="s">
        <v>125</v>
      </c>
      <c r="G75" s="19" t="s">
        <v>125</v>
      </c>
      <c r="H75" s="19" t="s">
        <v>126</v>
      </c>
      <c r="I75" s="19" t="b">
        <v>0</v>
      </c>
      <c r="J75" s="19">
        <v>2</v>
      </c>
      <c r="K75" s="19">
        <v>210.49</v>
      </c>
      <c r="L75" s="20">
        <v>406814099</v>
      </c>
      <c r="M75" s="20">
        <v>1200000080227979</v>
      </c>
      <c r="N75" s="19" t="s">
        <v>187</v>
      </c>
      <c r="O75" s="19"/>
    </row>
    <row r="76" spans="1:15" x14ac:dyDescent="0.25">
      <c r="A76" s="19"/>
      <c r="B76" s="19" t="s">
        <v>185</v>
      </c>
      <c r="C76" s="19" t="s">
        <v>186</v>
      </c>
      <c r="D76" s="19" t="s">
        <v>178</v>
      </c>
      <c r="E76" s="19" t="s">
        <v>124</v>
      </c>
      <c r="F76" s="19" t="s">
        <v>125</v>
      </c>
      <c r="G76" s="19" t="s">
        <v>125</v>
      </c>
      <c r="H76" s="19" t="s">
        <v>126</v>
      </c>
      <c r="I76" s="19" t="b">
        <v>0</v>
      </c>
      <c r="J76" s="19">
        <v>1</v>
      </c>
      <c r="K76" s="19">
        <v>210.48</v>
      </c>
      <c r="L76" s="20">
        <v>406814087</v>
      </c>
      <c r="M76" s="20">
        <v>1200000080227979</v>
      </c>
      <c r="N76" s="19" t="s">
        <v>187</v>
      </c>
      <c r="O76" s="19"/>
    </row>
    <row r="77" spans="1:15" x14ac:dyDescent="0.25">
      <c r="A77" s="19"/>
      <c r="B77" s="19" t="s">
        <v>185</v>
      </c>
      <c r="C77" s="19" t="s">
        <v>186</v>
      </c>
      <c r="D77" s="19" t="s">
        <v>178</v>
      </c>
      <c r="E77" s="19" t="s">
        <v>124</v>
      </c>
      <c r="F77" s="19" t="s">
        <v>125</v>
      </c>
      <c r="G77" s="19" t="s">
        <v>125</v>
      </c>
      <c r="H77" s="19" t="s">
        <v>126</v>
      </c>
      <c r="I77" s="19" t="b">
        <v>0</v>
      </c>
      <c r="J77" s="19">
        <v>17</v>
      </c>
      <c r="K77" s="19">
        <v>210.49</v>
      </c>
      <c r="L77" s="20">
        <v>406814090</v>
      </c>
      <c r="M77" s="20">
        <v>1200000080227979</v>
      </c>
      <c r="N77" s="19" t="s">
        <v>187</v>
      </c>
      <c r="O77" s="19"/>
    </row>
    <row r="78" spans="1:15" x14ac:dyDescent="0.25">
      <c r="A78" s="19"/>
      <c r="B78" s="19" t="s">
        <v>185</v>
      </c>
      <c r="C78" s="19" t="s">
        <v>186</v>
      </c>
      <c r="D78" s="19" t="s">
        <v>178</v>
      </c>
      <c r="E78" s="19" t="s">
        <v>124</v>
      </c>
      <c r="F78" s="19" t="s">
        <v>125</v>
      </c>
      <c r="G78" s="19" t="s">
        <v>125</v>
      </c>
      <c r="H78" s="19" t="s">
        <v>126</v>
      </c>
      <c r="I78" s="19" t="b">
        <v>0</v>
      </c>
      <c r="J78" s="19">
        <v>23</v>
      </c>
      <c r="K78" s="19">
        <v>210.5</v>
      </c>
      <c r="L78" s="20">
        <v>406814105</v>
      </c>
      <c r="M78" s="20">
        <v>1200000080227979</v>
      </c>
      <c r="N78" s="19" t="s">
        <v>187</v>
      </c>
      <c r="O78" s="19"/>
    </row>
    <row r="79" spans="1:15" x14ac:dyDescent="0.25">
      <c r="A79" s="19"/>
      <c r="B79" s="19" t="s">
        <v>185</v>
      </c>
      <c r="C79" s="19" t="s">
        <v>186</v>
      </c>
      <c r="D79" s="19" t="s">
        <v>178</v>
      </c>
      <c r="E79" s="19" t="s">
        <v>124</v>
      </c>
      <c r="F79" s="19" t="s">
        <v>125</v>
      </c>
      <c r="G79" s="19" t="s">
        <v>125</v>
      </c>
      <c r="H79" s="19" t="s">
        <v>126</v>
      </c>
      <c r="I79" s="19" t="b">
        <v>0</v>
      </c>
      <c r="J79" s="19">
        <v>1</v>
      </c>
      <c r="K79" s="19">
        <v>210.49</v>
      </c>
      <c r="L79" s="20">
        <v>406814092</v>
      </c>
      <c r="M79" s="20">
        <v>1200000080227979</v>
      </c>
      <c r="N79" s="19" t="s">
        <v>187</v>
      </c>
      <c r="O79" s="19"/>
    </row>
    <row r="80" spans="1:15" x14ac:dyDescent="0.25">
      <c r="A80" s="19"/>
      <c r="B80" s="19" t="s">
        <v>185</v>
      </c>
      <c r="C80" s="19" t="s">
        <v>186</v>
      </c>
      <c r="D80" s="19" t="s">
        <v>178</v>
      </c>
      <c r="E80" s="19" t="s">
        <v>124</v>
      </c>
      <c r="F80" s="19" t="s">
        <v>125</v>
      </c>
      <c r="G80" s="19" t="s">
        <v>125</v>
      </c>
      <c r="H80" s="19" t="s">
        <v>126</v>
      </c>
      <c r="I80" s="19" t="b">
        <v>0</v>
      </c>
      <c r="J80" s="19">
        <v>17</v>
      </c>
      <c r="K80" s="19">
        <v>210.48</v>
      </c>
      <c r="L80" s="20">
        <v>406814083</v>
      </c>
      <c r="M80" s="20">
        <v>1200000080227979</v>
      </c>
      <c r="N80" s="19" t="s">
        <v>187</v>
      </c>
      <c r="O80" s="19"/>
    </row>
    <row r="81" spans="1:15" x14ac:dyDescent="0.25">
      <c r="A81" s="19"/>
      <c r="B81" s="19" t="s">
        <v>185</v>
      </c>
      <c r="C81" s="19" t="s">
        <v>186</v>
      </c>
      <c r="D81" s="19" t="s">
        <v>178</v>
      </c>
      <c r="E81" s="19" t="s">
        <v>124</v>
      </c>
      <c r="F81" s="19" t="s">
        <v>125</v>
      </c>
      <c r="G81" s="19" t="s">
        <v>125</v>
      </c>
      <c r="H81" s="19" t="s">
        <v>126</v>
      </c>
      <c r="I81" s="19" t="b">
        <v>0</v>
      </c>
      <c r="J81" s="19">
        <v>8</v>
      </c>
      <c r="K81" s="19">
        <v>210.48</v>
      </c>
      <c r="L81" s="20">
        <v>406814085</v>
      </c>
      <c r="M81" s="20">
        <v>1200000080227979</v>
      </c>
      <c r="N81" s="19" t="s">
        <v>187</v>
      </c>
      <c r="O81" s="19"/>
    </row>
    <row r="82" spans="1:15" x14ac:dyDescent="0.25">
      <c r="A82" s="19"/>
      <c r="B82" s="19" t="s">
        <v>185</v>
      </c>
      <c r="C82" s="19" t="s">
        <v>186</v>
      </c>
      <c r="D82" s="19" t="s">
        <v>178</v>
      </c>
      <c r="E82" s="19" t="s">
        <v>124</v>
      </c>
      <c r="F82" s="19" t="s">
        <v>125</v>
      </c>
      <c r="G82" s="19" t="s">
        <v>125</v>
      </c>
      <c r="H82" s="19" t="s">
        <v>126</v>
      </c>
      <c r="I82" s="19" t="b">
        <v>0</v>
      </c>
      <c r="J82" s="19">
        <v>2</v>
      </c>
      <c r="K82" s="19">
        <v>210.5</v>
      </c>
      <c r="L82" s="20">
        <v>406814104</v>
      </c>
      <c r="M82" s="20">
        <v>1200000080227979</v>
      </c>
      <c r="N82" s="19" t="s">
        <v>187</v>
      </c>
      <c r="O82" s="19"/>
    </row>
    <row r="83" spans="1:15" x14ac:dyDescent="0.25">
      <c r="A83" s="19"/>
      <c r="B83" s="19" t="s">
        <v>185</v>
      </c>
      <c r="C83" s="19" t="s">
        <v>186</v>
      </c>
      <c r="D83" s="19" t="s">
        <v>178</v>
      </c>
      <c r="E83" s="19" t="s">
        <v>124</v>
      </c>
      <c r="F83" s="19" t="s">
        <v>125</v>
      </c>
      <c r="G83" s="19" t="s">
        <v>125</v>
      </c>
      <c r="H83" s="19" t="s">
        <v>126</v>
      </c>
      <c r="I83" s="19" t="b">
        <v>0</v>
      </c>
      <c r="J83" s="19">
        <v>2</v>
      </c>
      <c r="K83" s="19">
        <v>210.48</v>
      </c>
      <c r="L83" s="20">
        <v>406814088</v>
      </c>
      <c r="M83" s="20">
        <v>1200000080227979</v>
      </c>
      <c r="N83" s="19" t="s">
        <v>187</v>
      </c>
      <c r="O83" s="19"/>
    </row>
    <row r="84" spans="1:15" x14ac:dyDescent="0.25">
      <c r="A84" s="19"/>
      <c r="B84" s="19" t="s">
        <v>185</v>
      </c>
      <c r="C84" s="19" t="s">
        <v>186</v>
      </c>
      <c r="D84" s="19" t="s">
        <v>178</v>
      </c>
      <c r="E84" s="19" t="s">
        <v>124</v>
      </c>
      <c r="F84" s="19" t="s">
        <v>125</v>
      </c>
      <c r="G84" s="19" t="s">
        <v>125</v>
      </c>
      <c r="H84" s="19" t="s">
        <v>126</v>
      </c>
      <c r="I84" s="19" t="b">
        <v>0</v>
      </c>
      <c r="J84" s="19">
        <v>7</v>
      </c>
      <c r="K84" s="19">
        <v>210.49</v>
      </c>
      <c r="L84" s="20">
        <v>406814103</v>
      </c>
      <c r="M84" s="20">
        <v>1200000080227979</v>
      </c>
      <c r="N84" s="19" t="s">
        <v>187</v>
      </c>
      <c r="O84" s="19"/>
    </row>
    <row r="85" spans="1:15" x14ac:dyDescent="0.25">
      <c r="A85" s="19"/>
      <c r="B85" s="19" t="s">
        <v>94</v>
      </c>
      <c r="C85" s="19" t="s">
        <v>149</v>
      </c>
      <c r="D85" s="19" t="s">
        <v>178</v>
      </c>
      <c r="E85" s="19" t="s">
        <v>100</v>
      </c>
      <c r="F85" s="19" t="s">
        <v>125</v>
      </c>
      <c r="G85" s="19" t="s">
        <v>180</v>
      </c>
      <c r="H85" s="19" t="s">
        <v>126</v>
      </c>
      <c r="I85" s="19" t="b">
        <v>0</v>
      </c>
      <c r="J85" s="19">
        <v>163</v>
      </c>
      <c r="K85" s="19">
        <v>612.20000000000005</v>
      </c>
      <c r="L85" s="20">
        <v>7270300</v>
      </c>
      <c r="M85" s="20">
        <v>1.7597411099705011E+18</v>
      </c>
      <c r="N85" s="19" t="s">
        <v>188</v>
      </c>
      <c r="O85" s="19"/>
    </row>
    <row r="86" spans="1:15" x14ac:dyDescent="0.25">
      <c r="A86" s="19"/>
      <c r="B86" s="19" t="s">
        <v>42</v>
      </c>
      <c r="C86" s="19" t="s">
        <v>189</v>
      </c>
      <c r="D86" s="19" t="s">
        <v>178</v>
      </c>
      <c r="E86" s="19" t="s">
        <v>124</v>
      </c>
      <c r="F86" s="19" t="s">
        <v>125</v>
      </c>
      <c r="G86" s="19" t="s">
        <v>125</v>
      </c>
      <c r="H86" s="19" t="s">
        <v>126</v>
      </c>
      <c r="I86" s="19" t="b">
        <v>0</v>
      </c>
      <c r="J86" s="19">
        <v>87</v>
      </c>
      <c r="K86" s="19">
        <v>775.7</v>
      </c>
      <c r="L86" s="20">
        <v>208032320</v>
      </c>
      <c r="M86" s="20">
        <v>1100000078423165</v>
      </c>
      <c r="N86" s="19" t="s">
        <v>190</v>
      </c>
      <c r="O86" s="19"/>
    </row>
    <row r="87" spans="1:15" x14ac:dyDescent="0.25">
      <c r="A87" s="19"/>
      <c r="B87" s="19" t="s">
        <v>42</v>
      </c>
      <c r="C87" s="19" t="s">
        <v>189</v>
      </c>
      <c r="D87" s="19" t="s">
        <v>178</v>
      </c>
      <c r="E87" s="19" t="s">
        <v>124</v>
      </c>
      <c r="F87" s="19" t="s">
        <v>125</v>
      </c>
      <c r="G87" s="19" t="s">
        <v>125</v>
      </c>
      <c r="H87" s="19" t="s">
        <v>126</v>
      </c>
      <c r="I87" s="19" t="b">
        <v>0</v>
      </c>
      <c r="J87" s="19">
        <v>42</v>
      </c>
      <c r="K87" s="19">
        <v>775.7</v>
      </c>
      <c r="L87" s="20">
        <v>208032319</v>
      </c>
      <c r="M87" s="20">
        <v>1100000078423165</v>
      </c>
      <c r="N87" s="19" t="s">
        <v>190</v>
      </c>
      <c r="O87" s="19"/>
    </row>
    <row r="88" spans="1:15" x14ac:dyDescent="0.25">
      <c r="A88" s="19"/>
      <c r="B88" s="19" t="s">
        <v>169</v>
      </c>
      <c r="C88" s="19" t="s">
        <v>170</v>
      </c>
      <c r="D88" s="19" t="s">
        <v>191</v>
      </c>
      <c r="E88" s="19" t="s">
        <v>124</v>
      </c>
      <c r="F88" s="19" t="s">
        <v>125</v>
      </c>
      <c r="G88" s="19" t="s">
        <v>125</v>
      </c>
      <c r="H88" s="19" t="s">
        <v>174</v>
      </c>
      <c r="I88" s="19" t="b">
        <v>0</v>
      </c>
      <c r="J88" s="19">
        <v>8</v>
      </c>
      <c r="K88" s="19">
        <v>786.7</v>
      </c>
      <c r="L88" s="20">
        <v>605515333</v>
      </c>
      <c r="M88" s="20">
        <v>1300000051006281</v>
      </c>
      <c r="N88" s="19" t="s">
        <v>192</v>
      </c>
      <c r="O88" s="19"/>
    </row>
    <row r="89" spans="1:15" x14ac:dyDescent="0.25">
      <c r="A89" s="19"/>
      <c r="B89" s="19" t="s">
        <v>169</v>
      </c>
      <c r="C89" s="19" t="s">
        <v>170</v>
      </c>
      <c r="D89" s="19" t="s">
        <v>191</v>
      </c>
      <c r="E89" s="19" t="s">
        <v>124</v>
      </c>
      <c r="F89" s="19" t="s">
        <v>125</v>
      </c>
      <c r="G89" s="19" t="s">
        <v>125</v>
      </c>
      <c r="H89" s="19" t="s">
        <v>174</v>
      </c>
      <c r="I89" s="19" t="b">
        <v>0</v>
      </c>
      <c r="J89" s="19">
        <v>1</v>
      </c>
      <c r="K89" s="19">
        <v>786.85</v>
      </c>
      <c r="L89" s="20">
        <v>605515329</v>
      </c>
      <c r="M89" s="20">
        <v>1300000051006281</v>
      </c>
      <c r="N89" s="19" t="s">
        <v>192</v>
      </c>
      <c r="O89" s="19"/>
    </row>
    <row r="90" spans="1:15" x14ac:dyDescent="0.25">
      <c r="A90" s="19"/>
      <c r="B90" s="19" t="s">
        <v>169</v>
      </c>
      <c r="C90" s="19" t="s">
        <v>170</v>
      </c>
      <c r="D90" s="19" t="s">
        <v>191</v>
      </c>
      <c r="E90" s="19" t="s">
        <v>124</v>
      </c>
      <c r="F90" s="19" t="s">
        <v>125</v>
      </c>
      <c r="G90" s="19" t="s">
        <v>125</v>
      </c>
      <c r="H90" s="19" t="s">
        <v>174</v>
      </c>
      <c r="I90" s="19" t="b">
        <v>0</v>
      </c>
      <c r="J90" s="19">
        <v>9</v>
      </c>
      <c r="K90" s="19">
        <v>786.75</v>
      </c>
      <c r="L90" s="20">
        <v>605515330</v>
      </c>
      <c r="M90" s="20">
        <v>1300000051006281</v>
      </c>
      <c r="N90" s="19" t="s">
        <v>192</v>
      </c>
      <c r="O90" s="19"/>
    </row>
    <row r="91" spans="1:15" x14ac:dyDescent="0.25">
      <c r="A91" s="19"/>
      <c r="B91" s="19" t="s">
        <v>169</v>
      </c>
      <c r="C91" s="19" t="s">
        <v>170</v>
      </c>
      <c r="D91" s="19" t="s">
        <v>191</v>
      </c>
      <c r="E91" s="19" t="s">
        <v>124</v>
      </c>
      <c r="F91" s="19" t="s">
        <v>125</v>
      </c>
      <c r="G91" s="19" t="s">
        <v>125</v>
      </c>
      <c r="H91" s="19" t="s">
        <v>174</v>
      </c>
      <c r="I91" s="19" t="b">
        <v>0</v>
      </c>
      <c r="J91" s="19">
        <v>3</v>
      </c>
      <c r="K91" s="19">
        <v>786.7</v>
      </c>
      <c r="L91" s="20">
        <v>605515331</v>
      </c>
      <c r="M91" s="20">
        <v>1300000051006281</v>
      </c>
      <c r="N91" s="19" t="s">
        <v>192</v>
      </c>
      <c r="O91" s="19"/>
    </row>
    <row r="92" spans="1:15" x14ac:dyDescent="0.25">
      <c r="A92" s="19"/>
      <c r="B92" s="19" t="s">
        <v>169</v>
      </c>
      <c r="C92" s="19" t="s">
        <v>170</v>
      </c>
      <c r="D92" s="19" t="s">
        <v>191</v>
      </c>
      <c r="E92" s="19" t="s">
        <v>124</v>
      </c>
      <c r="F92" s="19" t="s">
        <v>125</v>
      </c>
      <c r="G92" s="19" t="s">
        <v>125</v>
      </c>
      <c r="H92" s="19" t="s">
        <v>174</v>
      </c>
      <c r="I92" s="19" t="b">
        <v>0</v>
      </c>
      <c r="J92" s="19">
        <v>16</v>
      </c>
      <c r="K92" s="19">
        <v>786.9</v>
      </c>
      <c r="L92" s="20">
        <v>605515328</v>
      </c>
      <c r="M92" s="20">
        <v>1300000051006281</v>
      </c>
      <c r="N92" s="19" t="s">
        <v>192</v>
      </c>
      <c r="O92" s="19"/>
    </row>
    <row r="93" spans="1:15" x14ac:dyDescent="0.25">
      <c r="A93" s="19"/>
      <c r="B93" s="19" t="s">
        <v>169</v>
      </c>
      <c r="C93" s="19" t="s">
        <v>170</v>
      </c>
      <c r="D93" s="19" t="s">
        <v>191</v>
      </c>
      <c r="E93" s="19" t="s">
        <v>124</v>
      </c>
      <c r="F93" s="19" t="s">
        <v>125</v>
      </c>
      <c r="G93" s="19" t="s">
        <v>125</v>
      </c>
      <c r="H93" s="19" t="s">
        <v>174</v>
      </c>
      <c r="I93" s="19" t="b">
        <v>0</v>
      </c>
      <c r="J93" s="19">
        <v>1</v>
      </c>
      <c r="K93" s="19">
        <v>786.95</v>
      </c>
      <c r="L93" s="20">
        <v>605515326</v>
      </c>
      <c r="M93" s="20">
        <v>1300000051006281</v>
      </c>
      <c r="N93" s="19" t="s">
        <v>192</v>
      </c>
      <c r="O93" s="19"/>
    </row>
    <row r="94" spans="1:15" x14ac:dyDescent="0.25">
      <c r="A94" s="19"/>
      <c r="B94" s="19" t="s">
        <v>169</v>
      </c>
      <c r="C94" s="19" t="s">
        <v>170</v>
      </c>
      <c r="D94" s="19" t="s">
        <v>191</v>
      </c>
      <c r="E94" s="19" t="s">
        <v>124</v>
      </c>
      <c r="F94" s="19" t="s">
        <v>125</v>
      </c>
      <c r="G94" s="19" t="s">
        <v>125</v>
      </c>
      <c r="H94" s="19" t="s">
        <v>174</v>
      </c>
      <c r="I94" s="19" t="b">
        <v>0</v>
      </c>
      <c r="J94" s="19">
        <v>15</v>
      </c>
      <c r="K94" s="19">
        <v>786.95</v>
      </c>
      <c r="L94" s="20">
        <v>605515327</v>
      </c>
      <c r="M94" s="20">
        <v>1300000051006281</v>
      </c>
      <c r="N94" s="19" t="s">
        <v>192</v>
      </c>
      <c r="O94" s="19"/>
    </row>
    <row r="95" spans="1:15" x14ac:dyDescent="0.25">
      <c r="A95" s="19"/>
      <c r="B95" s="19" t="s">
        <v>169</v>
      </c>
      <c r="C95" s="19" t="s">
        <v>170</v>
      </c>
      <c r="D95" s="19" t="s">
        <v>191</v>
      </c>
      <c r="E95" s="19" t="s">
        <v>124</v>
      </c>
      <c r="F95" s="19" t="s">
        <v>125</v>
      </c>
      <c r="G95" s="19" t="s">
        <v>125</v>
      </c>
      <c r="H95" s="19" t="s">
        <v>174</v>
      </c>
      <c r="I95" s="19" t="b">
        <v>0</v>
      </c>
      <c r="J95" s="19">
        <v>1</v>
      </c>
      <c r="K95" s="19">
        <v>786.7</v>
      </c>
      <c r="L95" s="20">
        <v>605515332</v>
      </c>
      <c r="M95" s="20">
        <v>1300000051006281</v>
      </c>
      <c r="N95" s="19" t="s">
        <v>192</v>
      </c>
      <c r="O95" s="19"/>
    </row>
    <row r="96" spans="1:15" x14ac:dyDescent="0.25">
      <c r="A96" s="19"/>
      <c r="B96" s="19" t="s">
        <v>169</v>
      </c>
      <c r="C96" s="19" t="s">
        <v>170</v>
      </c>
      <c r="D96" s="19" t="s">
        <v>191</v>
      </c>
      <c r="E96" s="19" t="s">
        <v>124</v>
      </c>
      <c r="F96" s="19" t="s">
        <v>125</v>
      </c>
      <c r="G96" s="19" t="s">
        <v>125</v>
      </c>
      <c r="H96" s="19" t="s">
        <v>174</v>
      </c>
      <c r="I96" s="19" t="b">
        <v>0</v>
      </c>
      <c r="J96" s="19">
        <v>3</v>
      </c>
      <c r="K96" s="19">
        <v>787</v>
      </c>
      <c r="L96" s="20">
        <v>605515325</v>
      </c>
      <c r="M96" s="20">
        <v>1300000051006281</v>
      </c>
      <c r="N96" s="19" t="s">
        <v>192</v>
      </c>
      <c r="O96" s="19"/>
    </row>
    <row r="97" spans="1:15" x14ac:dyDescent="0.25">
      <c r="A97" s="19"/>
      <c r="B97" s="19" t="s">
        <v>41</v>
      </c>
      <c r="C97" s="19" t="s">
        <v>122</v>
      </c>
      <c r="D97" s="19" t="s">
        <v>193</v>
      </c>
      <c r="E97" s="19" t="s">
        <v>124</v>
      </c>
      <c r="F97" s="19" t="s">
        <v>125</v>
      </c>
      <c r="G97" s="19" t="s">
        <v>125</v>
      </c>
      <c r="H97" s="19" t="s">
        <v>126</v>
      </c>
      <c r="I97" s="19" t="b">
        <v>0</v>
      </c>
      <c r="J97" s="19">
        <v>13</v>
      </c>
      <c r="K97" s="19">
        <v>7609</v>
      </c>
      <c r="L97" s="20">
        <v>402573640</v>
      </c>
      <c r="M97" s="20">
        <v>1200000029961011</v>
      </c>
      <c r="N97" s="19" t="s">
        <v>194</v>
      </c>
      <c r="O97" s="19"/>
    </row>
    <row r="98" spans="1:15" x14ac:dyDescent="0.25">
      <c r="A98" s="19"/>
      <c r="B98" s="19" t="s">
        <v>163</v>
      </c>
      <c r="C98" s="19" t="s">
        <v>164</v>
      </c>
      <c r="D98" s="19" t="s">
        <v>195</v>
      </c>
      <c r="E98" s="19" t="s">
        <v>124</v>
      </c>
      <c r="F98" s="19" t="s">
        <v>125</v>
      </c>
      <c r="G98" s="19" t="s">
        <v>125</v>
      </c>
      <c r="H98" s="19" t="s">
        <v>126</v>
      </c>
      <c r="I98" s="19" t="b">
        <v>0</v>
      </c>
      <c r="J98" s="19">
        <v>356</v>
      </c>
      <c r="K98" s="19">
        <v>127.49</v>
      </c>
      <c r="L98" s="20">
        <v>4798495</v>
      </c>
      <c r="M98" s="20">
        <v>1000000054465625</v>
      </c>
      <c r="N98" s="19" t="s">
        <v>196</v>
      </c>
      <c r="O98" s="19"/>
    </row>
    <row r="99" spans="1:15" x14ac:dyDescent="0.25">
      <c r="A99" s="19"/>
      <c r="B99" s="19" t="s">
        <v>163</v>
      </c>
      <c r="C99" s="19" t="s">
        <v>164</v>
      </c>
      <c r="D99" s="19" t="s">
        <v>195</v>
      </c>
      <c r="E99" s="19" t="s">
        <v>124</v>
      </c>
      <c r="F99" s="19" t="s">
        <v>125</v>
      </c>
      <c r="G99" s="19" t="s">
        <v>125</v>
      </c>
      <c r="H99" s="19" t="s">
        <v>126</v>
      </c>
      <c r="I99" s="19" t="b">
        <v>0</v>
      </c>
      <c r="J99" s="19">
        <v>428</v>
      </c>
      <c r="K99" s="19">
        <v>127.5</v>
      </c>
      <c r="L99" s="20">
        <v>4798496</v>
      </c>
      <c r="M99" s="20">
        <v>1000000054465625</v>
      </c>
      <c r="N99" s="19" t="s">
        <v>196</v>
      </c>
      <c r="O99" s="19"/>
    </row>
    <row r="100" spans="1:15" x14ac:dyDescent="0.25">
      <c r="A100" s="19"/>
      <c r="B100" s="19" t="s">
        <v>145</v>
      </c>
      <c r="C100" s="19" t="s">
        <v>146</v>
      </c>
      <c r="D100" s="19" t="s">
        <v>195</v>
      </c>
      <c r="E100" s="19" t="s">
        <v>124</v>
      </c>
      <c r="F100" s="19" t="s">
        <v>125</v>
      </c>
      <c r="G100" s="19" t="s">
        <v>125</v>
      </c>
      <c r="H100" s="19" t="s">
        <v>126</v>
      </c>
      <c r="I100" s="19" t="b">
        <v>0</v>
      </c>
      <c r="J100" s="19">
        <v>28</v>
      </c>
      <c r="K100" s="19">
        <v>190.93</v>
      </c>
      <c r="L100" s="20">
        <v>5398744</v>
      </c>
      <c r="M100" s="20">
        <v>1000000058915517</v>
      </c>
      <c r="N100" s="19" t="s">
        <v>197</v>
      </c>
      <c r="O100" s="19"/>
    </row>
    <row r="101" spans="1:15" x14ac:dyDescent="0.25">
      <c r="A101" s="19"/>
      <c r="B101" s="19" t="s">
        <v>145</v>
      </c>
      <c r="C101" s="19" t="s">
        <v>146</v>
      </c>
      <c r="D101" s="19" t="s">
        <v>195</v>
      </c>
      <c r="E101" s="19" t="s">
        <v>124</v>
      </c>
      <c r="F101" s="19" t="s">
        <v>125</v>
      </c>
      <c r="G101" s="19" t="s">
        <v>125</v>
      </c>
      <c r="H101" s="19" t="s">
        <v>126</v>
      </c>
      <c r="I101" s="19" t="b">
        <v>0</v>
      </c>
      <c r="J101" s="19">
        <v>122</v>
      </c>
      <c r="K101" s="19">
        <v>190.9</v>
      </c>
      <c r="L101" s="20">
        <v>5398743</v>
      </c>
      <c r="M101" s="20">
        <v>1000000058915517</v>
      </c>
      <c r="N101" s="19" t="s">
        <v>197</v>
      </c>
      <c r="O101" s="19"/>
    </row>
    <row r="102" spans="1:15" x14ac:dyDescent="0.25">
      <c r="A102" s="19"/>
      <c r="B102" s="19" t="s">
        <v>198</v>
      </c>
      <c r="C102" s="19" t="s">
        <v>199</v>
      </c>
      <c r="D102" s="19" t="s">
        <v>200</v>
      </c>
      <c r="E102" s="19" t="s">
        <v>124</v>
      </c>
      <c r="F102" s="19" t="s">
        <v>125</v>
      </c>
      <c r="G102" s="19" t="s">
        <v>125</v>
      </c>
      <c r="H102" s="19" t="s">
        <v>126</v>
      </c>
      <c r="I102" s="19" t="b">
        <v>0</v>
      </c>
      <c r="J102" s="19">
        <v>7</v>
      </c>
      <c r="K102" s="19">
        <v>1064.5999999999999</v>
      </c>
      <c r="L102" s="20">
        <v>5528442</v>
      </c>
      <c r="M102" s="20">
        <v>1000000054803594</v>
      </c>
      <c r="N102" s="19" t="s">
        <v>201</v>
      </c>
      <c r="O102" s="19"/>
    </row>
    <row r="103" spans="1:15" x14ac:dyDescent="0.25">
      <c r="A103" s="19"/>
      <c r="B103" s="19" t="s">
        <v>198</v>
      </c>
      <c r="C103" s="19" t="s">
        <v>199</v>
      </c>
      <c r="D103" s="19" t="s">
        <v>200</v>
      </c>
      <c r="E103" s="19" t="s">
        <v>124</v>
      </c>
      <c r="F103" s="19" t="s">
        <v>125</v>
      </c>
      <c r="G103" s="19" t="s">
        <v>125</v>
      </c>
      <c r="H103" s="19" t="s">
        <v>126</v>
      </c>
      <c r="I103" s="19" t="b">
        <v>0</v>
      </c>
      <c r="J103" s="19">
        <v>41</v>
      </c>
      <c r="K103" s="19">
        <v>1064.5999999999999</v>
      </c>
      <c r="L103" s="20">
        <v>5528440</v>
      </c>
      <c r="M103" s="20">
        <v>1000000054803594</v>
      </c>
      <c r="N103" s="19" t="s">
        <v>201</v>
      </c>
      <c r="O103" s="19"/>
    </row>
    <row r="104" spans="1:15" x14ac:dyDescent="0.25">
      <c r="A104" s="19"/>
      <c r="B104" s="19" t="s">
        <v>198</v>
      </c>
      <c r="C104" s="19" t="s">
        <v>199</v>
      </c>
      <c r="D104" s="19" t="s">
        <v>200</v>
      </c>
      <c r="E104" s="19" t="s">
        <v>124</v>
      </c>
      <c r="F104" s="19" t="s">
        <v>125</v>
      </c>
      <c r="G104" s="19" t="s">
        <v>125</v>
      </c>
      <c r="H104" s="19" t="s">
        <v>126</v>
      </c>
      <c r="I104" s="19" t="b">
        <v>0</v>
      </c>
      <c r="J104" s="19">
        <v>16</v>
      </c>
      <c r="K104" s="19">
        <v>1064.5999999999999</v>
      </c>
      <c r="L104" s="20">
        <v>5528441</v>
      </c>
      <c r="M104" s="20">
        <v>1000000054803594</v>
      </c>
      <c r="N104" s="19" t="s">
        <v>201</v>
      </c>
      <c r="O104" s="19"/>
    </row>
    <row r="105" spans="1:15" x14ac:dyDescent="0.25">
      <c r="A105" s="19"/>
      <c r="B105" s="19" t="s">
        <v>198</v>
      </c>
      <c r="C105" s="19" t="s">
        <v>199</v>
      </c>
      <c r="D105" s="19" t="s">
        <v>200</v>
      </c>
      <c r="E105" s="19" t="s">
        <v>124</v>
      </c>
      <c r="F105" s="19" t="s">
        <v>125</v>
      </c>
      <c r="G105" s="19" t="s">
        <v>125</v>
      </c>
      <c r="H105" s="19" t="s">
        <v>126</v>
      </c>
      <c r="I105" s="19" t="b">
        <v>0</v>
      </c>
      <c r="J105" s="19">
        <v>30</v>
      </c>
      <c r="K105" s="19">
        <v>1064.5999999999999</v>
      </c>
      <c r="L105" s="20">
        <v>5528443</v>
      </c>
      <c r="M105" s="20">
        <v>1000000054803594</v>
      </c>
      <c r="N105" s="19" t="s">
        <v>201</v>
      </c>
      <c r="O105" s="19"/>
    </row>
    <row r="106" spans="1:15" x14ac:dyDescent="0.25">
      <c r="A106" s="19"/>
      <c r="B106" s="19" t="s">
        <v>131</v>
      </c>
      <c r="C106" s="19" t="s">
        <v>132</v>
      </c>
      <c r="D106" s="19" t="s">
        <v>200</v>
      </c>
      <c r="E106" s="19" t="s">
        <v>124</v>
      </c>
      <c r="F106" s="19" t="s">
        <v>125</v>
      </c>
      <c r="G106" s="19" t="s">
        <v>125</v>
      </c>
      <c r="H106" s="19" t="s">
        <v>126</v>
      </c>
      <c r="I106" s="19" t="b">
        <v>0</v>
      </c>
      <c r="J106" s="19">
        <v>110</v>
      </c>
      <c r="K106" s="19">
        <v>914.55</v>
      </c>
      <c r="L106" s="20">
        <v>206824794</v>
      </c>
      <c r="M106" s="20">
        <v>1100000060857644</v>
      </c>
      <c r="N106" s="19" t="s">
        <v>202</v>
      </c>
      <c r="O106" s="19"/>
    </row>
    <row r="107" spans="1:15" x14ac:dyDescent="0.25">
      <c r="A107" s="19"/>
      <c r="B107" s="19" t="s">
        <v>97</v>
      </c>
      <c r="C107" s="19" t="s">
        <v>156</v>
      </c>
      <c r="D107" s="19" t="s">
        <v>203</v>
      </c>
      <c r="E107" s="19" t="s">
        <v>124</v>
      </c>
      <c r="F107" s="19" t="s">
        <v>125</v>
      </c>
      <c r="G107" s="19" t="s">
        <v>125</v>
      </c>
      <c r="H107" s="19" t="s">
        <v>174</v>
      </c>
      <c r="I107" s="19" t="b">
        <v>0</v>
      </c>
      <c r="J107" s="19">
        <v>24</v>
      </c>
      <c r="K107" s="19">
        <v>757.6</v>
      </c>
      <c r="L107" s="20">
        <v>5988450</v>
      </c>
      <c r="M107" s="20">
        <v>1000000067422485</v>
      </c>
      <c r="N107" s="19" t="s">
        <v>204</v>
      </c>
      <c r="O107" s="19"/>
    </row>
    <row r="108" spans="1:15" x14ac:dyDescent="0.25">
      <c r="A108" s="19"/>
      <c r="B108" s="19" t="s">
        <v>97</v>
      </c>
      <c r="C108" s="19" t="s">
        <v>156</v>
      </c>
      <c r="D108" s="19" t="s">
        <v>203</v>
      </c>
      <c r="E108" s="19" t="s">
        <v>124</v>
      </c>
      <c r="F108" s="19" t="s">
        <v>125</v>
      </c>
      <c r="G108" s="19" t="s">
        <v>125</v>
      </c>
      <c r="H108" s="19" t="s">
        <v>174</v>
      </c>
      <c r="I108" s="19" t="b">
        <v>0</v>
      </c>
      <c r="J108" s="19">
        <v>9</v>
      </c>
      <c r="K108" s="19">
        <v>757.6</v>
      </c>
      <c r="L108" s="20">
        <v>5988451</v>
      </c>
      <c r="M108" s="20">
        <v>1000000067422485</v>
      </c>
      <c r="N108" s="19" t="s">
        <v>204</v>
      </c>
      <c r="O108" s="19"/>
    </row>
    <row r="109" spans="1:15" x14ac:dyDescent="0.25">
      <c r="A109" s="19"/>
      <c r="B109" s="19" t="s">
        <v>159</v>
      </c>
      <c r="C109" s="19" t="s">
        <v>160</v>
      </c>
      <c r="D109" s="19" t="s">
        <v>203</v>
      </c>
      <c r="E109" s="19" t="s">
        <v>100</v>
      </c>
      <c r="F109" s="19" t="s">
        <v>125</v>
      </c>
      <c r="G109" s="19" t="s">
        <v>180</v>
      </c>
      <c r="H109" s="19" t="s">
        <v>174</v>
      </c>
      <c r="I109" s="19" t="b">
        <v>0</v>
      </c>
      <c r="J109" s="19">
        <v>5</v>
      </c>
      <c r="K109" s="19">
        <v>647.15</v>
      </c>
      <c r="L109" s="20">
        <v>7351500</v>
      </c>
      <c r="M109" s="20">
        <v>1.760690323268599E+18</v>
      </c>
      <c r="N109" s="19" t="s">
        <v>205</v>
      </c>
      <c r="O109" s="19"/>
    </row>
    <row r="110" spans="1:15" x14ac:dyDescent="0.25">
      <c r="A110" s="19"/>
      <c r="B110" s="19" t="s">
        <v>159</v>
      </c>
      <c r="C110" s="19" t="s">
        <v>160</v>
      </c>
      <c r="D110" s="19" t="s">
        <v>203</v>
      </c>
      <c r="E110" s="19" t="s">
        <v>100</v>
      </c>
      <c r="F110" s="19" t="s">
        <v>125</v>
      </c>
      <c r="G110" s="19" t="s">
        <v>180</v>
      </c>
      <c r="H110" s="19" t="s">
        <v>174</v>
      </c>
      <c r="I110" s="19" t="b">
        <v>0</v>
      </c>
      <c r="J110" s="19">
        <v>30</v>
      </c>
      <c r="K110" s="19">
        <v>647.20000000000005</v>
      </c>
      <c r="L110" s="20">
        <v>7351300</v>
      </c>
      <c r="M110" s="20">
        <v>1.760690323268599E+18</v>
      </c>
      <c r="N110" s="19" t="s">
        <v>205</v>
      </c>
      <c r="O110" s="19"/>
    </row>
    <row r="111" spans="1:15" x14ac:dyDescent="0.25">
      <c r="A111" s="19"/>
      <c r="B111" s="19" t="s">
        <v>145</v>
      </c>
      <c r="C111" s="19" t="s">
        <v>146</v>
      </c>
      <c r="D111" s="19" t="s">
        <v>206</v>
      </c>
      <c r="E111" s="19" t="s">
        <v>124</v>
      </c>
      <c r="F111" s="19" t="s">
        <v>125</v>
      </c>
      <c r="G111" s="19" t="s">
        <v>125</v>
      </c>
      <c r="H111" s="19" t="s">
        <v>174</v>
      </c>
      <c r="I111" s="19" t="b">
        <v>0</v>
      </c>
      <c r="J111" s="19">
        <v>100</v>
      </c>
      <c r="K111" s="19">
        <v>179.34</v>
      </c>
      <c r="L111" s="20">
        <v>29470</v>
      </c>
      <c r="M111" s="20">
        <v>1000000000031386</v>
      </c>
      <c r="N111" s="19" t="s">
        <v>207</v>
      </c>
      <c r="O111" s="19"/>
    </row>
    <row r="112" spans="1:15" x14ac:dyDescent="0.25">
      <c r="A112" s="19"/>
      <c r="B112" s="19" t="s">
        <v>145</v>
      </c>
      <c r="C112" s="19" t="s">
        <v>146</v>
      </c>
      <c r="D112" s="19" t="s">
        <v>206</v>
      </c>
      <c r="E112" s="19" t="s">
        <v>124</v>
      </c>
      <c r="F112" s="19" t="s">
        <v>125</v>
      </c>
      <c r="G112" s="19" t="s">
        <v>125</v>
      </c>
      <c r="H112" s="19" t="s">
        <v>174</v>
      </c>
      <c r="I112" s="19" t="b">
        <v>0</v>
      </c>
      <c r="J112" s="19">
        <v>556</v>
      </c>
      <c r="K112" s="19">
        <v>179.34</v>
      </c>
      <c r="L112" s="20">
        <v>29471</v>
      </c>
      <c r="M112" s="20">
        <v>1000000000031386</v>
      </c>
      <c r="N112" s="19" t="s">
        <v>207</v>
      </c>
      <c r="O112" s="19"/>
    </row>
    <row r="113" spans="1:15" x14ac:dyDescent="0.25">
      <c r="A113" s="19"/>
      <c r="B113" s="19" t="s">
        <v>145</v>
      </c>
      <c r="C113" s="19" t="s">
        <v>146</v>
      </c>
      <c r="D113" s="19" t="s">
        <v>206</v>
      </c>
      <c r="E113" s="19" t="s">
        <v>124</v>
      </c>
      <c r="F113" s="19" t="s">
        <v>125</v>
      </c>
      <c r="G113" s="19" t="s">
        <v>125</v>
      </c>
      <c r="H113" s="19" t="s">
        <v>174</v>
      </c>
      <c r="I113" s="19" t="b">
        <v>0</v>
      </c>
      <c r="J113" s="19">
        <v>15</v>
      </c>
      <c r="K113" s="19">
        <v>179.34</v>
      </c>
      <c r="L113" s="20">
        <v>29469</v>
      </c>
      <c r="M113" s="20">
        <v>1000000000031386</v>
      </c>
      <c r="N113" s="19" t="s">
        <v>207</v>
      </c>
      <c r="O113" s="19"/>
    </row>
    <row r="114" spans="1:15" x14ac:dyDescent="0.25">
      <c r="A114" s="19"/>
      <c r="B114" s="19" t="s">
        <v>208</v>
      </c>
      <c r="C114" s="19" t="s">
        <v>209</v>
      </c>
      <c r="D114" s="19" t="s">
        <v>210</v>
      </c>
      <c r="E114" s="19" t="s">
        <v>124</v>
      </c>
      <c r="F114" s="19" t="s">
        <v>125</v>
      </c>
      <c r="G114" s="19" t="s">
        <v>125</v>
      </c>
      <c r="H114" s="19" t="s">
        <v>126</v>
      </c>
      <c r="I114" s="19" t="b">
        <v>0</v>
      </c>
      <c r="J114" s="19">
        <v>75</v>
      </c>
      <c r="K114" s="19">
        <v>339.2</v>
      </c>
      <c r="L114" s="20">
        <v>201509326</v>
      </c>
      <c r="M114" s="20">
        <v>1100000006516881</v>
      </c>
      <c r="N114" s="19" t="s">
        <v>211</v>
      </c>
      <c r="O114" s="19"/>
    </row>
    <row r="115" spans="1:15" x14ac:dyDescent="0.25">
      <c r="A115" s="19"/>
      <c r="B115" s="19" t="s">
        <v>163</v>
      </c>
      <c r="C115" s="19" t="s">
        <v>164</v>
      </c>
      <c r="D115" s="19" t="s">
        <v>210</v>
      </c>
      <c r="E115" s="19" t="s">
        <v>100</v>
      </c>
      <c r="F115" s="19" t="s">
        <v>125</v>
      </c>
      <c r="G115" s="19" t="s">
        <v>180</v>
      </c>
      <c r="H115" s="19" t="s">
        <v>174</v>
      </c>
      <c r="I115" s="19" t="b">
        <v>0</v>
      </c>
      <c r="J115" s="19">
        <v>1754</v>
      </c>
      <c r="K115" s="19">
        <v>126.6</v>
      </c>
      <c r="L115" s="20">
        <v>3510100</v>
      </c>
      <c r="M115" s="20">
        <v>1.7610376559070579E+18</v>
      </c>
      <c r="N115" s="19" t="s">
        <v>212</v>
      </c>
      <c r="O115" s="19"/>
    </row>
    <row r="116" spans="1:15" x14ac:dyDescent="0.25">
      <c r="A116" s="19"/>
      <c r="B116" s="19" t="s">
        <v>94</v>
      </c>
      <c r="C116" s="19" t="s">
        <v>149</v>
      </c>
      <c r="D116" s="19" t="s">
        <v>213</v>
      </c>
      <c r="E116" s="19" t="s">
        <v>124</v>
      </c>
      <c r="F116" s="19" t="s">
        <v>125</v>
      </c>
      <c r="G116" s="19" t="s">
        <v>125</v>
      </c>
      <c r="H116" s="19" t="s">
        <v>174</v>
      </c>
      <c r="I116" s="19" t="b">
        <v>0</v>
      </c>
      <c r="J116" s="19">
        <v>43</v>
      </c>
      <c r="K116" s="19">
        <v>589.95000000000005</v>
      </c>
      <c r="L116" s="20">
        <v>205345110</v>
      </c>
      <c r="M116" s="20">
        <v>1100000056341252</v>
      </c>
      <c r="N116" s="19" t="s">
        <v>214</v>
      </c>
      <c r="O116" s="19"/>
    </row>
    <row r="117" spans="1:15" x14ac:dyDescent="0.25">
      <c r="A117" s="19"/>
      <c r="B117" s="19" t="s">
        <v>94</v>
      </c>
      <c r="C117" s="19" t="s">
        <v>149</v>
      </c>
      <c r="D117" s="19" t="s">
        <v>213</v>
      </c>
      <c r="E117" s="19" t="s">
        <v>124</v>
      </c>
      <c r="F117" s="19" t="s">
        <v>125</v>
      </c>
      <c r="G117" s="19" t="s">
        <v>125</v>
      </c>
      <c r="H117" s="19" t="s">
        <v>174</v>
      </c>
      <c r="I117" s="19" t="b">
        <v>0</v>
      </c>
      <c r="J117" s="19">
        <v>85</v>
      </c>
      <c r="K117" s="19">
        <v>589.9</v>
      </c>
      <c r="L117" s="20">
        <v>205345111</v>
      </c>
      <c r="M117" s="20">
        <v>1100000056341252</v>
      </c>
      <c r="N117" s="19" t="s">
        <v>214</v>
      </c>
      <c r="O117" s="19"/>
    </row>
    <row r="118" spans="1:15" x14ac:dyDescent="0.25">
      <c r="A118" s="19"/>
      <c r="B118" s="19" t="s">
        <v>94</v>
      </c>
      <c r="C118" s="19" t="s">
        <v>149</v>
      </c>
      <c r="D118" s="19" t="s">
        <v>213</v>
      </c>
      <c r="E118" s="19" t="s">
        <v>124</v>
      </c>
      <c r="F118" s="19" t="s">
        <v>125</v>
      </c>
      <c r="G118" s="19" t="s">
        <v>125</v>
      </c>
      <c r="H118" s="19" t="s">
        <v>174</v>
      </c>
      <c r="I118" s="19" t="b">
        <v>0</v>
      </c>
      <c r="J118" s="19">
        <v>1</v>
      </c>
      <c r="K118" s="19">
        <v>589.95000000000005</v>
      </c>
      <c r="L118" s="20">
        <v>205345108</v>
      </c>
      <c r="M118" s="20">
        <v>1100000056341252</v>
      </c>
      <c r="N118" s="19" t="s">
        <v>214</v>
      </c>
      <c r="O118" s="19"/>
    </row>
    <row r="119" spans="1:15" x14ac:dyDescent="0.25">
      <c r="A119" s="19"/>
      <c r="B119" s="19" t="s">
        <v>94</v>
      </c>
      <c r="C119" s="19" t="s">
        <v>149</v>
      </c>
      <c r="D119" s="19" t="s">
        <v>213</v>
      </c>
      <c r="E119" s="19" t="s">
        <v>124</v>
      </c>
      <c r="F119" s="19" t="s">
        <v>125</v>
      </c>
      <c r="G119" s="19" t="s">
        <v>125</v>
      </c>
      <c r="H119" s="19" t="s">
        <v>174</v>
      </c>
      <c r="I119" s="19" t="b">
        <v>0</v>
      </c>
      <c r="J119" s="19">
        <v>16</v>
      </c>
      <c r="K119" s="19">
        <v>589.9</v>
      </c>
      <c r="L119" s="20">
        <v>205345113</v>
      </c>
      <c r="M119" s="20">
        <v>1100000056341252</v>
      </c>
      <c r="N119" s="19" t="s">
        <v>214</v>
      </c>
      <c r="O119" s="19"/>
    </row>
    <row r="120" spans="1:15" x14ac:dyDescent="0.25">
      <c r="A120" s="19"/>
      <c r="B120" s="19" t="s">
        <v>94</v>
      </c>
      <c r="C120" s="19" t="s">
        <v>149</v>
      </c>
      <c r="D120" s="19" t="s">
        <v>213</v>
      </c>
      <c r="E120" s="19" t="s">
        <v>124</v>
      </c>
      <c r="F120" s="19" t="s">
        <v>125</v>
      </c>
      <c r="G120" s="19" t="s">
        <v>125</v>
      </c>
      <c r="H120" s="19" t="s">
        <v>174</v>
      </c>
      <c r="I120" s="19" t="b">
        <v>0</v>
      </c>
      <c r="J120" s="19">
        <v>25</v>
      </c>
      <c r="K120" s="19">
        <v>590.20000000000005</v>
      </c>
      <c r="L120" s="20">
        <v>205345107</v>
      </c>
      <c r="M120" s="20">
        <v>1100000056341252</v>
      </c>
      <c r="N120" s="19" t="s">
        <v>214</v>
      </c>
      <c r="O120" s="19"/>
    </row>
    <row r="121" spans="1:15" x14ac:dyDescent="0.25">
      <c r="A121" s="19"/>
      <c r="B121" s="19" t="s">
        <v>94</v>
      </c>
      <c r="C121" s="19" t="s">
        <v>149</v>
      </c>
      <c r="D121" s="19" t="s">
        <v>213</v>
      </c>
      <c r="E121" s="19" t="s">
        <v>124</v>
      </c>
      <c r="F121" s="19" t="s">
        <v>125</v>
      </c>
      <c r="G121" s="19" t="s">
        <v>125</v>
      </c>
      <c r="H121" s="19" t="s">
        <v>174</v>
      </c>
      <c r="I121" s="19" t="b">
        <v>0</v>
      </c>
      <c r="J121" s="19">
        <v>43</v>
      </c>
      <c r="K121" s="19">
        <v>589.9</v>
      </c>
      <c r="L121" s="20">
        <v>205345112</v>
      </c>
      <c r="M121" s="20">
        <v>1100000056341252</v>
      </c>
      <c r="N121" s="19" t="s">
        <v>214</v>
      </c>
      <c r="O121" s="19"/>
    </row>
    <row r="122" spans="1:15" x14ac:dyDescent="0.25">
      <c r="A122" s="19"/>
      <c r="B122" s="19" t="s">
        <v>94</v>
      </c>
      <c r="C122" s="19" t="s">
        <v>149</v>
      </c>
      <c r="D122" s="19" t="s">
        <v>213</v>
      </c>
      <c r="E122" s="19" t="s">
        <v>124</v>
      </c>
      <c r="F122" s="19" t="s">
        <v>125</v>
      </c>
      <c r="G122" s="19" t="s">
        <v>125</v>
      </c>
      <c r="H122" s="19" t="s">
        <v>174</v>
      </c>
      <c r="I122" s="19" t="b">
        <v>0</v>
      </c>
      <c r="J122" s="19">
        <v>85</v>
      </c>
      <c r="K122" s="19">
        <v>589.95000000000005</v>
      </c>
      <c r="L122" s="20">
        <v>205345109</v>
      </c>
      <c r="M122" s="20">
        <v>1100000056341252</v>
      </c>
      <c r="N122" s="19" t="s">
        <v>214</v>
      </c>
      <c r="O122" s="19"/>
    </row>
    <row r="123" spans="1:15" x14ac:dyDescent="0.25">
      <c r="A123" s="19"/>
      <c r="B123" s="19" t="s">
        <v>182</v>
      </c>
      <c r="C123" s="19" t="s">
        <v>183</v>
      </c>
      <c r="D123" s="19" t="s">
        <v>215</v>
      </c>
      <c r="E123" s="19" t="s">
        <v>124</v>
      </c>
      <c r="F123" s="19" t="s">
        <v>125</v>
      </c>
      <c r="G123" s="19" t="s">
        <v>125</v>
      </c>
      <c r="H123" s="19" t="s">
        <v>174</v>
      </c>
      <c r="I123" s="19" t="b">
        <v>0</v>
      </c>
      <c r="J123" s="19">
        <v>14</v>
      </c>
      <c r="K123" s="19">
        <v>482.05</v>
      </c>
      <c r="L123" s="20">
        <v>400073759</v>
      </c>
      <c r="M123" s="20">
        <v>1200000000472402</v>
      </c>
      <c r="N123" s="19" t="s">
        <v>216</v>
      </c>
      <c r="O123" s="19"/>
    </row>
    <row r="124" spans="1:15" x14ac:dyDescent="0.25">
      <c r="A124" s="19"/>
      <c r="B124" s="19" t="s">
        <v>182</v>
      </c>
      <c r="C124" s="19" t="s">
        <v>183</v>
      </c>
      <c r="D124" s="19" t="s">
        <v>215</v>
      </c>
      <c r="E124" s="19" t="s">
        <v>124</v>
      </c>
      <c r="F124" s="19" t="s">
        <v>125</v>
      </c>
      <c r="G124" s="19" t="s">
        <v>125</v>
      </c>
      <c r="H124" s="19" t="s">
        <v>174</v>
      </c>
      <c r="I124" s="19" t="b">
        <v>0</v>
      </c>
      <c r="J124" s="19">
        <v>10</v>
      </c>
      <c r="K124" s="19">
        <v>482</v>
      </c>
      <c r="L124" s="20">
        <v>400073762</v>
      </c>
      <c r="M124" s="20">
        <v>1200000000472402</v>
      </c>
      <c r="N124" s="19" t="s">
        <v>216</v>
      </c>
      <c r="O124" s="19"/>
    </row>
    <row r="125" spans="1:15" x14ac:dyDescent="0.25">
      <c r="A125" s="19"/>
      <c r="B125" s="19" t="s">
        <v>182</v>
      </c>
      <c r="C125" s="19" t="s">
        <v>183</v>
      </c>
      <c r="D125" s="19" t="s">
        <v>215</v>
      </c>
      <c r="E125" s="19" t="s">
        <v>124</v>
      </c>
      <c r="F125" s="19" t="s">
        <v>125</v>
      </c>
      <c r="G125" s="19" t="s">
        <v>125</v>
      </c>
      <c r="H125" s="19" t="s">
        <v>174</v>
      </c>
      <c r="I125" s="19" t="b">
        <v>0</v>
      </c>
      <c r="J125" s="19">
        <v>17</v>
      </c>
      <c r="K125" s="19">
        <v>482.05</v>
      </c>
      <c r="L125" s="20">
        <v>400073755</v>
      </c>
      <c r="M125" s="20">
        <v>1200000000472402</v>
      </c>
      <c r="N125" s="19" t="s">
        <v>216</v>
      </c>
      <c r="O125" s="19"/>
    </row>
    <row r="126" spans="1:15" x14ac:dyDescent="0.25">
      <c r="A126" s="19"/>
      <c r="B126" s="19" t="s">
        <v>182</v>
      </c>
      <c r="C126" s="19" t="s">
        <v>183</v>
      </c>
      <c r="D126" s="19" t="s">
        <v>215</v>
      </c>
      <c r="E126" s="19" t="s">
        <v>124</v>
      </c>
      <c r="F126" s="19" t="s">
        <v>125</v>
      </c>
      <c r="G126" s="19" t="s">
        <v>125</v>
      </c>
      <c r="H126" s="19" t="s">
        <v>174</v>
      </c>
      <c r="I126" s="19" t="b">
        <v>0</v>
      </c>
      <c r="J126" s="19">
        <v>2</v>
      </c>
      <c r="K126" s="19">
        <v>482.05</v>
      </c>
      <c r="L126" s="20">
        <v>400073756</v>
      </c>
      <c r="M126" s="20">
        <v>1200000000472402</v>
      </c>
      <c r="N126" s="19" t="s">
        <v>216</v>
      </c>
      <c r="O126" s="19"/>
    </row>
    <row r="127" spans="1:15" x14ac:dyDescent="0.25">
      <c r="A127" s="19"/>
      <c r="B127" s="19" t="s">
        <v>182</v>
      </c>
      <c r="C127" s="19" t="s">
        <v>183</v>
      </c>
      <c r="D127" s="19" t="s">
        <v>215</v>
      </c>
      <c r="E127" s="19" t="s">
        <v>124</v>
      </c>
      <c r="F127" s="19" t="s">
        <v>125</v>
      </c>
      <c r="G127" s="19" t="s">
        <v>125</v>
      </c>
      <c r="H127" s="19" t="s">
        <v>174</v>
      </c>
      <c r="I127" s="19" t="b">
        <v>0</v>
      </c>
      <c r="J127" s="19">
        <v>2</v>
      </c>
      <c r="K127" s="19">
        <v>482</v>
      </c>
      <c r="L127" s="20">
        <v>400073761</v>
      </c>
      <c r="M127" s="20">
        <v>1200000000472402</v>
      </c>
      <c r="N127" s="19" t="s">
        <v>216</v>
      </c>
      <c r="O127" s="19"/>
    </row>
    <row r="128" spans="1:15" x14ac:dyDescent="0.25">
      <c r="A128" s="19"/>
      <c r="B128" s="19" t="s">
        <v>182</v>
      </c>
      <c r="C128" s="19" t="s">
        <v>183</v>
      </c>
      <c r="D128" s="19" t="s">
        <v>215</v>
      </c>
      <c r="E128" s="19" t="s">
        <v>124</v>
      </c>
      <c r="F128" s="19" t="s">
        <v>125</v>
      </c>
      <c r="G128" s="19" t="s">
        <v>125</v>
      </c>
      <c r="H128" s="19" t="s">
        <v>174</v>
      </c>
      <c r="I128" s="19" t="b">
        <v>0</v>
      </c>
      <c r="J128" s="19">
        <v>1</v>
      </c>
      <c r="K128" s="19">
        <v>482</v>
      </c>
      <c r="L128" s="20">
        <v>400073764</v>
      </c>
      <c r="M128" s="20">
        <v>1200000000472402</v>
      </c>
      <c r="N128" s="19" t="s">
        <v>216</v>
      </c>
      <c r="O128" s="19"/>
    </row>
    <row r="129" spans="1:15" x14ac:dyDescent="0.25">
      <c r="A129" s="19"/>
      <c r="B129" s="19" t="s">
        <v>182</v>
      </c>
      <c r="C129" s="19" t="s">
        <v>183</v>
      </c>
      <c r="D129" s="19" t="s">
        <v>215</v>
      </c>
      <c r="E129" s="19" t="s">
        <v>124</v>
      </c>
      <c r="F129" s="19" t="s">
        <v>125</v>
      </c>
      <c r="G129" s="19" t="s">
        <v>125</v>
      </c>
      <c r="H129" s="19" t="s">
        <v>174</v>
      </c>
      <c r="I129" s="19" t="b">
        <v>0</v>
      </c>
      <c r="J129" s="19">
        <v>50</v>
      </c>
      <c r="K129" s="19">
        <v>482</v>
      </c>
      <c r="L129" s="20">
        <v>400073763</v>
      </c>
      <c r="M129" s="20">
        <v>1200000000472402</v>
      </c>
      <c r="N129" s="19" t="s">
        <v>216</v>
      </c>
      <c r="O129" s="19"/>
    </row>
    <row r="130" spans="1:15" x14ac:dyDescent="0.25">
      <c r="A130" s="19"/>
      <c r="B130" s="19" t="s">
        <v>182</v>
      </c>
      <c r="C130" s="19" t="s">
        <v>183</v>
      </c>
      <c r="D130" s="19" t="s">
        <v>215</v>
      </c>
      <c r="E130" s="19" t="s">
        <v>124</v>
      </c>
      <c r="F130" s="19" t="s">
        <v>125</v>
      </c>
      <c r="G130" s="19" t="s">
        <v>125</v>
      </c>
      <c r="H130" s="19" t="s">
        <v>174</v>
      </c>
      <c r="I130" s="19" t="b">
        <v>0</v>
      </c>
      <c r="J130" s="19">
        <v>5</v>
      </c>
      <c r="K130" s="19">
        <v>481.9</v>
      </c>
      <c r="L130" s="20">
        <v>400073768</v>
      </c>
      <c r="M130" s="20">
        <v>1200000000472402</v>
      </c>
      <c r="N130" s="19" t="s">
        <v>216</v>
      </c>
      <c r="O130" s="19"/>
    </row>
    <row r="131" spans="1:15" x14ac:dyDescent="0.25">
      <c r="A131" s="19"/>
      <c r="B131" s="19" t="s">
        <v>182</v>
      </c>
      <c r="C131" s="19" t="s">
        <v>183</v>
      </c>
      <c r="D131" s="19" t="s">
        <v>215</v>
      </c>
      <c r="E131" s="19" t="s">
        <v>124</v>
      </c>
      <c r="F131" s="19" t="s">
        <v>125</v>
      </c>
      <c r="G131" s="19" t="s">
        <v>125</v>
      </c>
      <c r="H131" s="19" t="s">
        <v>174</v>
      </c>
      <c r="I131" s="19" t="b">
        <v>0</v>
      </c>
      <c r="J131" s="19">
        <v>16</v>
      </c>
      <c r="K131" s="19">
        <v>482.05</v>
      </c>
      <c r="L131" s="20">
        <v>400073753</v>
      </c>
      <c r="M131" s="20">
        <v>1200000000472402</v>
      </c>
      <c r="N131" s="19" t="s">
        <v>216</v>
      </c>
      <c r="O131" s="19"/>
    </row>
    <row r="132" spans="1:15" x14ac:dyDescent="0.25">
      <c r="A132" s="19"/>
      <c r="B132" s="19" t="s">
        <v>182</v>
      </c>
      <c r="C132" s="19" t="s">
        <v>183</v>
      </c>
      <c r="D132" s="19" t="s">
        <v>215</v>
      </c>
      <c r="E132" s="19" t="s">
        <v>124</v>
      </c>
      <c r="F132" s="19" t="s">
        <v>125</v>
      </c>
      <c r="G132" s="19" t="s">
        <v>125</v>
      </c>
      <c r="H132" s="19" t="s">
        <v>174</v>
      </c>
      <c r="I132" s="19" t="b">
        <v>0</v>
      </c>
      <c r="J132" s="19">
        <v>42</v>
      </c>
      <c r="K132" s="19">
        <v>482</v>
      </c>
      <c r="L132" s="20">
        <v>400073766</v>
      </c>
      <c r="M132" s="20">
        <v>1200000000472402</v>
      </c>
      <c r="N132" s="19" t="s">
        <v>216</v>
      </c>
      <c r="O132" s="19"/>
    </row>
    <row r="133" spans="1:15" x14ac:dyDescent="0.25">
      <c r="A133" s="19"/>
      <c r="B133" s="19" t="s">
        <v>182</v>
      </c>
      <c r="C133" s="19" t="s">
        <v>183</v>
      </c>
      <c r="D133" s="19" t="s">
        <v>215</v>
      </c>
      <c r="E133" s="19" t="s">
        <v>124</v>
      </c>
      <c r="F133" s="19" t="s">
        <v>125</v>
      </c>
      <c r="G133" s="19" t="s">
        <v>125</v>
      </c>
      <c r="H133" s="19" t="s">
        <v>174</v>
      </c>
      <c r="I133" s="19" t="b">
        <v>0</v>
      </c>
      <c r="J133" s="19">
        <v>4</v>
      </c>
      <c r="K133" s="19">
        <v>482</v>
      </c>
      <c r="L133" s="20">
        <v>400073767</v>
      </c>
      <c r="M133" s="20">
        <v>1200000000472402</v>
      </c>
      <c r="N133" s="19" t="s">
        <v>216</v>
      </c>
      <c r="O133" s="19"/>
    </row>
    <row r="134" spans="1:15" x14ac:dyDescent="0.25">
      <c r="A134" s="19"/>
      <c r="B134" s="19" t="s">
        <v>42</v>
      </c>
      <c r="C134" s="19" t="s">
        <v>189</v>
      </c>
      <c r="D134" s="19" t="s">
        <v>215</v>
      </c>
      <c r="E134" s="19" t="s">
        <v>124</v>
      </c>
      <c r="F134" s="19" t="s">
        <v>125</v>
      </c>
      <c r="G134" s="19" t="s">
        <v>125</v>
      </c>
      <c r="H134" s="19" t="s">
        <v>126</v>
      </c>
      <c r="I134" s="19" t="b">
        <v>0</v>
      </c>
      <c r="J134" s="19">
        <v>84</v>
      </c>
      <c r="K134" s="19">
        <v>841.1</v>
      </c>
      <c r="L134" s="20">
        <v>208603870</v>
      </c>
      <c r="M134" s="20">
        <v>1100000076303650</v>
      </c>
      <c r="N134" s="19" t="s">
        <v>217</v>
      </c>
      <c r="O134" s="19"/>
    </row>
    <row r="135" spans="1:15" x14ac:dyDescent="0.25">
      <c r="A135" s="19"/>
      <c r="B135" s="19" t="s">
        <v>42</v>
      </c>
      <c r="C135" s="19" t="s">
        <v>189</v>
      </c>
      <c r="D135" s="19" t="s">
        <v>215</v>
      </c>
      <c r="E135" s="19" t="s">
        <v>124</v>
      </c>
      <c r="F135" s="19" t="s">
        <v>125</v>
      </c>
      <c r="G135" s="19" t="s">
        <v>125</v>
      </c>
      <c r="H135" s="19" t="s">
        <v>126</v>
      </c>
      <c r="I135" s="19" t="b">
        <v>0</v>
      </c>
      <c r="J135" s="19">
        <v>35</v>
      </c>
      <c r="K135" s="19">
        <v>841.1</v>
      </c>
      <c r="L135" s="20">
        <v>208603871</v>
      </c>
      <c r="M135" s="20">
        <v>1100000076303650</v>
      </c>
      <c r="N135" s="19" t="s">
        <v>217</v>
      </c>
      <c r="O135" s="19"/>
    </row>
    <row r="136" spans="1:15" x14ac:dyDescent="0.25">
      <c r="A136" s="19"/>
      <c r="B136" s="19" t="s">
        <v>99</v>
      </c>
      <c r="C136" s="19" t="s">
        <v>218</v>
      </c>
      <c r="D136" s="19" t="s">
        <v>215</v>
      </c>
      <c r="E136" s="19" t="s">
        <v>124</v>
      </c>
      <c r="F136" s="19" t="s">
        <v>125</v>
      </c>
      <c r="G136" s="19" t="s">
        <v>125</v>
      </c>
      <c r="H136" s="19" t="s">
        <v>126</v>
      </c>
      <c r="I136" s="19" t="b">
        <v>0</v>
      </c>
      <c r="J136" s="19">
        <v>49</v>
      </c>
      <c r="K136" s="19">
        <v>269.69</v>
      </c>
      <c r="L136" s="20">
        <v>208693336</v>
      </c>
      <c r="M136" s="20">
        <v>1100000077091561</v>
      </c>
      <c r="N136" s="19" t="s">
        <v>219</v>
      </c>
      <c r="O136" s="19"/>
    </row>
    <row r="137" spans="1:15" x14ac:dyDescent="0.25">
      <c r="A137" s="19"/>
      <c r="B137" s="19" t="s">
        <v>99</v>
      </c>
      <c r="C137" s="19" t="s">
        <v>218</v>
      </c>
      <c r="D137" s="19" t="s">
        <v>215</v>
      </c>
      <c r="E137" s="19" t="s">
        <v>124</v>
      </c>
      <c r="F137" s="19" t="s">
        <v>125</v>
      </c>
      <c r="G137" s="19" t="s">
        <v>125</v>
      </c>
      <c r="H137" s="19" t="s">
        <v>126</v>
      </c>
      <c r="I137" s="19" t="b">
        <v>0</v>
      </c>
      <c r="J137" s="19">
        <v>51</v>
      </c>
      <c r="K137" s="19">
        <v>269.68</v>
      </c>
      <c r="L137" s="20">
        <v>208693335</v>
      </c>
      <c r="M137" s="20">
        <v>1100000077091561</v>
      </c>
      <c r="N137" s="19" t="s">
        <v>219</v>
      </c>
      <c r="O137" s="19"/>
    </row>
    <row r="138" spans="1:15" x14ac:dyDescent="0.25">
      <c r="A138" s="19"/>
      <c r="B138" s="19" t="s">
        <v>99</v>
      </c>
      <c r="C138" s="19" t="s">
        <v>218</v>
      </c>
      <c r="D138" s="19" t="s">
        <v>220</v>
      </c>
      <c r="E138" s="19" t="s">
        <v>124</v>
      </c>
      <c r="F138" s="19" t="s">
        <v>125</v>
      </c>
      <c r="G138" s="19" t="s">
        <v>125</v>
      </c>
      <c r="H138" s="19" t="s">
        <v>126</v>
      </c>
      <c r="I138" s="19" t="b">
        <v>0</v>
      </c>
      <c r="J138" s="19">
        <v>30</v>
      </c>
      <c r="K138" s="19">
        <v>283.87</v>
      </c>
      <c r="L138" s="20">
        <v>208482585</v>
      </c>
      <c r="M138" s="20">
        <v>1100000073723147</v>
      </c>
      <c r="N138" s="19" t="s">
        <v>221</v>
      </c>
      <c r="O138" s="19"/>
    </row>
    <row r="139" spans="1:15" x14ac:dyDescent="0.25">
      <c r="A139" s="19"/>
      <c r="B139" s="19" t="s">
        <v>99</v>
      </c>
      <c r="C139" s="19" t="s">
        <v>218</v>
      </c>
      <c r="D139" s="19" t="s">
        <v>220</v>
      </c>
      <c r="E139" s="19" t="s">
        <v>124</v>
      </c>
      <c r="F139" s="19" t="s">
        <v>125</v>
      </c>
      <c r="G139" s="19" t="s">
        <v>125</v>
      </c>
      <c r="H139" s="19" t="s">
        <v>126</v>
      </c>
      <c r="I139" s="19" t="b">
        <v>0</v>
      </c>
      <c r="J139" s="19">
        <v>146</v>
      </c>
      <c r="K139" s="19">
        <v>283.89</v>
      </c>
      <c r="L139" s="20">
        <v>208482586</v>
      </c>
      <c r="M139" s="20">
        <v>1100000073723147</v>
      </c>
      <c r="N139" s="19" t="s">
        <v>221</v>
      </c>
      <c r="O139" s="19"/>
    </row>
    <row r="140" spans="1:15" x14ac:dyDescent="0.25">
      <c r="A140" s="19"/>
      <c r="B140" s="19" t="s">
        <v>222</v>
      </c>
      <c r="C140" s="19" t="s">
        <v>223</v>
      </c>
      <c r="D140" s="19" t="s">
        <v>224</v>
      </c>
      <c r="E140" s="19" t="s">
        <v>124</v>
      </c>
      <c r="F140" s="19" t="s">
        <v>125</v>
      </c>
      <c r="G140" s="19" t="s">
        <v>125</v>
      </c>
      <c r="H140" s="19" t="s">
        <v>126</v>
      </c>
      <c r="I140" s="19" t="b">
        <v>0</v>
      </c>
      <c r="J140" s="19">
        <v>7</v>
      </c>
      <c r="K140" s="19">
        <v>483.35</v>
      </c>
      <c r="L140" s="20">
        <v>207124675</v>
      </c>
      <c r="M140" s="20">
        <v>1100000062113123</v>
      </c>
      <c r="N140" s="19" t="s">
        <v>225</v>
      </c>
      <c r="O140" s="19"/>
    </row>
    <row r="141" spans="1:15" x14ac:dyDescent="0.25">
      <c r="A141" s="19"/>
      <c r="B141" s="19" t="s">
        <v>222</v>
      </c>
      <c r="C141" s="19" t="s">
        <v>223</v>
      </c>
      <c r="D141" s="19" t="s">
        <v>224</v>
      </c>
      <c r="E141" s="19" t="s">
        <v>124</v>
      </c>
      <c r="F141" s="19" t="s">
        <v>125</v>
      </c>
      <c r="G141" s="19" t="s">
        <v>125</v>
      </c>
      <c r="H141" s="19" t="s">
        <v>126</v>
      </c>
      <c r="I141" s="19" t="b">
        <v>0</v>
      </c>
      <c r="J141" s="19">
        <v>153</v>
      </c>
      <c r="K141" s="19">
        <v>483.35</v>
      </c>
      <c r="L141" s="20">
        <v>207124677</v>
      </c>
      <c r="M141" s="20">
        <v>1100000062113123</v>
      </c>
      <c r="N141" s="19" t="s">
        <v>225</v>
      </c>
      <c r="O141" s="19"/>
    </row>
    <row r="142" spans="1:15" x14ac:dyDescent="0.25">
      <c r="A142" s="19"/>
      <c r="B142" s="19" t="s">
        <v>222</v>
      </c>
      <c r="C142" s="19" t="s">
        <v>223</v>
      </c>
      <c r="D142" s="19" t="s">
        <v>224</v>
      </c>
      <c r="E142" s="19" t="s">
        <v>124</v>
      </c>
      <c r="F142" s="19" t="s">
        <v>125</v>
      </c>
      <c r="G142" s="19" t="s">
        <v>125</v>
      </c>
      <c r="H142" s="19" t="s">
        <v>126</v>
      </c>
      <c r="I142" s="19" t="b">
        <v>0</v>
      </c>
      <c r="J142" s="19">
        <v>45</v>
      </c>
      <c r="K142" s="19">
        <v>483.35</v>
      </c>
      <c r="L142" s="20">
        <v>207124676</v>
      </c>
      <c r="M142" s="20">
        <v>1100000062113123</v>
      </c>
      <c r="N142" s="19" t="s">
        <v>225</v>
      </c>
      <c r="O142" s="19"/>
    </row>
    <row r="143" spans="1:15" x14ac:dyDescent="0.25">
      <c r="A143" s="19"/>
      <c r="B143" s="19" t="s">
        <v>226</v>
      </c>
      <c r="C143" s="19" t="s">
        <v>227</v>
      </c>
      <c r="D143" s="19" t="s">
        <v>224</v>
      </c>
      <c r="E143" s="19" t="s">
        <v>124</v>
      </c>
      <c r="F143" s="19" t="s">
        <v>125</v>
      </c>
      <c r="G143" s="19" t="s">
        <v>125</v>
      </c>
      <c r="H143" s="19" t="s">
        <v>126</v>
      </c>
      <c r="I143" s="19" t="b">
        <v>0</v>
      </c>
      <c r="J143" s="19">
        <v>10</v>
      </c>
      <c r="K143" s="19">
        <v>955.9</v>
      </c>
      <c r="L143" s="20">
        <v>5432380</v>
      </c>
      <c r="M143" s="20">
        <v>1000000052812081</v>
      </c>
      <c r="N143" s="19" t="s">
        <v>228</v>
      </c>
      <c r="O143" s="19"/>
    </row>
    <row r="144" spans="1:15" x14ac:dyDescent="0.25">
      <c r="A144" s="19"/>
      <c r="B144" s="19" t="s">
        <v>226</v>
      </c>
      <c r="C144" s="19" t="s">
        <v>227</v>
      </c>
      <c r="D144" s="19" t="s">
        <v>224</v>
      </c>
      <c r="E144" s="19" t="s">
        <v>124</v>
      </c>
      <c r="F144" s="19" t="s">
        <v>125</v>
      </c>
      <c r="G144" s="19" t="s">
        <v>125</v>
      </c>
      <c r="H144" s="19" t="s">
        <v>126</v>
      </c>
      <c r="I144" s="19" t="b">
        <v>0</v>
      </c>
      <c r="J144" s="19">
        <v>9</v>
      </c>
      <c r="K144" s="19">
        <v>955.9</v>
      </c>
      <c r="L144" s="20">
        <v>5432379</v>
      </c>
      <c r="M144" s="20">
        <v>1000000052812081</v>
      </c>
      <c r="N144" s="19" t="s">
        <v>228</v>
      </c>
      <c r="O144" s="19"/>
    </row>
    <row r="145" spans="1:15" x14ac:dyDescent="0.25">
      <c r="A145" s="19"/>
      <c r="B145" s="19" t="s">
        <v>226</v>
      </c>
      <c r="C145" s="19" t="s">
        <v>227</v>
      </c>
      <c r="D145" s="19" t="s">
        <v>224</v>
      </c>
      <c r="E145" s="19" t="s">
        <v>124</v>
      </c>
      <c r="F145" s="19" t="s">
        <v>125</v>
      </c>
      <c r="G145" s="19" t="s">
        <v>125</v>
      </c>
      <c r="H145" s="19" t="s">
        <v>126</v>
      </c>
      <c r="I145" s="19" t="b">
        <v>0</v>
      </c>
      <c r="J145" s="19">
        <v>8</v>
      </c>
      <c r="K145" s="19">
        <v>955.9</v>
      </c>
      <c r="L145" s="20">
        <v>5432381</v>
      </c>
      <c r="M145" s="20">
        <v>1000000052812081</v>
      </c>
      <c r="N145" s="19" t="s">
        <v>228</v>
      </c>
      <c r="O145" s="19"/>
    </row>
    <row r="146" spans="1:15" x14ac:dyDescent="0.25">
      <c r="A146" s="19"/>
      <c r="B146" s="19" t="s">
        <v>226</v>
      </c>
      <c r="C146" s="19" t="s">
        <v>227</v>
      </c>
      <c r="D146" s="19" t="s">
        <v>224</v>
      </c>
      <c r="E146" s="19" t="s">
        <v>124</v>
      </c>
      <c r="F146" s="19" t="s">
        <v>125</v>
      </c>
      <c r="G146" s="19" t="s">
        <v>125</v>
      </c>
      <c r="H146" s="19" t="s">
        <v>126</v>
      </c>
      <c r="I146" s="19" t="b">
        <v>0</v>
      </c>
      <c r="J146" s="19">
        <v>5</v>
      </c>
      <c r="K146" s="19">
        <v>955.85</v>
      </c>
      <c r="L146" s="20">
        <v>5432376</v>
      </c>
      <c r="M146" s="20">
        <v>1000000052812081</v>
      </c>
      <c r="N146" s="19" t="s">
        <v>228</v>
      </c>
      <c r="O146" s="19"/>
    </row>
    <row r="147" spans="1:15" x14ac:dyDescent="0.25">
      <c r="A147" s="19"/>
      <c r="B147" s="19" t="s">
        <v>226</v>
      </c>
      <c r="C147" s="19" t="s">
        <v>227</v>
      </c>
      <c r="D147" s="19" t="s">
        <v>224</v>
      </c>
      <c r="E147" s="19" t="s">
        <v>124</v>
      </c>
      <c r="F147" s="19" t="s">
        <v>125</v>
      </c>
      <c r="G147" s="19" t="s">
        <v>125</v>
      </c>
      <c r="H147" s="19" t="s">
        <v>126</v>
      </c>
      <c r="I147" s="19" t="b">
        <v>0</v>
      </c>
      <c r="J147" s="19">
        <v>10</v>
      </c>
      <c r="K147" s="19">
        <v>955.85</v>
      </c>
      <c r="L147" s="20">
        <v>5432378</v>
      </c>
      <c r="M147" s="20">
        <v>1000000052812081</v>
      </c>
      <c r="N147" s="19" t="s">
        <v>228</v>
      </c>
      <c r="O147" s="19"/>
    </row>
    <row r="148" spans="1:15" x14ac:dyDescent="0.25">
      <c r="A148" s="19"/>
      <c r="B148" s="19" t="s">
        <v>229</v>
      </c>
      <c r="C148" s="19" t="s">
        <v>230</v>
      </c>
      <c r="D148" s="19" t="s">
        <v>224</v>
      </c>
      <c r="E148" s="19" t="s">
        <v>124</v>
      </c>
      <c r="F148" s="19" t="s">
        <v>125</v>
      </c>
      <c r="G148" s="19" t="s">
        <v>125</v>
      </c>
      <c r="H148" s="19" t="s">
        <v>126</v>
      </c>
      <c r="I148" s="19" t="b">
        <v>0</v>
      </c>
      <c r="J148" s="19">
        <v>82</v>
      </c>
      <c r="K148" s="19">
        <v>367.7</v>
      </c>
      <c r="L148" s="20">
        <v>5441880</v>
      </c>
      <c r="M148" s="20">
        <v>1000000052895910</v>
      </c>
      <c r="N148" s="19" t="s">
        <v>231</v>
      </c>
      <c r="O148" s="19"/>
    </row>
    <row r="149" spans="1:15" x14ac:dyDescent="0.25">
      <c r="A149" s="19"/>
      <c r="B149" s="19" t="s">
        <v>232</v>
      </c>
      <c r="C149" s="19" t="s">
        <v>233</v>
      </c>
      <c r="D149" s="19" t="s">
        <v>224</v>
      </c>
      <c r="E149" s="19" t="s">
        <v>124</v>
      </c>
      <c r="F149" s="19" t="s">
        <v>125</v>
      </c>
      <c r="G149" s="19" t="s">
        <v>125</v>
      </c>
      <c r="H149" s="19" t="s">
        <v>126</v>
      </c>
      <c r="I149" s="19" t="b">
        <v>0</v>
      </c>
      <c r="J149" s="19">
        <v>70</v>
      </c>
      <c r="K149" s="19">
        <v>167.82</v>
      </c>
      <c r="L149" s="20">
        <v>207164289</v>
      </c>
      <c r="M149" s="20">
        <v>1100000062440946</v>
      </c>
      <c r="N149" s="19" t="s">
        <v>234</v>
      </c>
      <c r="O149" s="19"/>
    </row>
    <row r="150" spans="1:15" x14ac:dyDescent="0.25">
      <c r="A150" s="19"/>
      <c r="B150" s="19" t="s">
        <v>232</v>
      </c>
      <c r="C150" s="19" t="s">
        <v>233</v>
      </c>
      <c r="D150" s="19" t="s">
        <v>224</v>
      </c>
      <c r="E150" s="19" t="s">
        <v>124</v>
      </c>
      <c r="F150" s="19" t="s">
        <v>125</v>
      </c>
      <c r="G150" s="19" t="s">
        <v>125</v>
      </c>
      <c r="H150" s="19" t="s">
        <v>126</v>
      </c>
      <c r="I150" s="19" t="b">
        <v>0</v>
      </c>
      <c r="J150" s="19">
        <v>50</v>
      </c>
      <c r="K150" s="19">
        <v>167.82</v>
      </c>
      <c r="L150" s="20">
        <v>207164288</v>
      </c>
      <c r="M150" s="20">
        <v>1100000062440946</v>
      </c>
      <c r="N150" s="19" t="s">
        <v>234</v>
      </c>
      <c r="O150" s="19"/>
    </row>
    <row r="151" spans="1:15" x14ac:dyDescent="0.25">
      <c r="A151" s="19"/>
      <c r="B151" s="19" t="s">
        <v>235</v>
      </c>
      <c r="C151" s="19" t="s">
        <v>236</v>
      </c>
      <c r="D151" s="19" t="s">
        <v>224</v>
      </c>
      <c r="E151" s="19" t="s">
        <v>124</v>
      </c>
      <c r="F151" s="19" t="s">
        <v>125</v>
      </c>
      <c r="G151" s="19" t="s">
        <v>125</v>
      </c>
      <c r="H151" s="19" t="s">
        <v>126</v>
      </c>
      <c r="I151" s="19" t="b">
        <v>0</v>
      </c>
      <c r="J151" s="19">
        <v>3</v>
      </c>
      <c r="K151" s="19">
        <v>950.5</v>
      </c>
      <c r="L151" s="20">
        <v>607883603</v>
      </c>
      <c r="M151" s="20">
        <v>1300000067038500</v>
      </c>
      <c r="N151" s="19" t="s">
        <v>237</v>
      </c>
      <c r="O151" s="19"/>
    </row>
    <row r="152" spans="1:15" x14ac:dyDescent="0.25">
      <c r="A152" s="19"/>
      <c r="B152" s="19" t="s">
        <v>235</v>
      </c>
      <c r="C152" s="19" t="s">
        <v>236</v>
      </c>
      <c r="D152" s="19" t="s">
        <v>224</v>
      </c>
      <c r="E152" s="19" t="s">
        <v>124</v>
      </c>
      <c r="F152" s="19" t="s">
        <v>125</v>
      </c>
      <c r="G152" s="19" t="s">
        <v>125</v>
      </c>
      <c r="H152" s="19" t="s">
        <v>126</v>
      </c>
      <c r="I152" s="19" t="b">
        <v>0</v>
      </c>
      <c r="J152" s="19">
        <v>1</v>
      </c>
      <c r="K152" s="19">
        <v>950.5</v>
      </c>
      <c r="L152" s="20">
        <v>607883614</v>
      </c>
      <c r="M152" s="20">
        <v>1300000067038500</v>
      </c>
      <c r="N152" s="19" t="s">
        <v>237</v>
      </c>
      <c r="O152" s="19"/>
    </row>
    <row r="153" spans="1:15" x14ac:dyDescent="0.25">
      <c r="A153" s="19"/>
      <c r="B153" s="19" t="s">
        <v>235</v>
      </c>
      <c r="C153" s="19" t="s">
        <v>236</v>
      </c>
      <c r="D153" s="19" t="s">
        <v>224</v>
      </c>
      <c r="E153" s="19" t="s">
        <v>124</v>
      </c>
      <c r="F153" s="19" t="s">
        <v>125</v>
      </c>
      <c r="G153" s="19" t="s">
        <v>125</v>
      </c>
      <c r="H153" s="19" t="s">
        <v>126</v>
      </c>
      <c r="I153" s="19" t="b">
        <v>0</v>
      </c>
      <c r="J153" s="19">
        <v>5</v>
      </c>
      <c r="K153" s="19">
        <v>950.5</v>
      </c>
      <c r="L153" s="20">
        <v>607883619</v>
      </c>
      <c r="M153" s="20">
        <v>1300000067038500</v>
      </c>
      <c r="N153" s="19" t="s">
        <v>237</v>
      </c>
      <c r="O153" s="19"/>
    </row>
    <row r="154" spans="1:15" x14ac:dyDescent="0.25">
      <c r="A154" s="19"/>
      <c r="B154" s="19" t="s">
        <v>238</v>
      </c>
      <c r="C154" s="19" t="s">
        <v>239</v>
      </c>
      <c r="D154" s="19" t="s">
        <v>224</v>
      </c>
      <c r="E154" s="19" t="s">
        <v>124</v>
      </c>
      <c r="F154" s="19" t="s">
        <v>125</v>
      </c>
      <c r="G154" s="19" t="s">
        <v>125</v>
      </c>
      <c r="H154" s="19" t="s">
        <v>126</v>
      </c>
      <c r="I154" s="19" t="b">
        <v>0</v>
      </c>
      <c r="J154" s="19">
        <v>260</v>
      </c>
      <c r="K154" s="19">
        <v>292.10000000000002</v>
      </c>
      <c r="L154" s="20">
        <v>5467966</v>
      </c>
      <c r="M154" s="20">
        <v>1000000053096238</v>
      </c>
      <c r="N154" s="19" t="s">
        <v>240</v>
      </c>
      <c r="O154" s="19"/>
    </row>
    <row r="155" spans="1:15" x14ac:dyDescent="0.25">
      <c r="A155" s="19"/>
      <c r="B155" s="19" t="s">
        <v>43</v>
      </c>
      <c r="C155" s="19" t="s">
        <v>241</v>
      </c>
      <c r="D155" s="19" t="s">
        <v>224</v>
      </c>
      <c r="E155" s="19" t="s">
        <v>124</v>
      </c>
      <c r="F155" s="19" t="s">
        <v>125</v>
      </c>
      <c r="G155" s="19" t="s">
        <v>125</v>
      </c>
      <c r="H155" s="19" t="s">
        <v>126</v>
      </c>
      <c r="I155" s="19" t="b">
        <v>0</v>
      </c>
      <c r="J155" s="19">
        <v>121</v>
      </c>
      <c r="K155" s="19">
        <v>238.41</v>
      </c>
      <c r="L155" s="20">
        <v>207221970</v>
      </c>
      <c r="M155" s="20">
        <v>1100000062851302</v>
      </c>
      <c r="N155" s="19" t="s">
        <v>242</v>
      </c>
      <c r="O155" s="19"/>
    </row>
    <row r="156" spans="1:15" x14ac:dyDescent="0.25">
      <c r="A156" s="19"/>
      <c r="B156" s="19" t="s">
        <v>43</v>
      </c>
      <c r="C156" s="19" t="s">
        <v>241</v>
      </c>
      <c r="D156" s="19" t="s">
        <v>224</v>
      </c>
      <c r="E156" s="19" t="s">
        <v>124</v>
      </c>
      <c r="F156" s="19" t="s">
        <v>125</v>
      </c>
      <c r="G156" s="19" t="s">
        <v>125</v>
      </c>
      <c r="H156" s="19" t="s">
        <v>126</v>
      </c>
      <c r="I156" s="19" t="b">
        <v>0</v>
      </c>
      <c r="J156" s="19">
        <v>11</v>
      </c>
      <c r="K156" s="19">
        <v>238.41</v>
      </c>
      <c r="L156" s="20">
        <v>207221969</v>
      </c>
      <c r="M156" s="20">
        <v>1100000062851302</v>
      </c>
      <c r="N156" s="19" t="s">
        <v>242</v>
      </c>
      <c r="O156" s="19"/>
    </row>
    <row r="157" spans="1:15" x14ac:dyDescent="0.25">
      <c r="A157" s="19"/>
      <c r="B157" s="19" t="s">
        <v>43</v>
      </c>
      <c r="C157" s="19" t="s">
        <v>241</v>
      </c>
      <c r="D157" s="19" t="s">
        <v>224</v>
      </c>
      <c r="E157" s="19" t="s">
        <v>124</v>
      </c>
      <c r="F157" s="19" t="s">
        <v>125</v>
      </c>
      <c r="G157" s="19" t="s">
        <v>125</v>
      </c>
      <c r="H157" s="19" t="s">
        <v>126</v>
      </c>
      <c r="I157" s="19" t="b">
        <v>0</v>
      </c>
      <c r="J157" s="19">
        <v>78</v>
      </c>
      <c r="K157" s="19">
        <v>238.41</v>
      </c>
      <c r="L157" s="20">
        <v>207221971</v>
      </c>
      <c r="M157" s="20">
        <v>1100000062851302</v>
      </c>
      <c r="N157" s="19" t="s">
        <v>242</v>
      </c>
      <c r="O157" s="19"/>
    </row>
    <row r="158" spans="1:15" x14ac:dyDescent="0.25">
      <c r="A158" s="19"/>
      <c r="B158" s="19" t="s">
        <v>208</v>
      </c>
      <c r="C158" s="19" t="s">
        <v>209</v>
      </c>
      <c r="D158" s="19" t="s">
        <v>243</v>
      </c>
      <c r="E158" s="19" t="s">
        <v>124</v>
      </c>
      <c r="F158" s="19" t="s">
        <v>125</v>
      </c>
      <c r="G158" s="19" t="s">
        <v>125</v>
      </c>
      <c r="H158" s="19" t="s">
        <v>174</v>
      </c>
      <c r="I158" s="19" t="b">
        <v>0</v>
      </c>
      <c r="J158" s="19">
        <v>16</v>
      </c>
      <c r="K158" s="19">
        <v>304.75</v>
      </c>
      <c r="L158" s="20">
        <v>200847283</v>
      </c>
      <c r="M158" s="20">
        <v>1100000006789695</v>
      </c>
      <c r="N158" s="19" t="s">
        <v>244</v>
      </c>
      <c r="O158" s="19"/>
    </row>
    <row r="159" spans="1:15" x14ac:dyDescent="0.25">
      <c r="A159" s="19"/>
      <c r="B159" s="19" t="s">
        <v>208</v>
      </c>
      <c r="C159" s="19" t="s">
        <v>209</v>
      </c>
      <c r="D159" s="19" t="s">
        <v>243</v>
      </c>
      <c r="E159" s="19" t="s">
        <v>124</v>
      </c>
      <c r="F159" s="19" t="s">
        <v>125</v>
      </c>
      <c r="G159" s="19" t="s">
        <v>125</v>
      </c>
      <c r="H159" s="19" t="s">
        <v>174</v>
      </c>
      <c r="I159" s="19" t="b">
        <v>0</v>
      </c>
      <c r="J159" s="19">
        <v>56</v>
      </c>
      <c r="K159" s="19">
        <v>304.75</v>
      </c>
      <c r="L159" s="20">
        <v>200847285</v>
      </c>
      <c r="M159" s="20">
        <v>1100000006789695</v>
      </c>
      <c r="N159" s="19" t="s">
        <v>244</v>
      </c>
      <c r="O159" s="19"/>
    </row>
    <row r="160" spans="1:15" x14ac:dyDescent="0.25">
      <c r="A160" s="19"/>
      <c r="B160" s="19" t="s">
        <v>208</v>
      </c>
      <c r="C160" s="19" t="s">
        <v>209</v>
      </c>
      <c r="D160" s="19" t="s">
        <v>243</v>
      </c>
      <c r="E160" s="19" t="s">
        <v>124</v>
      </c>
      <c r="F160" s="19" t="s">
        <v>125</v>
      </c>
      <c r="G160" s="19" t="s">
        <v>125</v>
      </c>
      <c r="H160" s="19" t="s">
        <v>174</v>
      </c>
      <c r="I160" s="19" t="b">
        <v>0</v>
      </c>
      <c r="J160" s="19">
        <v>3</v>
      </c>
      <c r="K160" s="19">
        <v>304.75</v>
      </c>
      <c r="L160" s="20">
        <v>200847284</v>
      </c>
      <c r="M160" s="20">
        <v>1100000006789695</v>
      </c>
      <c r="N160" s="19" t="s">
        <v>244</v>
      </c>
      <c r="O160" s="19"/>
    </row>
    <row r="161" spans="1:15" x14ac:dyDescent="0.25">
      <c r="A161" s="19"/>
      <c r="B161" s="19" t="s">
        <v>140</v>
      </c>
      <c r="C161" s="19" t="s">
        <v>141</v>
      </c>
      <c r="D161" s="19" t="s">
        <v>245</v>
      </c>
      <c r="E161" s="19" t="s">
        <v>124</v>
      </c>
      <c r="F161" s="19" t="s">
        <v>125</v>
      </c>
      <c r="G161" s="19" t="s">
        <v>125</v>
      </c>
      <c r="H161" s="19" t="s">
        <v>174</v>
      </c>
      <c r="I161" s="19" t="b">
        <v>0</v>
      </c>
      <c r="J161" s="19">
        <v>19</v>
      </c>
      <c r="K161" s="19">
        <v>4056.8</v>
      </c>
      <c r="L161" s="20">
        <v>206418034</v>
      </c>
      <c r="M161" s="20">
        <v>1100000055343086</v>
      </c>
      <c r="N161" s="19" t="s">
        <v>246</v>
      </c>
      <c r="O161" s="19"/>
    </row>
    <row r="162" spans="1:15" x14ac:dyDescent="0.25">
      <c r="A162" s="19"/>
      <c r="B162" s="19" t="s">
        <v>81</v>
      </c>
      <c r="C162" s="19"/>
      <c r="D162" s="19" t="s">
        <v>245</v>
      </c>
      <c r="E162" s="19" t="s">
        <v>100</v>
      </c>
      <c r="F162" s="19" t="s">
        <v>125</v>
      </c>
      <c r="G162" s="19" t="s">
        <v>180</v>
      </c>
      <c r="H162" s="19" t="s">
        <v>174</v>
      </c>
      <c r="I162" s="19" t="b">
        <v>0</v>
      </c>
      <c r="J162" s="19">
        <v>160</v>
      </c>
      <c r="K162" s="19">
        <v>482.77499999999998</v>
      </c>
      <c r="L162" s="20">
        <v>6267600</v>
      </c>
      <c r="M162" s="20">
        <v>1.762844334102753E+18</v>
      </c>
      <c r="N162" s="19" t="s">
        <v>247</v>
      </c>
      <c r="O162" s="19"/>
    </row>
    <row r="163" spans="1:15" x14ac:dyDescent="0.25">
      <c r="A163" s="19"/>
      <c r="B163" s="19" t="s">
        <v>81</v>
      </c>
      <c r="C163" s="19"/>
      <c r="D163" s="19" t="s">
        <v>245</v>
      </c>
      <c r="E163" s="19" t="s">
        <v>100</v>
      </c>
      <c r="F163" s="19" t="s">
        <v>125</v>
      </c>
      <c r="G163" s="19" t="s">
        <v>180</v>
      </c>
      <c r="H163" s="19" t="s">
        <v>174</v>
      </c>
      <c r="I163" s="19" t="b">
        <v>0</v>
      </c>
      <c r="J163" s="19">
        <v>8</v>
      </c>
      <c r="K163" s="19">
        <v>482.3125</v>
      </c>
      <c r="L163" s="20">
        <v>6267800</v>
      </c>
      <c r="M163" s="20">
        <v>1.762844334102753E+18</v>
      </c>
      <c r="N163" s="19" t="s">
        <v>247</v>
      </c>
      <c r="O163" s="19"/>
    </row>
    <row r="164" spans="1:15" x14ac:dyDescent="0.25">
      <c r="A164" s="19"/>
      <c r="B164" s="19" t="s">
        <v>41</v>
      </c>
      <c r="C164" s="19" t="s">
        <v>122</v>
      </c>
      <c r="D164" s="19" t="s">
        <v>248</v>
      </c>
      <c r="E164" s="19" t="s">
        <v>124</v>
      </c>
      <c r="F164" s="19" t="s">
        <v>125</v>
      </c>
      <c r="G164" s="19" t="s">
        <v>125</v>
      </c>
      <c r="H164" s="19" t="s">
        <v>126</v>
      </c>
      <c r="I164" s="19" t="b">
        <v>0</v>
      </c>
      <c r="J164" s="19">
        <v>5</v>
      </c>
      <c r="K164" s="19">
        <v>7775.5</v>
      </c>
      <c r="L164" s="20">
        <v>402401951</v>
      </c>
      <c r="M164" s="20">
        <v>1200000022006382</v>
      </c>
      <c r="N164" s="19" t="s">
        <v>249</v>
      </c>
      <c r="O164" s="19"/>
    </row>
    <row r="165" spans="1:15" x14ac:dyDescent="0.25">
      <c r="A165" s="19"/>
      <c r="B165" s="19" t="s">
        <v>41</v>
      </c>
      <c r="C165" s="19" t="s">
        <v>122</v>
      </c>
      <c r="D165" s="19" t="s">
        <v>248</v>
      </c>
      <c r="E165" s="19" t="s">
        <v>124</v>
      </c>
      <c r="F165" s="19" t="s">
        <v>125</v>
      </c>
      <c r="G165" s="19" t="s">
        <v>125</v>
      </c>
      <c r="H165" s="19" t="s">
        <v>126</v>
      </c>
      <c r="I165" s="19" t="b">
        <v>0</v>
      </c>
      <c r="J165" s="19">
        <v>1</v>
      </c>
      <c r="K165" s="19">
        <v>7773.5</v>
      </c>
      <c r="L165" s="20">
        <v>402401948</v>
      </c>
      <c r="M165" s="20">
        <v>1200000022006382</v>
      </c>
      <c r="N165" s="19" t="s">
        <v>249</v>
      </c>
      <c r="O165" s="19"/>
    </row>
    <row r="166" spans="1:15" x14ac:dyDescent="0.25">
      <c r="A166" s="19"/>
      <c r="B166" s="19" t="s">
        <v>41</v>
      </c>
      <c r="C166" s="19" t="s">
        <v>122</v>
      </c>
      <c r="D166" s="19" t="s">
        <v>248</v>
      </c>
      <c r="E166" s="19" t="s">
        <v>124</v>
      </c>
      <c r="F166" s="19" t="s">
        <v>125</v>
      </c>
      <c r="G166" s="19" t="s">
        <v>125</v>
      </c>
      <c r="H166" s="19" t="s">
        <v>126</v>
      </c>
      <c r="I166" s="19" t="b">
        <v>0</v>
      </c>
      <c r="J166" s="19">
        <v>1</v>
      </c>
      <c r="K166" s="19">
        <v>7775.5</v>
      </c>
      <c r="L166" s="20">
        <v>402401949</v>
      </c>
      <c r="M166" s="20">
        <v>1200000022006382</v>
      </c>
      <c r="N166" s="19" t="s">
        <v>249</v>
      </c>
      <c r="O166" s="19"/>
    </row>
    <row r="167" spans="1:15" x14ac:dyDescent="0.25">
      <c r="A167" s="19"/>
      <c r="B167" s="19" t="s">
        <v>41</v>
      </c>
      <c r="C167" s="19" t="s">
        <v>122</v>
      </c>
      <c r="D167" s="19" t="s">
        <v>248</v>
      </c>
      <c r="E167" s="19" t="s">
        <v>124</v>
      </c>
      <c r="F167" s="19" t="s">
        <v>125</v>
      </c>
      <c r="G167" s="19" t="s">
        <v>125</v>
      </c>
      <c r="H167" s="19" t="s">
        <v>126</v>
      </c>
      <c r="I167" s="19" t="b">
        <v>0</v>
      </c>
      <c r="J167" s="19">
        <v>3</v>
      </c>
      <c r="K167" s="19">
        <v>7775.5</v>
      </c>
      <c r="L167" s="20">
        <v>402401950</v>
      </c>
      <c r="M167" s="20">
        <v>1200000022006382</v>
      </c>
      <c r="N167" s="19" t="s">
        <v>249</v>
      </c>
      <c r="O167" s="19"/>
    </row>
    <row r="168" spans="1:15" x14ac:dyDescent="0.25">
      <c r="A168" s="19"/>
      <c r="B168" s="19" t="s">
        <v>41</v>
      </c>
      <c r="C168" s="19" t="s">
        <v>122</v>
      </c>
      <c r="D168" s="19" t="s">
        <v>248</v>
      </c>
      <c r="E168" s="19" t="s">
        <v>124</v>
      </c>
      <c r="F168" s="19" t="s">
        <v>125</v>
      </c>
      <c r="G168" s="19" t="s">
        <v>125</v>
      </c>
      <c r="H168" s="19" t="s">
        <v>126</v>
      </c>
      <c r="I168" s="19" t="b">
        <v>0</v>
      </c>
      <c r="J168" s="19">
        <v>2</v>
      </c>
      <c r="K168" s="19">
        <v>7776</v>
      </c>
      <c r="L168" s="20">
        <v>402401953</v>
      </c>
      <c r="M168" s="20">
        <v>1200000022006382</v>
      </c>
      <c r="N168" s="19" t="s">
        <v>249</v>
      </c>
      <c r="O168" s="19"/>
    </row>
    <row r="169" spans="1:15" x14ac:dyDescent="0.25">
      <c r="A169" s="19"/>
      <c r="B169" s="19" t="s">
        <v>185</v>
      </c>
      <c r="C169" s="19" t="s">
        <v>186</v>
      </c>
      <c r="D169" s="19" t="s">
        <v>250</v>
      </c>
      <c r="E169" s="19" t="s">
        <v>124</v>
      </c>
      <c r="F169" s="19" t="s">
        <v>125</v>
      </c>
      <c r="G169" s="19" t="s">
        <v>125</v>
      </c>
      <c r="H169" s="19" t="s">
        <v>126</v>
      </c>
      <c r="I169" s="19" t="b">
        <v>0</v>
      </c>
      <c r="J169" s="19">
        <v>1</v>
      </c>
      <c r="K169" s="19">
        <v>268.67</v>
      </c>
      <c r="L169" s="20">
        <v>406381643</v>
      </c>
      <c r="M169" s="20">
        <v>1200000064459364</v>
      </c>
      <c r="N169" s="19" t="s">
        <v>251</v>
      </c>
      <c r="O169" s="19"/>
    </row>
    <row r="170" spans="1:15" x14ac:dyDescent="0.25">
      <c r="A170" s="19"/>
      <c r="B170" s="19" t="s">
        <v>185</v>
      </c>
      <c r="C170" s="19" t="s">
        <v>186</v>
      </c>
      <c r="D170" s="19" t="s">
        <v>250</v>
      </c>
      <c r="E170" s="19" t="s">
        <v>124</v>
      </c>
      <c r="F170" s="19" t="s">
        <v>125</v>
      </c>
      <c r="G170" s="19" t="s">
        <v>125</v>
      </c>
      <c r="H170" s="19" t="s">
        <v>126</v>
      </c>
      <c r="I170" s="19" t="b">
        <v>0</v>
      </c>
      <c r="J170" s="19">
        <v>99</v>
      </c>
      <c r="K170" s="19">
        <v>268.67</v>
      </c>
      <c r="L170" s="20">
        <v>406381642</v>
      </c>
      <c r="M170" s="20">
        <v>1200000064459364</v>
      </c>
      <c r="N170" s="19" t="s">
        <v>251</v>
      </c>
      <c r="O170" s="19"/>
    </row>
    <row r="171" spans="1:15" x14ac:dyDescent="0.25">
      <c r="A171" s="19"/>
      <c r="B171" s="19" t="s">
        <v>252</v>
      </c>
      <c r="C171" s="19"/>
      <c r="D171" s="19" t="s">
        <v>253</v>
      </c>
      <c r="E171" s="19" t="s">
        <v>124</v>
      </c>
      <c r="F171" s="19" t="s">
        <v>125</v>
      </c>
      <c r="G171" s="19" t="s">
        <v>125</v>
      </c>
      <c r="H171" s="19" t="s">
        <v>126</v>
      </c>
      <c r="I171" s="19" t="b">
        <v>0</v>
      </c>
      <c r="J171" s="19">
        <v>13</v>
      </c>
      <c r="K171" s="19">
        <v>1393.8</v>
      </c>
      <c r="L171" s="20">
        <v>2834568</v>
      </c>
      <c r="M171" s="20">
        <v>1000000026298057</v>
      </c>
      <c r="N171" s="19" t="s">
        <v>254</v>
      </c>
      <c r="O171" s="19"/>
    </row>
    <row r="172" spans="1:15" x14ac:dyDescent="0.25">
      <c r="A172" s="19"/>
      <c r="B172" s="19" t="s">
        <v>252</v>
      </c>
      <c r="C172" s="19"/>
      <c r="D172" s="19" t="s">
        <v>253</v>
      </c>
      <c r="E172" s="19" t="s">
        <v>124</v>
      </c>
      <c r="F172" s="19" t="s">
        <v>125</v>
      </c>
      <c r="G172" s="19" t="s">
        <v>125</v>
      </c>
      <c r="H172" s="19" t="s">
        <v>126</v>
      </c>
      <c r="I172" s="19" t="b">
        <v>0</v>
      </c>
      <c r="J172" s="19">
        <v>23</v>
      </c>
      <c r="K172" s="19">
        <v>1393.8</v>
      </c>
      <c r="L172" s="20">
        <v>2834567</v>
      </c>
      <c r="M172" s="20">
        <v>1000000026298057</v>
      </c>
      <c r="N172" s="19" t="s">
        <v>254</v>
      </c>
      <c r="O172" s="19"/>
    </row>
    <row r="173" spans="1:15" x14ac:dyDescent="0.25">
      <c r="A173" s="19"/>
      <c r="B173" s="19" t="s">
        <v>255</v>
      </c>
      <c r="C173" s="19"/>
      <c r="D173" s="19" t="s">
        <v>253</v>
      </c>
      <c r="E173" s="19" t="s">
        <v>124</v>
      </c>
      <c r="F173" s="19" t="s">
        <v>125</v>
      </c>
      <c r="G173" s="19" t="s">
        <v>125</v>
      </c>
      <c r="H173" s="19" t="s">
        <v>126</v>
      </c>
      <c r="I173" s="19" t="b">
        <v>0</v>
      </c>
      <c r="J173" s="19">
        <v>2</v>
      </c>
      <c r="K173" s="19">
        <v>4514.2997999999998</v>
      </c>
      <c r="L173" s="20">
        <v>604224003</v>
      </c>
      <c r="M173" s="20">
        <v>1300000032610706</v>
      </c>
      <c r="N173" s="19" t="s">
        <v>256</v>
      </c>
      <c r="O173" s="19"/>
    </row>
    <row r="174" spans="1:15" x14ac:dyDescent="0.25">
      <c r="A174" s="19"/>
      <c r="B174" s="19" t="s">
        <v>255</v>
      </c>
      <c r="C174" s="19"/>
      <c r="D174" s="19" t="s">
        <v>253</v>
      </c>
      <c r="E174" s="19" t="s">
        <v>124</v>
      </c>
      <c r="F174" s="19" t="s">
        <v>125</v>
      </c>
      <c r="G174" s="19" t="s">
        <v>125</v>
      </c>
      <c r="H174" s="19" t="s">
        <v>126</v>
      </c>
      <c r="I174" s="19" t="b">
        <v>0</v>
      </c>
      <c r="J174" s="19">
        <v>2</v>
      </c>
      <c r="K174" s="19">
        <v>4514.7002000000002</v>
      </c>
      <c r="L174" s="20">
        <v>604224005</v>
      </c>
      <c r="M174" s="20">
        <v>1300000032610706</v>
      </c>
      <c r="N174" s="19" t="s">
        <v>256</v>
      </c>
      <c r="O174" s="19"/>
    </row>
    <row r="175" spans="1:15" x14ac:dyDescent="0.25">
      <c r="A175" s="19"/>
      <c r="B175" s="19" t="s">
        <v>255</v>
      </c>
      <c r="C175" s="19"/>
      <c r="D175" s="19" t="s">
        <v>253</v>
      </c>
      <c r="E175" s="19" t="s">
        <v>124</v>
      </c>
      <c r="F175" s="19" t="s">
        <v>125</v>
      </c>
      <c r="G175" s="19" t="s">
        <v>125</v>
      </c>
      <c r="H175" s="19" t="s">
        <v>126</v>
      </c>
      <c r="I175" s="19" t="b">
        <v>0</v>
      </c>
      <c r="J175" s="19">
        <v>4</v>
      </c>
      <c r="K175" s="19">
        <v>4512.5</v>
      </c>
      <c r="L175" s="20">
        <v>604224002</v>
      </c>
      <c r="M175" s="20">
        <v>1300000032610706</v>
      </c>
      <c r="N175" s="19" t="s">
        <v>256</v>
      </c>
      <c r="O175" s="19"/>
    </row>
    <row r="176" spans="1:15" x14ac:dyDescent="0.25">
      <c r="A176" s="19"/>
      <c r="B176" s="19" t="s">
        <v>255</v>
      </c>
      <c r="C176" s="19"/>
      <c r="D176" s="19" t="s">
        <v>253</v>
      </c>
      <c r="E176" s="19" t="s">
        <v>124</v>
      </c>
      <c r="F176" s="19" t="s">
        <v>125</v>
      </c>
      <c r="G176" s="19" t="s">
        <v>125</v>
      </c>
      <c r="H176" s="19" t="s">
        <v>126</v>
      </c>
      <c r="I176" s="19" t="b">
        <v>0</v>
      </c>
      <c r="J176" s="19">
        <v>3</v>
      </c>
      <c r="K176" s="19">
        <v>4514.3999000000003</v>
      </c>
      <c r="L176" s="20">
        <v>604224004</v>
      </c>
      <c r="M176" s="20">
        <v>1300000032610706</v>
      </c>
      <c r="N176" s="19" t="s">
        <v>256</v>
      </c>
      <c r="O176" s="19"/>
    </row>
    <row r="177" spans="1:15" x14ac:dyDescent="0.25">
      <c r="A177" s="19"/>
      <c r="B177" s="19" t="s">
        <v>255</v>
      </c>
      <c r="C177" s="19" t="s">
        <v>257</v>
      </c>
      <c r="D177" s="19" t="s">
        <v>258</v>
      </c>
      <c r="E177" s="19" t="s">
        <v>124</v>
      </c>
      <c r="F177" s="19" t="s">
        <v>125</v>
      </c>
      <c r="G177" s="19" t="s">
        <v>125</v>
      </c>
      <c r="H177" s="19" t="s">
        <v>126</v>
      </c>
      <c r="I177" s="19" t="b">
        <v>0</v>
      </c>
      <c r="J177" s="19">
        <v>3</v>
      </c>
      <c r="K177" s="19">
        <v>4712.1000999999997</v>
      </c>
      <c r="L177" s="20">
        <v>605255054</v>
      </c>
      <c r="M177" s="20">
        <v>1300000045811742</v>
      </c>
      <c r="N177" s="19" t="s">
        <v>259</v>
      </c>
      <c r="O177" s="19"/>
    </row>
    <row r="178" spans="1:15" x14ac:dyDescent="0.25">
      <c r="A178" s="19"/>
      <c r="B178" s="19" t="s">
        <v>255</v>
      </c>
      <c r="C178" s="19" t="s">
        <v>257</v>
      </c>
      <c r="D178" s="19" t="s">
        <v>258</v>
      </c>
      <c r="E178" s="19" t="s">
        <v>124</v>
      </c>
      <c r="F178" s="19" t="s">
        <v>125</v>
      </c>
      <c r="G178" s="19" t="s">
        <v>125</v>
      </c>
      <c r="H178" s="19" t="s">
        <v>126</v>
      </c>
      <c r="I178" s="19" t="b">
        <v>0</v>
      </c>
      <c r="J178" s="19">
        <v>4</v>
      </c>
      <c r="K178" s="19">
        <v>4712</v>
      </c>
      <c r="L178" s="20">
        <v>605255052</v>
      </c>
      <c r="M178" s="20">
        <v>1300000045811742</v>
      </c>
      <c r="N178" s="19" t="s">
        <v>259</v>
      </c>
      <c r="O178" s="19"/>
    </row>
    <row r="179" spans="1:15" x14ac:dyDescent="0.25">
      <c r="A179" s="19"/>
      <c r="B179" s="19" t="s">
        <v>255</v>
      </c>
      <c r="C179" s="19" t="s">
        <v>257</v>
      </c>
      <c r="D179" s="19" t="s">
        <v>258</v>
      </c>
      <c r="E179" s="19" t="s">
        <v>124</v>
      </c>
      <c r="F179" s="19" t="s">
        <v>125</v>
      </c>
      <c r="G179" s="19" t="s">
        <v>125</v>
      </c>
      <c r="H179" s="19" t="s">
        <v>126</v>
      </c>
      <c r="I179" s="19" t="b">
        <v>0</v>
      </c>
      <c r="J179" s="19">
        <v>2</v>
      </c>
      <c r="K179" s="19">
        <v>4712.1000999999997</v>
      </c>
      <c r="L179" s="20">
        <v>605255053</v>
      </c>
      <c r="M179" s="20">
        <v>1300000045811742</v>
      </c>
      <c r="N179" s="19" t="s">
        <v>259</v>
      </c>
      <c r="O179" s="19"/>
    </row>
    <row r="180" spans="1:15" x14ac:dyDescent="0.25">
      <c r="A180" s="19"/>
      <c r="B180" s="19" t="s">
        <v>255</v>
      </c>
      <c r="C180" s="19" t="s">
        <v>257</v>
      </c>
      <c r="D180" s="19" t="s">
        <v>258</v>
      </c>
      <c r="E180" s="19" t="s">
        <v>124</v>
      </c>
      <c r="F180" s="19" t="s">
        <v>125</v>
      </c>
      <c r="G180" s="19" t="s">
        <v>125</v>
      </c>
      <c r="H180" s="19" t="s">
        <v>126</v>
      </c>
      <c r="I180" s="19" t="b">
        <v>0</v>
      </c>
      <c r="J180" s="19">
        <v>2</v>
      </c>
      <c r="K180" s="19">
        <v>4711.8999000000003</v>
      </c>
      <c r="L180" s="20">
        <v>605255051</v>
      </c>
      <c r="M180" s="20">
        <v>1300000045811742</v>
      </c>
      <c r="N180" s="19" t="s">
        <v>259</v>
      </c>
      <c r="O180" s="19"/>
    </row>
    <row r="181" spans="1:15" x14ac:dyDescent="0.25">
      <c r="A181" s="19"/>
      <c r="B181" s="19" t="s">
        <v>43</v>
      </c>
      <c r="C181" s="19" t="s">
        <v>241</v>
      </c>
      <c r="D181" s="19" t="s">
        <v>258</v>
      </c>
      <c r="E181" s="19" t="s">
        <v>124</v>
      </c>
      <c r="F181" s="19" t="s">
        <v>125</v>
      </c>
      <c r="G181" s="19" t="s">
        <v>125</v>
      </c>
      <c r="H181" s="19" t="s">
        <v>126</v>
      </c>
      <c r="I181" s="19" t="b">
        <v>0</v>
      </c>
      <c r="J181" s="19">
        <v>108</v>
      </c>
      <c r="K181" s="19">
        <v>246.27</v>
      </c>
      <c r="L181" s="20">
        <v>206412972</v>
      </c>
      <c r="M181" s="20">
        <v>1100000054184602</v>
      </c>
      <c r="N181" s="19" t="s">
        <v>260</v>
      </c>
      <c r="O181" s="19"/>
    </row>
    <row r="182" spans="1:15" x14ac:dyDescent="0.25">
      <c r="A182" s="19"/>
      <c r="B182" s="19" t="s">
        <v>43</v>
      </c>
      <c r="C182" s="19" t="s">
        <v>241</v>
      </c>
      <c r="D182" s="19" t="s">
        <v>258</v>
      </c>
      <c r="E182" s="19" t="s">
        <v>124</v>
      </c>
      <c r="F182" s="19" t="s">
        <v>125</v>
      </c>
      <c r="G182" s="19" t="s">
        <v>125</v>
      </c>
      <c r="H182" s="19" t="s">
        <v>126</v>
      </c>
      <c r="I182" s="19" t="b">
        <v>0</v>
      </c>
      <c r="J182" s="19">
        <v>96</v>
      </c>
      <c r="K182" s="19">
        <v>246.28</v>
      </c>
      <c r="L182" s="20">
        <v>206412973</v>
      </c>
      <c r="M182" s="20">
        <v>1100000054184602</v>
      </c>
      <c r="N182" s="19" t="s">
        <v>260</v>
      </c>
      <c r="O182" s="19"/>
    </row>
    <row r="183" spans="1:15" x14ac:dyDescent="0.25">
      <c r="A183" s="19"/>
      <c r="B183" s="19" t="s">
        <v>43</v>
      </c>
      <c r="C183" s="19" t="s">
        <v>241</v>
      </c>
      <c r="D183" s="19" t="s">
        <v>261</v>
      </c>
      <c r="E183" s="19" t="s">
        <v>124</v>
      </c>
      <c r="F183" s="19" t="s">
        <v>125</v>
      </c>
      <c r="G183" s="19" t="s">
        <v>125</v>
      </c>
      <c r="H183" s="19" t="s">
        <v>126</v>
      </c>
      <c r="I183" s="19" t="b">
        <v>0</v>
      </c>
      <c r="J183" s="19">
        <v>14</v>
      </c>
      <c r="K183" s="19">
        <v>257.70999999999998</v>
      </c>
      <c r="L183" s="20">
        <v>205976622</v>
      </c>
      <c r="M183" s="20">
        <v>1100000056648477</v>
      </c>
      <c r="N183" s="19" t="s">
        <v>262</v>
      </c>
      <c r="O183" s="19"/>
    </row>
    <row r="184" spans="1:15" x14ac:dyDescent="0.25">
      <c r="A184" s="19"/>
      <c r="B184" s="19" t="s">
        <v>43</v>
      </c>
      <c r="C184" s="19" t="s">
        <v>241</v>
      </c>
      <c r="D184" s="19" t="s">
        <v>261</v>
      </c>
      <c r="E184" s="19" t="s">
        <v>124</v>
      </c>
      <c r="F184" s="19" t="s">
        <v>125</v>
      </c>
      <c r="G184" s="19" t="s">
        <v>125</v>
      </c>
      <c r="H184" s="19" t="s">
        <v>126</v>
      </c>
      <c r="I184" s="19" t="b">
        <v>0</v>
      </c>
      <c r="J184" s="19">
        <v>250</v>
      </c>
      <c r="K184" s="19">
        <v>257.7</v>
      </c>
      <c r="L184" s="20">
        <v>205976620</v>
      </c>
      <c r="M184" s="20">
        <v>1100000056648477</v>
      </c>
      <c r="N184" s="19" t="s">
        <v>262</v>
      </c>
      <c r="O184" s="19"/>
    </row>
    <row r="185" spans="1:15" x14ac:dyDescent="0.25">
      <c r="A185" s="19"/>
      <c r="B185" s="19" t="s">
        <v>43</v>
      </c>
      <c r="C185" s="19" t="s">
        <v>241</v>
      </c>
      <c r="D185" s="19" t="s">
        <v>261</v>
      </c>
      <c r="E185" s="19" t="s">
        <v>124</v>
      </c>
      <c r="F185" s="19" t="s">
        <v>125</v>
      </c>
      <c r="G185" s="19" t="s">
        <v>125</v>
      </c>
      <c r="H185" s="19" t="s">
        <v>126</v>
      </c>
      <c r="I185" s="19" t="b">
        <v>0</v>
      </c>
      <c r="J185" s="19">
        <v>92</v>
      </c>
      <c r="K185" s="19">
        <v>257.7</v>
      </c>
      <c r="L185" s="20">
        <v>205976621</v>
      </c>
      <c r="M185" s="20">
        <v>1100000056648477</v>
      </c>
      <c r="N185" s="19" t="s">
        <v>262</v>
      </c>
      <c r="O185" s="19"/>
    </row>
    <row r="186" spans="1:15" x14ac:dyDescent="0.25">
      <c r="A186" s="19"/>
      <c r="B186" s="19" t="s">
        <v>43</v>
      </c>
      <c r="C186" s="19" t="s">
        <v>241</v>
      </c>
      <c r="D186" s="19" t="s">
        <v>261</v>
      </c>
      <c r="E186" s="19" t="s">
        <v>124</v>
      </c>
      <c r="F186" s="19" t="s">
        <v>125</v>
      </c>
      <c r="G186" s="19" t="s">
        <v>125</v>
      </c>
      <c r="H186" s="19" t="s">
        <v>126</v>
      </c>
      <c r="I186" s="19" t="b">
        <v>0</v>
      </c>
      <c r="J186" s="19">
        <v>32</v>
      </c>
      <c r="K186" s="19">
        <v>257.7</v>
      </c>
      <c r="L186" s="20">
        <v>205976619</v>
      </c>
      <c r="M186" s="20">
        <v>1100000056648477</v>
      </c>
      <c r="N186" s="19" t="s">
        <v>262</v>
      </c>
      <c r="O186" s="19"/>
    </row>
    <row r="187" spans="1:15" x14ac:dyDescent="0.25">
      <c r="A187" s="19"/>
      <c r="B187" s="19" t="s">
        <v>263</v>
      </c>
      <c r="C187" s="19" t="s">
        <v>264</v>
      </c>
      <c r="D187" s="19" t="s">
        <v>261</v>
      </c>
      <c r="E187" s="19" t="s">
        <v>124</v>
      </c>
      <c r="F187" s="19" t="s">
        <v>125</v>
      </c>
      <c r="G187" s="19" t="s">
        <v>125</v>
      </c>
      <c r="H187" s="19" t="s">
        <v>126</v>
      </c>
      <c r="I187" s="19" t="b">
        <v>0</v>
      </c>
      <c r="J187" s="19">
        <v>677</v>
      </c>
      <c r="K187" s="19">
        <v>108.48</v>
      </c>
      <c r="L187" s="20">
        <v>206027992</v>
      </c>
      <c r="M187" s="20">
        <v>1100000057056789</v>
      </c>
      <c r="N187" s="19" t="s">
        <v>265</v>
      </c>
      <c r="O187" s="19"/>
    </row>
    <row r="188" spans="1:15" x14ac:dyDescent="0.25">
      <c r="A188" s="19"/>
      <c r="B188" s="19" t="s">
        <v>263</v>
      </c>
      <c r="C188" s="19" t="s">
        <v>264</v>
      </c>
      <c r="D188" s="19" t="s">
        <v>261</v>
      </c>
      <c r="E188" s="19" t="s">
        <v>124</v>
      </c>
      <c r="F188" s="19" t="s">
        <v>125</v>
      </c>
      <c r="G188" s="19" t="s">
        <v>125</v>
      </c>
      <c r="H188" s="19" t="s">
        <v>126</v>
      </c>
      <c r="I188" s="19" t="b">
        <v>0</v>
      </c>
      <c r="J188" s="19">
        <v>243</v>
      </c>
      <c r="K188" s="19">
        <v>108.48</v>
      </c>
      <c r="L188" s="20">
        <v>206027993</v>
      </c>
      <c r="M188" s="20">
        <v>1100000057056789</v>
      </c>
      <c r="N188" s="19" t="s">
        <v>265</v>
      </c>
      <c r="O188" s="19"/>
    </row>
    <row r="189" spans="1:15" x14ac:dyDescent="0.25">
      <c r="A189" s="19"/>
      <c r="B189" s="19" t="s">
        <v>266</v>
      </c>
      <c r="C189" s="19" t="s">
        <v>267</v>
      </c>
      <c r="D189" s="19" t="s">
        <v>268</v>
      </c>
      <c r="E189" s="19" t="s">
        <v>124</v>
      </c>
      <c r="F189" s="19" t="s">
        <v>125</v>
      </c>
      <c r="G189" s="19" t="s">
        <v>125</v>
      </c>
      <c r="H189" s="19" t="s">
        <v>126</v>
      </c>
      <c r="I189" s="19" t="b">
        <v>0</v>
      </c>
      <c r="J189" s="19">
        <v>36</v>
      </c>
      <c r="K189" s="19">
        <v>426.6</v>
      </c>
      <c r="L189" s="20">
        <v>4769488</v>
      </c>
      <c r="M189" s="20">
        <v>1000000042386900</v>
      </c>
      <c r="N189" s="19" t="s">
        <v>269</v>
      </c>
      <c r="O189" s="19"/>
    </row>
    <row r="190" spans="1:15" x14ac:dyDescent="0.25">
      <c r="A190" s="19"/>
      <c r="B190" s="19" t="s">
        <v>266</v>
      </c>
      <c r="C190" s="19" t="s">
        <v>267</v>
      </c>
      <c r="D190" s="19" t="s">
        <v>268</v>
      </c>
      <c r="E190" s="19" t="s">
        <v>124</v>
      </c>
      <c r="F190" s="19" t="s">
        <v>125</v>
      </c>
      <c r="G190" s="19" t="s">
        <v>125</v>
      </c>
      <c r="H190" s="19" t="s">
        <v>126</v>
      </c>
      <c r="I190" s="19" t="b">
        <v>0</v>
      </c>
      <c r="J190" s="19">
        <v>81</v>
      </c>
      <c r="K190" s="19">
        <v>426.6</v>
      </c>
      <c r="L190" s="20">
        <v>4769042</v>
      </c>
      <c r="M190" s="20">
        <v>1000000042386900</v>
      </c>
      <c r="N190" s="19" t="s">
        <v>269</v>
      </c>
      <c r="O190" s="19"/>
    </row>
    <row r="191" spans="1:15" x14ac:dyDescent="0.25">
      <c r="A191" s="19"/>
      <c r="B191" s="19" t="s">
        <v>100</v>
      </c>
      <c r="C191" s="19" t="s">
        <v>270</v>
      </c>
      <c r="D191" s="19" t="s">
        <v>268</v>
      </c>
      <c r="E191" s="19" t="s">
        <v>124</v>
      </c>
      <c r="F191" s="19" t="s">
        <v>125</v>
      </c>
      <c r="G191" s="19" t="s">
        <v>125</v>
      </c>
      <c r="H191" s="19" t="s">
        <v>126</v>
      </c>
      <c r="I191" s="19" t="b">
        <v>0</v>
      </c>
      <c r="J191" s="19">
        <v>18</v>
      </c>
      <c r="K191" s="19">
        <v>2801.6001000000001</v>
      </c>
      <c r="L191" s="20">
        <v>4787082</v>
      </c>
      <c r="M191" s="20">
        <v>1000000042553870</v>
      </c>
      <c r="N191" s="19" t="s">
        <v>271</v>
      </c>
      <c r="O191" s="19"/>
    </row>
    <row r="192" spans="1:15" x14ac:dyDescent="0.25">
      <c r="A192" s="19"/>
      <c r="B192" s="19" t="s">
        <v>272</v>
      </c>
      <c r="C192" s="19" t="s">
        <v>273</v>
      </c>
      <c r="D192" s="19" t="s">
        <v>274</v>
      </c>
      <c r="E192" s="19" t="s">
        <v>124</v>
      </c>
      <c r="F192" s="19" t="s">
        <v>125</v>
      </c>
      <c r="G192" s="19" t="s">
        <v>125</v>
      </c>
      <c r="H192" s="19" t="s">
        <v>126</v>
      </c>
      <c r="I192" s="19" t="b">
        <v>0</v>
      </c>
      <c r="J192" s="19">
        <v>26</v>
      </c>
      <c r="K192" s="19">
        <v>485.05</v>
      </c>
      <c r="L192" s="20">
        <v>202333156</v>
      </c>
      <c r="M192" s="20">
        <v>1100000017290156</v>
      </c>
      <c r="N192" s="19" t="s">
        <v>275</v>
      </c>
      <c r="O192" s="19"/>
    </row>
    <row r="193" spans="1:15" x14ac:dyDescent="0.25">
      <c r="A193" s="19"/>
      <c r="B193" s="19" t="s">
        <v>272</v>
      </c>
      <c r="C193" s="19" t="s">
        <v>273</v>
      </c>
      <c r="D193" s="19" t="s">
        <v>274</v>
      </c>
      <c r="E193" s="19" t="s">
        <v>124</v>
      </c>
      <c r="F193" s="19" t="s">
        <v>125</v>
      </c>
      <c r="G193" s="19" t="s">
        <v>125</v>
      </c>
      <c r="H193" s="19" t="s">
        <v>126</v>
      </c>
      <c r="I193" s="19" t="b">
        <v>0</v>
      </c>
      <c r="J193" s="19">
        <v>77</v>
      </c>
      <c r="K193" s="19">
        <v>485.05</v>
      </c>
      <c r="L193" s="20">
        <v>202333157</v>
      </c>
      <c r="M193" s="20">
        <v>1100000017290156</v>
      </c>
      <c r="N193" s="19" t="s">
        <v>275</v>
      </c>
      <c r="O193" s="19"/>
    </row>
    <row r="194" spans="1:15" x14ac:dyDescent="0.25">
      <c r="A194" s="19"/>
      <c r="B194" s="19" t="s">
        <v>266</v>
      </c>
      <c r="C194" s="19" t="s">
        <v>267</v>
      </c>
      <c r="D194" s="19" t="s">
        <v>274</v>
      </c>
      <c r="E194" s="19" t="s">
        <v>124</v>
      </c>
      <c r="F194" s="19" t="s">
        <v>125</v>
      </c>
      <c r="G194" s="19" t="s">
        <v>125</v>
      </c>
      <c r="H194" s="19" t="s">
        <v>126</v>
      </c>
      <c r="I194" s="19" t="b">
        <v>0</v>
      </c>
      <c r="J194" s="19">
        <v>100</v>
      </c>
      <c r="K194" s="19">
        <v>450.45</v>
      </c>
      <c r="L194" s="20">
        <v>1534655</v>
      </c>
      <c r="M194" s="20">
        <v>1000000015384872</v>
      </c>
      <c r="N194" s="19" t="s">
        <v>276</v>
      </c>
      <c r="O194" s="19"/>
    </row>
    <row r="195" spans="1:15" x14ac:dyDescent="0.25">
      <c r="A195" s="19"/>
      <c r="B195" s="19" t="s">
        <v>266</v>
      </c>
      <c r="C195" s="19" t="s">
        <v>267</v>
      </c>
      <c r="D195" s="19" t="s">
        <v>274</v>
      </c>
      <c r="E195" s="19" t="s">
        <v>124</v>
      </c>
      <c r="F195" s="19" t="s">
        <v>125</v>
      </c>
      <c r="G195" s="19" t="s">
        <v>125</v>
      </c>
      <c r="H195" s="19" t="s">
        <v>126</v>
      </c>
      <c r="I195" s="19" t="b">
        <v>0</v>
      </c>
      <c r="J195" s="19">
        <v>11</v>
      </c>
      <c r="K195" s="19">
        <v>450.45</v>
      </c>
      <c r="L195" s="20">
        <v>1534656</v>
      </c>
      <c r="M195" s="20">
        <v>1000000015384872</v>
      </c>
      <c r="N195" s="19" t="s">
        <v>276</v>
      </c>
      <c r="O195" s="19"/>
    </row>
    <row r="196" spans="1:15" x14ac:dyDescent="0.25">
      <c r="A196" s="19"/>
      <c r="B196" s="19" t="s">
        <v>277</v>
      </c>
      <c r="C196" s="19" t="s">
        <v>278</v>
      </c>
      <c r="D196" s="19" t="s">
        <v>279</v>
      </c>
      <c r="E196" s="19" t="s">
        <v>124</v>
      </c>
      <c r="F196" s="19" t="s">
        <v>125</v>
      </c>
      <c r="G196" s="19" t="s">
        <v>125</v>
      </c>
      <c r="H196" s="19" t="s">
        <v>126</v>
      </c>
      <c r="I196" s="19" t="b">
        <v>0</v>
      </c>
      <c r="J196" s="19">
        <v>19</v>
      </c>
      <c r="K196" s="19">
        <v>1314.6</v>
      </c>
      <c r="L196" s="20">
        <v>402017427</v>
      </c>
      <c r="M196" s="20">
        <v>1200000019575555</v>
      </c>
      <c r="N196" s="19" t="s">
        <v>280</v>
      </c>
      <c r="O196" s="19"/>
    </row>
    <row r="197" spans="1:15" x14ac:dyDescent="0.25">
      <c r="A197" s="19"/>
      <c r="B197" s="19" t="s">
        <v>185</v>
      </c>
      <c r="C197" s="19" t="s">
        <v>186</v>
      </c>
      <c r="D197" s="19" t="s">
        <v>281</v>
      </c>
      <c r="E197" s="19" t="s">
        <v>124</v>
      </c>
      <c r="F197" s="19" t="s">
        <v>125</v>
      </c>
      <c r="G197" s="19" t="s">
        <v>125</v>
      </c>
      <c r="H197" s="19" t="s">
        <v>174</v>
      </c>
      <c r="I197" s="19" t="b">
        <v>0</v>
      </c>
      <c r="J197" s="19">
        <v>220</v>
      </c>
      <c r="K197" s="19">
        <v>245.9</v>
      </c>
      <c r="L197" s="20">
        <v>401382540</v>
      </c>
      <c r="M197" s="20">
        <v>1200000014901459</v>
      </c>
      <c r="N197" s="19" t="s">
        <v>282</v>
      </c>
      <c r="O197" s="19"/>
    </row>
    <row r="198" spans="1:15" x14ac:dyDescent="0.25">
      <c r="A198" s="19"/>
      <c r="B198" s="19" t="s">
        <v>42</v>
      </c>
      <c r="C198" s="19" t="s">
        <v>189</v>
      </c>
      <c r="D198" s="19" t="s">
        <v>283</v>
      </c>
      <c r="E198" s="19" t="s">
        <v>100</v>
      </c>
      <c r="F198" s="19" t="s">
        <v>125</v>
      </c>
      <c r="G198" s="19" t="s">
        <v>180</v>
      </c>
      <c r="H198" s="19" t="s">
        <v>126</v>
      </c>
      <c r="I198" s="19" t="b">
        <v>0</v>
      </c>
      <c r="J198" s="19">
        <v>11</v>
      </c>
      <c r="K198" s="19">
        <v>926.6</v>
      </c>
      <c r="L198" s="20">
        <v>8895500</v>
      </c>
      <c r="M198" s="20">
        <v>1.7673437114127171E+18</v>
      </c>
      <c r="N198" s="19" t="s">
        <v>284</v>
      </c>
      <c r="O198" s="19"/>
    </row>
    <row r="199" spans="1:15" x14ac:dyDescent="0.25">
      <c r="A199" s="19"/>
      <c r="B199" s="19" t="s">
        <v>42</v>
      </c>
      <c r="C199" s="19" t="s">
        <v>189</v>
      </c>
      <c r="D199" s="19" t="s">
        <v>283</v>
      </c>
      <c r="E199" s="19" t="s">
        <v>100</v>
      </c>
      <c r="F199" s="19" t="s">
        <v>125</v>
      </c>
      <c r="G199" s="19" t="s">
        <v>180</v>
      </c>
      <c r="H199" s="19" t="s">
        <v>126</v>
      </c>
      <c r="I199" s="19" t="b">
        <v>0</v>
      </c>
      <c r="J199" s="19">
        <v>97</v>
      </c>
      <c r="K199" s="19">
        <v>926.5</v>
      </c>
      <c r="L199" s="20">
        <v>8895300</v>
      </c>
      <c r="M199" s="20">
        <v>1.7673437114127171E+18</v>
      </c>
      <c r="N199" s="19" t="s">
        <v>284</v>
      </c>
      <c r="O199" s="19"/>
    </row>
    <row r="200" spans="1:15" x14ac:dyDescent="0.25">
      <c r="A200" s="19"/>
      <c r="B200" s="19" t="s">
        <v>285</v>
      </c>
      <c r="C200" s="19" t="s">
        <v>286</v>
      </c>
      <c r="D200" s="19" t="s">
        <v>283</v>
      </c>
      <c r="E200" s="19" t="s">
        <v>124</v>
      </c>
      <c r="F200" s="19" t="s">
        <v>125</v>
      </c>
      <c r="G200" s="19" t="s">
        <v>125</v>
      </c>
      <c r="H200" s="19" t="s">
        <v>126</v>
      </c>
      <c r="I200" s="19" t="b">
        <v>0</v>
      </c>
      <c r="J200" s="19">
        <v>300</v>
      </c>
      <c r="K200" s="19">
        <v>84.49</v>
      </c>
      <c r="L200" s="20">
        <v>406243588</v>
      </c>
      <c r="M200" s="20">
        <v>1200000058479057</v>
      </c>
      <c r="N200" s="19" t="s">
        <v>287</v>
      </c>
      <c r="O200" s="19"/>
    </row>
    <row r="201" spans="1:15" x14ac:dyDescent="0.25">
      <c r="A201" s="19"/>
      <c r="B201" s="19" t="s">
        <v>101</v>
      </c>
      <c r="C201" s="19" t="s">
        <v>288</v>
      </c>
      <c r="D201" s="19" t="s">
        <v>283</v>
      </c>
      <c r="E201" s="19" t="s">
        <v>124</v>
      </c>
      <c r="F201" s="19" t="s">
        <v>125</v>
      </c>
      <c r="G201" s="19" t="s">
        <v>125</v>
      </c>
      <c r="H201" s="19" t="s">
        <v>126</v>
      </c>
      <c r="I201" s="19" t="b">
        <v>0</v>
      </c>
      <c r="J201" s="19">
        <v>182</v>
      </c>
      <c r="K201" s="19">
        <v>137.25</v>
      </c>
      <c r="L201" s="20">
        <v>208912626</v>
      </c>
      <c r="M201" s="20">
        <v>1100000068739066</v>
      </c>
      <c r="N201" s="19" t="s">
        <v>289</v>
      </c>
      <c r="O201" s="19"/>
    </row>
    <row r="202" spans="1:15" x14ac:dyDescent="0.25">
      <c r="A202" s="19"/>
      <c r="B202" s="19" t="s">
        <v>44</v>
      </c>
      <c r="C202" s="19" t="s">
        <v>290</v>
      </c>
      <c r="D202" s="19" t="s">
        <v>291</v>
      </c>
      <c r="E202" s="19" t="s">
        <v>124</v>
      </c>
      <c r="F202" s="19" t="s">
        <v>125</v>
      </c>
      <c r="G202" s="19" t="s">
        <v>125</v>
      </c>
      <c r="H202" s="19" t="s">
        <v>126</v>
      </c>
      <c r="I202" s="19" t="b">
        <v>0</v>
      </c>
      <c r="J202" s="19">
        <v>665</v>
      </c>
      <c r="K202" s="19">
        <v>75.5</v>
      </c>
      <c r="L202" s="20">
        <v>3525224</v>
      </c>
      <c r="M202" s="20">
        <v>1000000030563951</v>
      </c>
      <c r="N202" s="19" t="s">
        <v>292</v>
      </c>
      <c r="O202" s="19"/>
    </row>
    <row r="203" spans="1:15" x14ac:dyDescent="0.25">
      <c r="A203" s="19"/>
      <c r="B203" s="19" t="s">
        <v>226</v>
      </c>
      <c r="C203" s="19" t="s">
        <v>227</v>
      </c>
      <c r="D203" s="19" t="s">
        <v>291</v>
      </c>
      <c r="E203" s="19" t="s">
        <v>124</v>
      </c>
      <c r="F203" s="19" t="s">
        <v>125</v>
      </c>
      <c r="G203" s="19" t="s">
        <v>125</v>
      </c>
      <c r="H203" s="19" t="s">
        <v>174</v>
      </c>
      <c r="I203" s="19" t="b">
        <v>0</v>
      </c>
      <c r="J203" s="19">
        <v>11</v>
      </c>
      <c r="K203" s="19">
        <v>814.95</v>
      </c>
      <c r="L203" s="20">
        <v>4105206</v>
      </c>
      <c r="M203" s="20">
        <v>1000000035841343</v>
      </c>
      <c r="N203" s="19" t="s">
        <v>293</v>
      </c>
      <c r="O203" s="19"/>
    </row>
    <row r="204" spans="1:15" x14ac:dyDescent="0.25">
      <c r="A204" s="19"/>
      <c r="B204" s="19" t="s">
        <v>226</v>
      </c>
      <c r="C204" s="19" t="s">
        <v>227</v>
      </c>
      <c r="D204" s="19" t="s">
        <v>291</v>
      </c>
      <c r="E204" s="19" t="s">
        <v>124</v>
      </c>
      <c r="F204" s="19" t="s">
        <v>125</v>
      </c>
      <c r="G204" s="19" t="s">
        <v>125</v>
      </c>
      <c r="H204" s="19" t="s">
        <v>174</v>
      </c>
      <c r="I204" s="19" t="b">
        <v>0</v>
      </c>
      <c r="J204" s="19">
        <v>1</v>
      </c>
      <c r="K204" s="19">
        <v>814.95</v>
      </c>
      <c r="L204" s="20">
        <v>4105207</v>
      </c>
      <c r="M204" s="20">
        <v>1000000035841343</v>
      </c>
      <c r="N204" s="19" t="s">
        <v>293</v>
      </c>
      <c r="O204" s="19"/>
    </row>
    <row r="205" spans="1:15" x14ac:dyDescent="0.25">
      <c r="A205" s="19"/>
      <c r="B205" s="19" t="s">
        <v>226</v>
      </c>
      <c r="C205" s="19" t="s">
        <v>227</v>
      </c>
      <c r="D205" s="19" t="s">
        <v>291</v>
      </c>
      <c r="E205" s="19" t="s">
        <v>124</v>
      </c>
      <c r="F205" s="19" t="s">
        <v>125</v>
      </c>
      <c r="G205" s="19" t="s">
        <v>125</v>
      </c>
      <c r="H205" s="19" t="s">
        <v>174</v>
      </c>
      <c r="I205" s="19" t="b">
        <v>0</v>
      </c>
      <c r="J205" s="19">
        <v>2</v>
      </c>
      <c r="K205" s="19">
        <v>814.9</v>
      </c>
      <c r="L205" s="20">
        <v>4105209</v>
      </c>
      <c r="M205" s="20">
        <v>1000000035841343</v>
      </c>
      <c r="N205" s="19" t="s">
        <v>293</v>
      </c>
      <c r="O205" s="19"/>
    </row>
    <row r="206" spans="1:15" x14ac:dyDescent="0.25">
      <c r="A206" s="19"/>
      <c r="B206" s="19" t="s">
        <v>226</v>
      </c>
      <c r="C206" s="19" t="s">
        <v>227</v>
      </c>
      <c r="D206" s="19" t="s">
        <v>291</v>
      </c>
      <c r="E206" s="19" t="s">
        <v>124</v>
      </c>
      <c r="F206" s="19" t="s">
        <v>125</v>
      </c>
      <c r="G206" s="19" t="s">
        <v>125</v>
      </c>
      <c r="H206" s="19" t="s">
        <v>174</v>
      </c>
      <c r="I206" s="19" t="b">
        <v>0</v>
      </c>
      <c r="J206" s="19">
        <v>38</v>
      </c>
      <c r="K206" s="19">
        <v>814.95</v>
      </c>
      <c r="L206" s="20">
        <v>4105208</v>
      </c>
      <c r="M206" s="20">
        <v>1000000035841343</v>
      </c>
      <c r="N206" s="19" t="s">
        <v>293</v>
      </c>
      <c r="O206" s="19"/>
    </row>
    <row r="207" spans="1:15" x14ac:dyDescent="0.25">
      <c r="A207" s="19"/>
      <c r="B207" s="19" t="s">
        <v>44</v>
      </c>
      <c r="C207" s="19" t="s">
        <v>290</v>
      </c>
      <c r="D207" s="19" t="s">
        <v>291</v>
      </c>
      <c r="E207" s="19" t="s">
        <v>124</v>
      </c>
      <c r="F207" s="19" t="s">
        <v>125</v>
      </c>
      <c r="G207" s="19" t="s">
        <v>125</v>
      </c>
      <c r="H207" s="19" t="s">
        <v>174</v>
      </c>
      <c r="I207" s="19" t="b">
        <v>0</v>
      </c>
      <c r="J207" s="19">
        <v>50</v>
      </c>
      <c r="K207" s="19">
        <v>72.97999999999999</v>
      </c>
      <c r="L207" s="20">
        <v>4343004</v>
      </c>
      <c r="M207" s="20">
        <v>1000000038012849</v>
      </c>
      <c r="N207" s="19" t="s">
        <v>294</v>
      </c>
      <c r="O207" s="19"/>
    </row>
    <row r="208" spans="1:15" x14ac:dyDescent="0.25">
      <c r="A208" s="19"/>
      <c r="B208" s="19" t="s">
        <v>44</v>
      </c>
      <c r="C208" s="19" t="s">
        <v>290</v>
      </c>
      <c r="D208" s="19" t="s">
        <v>291</v>
      </c>
      <c r="E208" s="19" t="s">
        <v>124</v>
      </c>
      <c r="F208" s="19" t="s">
        <v>125</v>
      </c>
      <c r="G208" s="19" t="s">
        <v>125</v>
      </c>
      <c r="H208" s="19" t="s">
        <v>174</v>
      </c>
      <c r="I208" s="19" t="b">
        <v>0</v>
      </c>
      <c r="J208" s="19">
        <v>590</v>
      </c>
      <c r="K208" s="19">
        <v>72.97999999999999</v>
      </c>
      <c r="L208" s="20">
        <v>4343005</v>
      </c>
      <c r="M208" s="20">
        <v>1000000038012849</v>
      </c>
      <c r="N208" s="19" t="s">
        <v>294</v>
      </c>
      <c r="O208" s="19"/>
    </row>
    <row r="209" spans="1:15" x14ac:dyDescent="0.25">
      <c r="A209" s="19"/>
      <c r="B209" s="19" t="s">
        <v>44</v>
      </c>
      <c r="C209" s="19" t="s">
        <v>290</v>
      </c>
      <c r="D209" s="19" t="s">
        <v>291</v>
      </c>
      <c r="E209" s="19" t="s">
        <v>124</v>
      </c>
      <c r="F209" s="19" t="s">
        <v>125</v>
      </c>
      <c r="G209" s="19" t="s">
        <v>125</v>
      </c>
      <c r="H209" s="19" t="s">
        <v>174</v>
      </c>
      <c r="I209" s="19" t="b">
        <v>0</v>
      </c>
      <c r="J209" s="19">
        <v>25</v>
      </c>
      <c r="K209" s="19">
        <v>72.97999999999999</v>
      </c>
      <c r="L209" s="20">
        <v>4343006</v>
      </c>
      <c r="M209" s="20">
        <v>1000000038012849</v>
      </c>
      <c r="N209" s="19" t="s">
        <v>294</v>
      </c>
      <c r="O209" s="19"/>
    </row>
    <row r="210" spans="1:15" x14ac:dyDescent="0.25">
      <c r="A210" s="19"/>
      <c r="B210" s="19" t="s">
        <v>163</v>
      </c>
      <c r="C210" s="19" t="s">
        <v>164</v>
      </c>
      <c r="D210" s="19" t="s">
        <v>291</v>
      </c>
      <c r="E210" s="19" t="s">
        <v>124</v>
      </c>
      <c r="F210" s="19" t="s">
        <v>125</v>
      </c>
      <c r="G210" s="19" t="s">
        <v>125</v>
      </c>
      <c r="H210" s="19" t="s">
        <v>126</v>
      </c>
      <c r="I210" s="19" t="b">
        <v>0</v>
      </c>
      <c r="J210" s="19">
        <v>125</v>
      </c>
      <c r="K210" s="19">
        <v>154.59</v>
      </c>
      <c r="L210" s="20">
        <v>5678235</v>
      </c>
      <c r="M210" s="20">
        <v>1000000049175784</v>
      </c>
      <c r="N210" s="19" t="s">
        <v>295</v>
      </c>
      <c r="O210" s="19"/>
    </row>
    <row r="211" spans="1:15" x14ac:dyDescent="0.25">
      <c r="A211" s="19"/>
      <c r="B211" s="19" t="s">
        <v>163</v>
      </c>
      <c r="C211" s="19" t="s">
        <v>164</v>
      </c>
      <c r="D211" s="19" t="s">
        <v>291</v>
      </c>
      <c r="E211" s="19" t="s">
        <v>124</v>
      </c>
      <c r="F211" s="19" t="s">
        <v>125</v>
      </c>
      <c r="G211" s="19" t="s">
        <v>125</v>
      </c>
      <c r="H211" s="19" t="s">
        <v>126</v>
      </c>
      <c r="I211" s="19" t="b">
        <v>0</v>
      </c>
      <c r="J211" s="19">
        <v>136</v>
      </c>
      <c r="K211" s="19">
        <v>154.59</v>
      </c>
      <c r="L211" s="20">
        <v>5678236</v>
      </c>
      <c r="M211" s="20">
        <v>1000000049175784</v>
      </c>
      <c r="N211" s="19" t="s">
        <v>295</v>
      </c>
      <c r="O211" s="19"/>
    </row>
    <row r="212" spans="1:15" x14ac:dyDescent="0.25">
      <c r="A212" s="19"/>
      <c r="B212" s="19" t="s">
        <v>163</v>
      </c>
      <c r="C212" s="19" t="s">
        <v>164</v>
      </c>
      <c r="D212" s="19" t="s">
        <v>291</v>
      </c>
      <c r="E212" s="19" t="s">
        <v>124</v>
      </c>
      <c r="F212" s="19" t="s">
        <v>125</v>
      </c>
      <c r="G212" s="19" t="s">
        <v>125</v>
      </c>
      <c r="H212" s="19" t="s">
        <v>126</v>
      </c>
      <c r="I212" s="19" t="b">
        <v>0</v>
      </c>
      <c r="J212" s="19">
        <v>19</v>
      </c>
      <c r="K212" s="19">
        <v>154.59</v>
      </c>
      <c r="L212" s="20">
        <v>5678237</v>
      </c>
      <c r="M212" s="20">
        <v>1000000049175784</v>
      </c>
      <c r="N212" s="19" t="s">
        <v>295</v>
      </c>
      <c r="O212" s="19"/>
    </row>
    <row r="213" spans="1:15" x14ac:dyDescent="0.25">
      <c r="A213" s="19"/>
      <c r="B213" s="19" t="s">
        <v>163</v>
      </c>
      <c r="C213" s="19" t="s">
        <v>164</v>
      </c>
      <c r="D213" s="19" t="s">
        <v>291</v>
      </c>
      <c r="E213" s="19" t="s">
        <v>124</v>
      </c>
      <c r="F213" s="19" t="s">
        <v>125</v>
      </c>
      <c r="G213" s="19" t="s">
        <v>125</v>
      </c>
      <c r="H213" s="19" t="s">
        <v>126</v>
      </c>
      <c r="I213" s="19" t="b">
        <v>0</v>
      </c>
      <c r="J213" s="19">
        <v>44</v>
      </c>
      <c r="K213" s="19">
        <v>154.6</v>
      </c>
      <c r="L213" s="20">
        <v>5678238</v>
      </c>
      <c r="M213" s="20">
        <v>1000000049175784</v>
      </c>
      <c r="N213" s="19" t="s">
        <v>295</v>
      </c>
      <c r="O213" s="19"/>
    </row>
    <row r="214" spans="1:15" x14ac:dyDescent="0.25">
      <c r="A214" s="19"/>
      <c r="B214" s="19" t="s">
        <v>94</v>
      </c>
      <c r="C214" s="19" t="s">
        <v>149</v>
      </c>
      <c r="D214" s="19" t="s">
        <v>291</v>
      </c>
      <c r="E214" s="19" t="s">
        <v>124</v>
      </c>
      <c r="F214" s="19" t="s">
        <v>125</v>
      </c>
      <c r="G214" s="19" t="s">
        <v>125</v>
      </c>
      <c r="H214" s="19" t="s">
        <v>126</v>
      </c>
      <c r="I214" s="19" t="b">
        <v>0</v>
      </c>
      <c r="J214" s="19">
        <v>41</v>
      </c>
      <c r="K214" s="19">
        <v>612</v>
      </c>
      <c r="L214" s="20">
        <v>208704403</v>
      </c>
      <c r="M214" s="20">
        <v>1100000068344678</v>
      </c>
      <c r="N214" s="19" t="s">
        <v>296</v>
      </c>
      <c r="O214" s="19"/>
    </row>
    <row r="215" spans="1:15" x14ac:dyDescent="0.25">
      <c r="A215" s="19"/>
      <c r="B215" s="19" t="s">
        <v>297</v>
      </c>
      <c r="C215" s="19" t="s">
        <v>298</v>
      </c>
      <c r="D215" s="19" t="s">
        <v>291</v>
      </c>
      <c r="E215" s="19" t="s">
        <v>124</v>
      </c>
      <c r="F215" s="19" t="s">
        <v>125</v>
      </c>
      <c r="G215" s="19" t="s">
        <v>125</v>
      </c>
      <c r="H215" s="19" t="s">
        <v>126</v>
      </c>
      <c r="I215" s="19" t="b">
        <v>0</v>
      </c>
      <c r="J215" s="19">
        <v>1</v>
      </c>
      <c r="K215" s="19">
        <v>2936.3</v>
      </c>
      <c r="L215" s="20">
        <v>5735291</v>
      </c>
      <c r="M215" s="20">
        <v>1000000049547677</v>
      </c>
      <c r="N215" s="19" t="s">
        <v>299</v>
      </c>
      <c r="O215" s="19"/>
    </row>
    <row r="216" spans="1:15" x14ac:dyDescent="0.25">
      <c r="A216" s="19"/>
      <c r="B216" s="19" t="s">
        <v>297</v>
      </c>
      <c r="C216" s="19" t="s">
        <v>298</v>
      </c>
      <c r="D216" s="19" t="s">
        <v>291</v>
      </c>
      <c r="E216" s="19" t="s">
        <v>124</v>
      </c>
      <c r="F216" s="19" t="s">
        <v>125</v>
      </c>
      <c r="G216" s="19" t="s">
        <v>125</v>
      </c>
      <c r="H216" s="19" t="s">
        <v>126</v>
      </c>
      <c r="I216" s="19" t="b">
        <v>0</v>
      </c>
      <c r="J216" s="19">
        <v>3</v>
      </c>
      <c r="K216" s="19">
        <v>2936.3</v>
      </c>
      <c r="L216" s="20">
        <v>5735290</v>
      </c>
      <c r="M216" s="20">
        <v>1000000049547677</v>
      </c>
      <c r="N216" s="19" t="s">
        <v>299</v>
      </c>
      <c r="O216" s="19"/>
    </row>
    <row r="217" spans="1:15" x14ac:dyDescent="0.25">
      <c r="A217" s="19"/>
      <c r="B217" s="19" t="s">
        <v>44</v>
      </c>
      <c r="C217" s="19" t="s">
        <v>290</v>
      </c>
      <c r="D217" s="19" t="s">
        <v>300</v>
      </c>
      <c r="E217" s="19" t="s">
        <v>124</v>
      </c>
      <c r="F217" s="19" t="s">
        <v>125</v>
      </c>
      <c r="G217" s="19" t="s">
        <v>125</v>
      </c>
      <c r="H217" s="19" t="s">
        <v>126</v>
      </c>
      <c r="I217" s="19" t="b">
        <v>0</v>
      </c>
      <c r="J217" s="19">
        <v>500</v>
      </c>
      <c r="K217" s="19">
        <v>84.92</v>
      </c>
      <c r="L217" s="20">
        <v>277975</v>
      </c>
      <c r="M217" s="20">
        <v>1000000002320226</v>
      </c>
      <c r="N217" s="19" t="s">
        <v>301</v>
      </c>
      <c r="O217" s="19"/>
    </row>
    <row r="218" spans="1:15" x14ac:dyDescent="0.25">
      <c r="A218" s="19"/>
      <c r="B218" s="19" t="s">
        <v>255</v>
      </c>
      <c r="C218" s="19" t="s">
        <v>257</v>
      </c>
      <c r="D218" s="19" t="s">
        <v>302</v>
      </c>
      <c r="E218" s="19" t="s">
        <v>124</v>
      </c>
      <c r="F218" s="19" t="s">
        <v>125</v>
      </c>
      <c r="G218" s="19" t="s">
        <v>125</v>
      </c>
      <c r="H218" s="19" t="s">
        <v>174</v>
      </c>
      <c r="I218" s="19" t="b">
        <v>0</v>
      </c>
      <c r="J218" s="19">
        <v>1</v>
      </c>
      <c r="K218" s="19">
        <v>4030.5</v>
      </c>
      <c r="L218" s="20">
        <v>606190475</v>
      </c>
      <c r="M218" s="20">
        <v>1300000047221509</v>
      </c>
      <c r="N218" s="19" t="s">
        <v>303</v>
      </c>
      <c r="O218" s="19"/>
    </row>
    <row r="219" spans="1:15" x14ac:dyDescent="0.25">
      <c r="A219" s="19"/>
      <c r="B219" s="19" t="s">
        <v>255</v>
      </c>
      <c r="C219" s="19" t="s">
        <v>257</v>
      </c>
      <c r="D219" s="19" t="s">
        <v>302</v>
      </c>
      <c r="E219" s="19" t="s">
        <v>124</v>
      </c>
      <c r="F219" s="19" t="s">
        <v>125</v>
      </c>
      <c r="G219" s="19" t="s">
        <v>125</v>
      </c>
      <c r="H219" s="19" t="s">
        <v>174</v>
      </c>
      <c r="I219" s="19" t="b">
        <v>0</v>
      </c>
      <c r="J219" s="19">
        <v>1</v>
      </c>
      <c r="K219" s="19">
        <v>4030.7</v>
      </c>
      <c r="L219" s="20">
        <v>606190474</v>
      </c>
      <c r="M219" s="20">
        <v>1300000047221509</v>
      </c>
      <c r="N219" s="19" t="s">
        <v>303</v>
      </c>
      <c r="O219" s="19"/>
    </row>
    <row r="220" spans="1:15" x14ac:dyDescent="0.25">
      <c r="A220" s="19"/>
      <c r="B220" s="19" t="s">
        <v>255</v>
      </c>
      <c r="C220" s="19" t="s">
        <v>257</v>
      </c>
      <c r="D220" s="19" t="s">
        <v>302</v>
      </c>
      <c r="E220" s="19" t="s">
        <v>124</v>
      </c>
      <c r="F220" s="19" t="s">
        <v>125</v>
      </c>
      <c r="G220" s="19" t="s">
        <v>125</v>
      </c>
      <c r="H220" s="19" t="s">
        <v>174</v>
      </c>
      <c r="I220" s="19" t="b">
        <v>0</v>
      </c>
      <c r="J220" s="19">
        <v>20</v>
      </c>
      <c r="K220" s="19">
        <v>4030.3998999999999</v>
      </c>
      <c r="L220" s="20">
        <v>606190476</v>
      </c>
      <c r="M220" s="20">
        <v>1300000047221509</v>
      </c>
      <c r="N220" s="19" t="s">
        <v>303</v>
      </c>
      <c r="O220" s="19"/>
    </row>
    <row r="221" spans="1:15" x14ac:dyDescent="0.25">
      <c r="A221" s="19"/>
      <c r="B221" s="19" t="s">
        <v>101</v>
      </c>
      <c r="C221" s="19" t="s">
        <v>288</v>
      </c>
      <c r="D221" s="19" t="s">
        <v>302</v>
      </c>
      <c r="E221" s="19" t="s">
        <v>124</v>
      </c>
      <c r="F221" s="19" t="s">
        <v>125</v>
      </c>
      <c r="G221" s="19" t="s">
        <v>125</v>
      </c>
      <c r="H221" s="19" t="s">
        <v>126</v>
      </c>
      <c r="I221" s="19" t="b">
        <v>0</v>
      </c>
      <c r="J221" s="19">
        <v>20</v>
      </c>
      <c r="K221" s="19">
        <v>140.28</v>
      </c>
      <c r="L221" s="20">
        <v>208258801</v>
      </c>
      <c r="M221" s="20">
        <v>1100000062498088</v>
      </c>
      <c r="N221" s="19" t="s">
        <v>304</v>
      </c>
      <c r="O221" s="19"/>
    </row>
    <row r="222" spans="1:15" x14ac:dyDescent="0.25">
      <c r="A222" s="19"/>
      <c r="B222" s="19" t="s">
        <v>101</v>
      </c>
      <c r="C222" s="19" t="s">
        <v>288</v>
      </c>
      <c r="D222" s="19" t="s">
        <v>302</v>
      </c>
      <c r="E222" s="19" t="s">
        <v>124</v>
      </c>
      <c r="F222" s="19" t="s">
        <v>125</v>
      </c>
      <c r="G222" s="19" t="s">
        <v>125</v>
      </c>
      <c r="H222" s="19" t="s">
        <v>126</v>
      </c>
      <c r="I222" s="19" t="b">
        <v>0</v>
      </c>
      <c r="J222" s="19">
        <v>40</v>
      </c>
      <c r="K222" s="19">
        <v>140.28</v>
      </c>
      <c r="L222" s="20">
        <v>208258799</v>
      </c>
      <c r="M222" s="20">
        <v>1100000062498088</v>
      </c>
      <c r="N222" s="19" t="s">
        <v>304</v>
      </c>
      <c r="O222" s="19"/>
    </row>
    <row r="223" spans="1:15" x14ac:dyDescent="0.25">
      <c r="A223" s="19"/>
      <c r="B223" s="19" t="s">
        <v>101</v>
      </c>
      <c r="C223" s="19" t="s">
        <v>288</v>
      </c>
      <c r="D223" s="19" t="s">
        <v>302</v>
      </c>
      <c r="E223" s="19" t="s">
        <v>124</v>
      </c>
      <c r="F223" s="19" t="s">
        <v>125</v>
      </c>
      <c r="G223" s="19" t="s">
        <v>125</v>
      </c>
      <c r="H223" s="19" t="s">
        <v>126</v>
      </c>
      <c r="I223" s="19" t="b">
        <v>0</v>
      </c>
      <c r="J223" s="19">
        <v>50</v>
      </c>
      <c r="K223" s="19">
        <v>140.28</v>
      </c>
      <c r="L223" s="20">
        <v>208258800</v>
      </c>
      <c r="M223" s="20">
        <v>1100000062498088</v>
      </c>
      <c r="N223" s="19" t="s">
        <v>304</v>
      </c>
      <c r="O223" s="19"/>
    </row>
    <row r="224" spans="1:15" x14ac:dyDescent="0.25">
      <c r="A224" s="19"/>
      <c r="B224" s="19" t="s">
        <v>101</v>
      </c>
      <c r="C224" s="19" t="s">
        <v>288</v>
      </c>
      <c r="D224" s="19" t="s">
        <v>302</v>
      </c>
      <c r="E224" s="19" t="s">
        <v>124</v>
      </c>
      <c r="F224" s="19" t="s">
        <v>125</v>
      </c>
      <c r="G224" s="19" t="s">
        <v>125</v>
      </c>
      <c r="H224" s="19" t="s">
        <v>126</v>
      </c>
      <c r="I224" s="19" t="b">
        <v>0</v>
      </c>
      <c r="J224" s="19">
        <v>61</v>
      </c>
      <c r="K224" s="19">
        <v>140.27000000000001</v>
      </c>
      <c r="L224" s="20">
        <v>208258798</v>
      </c>
      <c r="M224" s="20">
        <v>1100000062498088</v>
      </c>
      <c r="N224" s="19" t="s">
        <v>304</v>
      </c>
      <c r="O224" s="19"/>
    </row>
    <row r="225" spans="1:15" x14ac:dyDescent="0.25">
      <c r="A225" s="19"/>
      <c r="B225" s="19" t="s">
        <v>101</v>
      </c>
      <c r="C225" s="19" t="s">
        <v>288</v>
      </c>
      <c r="D225" s="19" t="s">
        <v>302</v>
      </c>
      <c r="E225" s="19" t="s">
        <v>124</v>
      </c>
      <c r="F225" s="19" t="s">
        <v>125</v>
      </c>
      <c r="G225" s="19" t="s">
        <v>125</v>
      </c>
      <c r="H225" s="19" t="s">
        <v>126</v>
      </c>
      <c r="I225" s="19" t="b">
        <v>0</v>
      </c>
      <c r="J225" s="19">
        <v>9</v>
      </c>
      <c r="K225" s="19">
        <v>140.28</v>
      </c>
      <c r="L225" s="20">
        <v>208258802</v>
      </c>
      <c r="M225" s="20">
        <v>1100000062498088</v>
      </c>
      <c r="N225" s="19" t="s">
        <v>304</v>
      </c>
      <c r="O225" s="19"/>
    </row>
    <row r="226" spans="1:15" x14ac:dyDescent="0.25">
      <c r="A226" s="19"/>
      <c r="B226" s="19" t="s">
        <v>44</v>
      </c>
      <c r="C226" s="19" t="s">
        <v>290</v>
      </c>
      <c r="D226" s="19" t="s">
        <v>302</v>
      </c>
      <c r="E226" s="19" t="s">
        <v>100</v>
      </c>
      <c r="F226" s="19" t="s">
        <v>125</v>
      </c>
      <c r="G226" s="19" t="s">
        <v>305</v>
      </c>
      <c r="H226" s="19" t="s">
        <v>126</v>
      </c>
      <c r="I226" s="19" t="b">
        <v>0</v>
      </c>
      <c r="J226" s="19">
        <v>525</v>
      </c>
      <c r="K226" s="19">
        <v>96.34</v>
      </c>
      <c r="L226" s="20">
        <v>6999200</v>
      </c>
      <c r="M226" s="20">
        <v>1.768553083055275E+18</v>
      </c>
      <c r="N226" s="19" t="s">
        <v>306</v>
      </c>
      <c r="O226" s="19"/>
    </row>
    <row r="227" spans="1:15" x14ac:dyDescent="0.25">
      <c r="A227" s="19"/>
      <c r="B227" s="19" t="s">
        <v>307</v>
      </c>
      <c r="C227" s="19" t="s">
        <v>308</v>
      </c>
      <c r="D227" s="19" t="s">
        <v>302</v>
      </c>
      <c r="E227" s="19" t="s">
        <v>124</v>
      </c>
      <c r="F227" s="19" t="s">
        <v>125</v>
      </c>
      <c r="G227" s="19" t="s">
        <v>125</v>
      </c>
      <c r="H227" s="19" t="s">
        <v>126</v>
      </c>
      <c r="I227" s="19" t="b">
        <v>0</v>
      </c>
      <c r="J227" s="19">
        <v>600</v>
      </c>
      <c r="K227" s="19">
        <v>44.47</v>
      </c>
      <c r="L227" s="20">
        <v>608076103</v>
      </c>
      <c r="M227" s="20">
        <v>1300000063866786</v>
      </c>
      <c r="N227" s="19" t="s">
        <v>309</v>
      </c>
      <c r="O227" s="19"/>
    </row>
    <row r="228" spans="1:15" x14ac:dyDescent="0.25">
      <c r="A228" s="19"/>
      <c r="B228" s="19" t="s">
        <v>310</v>
      </c>
      <c r="C228" s="19" t="s">
        <v>311</v>
      </c>
      <c r="D228" s="19" t="s">
        <v>302</v>
      </c>
      <c r="E228" s="19" t="s">
        <v>124</v>
      </c>
      <c r="F228" s="19" t="s">
        <v>125</v>
      </c>
      <c r="G228" s="19" t="s">
        <v>125</v>
      </c>
      <c r="H228" s="19" t="s">
        <v>126</v>
      </c>
      <c r="I228" s="19" t="b">
        <v>0</v>
      </c>
      <c r="J228" s="19">
        <v>1</v>
      </c>
      <c r="K228" s="19">
        <v>131.88999999999999</v>
      </c>
      <c r="L228" s="20">
        <v>406128904</v>
      </c>
      <c r="M228" s="20">
        <v>1200000061891005</v>
      </c>
      <c r="N228" s="19" t="s">
        <v>312</v>
      </c>
      <c r="O228" s="19"/>
    </row>
    <row r="229" spans="1:15" x14ac:dyDescent="0.25">
      <c r="A229" s="19"/>
      <c r="B229" s="19" t="s">
        <v>310</v>
      </c>
      <c r="C229" s="19" t="s">
        <v>311</v>
      </c>
      <c r="D229" s="19" t="s">
        <v>302</v>
      </c>
      <c r="E229" s="19" t="s">
        <v>124</v>
      </c>
      <c r="F229" s="19" t="s">
        <v>125</v>
      </c>
      <c r="G229" s="19" t="s">
        <v>125</v>
      </c>
      <c r="H229" s="19" t="s">
        <v>126</v>
      </c>
      <c r="I229" s="19" t="b">
        <v>0</v>
      </c>
      <c r="J229" s="19">
        <v>9</v>
      </c>
      <c r="K229" s="19">
        <v>131.88999999999999</v>
      </c>
      <c r="L229" s="20">
        <v>406128905</v>
      </c>
      <c r="M229" s="20">
        <v>1200000061891005</v>
      </c>
      <c r="N229" s="19" t="s">
        <v>312</v>
      </c>
      <c r="O229" s="19"/>
    </row>
    <row r="230" spans="1:15" x14ac:dyDescent="0.25">
      <c r="A230" s="19"/>
      <c r="B230" s="19" t="s">
        <v>313</v>
      </c>
      <c r="C230" s="19" t="s">
        <v>314</v>
      </c>
      <c r="D230" s="19" t="s">
        <v>302</v>
      </c>
      <c r="E230" s="19" t="s">
        <v>124</v>
      </c>
      <c r="F230" s="19" t="s">
        <v>125</v>
      </c>
      <c r="G230" s="19" t="s">
        <v>125</v>
      </c>
      <c r="H230" s="19" t="s">
        <v>126</v>
      </c>
      <c r="I230" s="19" t="b">
        <v>0</v>
      </c>
      <c r="J230" s="19">
        <v>10</v>
      </c>
      <c r="K230" s="19">
        <v>156.75</v>
      </c>
      <c r="L230" s="20">
        <v>5688654</v>
      </c>
      <c r="M230" s="20">
        <v>1000000056015274</v>
      </c>
      <c r="N230" s="19" t="s">
        <v>315</v>
      </c>
      <c r="O230" s="19"/>
    </row>
    <row r="231" spans="1:15" x14ac:dyDescent="0.25">
      <c r="A231" s="19"/>
      <c r="B231" s="19" t="s">
        <v>316</v>
      </c>
      <c r="C231" s="19" t="s">
        <v>317</v>
      </c>
      <c r="D231" s="19" t="s">
        <v>302</v>
      </c>
      <c r="E231" s="19" t="s">
        <v>124</v>
      </c>
      <c r="F231" s="19" t="s">
        <v>125</v>
      </c>
      <c r="G231" s="19" t="s">
        <v>125</v>
      </c>
      <c r="H231" s="19" t="s">
        <v>126</v>
      </c>
      <c r="I231" s="19" t="b">
        <v>0</v>
      </c>
      <c r="J231" s="19">
        <v>20</v>
      </c>
      <c r="K231" s="19">
        <v>66.849999999999994</v>
      </c>
      <c r="L231" s="20">
        <v>406134247</v>
      </c>
      <c r="M231" s="20">
        <v>1200000061948522</v>
      </c>
      <c r="N231" s="19" t="s">
        <v>318</v>
      </c>
      <c r="O231" s="19"/>
    </row>
    <row r="232" spans="1:15" x14ac:dyDescent="0.25">
      <c r="A232" s="19"/>
      <c r="B232" s="19" t="s">
        <v>43</v>
      </c>
      <c r="C232" s="19" t="s">
        <v>241</v>
      </c>
      <c r="D232" s="19" t="s">
        <v>302</v>
      </c>
      <c r="E232" s="19" t="s">
        <v>100</v>
      </c>
      <c r="F232" s="19" t="s">
        <v>125</v>
      </c>
      <c r="G232" s="19" t="s">
        <v>180</v>
      </c>
      <c r="H232" s="19" t="s">
        <v>126</v>
      </c>
      <c r="I232" s="19" t="b">
        <v>0</v>
      </c>
      <c r="J232" s="19">
        <v>11</v>
      </c>
      <c r="K232" s="19">
        <v>270.14999999999998</v>
      </c>
      <c r="L232" s="20">
        <v>15720900</v>
      </c>
      <c r="M232" s="20">
        <v>1.768554517040546E+18</v>
      </c>
      <c r="N232" s="19" t="s">
        <v>319</v>
      </c>
      <c r="O232" s="19"/>
    </row>
    <row r="233" spans="1:15" x14ac:dyDescent="0.25">
      <c r="A233" s="19"/>
      <c r="B233" s="19" t="s">
        <v>43</v>
      </c>
      <c r="C233" s="19" t="s">
        <v>241</v>
      </c>
      <c r="D233" s="19" t="s">
        <v>302</v>
      </c>
      <c r="E233" s="19" t="s">
        <v>100</v>
      </c>
      <c r="F233" s="19" t="s">
        <v>125</v>
      </c>
      <c r="G233" s="19" t="s">
        <v>180</v>
      </c>
      <c r="H233" s="19" t="s">
        <v>126</v>
      </c>
      <c r="I233" s="19" t="b">
        <v>0</v>
      </c>
      <c r="J233" s="19">
        <v>359</v>
      </c>
      <c r="K233" s="19">
        <v>270.25</v>
      </c>
      <c r="L233" s="20">
        <v>15721600</v>
      </c>
      <c r="M233" s="20">
        <v>1.768554517040546E+18</v>
      </c>
      <c r="N233" s="19" t="s">
        <v>319</v>
      </c>
      <c r="O233" s="19"/>
    </row>
    <row r="234" spans="1:15" x14ac:dyDescent="0.25">
      <c r="A234" s="19"/>
      <c r="B234" s="19" t="s">
        <v>313</v>
      </c>
      <c r="C234" s="19" t="s">
        <v>314</v>
      </c>
      <c r="D234" s="19" t="s">
        <v>302</v>
      </c>
      <c r="E234" s="19" t="s">
        <v>124</v>
      </c>
      <c r="F234" s="19" t="s">
        <v>125</v>
      </c>
      <c r="G234" s="19" t="s">
        <v>125</v>
      </c>
      <c r="H234" s="19" t="s">
        <v>126</v>
      </c>
      <c r="I234" s="19" t="b">
        <v>0</v>
      </c>
      <c r="J234" s="19">
        <v>1</v>
      </c>
      <c r="K234" s="19">
        <v>157.28</v>
      </c>
      <c r="L234" s="20">
        <v>6113555</v>
      </c>
      <c r="M234" s="20">
        <v>1000000059176836</v>
      </c>
      <c r="N234" s="19" t="s">
        <v>320</v>
      </c>
      <c r="O234" s="19"/>
    </row>
    <row r="235" spans="1:15" x14ac:dyDescent="0.25">
      <c r="A235" s="19"/>
      <c r="B235" s="19" t="s">
        <v>313</v>
      </c>
      <c r="C235" s="19" t="s">
        <v>314</v>
      </c>
      <c r="D235" s="19" t="s">
        <v>302</v>
      </c>
      <c r="E235" s="19" t="s">
        <v>124</v>
      </c>
      <c r="F235" s="19" t="s">
        <v>125</v>
      </c>
      <c r="G235" s="19" t="s">
        <v>125</v>
      </c>
      <c r="H235" s="19" t="s">
        <v>126</v>
      </c>
      <c r="I235" s="19" t="b">
        <v>0</v>
      </c>
      <c r="J235" s="19">
        <v>149</v>
      </c>
      <c r="K235" s="19">
        <v>157.30000000000001</v>
      </c>
      <c r="L235" s="20">
        <v>6113556</v>
      </c>
      <c r="M235" s="20">
        <v>1000000059176836</v>
      </c>
      <c r="N235" s="19" t="s">
        <v>320</v>
      </c>
      <c r="O235" s="19"/>
    </row>
    <row r="236" spans="1:15" x14ac:dyDescent="0.25">
      <c r="A236" s="19"/>
      <c r="B236" s="19" t="s">
        <v>235</v>
      </c>
      <c r="C236" s="19" t="s">
        <v>236</v>
      </c>
      <c r="D236" s="19" t="s">
        <v>302</v>
      </c>
      <c r="E236" s="19" t="s">
        <v>124</v>
      </c>
      <c r="F236" s="19" t="s">
        <v>125</v>
      </c>
      <c r="G236" s="19" t="s">
        <v>125</v>
      </c>
      <c r="H236" s="19" t="s">
        <v>126</v>
      </c>
      <c r="I236" s="19" t="b">
        <v>0</v>
      </c>
      <c r="J236" s="19">
        <v>24</v>
      </c>
      <c r="K236" s="19">
        <v>1043.0999999999999</v>
      </c>
      <c r="L236" s="20">
        <v>608736445</v>
      </c>
      <c r="M236" s="20">
        <v>1300000068849574</v>
      </c>
      <c r="N236" s="19" t="s">
        <v>321</v>
      </c>
      <c r="O236" s="19"/>
    </row>
    <row r="237" spans="1:15" x14ac:dyDescent="0.25">
      <c r="A237" s="19"/>
      <c r="B237" s="19" t="s">
        <v>310</v>
      </c>
      <c r="C237" s="19" t="s">
        <v>311</v>
      </c>
      <c r="D237" s="19" t="s">
        <v>322</v>
      </c>
      <c r="E237" s="19" t="s">
        <v>124</v>
      </c>
      <c r="F237" s="19" t="s">
        <v>125</v>
      </c>
      <c r="G237" s="19" t="s">
        <v>125</v>
      </c>
      <c r="H237" s="19" t="s">
        <v>126</v>
      </c>
      <c r="I237" s="19" t="b">
        <v>0</v>
      </c>
      <c r="J237" s="19">
        <v>190</v>
      </c>
      <c r="K237" s="19">
        <v>127.48</v>
      </c>
      <c r="L237" s="20">
        <v>405751563</v>
      </c>
      <c r="M237" s="20">
        <v>1200000067042159</v>
      </c>
      <c r="N237" s="19" t="s">
        <v>323</v>
      </c>
      <c r="O237" s="19"/>
    </row>
    <row r="238" spans="1:15" x14ac:dyDescent="0.25">
      <c r="A238" s="19"/>
      <c r="B238" s="19" t="s">
        <v>316</v>
      </c>
      <c r="C238" s="19" t="s">
        <v>317</v>
      </c>
      <c r="D238" s="19" t="s">
        <v>322</v>
      </c>
      <c r="E238" s="19" t="s">
        <v>100</v>
      </c>
      <c r="F238" s="19" t="s">
        <v>125</v>
      </c>
      <c r="G238" s="19" t="s">
        <v>180</v>
      </c>
      <c r="H238" s="19" t="s">
        <v>126</v>
      </c>
      <c r="I238" s="19" t="b">
        <v>0</v>
      </c>
      <c r="J238" s="19">
        <v>29</v>
      </c>
      <c r="K238" s="19">
        <v>66.849999999999994</v>
      </c>
      <c r="L238" s="20">
        <v>10398800</v>
      </c>
      <c r="M238" s="20">
        <v>1.7688136933173701E+18</v>
      </c>
      <c r="N238" s="19" t="s">
        <v>324</v>
      </c>
      <c r="O238" s="19"/>
    </row>
    <row r="239" spans="1:15" x14ac:dyDescent="0.25">
      <c r="A239" s="19"/>
      <c r="B239" s="19" t="s">
        <v>316</v>
      </c>
      <c r="C239" s="19" t="s">
        <v>317</v>
      </c>
      <c r="D239" s="19" t="s">
        <v>322</v>
      </c>
      <c r="E239" s="19" t="s">
        <v>100</v>
      </c>
      <c r="F239" s="19" t="s">
        <v>125</v>
      </c>
      <c r="G239" s="19" t="s">
        <v>180</v>
      </c>
      <c r="H239" s="19" t="s">
        <v>126</v>
      </c>
      <c r="I239" s="19" t="b">
        <v>0</v>
      </c>
      <c r="J239" s="19">
        <v>331</v>
      </c>
      <c r="K239" s="19">
        <v>66.84</v>
      </c>
      <c r="L239" s="20">
        <v>10398600</v>
      </c>
      <c r="M239" s="20">
        <v>1.7688136933173701E+18</v>
      </c>
      <c r="N239" s="19" t="s">
        <v>324</v>
      </c>
      <c r="O239" s="19"/>
    </row>
    <row r="240" spans="1:15" x14ac:dyDescent="0.25">
      <c r="A240" s="19"/>
      <c r="B240" s="19" t="s">
        <v>277</v>
      </c>
      <c r="C240" s="19" t="s">
        <v>278</v>
      </c>
      <c r="D240" s="19" t="s">
        <v>322</v>
      </c>
      <c r="E240" s="19" t="s">
        <v>100</v>
      </c>
      <c r="F240" s="19" t="s">
        <v>125</v>
      </c>
      <c r="G240" s="19" t="s">
        <v>180</v>
      </c>
      <c r="H240" s="19" t="s">
        <v>174</v>
      </c>
      <c r="I240" s="19" t="b">
        <v>0</v>
      </c>
      <c r="J240" s="19">
        <v>19</v>
      </c>
      <c r="K240" s="19">
        <v>1130.3</v>
      </c>
      <c r="L240" s="20">
        <v>11141700</v>
      </c>
      <c r="M240" s="20">
        <v>1.7688142602535319E+18</v>
      </c>
      <c r="N240" s="19" t="s">
        <v>325</v>
      </c>
      <c r="O240" s="19"/>
    </row>
    <row r="241" spans="1:15" x14ac:dyDescent="0.25">
      <c r="A241" s="19"/>
      <c r="B241" s="19" t="s">
        <v>263</v>
      </c>
      <c r="C241" s="19" t="s">
        <v>264</v>
      </c>
      <c r="D241" s="19" t="s">
        <v>326</v>
      </c>
      <c r="E241" s="19" t="s">
        <v>124</v>
      </c>
      <c r="F241" s="19" t="s">
        <v>125</v>
      </c>
      <c r="G241" s="19" t="s">
        <v>125</v>
      </c>
      <c r="H241" s="19" t="s">
        <v>174</v>
      </c>
      <c r="I241" s="19" t="b">
        <v>0</v>
      </c>
      <c r="J241" s="19">
        <v>920</v>
      </c>
      <c r="K241" s="19">
        <v>89.75</v>
      </c>
      <c r="L241" s="20">
        <v>206689184</v>
      </c>
      <c r="M241" s="20">
        <v>1100000059613610</v>
      </c>
      <c r="N241" s="19" t="s">
        <v>327</v>
      </c>
      <c r="O241" s="19"/>
    </row>
    <row r="242" spans="1:15" x14ac:dyDescent="0.25">
      <c r="A242" s="19"/>
      <c r="B242" s="19" t="s">
        <v>266</v>
      </c>
      <c r="C242" s="19" t="s">
        <v>267</v>
      </c>
      <c r="D242" s="19" t="s">
        <v>326</v>
      </c>
      <c r="E242" s="19" t="s">
        <v>100</v>
      </c>
      <c r="F242" s="19" t="s">
        <v>125</v>
      </c>
      <c r="G242" s="19" t="s">
        <v>180</v>
      </c>
      <c r="H242" s="19" t="s">
        <v>174</v>
      </c>
      <c r="I242" s="19" t="b">
        <v>0</v>
      </c>
      <c r="J242" s="19">
        <v>51</v>
      </c>
      <c r="K242" s="19">
        <v>395.35</v>
      </c>
      <c r="L242" s="20">
        <v>8397700</v>
      </c>
      <c r="M242" s="20">
        <v>1.769493701763714E+18</v>
      </c>
      <c r="N242" s="19" t="s">
        <v>328</v>
      </c>
      <c r="O242" s="19"/>
    </row>
    <row r="243" spans="1:15" x14ac:dyDescent="0.25">
      <c r="A243" s="19"/>
      <c r="B243" s="19" t="s">
        <v>266</v>
      </c>
      <c r="C243" s="19" t="s">
        <v>267</v>
      </c>
      <c r="D243" s="19" t="s">
        <v>326</v>
      </c>
      <c r="E243" s="19" t="s">
        <v>100</v>
      </c>
      <c r="F243" s="19" t="s">
        <v>125</v>
      </c>
      <c r="G243" s="19" t="s">
        <v>180</v>
      </c>
      <c r="H243" s="19" t="s">
        <v>174</v>
      </c>
      <c r="I243" s="19" t="b">
        <v>0</v>
      </c>
      <c r="J243" s="19">
        <v>53</v>
      </c>
      <c r="K243" s="19">
        <v>395.55</v>
      </c>
      <c r="L243" s="20">
        <v>8397200</v>
      </c>
      <c r="M243" s="20">
        <v>1.769493701763714E+18</v>
      </c>
      <c r="N243" s="19" t="s">
        <v>328</v>
      </c>
      <c r="O243" s="19"/>
    </row>
    <row r="244" spans="1:15" x14ac:dyDescent="0.25">
      <c r="A244" s="19"/>
      <c r="B244" s="19" t="s">
        <v>266</v>
      </c>
      <c r="C244" s="19" t="s">
        <v>267</v>
      </c>
      <c r="D244" s="19" t="s">
        <v>326</v>
      </c>
      <c r="E244" s="19" t="s">
        <v>100</v>
      </c>
      <c r="F244" s="19" t="s">
        <v>125</v>
      </c>
      <c r="G244" s="19" t="s">
        <v>180</v>
      </c>
      <c r="H244" s="19" t="s">
        <v>174</v>
      </c>
      <c r="I244" s="19" t="b">
        <v>0</v>
      </c>
      <c r="J244" s="19">
        <v>56</v>
      </c>
      <c r="K244" s="19">
        <v>395.5</v>
      </c>
      <c r="L244" s="20">
        <v>8397400</v>
      </c>
      <c r="M244" s="20">
        <v>1.769493701763714E+18</v>
      </c>
      <c r="N244" s="19" t="s">
        <v>328</v>
      </c>
      <c r="O244" s="19"/>
    </row>
    <row r="245" spans="1:15" x14ac:dyDescent="0.25">
      <c r="A245" s="19"/>
      <c r="B245" s="19" t="s">
        <v>266</v>
      </c>
      <c r="C245" s="19" t="s">
        <v>267</v>
      </c>
      <c r="D245" s="19" t="s">
        <v>326</v>
      </c>
      <c r="E245" s="19" t="s">
        <v>100</v>
      </c>
      <c r="F245" s="19" t="s">
        <v>125</v>
      </c>
      <c r="G245" s="19" t="s">
        <v>180</v>
      </c>
      <c r="H245" s="19" t="s">
        <v>174</v>
      </c>
      <c r="I245" s="19" t="b">
        <v>0</v>
      </c>
      <c r="J245" s="19">
        <v>68</v>
      </c>
      <c r="K245" s="19">
        <v>395.3</v>
      </c>
      <c r="L245" s="20">
        <v>8397900</v>
      </c>
      <c r="M245" s="20">
        <v>1.769493701763714E+18</v>
      </c>
      <c r="N245" s="19" t="s">
        <v>328</v>
      </c>
      <c r="O245" s="19"/>
    </row>
    <row r="246" spans="1:15" x14ac:dyDescent="0.25">
      <c r="A246" s="19"/>
      <c r="B246" s="19" t="s">
        <v>42</v>
      </c>
      <c r="C246" s="19" t="s">
        <v>189</v>
      </c>
      <c r="D246" s="19" t="s">
        <v>329</v>
      </c>
      <c r="E246" s="19" t="s">
        <v>100</v>
      </c>
      <c r="F246" s="19" t="s">
        <v>125</v>
      </c>
      <c r="G246" s="19" t="s">
        <v>180</v>
      </c>
      <c r="H246" s="19" t="s">
        <v>174</v>
      </c>
      <c r="I246" s="19" t="b">
        <v>0</v>
      </c>
      <c r="J246" s="19">
        <v>102</v>
      </c>
      <c r="K246" s="19">
        <v>968.1</v>
      </c>
      <c r="L246" s="20">
        <v>10133500</v>
      </c>
      <c r="M246" s="20">
        <v>1.7697610541504599E+18</v>
      </c>
      <c r="N246" s="19" t="s">
        <v>330</v>
      </c>
      <c r="O246" s="19"/>
    </row>
    <row r="247" spans="1:15" x14ac:dyDescent="0.25">
      <c r="A247" s="19"/>
      <c r="B247" s="19" t="s">
        <v>42</v>
      </c>
      <c r="C247" s="19" t="s">
        <v>189</v>
      </c>
      <c r="D247" s="19" t="s">
        <v>329</v>
      </c>
      <c r="E247" s="19" t="s">
        <v>100</v>
      </c>
      <c r="F247" s="19" t="s">
        <v>125</v>
      </c>
      <c r="G247" s="19" t="s">
        <v>180</v>
      </c>
      <c r="H247" s="19" t="s">
        <v>174</v>
      </c>
      <c r="I247" s="19" t="b">
        <v>0</v>
      </c>
      <c r="J247" s="19">
        <v>1</v>
      </c>
      <c r="K247" s="19">
        <v>968.15</v>
      </c>
      <c r="L247" s="20">
        <v>10132800</v>
      </c>
      <c r="M247" s="20">
        <v>1.7697610541504599E+18</v>
      </c>
      <c r="N247" s="19" t="s">
        <v>330</v>
      </c>
      <c r="O247" s="19"/>
    </row>
    <row r="248" spans="1:15" x14ac:dyDescent="0.25">
      <c r="A248" s="19"/>
      <c r="B248" s="19" t="s">
        <v>235</v>
      </c>
      <c r="C248" s="19" t="s">
        <v>236</v>
      </c>
      <c r="D248" s="19" t="s">
        <v>329</v>
      </c>
      <c r="E248" s="19" t="s">
        <v>124</v>
      </c>
      <c r="F248" s="19" t="s">
        <v>125</v>
      </c>
      <c r="G248" s="19" t="s">
        <v>125</v>
      </c>
      <c r="H248" s="19" t="s">
        <v>126</v>
      </c>
      <c r="I248" s="19" t="b">
        <v>0</v>
      </c>
      <c r="J248" s="19">
        <v>1</v>
      </c>
      <c r="K248" s="19">
        <v>1078</v>
      </c>
      <c r="L248" s="20">
        <v>613155382</v>
      </c>
      <c r="M248" s="20">
        <v>1300000114057798</v>
      </c>
      <c r="N248" s="19" t="s">
        <v>331</v>
      </c>
      <c r="O248" s="19"/>
    </row>
    <row r="249" spans="1:15" x14ac:dyDescent="0.25">
      <c r="A249" s="19"/>
      <c r="B249" s="19" t="s">
        <v>235</v>
      </c>
      <c r="C249" s="19" t="s">
        <v>236</v>
      </c>
      <c r="D249" s="19" t="s">
        <v>329</v>
      </c>
      <c r="E249" s="19" t="s">
        <v>124</v>
      </c>
      <c r="F249" s="19" t="s">
        <v>125</v>
      </c>
      <c r="G249" s="19" t="s">
        <v>125</v>
      </c>
      <c r="H249" s="19" t="s">
        <v>126</v>
      </c>
      <c r="I249" s="19" t="b">
        <v>0</v>
      </c>
      <c r="J249" s="19">
        <v>18</v>
      </c>
      <c r="K249" s="19">
        <v>1078</v>
      </c>
      <c r="L249" s="20">
        <v>613155383</v>
      </c>
      <c r="M249" s="20">
        <v>1300000114057798</v>
      </c>
      <c r="N249" s="19" t="s">
        <v>331</v>
      </c>
      <c r="O249" s="19"/>
    </row>
    <row r="250" spans="1:15" x14ac:dyDescent="0.25">
      <c r="A250" s="19"/>
      <c r="B250" s="19" t="s">
        <v>235</v>
      </c>
      <c r="C250" s="19" t="s">
        <v>236</v>
      </c>
      <c r="D250" s="19" t="s">
        <v>329</v>
      </c>
      <c r="E250" s="19" t="s">
        <v>124</v>
      </c>
      <c r="F250" s="19" t="s">
        <v>125</v>
      </c>
      <c r="G250" s="19" t="s">
        <v>125</v>
      </c>
      <c r="H250" s="19" t="s">
        <v>126</v>
      </c>
      <c r="I250" s="19" t="b">
        <v>0</v>
      </c>
      <c r="J250" s="19">
        <v>74</v>
      </c>
      <c r="K250" s="19">
        <v>1078</v>
      </c>
      <c r="L250" s="20">
        <v>613155384</v>
      </c>
      <c r="M250" s="20">
        <v>1300000114057798</v>
      </c>
      <c r="N250" s="19" t="s">
        <v>331</v>
      </c>
      <c r="O250" s="19"/>
    </row>
    <row r="251" spans="1:15" x14ac:dyDescent="0.25">
      <c r="A251" s="19"/>
      <c r="B251" s="19" t="s">
        <v>332</v>
      </c>
      <c r="C251" s="19" t="s">
        <v>333</v>
      </c>
      <c r="D251" s="19" t="s">
        <v>329</v>
      </c>
      <c r="E251" s="19" t="s">
        <v>124</v>
      </c>
      <c r="F251" s="19" t="s">
        <v>125</v>
      </c>
      <c r="G251" s="19" t="s">
        <v>125</v>
      </c>
      <c r="H251" s="19" t="s">
        <v>126</v>
      </c>
      <c r="I251" s="19" t="b">
        <v>0</v>
      </c>
      <c r="J251" s="19">
        <v>41</v>
      </c>
      <c r="K251" s="19">
        <v>449.45</v>
      </c>
      <c r="L251" s="20">
        <v>7205709</v>
      </c>
      <c r="M251" s="20">
        <v>1000000070570871</v>
      </c>
      <c r="N251" s="19" t="s">
        <v>334</v>
      </c>
      <c r="O251" s="19"/>
    </row>
    <row r="252" spans="1:15" x14ac:dyDescent="0.25">
      <c r="A252" s="19"/>
      <c r="B252" s="19" t="s">
        <v>332</v>
      </c>
      <c r="C252" s="19" t="s">
        <v>333</v>
      </c>
      <c r="D252" s="19" t="s">
        <v>329</v>
      </c>
      <c r="E252" s="19" t="s">
        <v>124</v>
      </c>
      <c r="F252" s="19" t="s">
        <v>125</v>
      </c>
      <c r="G252" s="19" t="s">
        <v>125</v>
      </c>
      <c r="H252" s="19" t="s">
        <v>126</v>
      </c>
      <c r="I252" s="19" t="b">
        <v>0</v>
      </c>
      <c r="J252" s="19">
        <v>71</v>
      </c>
      <c r="K252" s="19">
        <v>449.4</v>
      </c>
      <c r="L252" s="20">
        <v>7205708</v>
      </c>
      <c r="M252" s="20">
        <v>1000000070570871</v>
      </c>
      <c r="N252" s="19" t="s">
        <v>334</v>
      </c>
      <c r="O252" s="19"/>
    </row>
    <row r="253" spans="1:15" x14ac:dyDescent="0.25">
      <c r="A253" s="19"/>
      <c r="B253" s="19" t="s">
        <v>335</v>
      </c>
      <c r="C253" s="19" t="s">
        <v>336</v>
      </c>
      <c r="D253" s="19" t="s">
        <v>329</v>
      </c>
      <c r="E253" s="19" t="s">
        <v>124</v>
      </c>
      <c r="F253" s="19" t="s">
        <v>125</v>
      </c>
      <c r="G253" s="19" t="s">
        <v>125</v>
      </c>
      <c r="H253" s="19" t="s">
        <v>126</v>
      </c>
      <c r="I253" s="19" t="b">
        <v>0</v>
      </c>
      <c r="J253" s="19">
        <v>4</v>
      </c>
      <c r="K253" s="19">
        <v>1282.3</v>
      </c>
      <c r="L253" s="20">
        <v>613660967</v>
      </c>
      <c r="M253" s="20">
        <v>1300000116901518</v>
      </c>
      <c r="N253" s="19" t="s">
        <v>337</v>
      </c>
      <c r="O253" s="19"/>
    </row>
    <row r="254" spans="1:15" x14ac:dyDescent="0.25">
      <c r="A254" s="19"/>
      <c r="B254" s="19" t="s">
        <v>335</v>
      </c>
      <c r="C254" s="19" t="s">
        <v>336</v>
      </c>
      <c r="D254" s="19" t="s">
        <v>329</v>
      </c>
      <c r="E254" s="19" t="s">
        <v>124</v>
      </c>
      <c r="F254" s="19" t="s">
        <v>125</v>
      </c>
      <c r="G254" s="19" t="s">
        <v>125</v>
      </c>
      <c r="H254" s="19" t="s">
        <v>126</v>
      </c>
      <c r="I254" s="19" t="b">
        <v>0</v>
      </c>
      <c r="J254" s="19">
        <v>6</v>
      </c>
      <c r="K254" s="19">
        <v>1282.4000000000001</v>
      </c>
      <c r="L254" s="20">
        <v>613660968</v>
      </c>
      <c r="M254" s="20">
        <v>1300000116901518</v>
      </c>
      <c r="N254" s="19" t="s">
        <v>337</v>
      </c>
      <c r="O254" s="19"/>
    </row>
    <row r="255" spans="1:15" x14ac:dyDescent="0.25">
      <c r="A255" s="19"/>
      <c r="B255" s="19" t="s">
        <v>307</v>
      </c>
      <c r="C255" s="19" t="s">
        <v>308</v>
      </c>
      <c r="D255" s="19" t="s">
        <v>329</v>
      </c>
      <c r="E255" s="19" t="s">
        <v>100</v>
      </c>
      <c r="F255" s="19" t="s">
        <v>125</v>
      </c>
      <c r="G255" s="19" t="s">
        <v>180</v>
      </c>
      <c r="H255" s="19" t="s">
        <v>174</v>
      </c>
      <c r="I255" s="19" t="b">
        <v>0</v>
      </c>
      <c r="J255" s="19">
        <v>201</v>
      </c>
      <c r="K255" s="19">
        <v>37.56</v>
      </c>
      <c r="L255" s="20">
        <v>15336500</v>
      </c>
      <c r="M255" s="20">
        <v>1.7697643044148229E+18</v>
      </c>
      <c r="N255" s="19" t="s">
        <v>338</v>
      </c>
      <c r="O255" s="19"/>
    </row>
    <row r="256" spans="1:15" x14ac:dyDescent="0.25">
      <c r="A256" s="19"/>
      <c r="B256" s="19" t="s">
        <v>307</v>
      </c>
      <c r="C256" s="19" t="s">
        <v>308</v>
      </c>
      <c r="D256" s="19" t="s">
        <v>329</v>
      </c>
      <c r="E256" s="19" t="s">
        <v>100</v>
      </c>
      <c r="F256" s="19" t="s">
        <v>125</v>
      </c>
      <c r="G256" s="19" t="s">
        <v>180</v>
      </c>
      <c r="H256" s="19" t="s">
        <v>174</v>
      </c>
      <c r="I256" s="19" t="b">
        <v>0</v>
      </c>
      <c r="J256" s="19">
        <v>399</v>
      </c>
      <c r="K256" s="19">
        <v>37.549999999999997</v>
      </c>
      <c r="L256" s="20">
        <v>15336900</v>
      </c>
      <c r="M256" s="20">
        <v>1.7697643044148229E+18</v>
      </c>
      <c r="N256" s="19" t="s">
        <v>338</v>
      </c>
      <c r="O256" s="19"/>
    </row>
    <row r="257" spans="1:15" x14ac:dyDescent="0.25">
      <c r="A257" s="19"/>
      <c r="B257" s="19" t="s">
        <v>332</v>
      </c>
      <c r="C257" s="19" t="s">
        <v>333</v>
      </c>
      <c r="D257" s="19" t="s">
        <v>329</v>
      </c>
      <c r="E257" s="19" t="s">
        <v>124</v>
      </c>
      <c r="F257" s="19" t="s">
        <v>125</v>
      </c>
      <c r="G257" s="19" t="s">
        <v>125</v>
      </c>
      <c r="H257" s="19" t="s">
        <v>126</v>
      </c>
      <c r="I257" s="19" t="b">
        <v>0</v>
      </c>
      <c r="J257" s="19">
        <v>56</v>
      </c>
      <c r="K257" s="19">
        <v>449.2</v>
      </c>
      <c r="L257" s="20">
        <v>7774549</v>
      </c>
      <c r="M257" s="20">
        <v>1000000073240827</v>
      </c>
      <c r="N257" s="19" t="s">
        <v>339</v>
      </c>
      <c r="O257" s="19"/>
    </row>
    <row r="258" spans="1:15" x14ac:dyDescent="0.25">
      <c r="A258" s="19"/>
      <c r="B258" s="19" t="s">
        <v>163</v>
      </c>
      <c r="C258" s="19" t="s">
        <v>164</v>
      </c>
      <c r="D258" s="19" t="s">
        <v>340</v>
      </c>
      <c r="E258" s="19" t="s">
        <v>124</v>
      </c>
      <c r="F258" s="19" t="s">
        <v>125</v>
      </c>
      <c r="G258" s="19" t="s">
        <v>125</v>
      </c>
      <c r="H258" s="19" t="s">
        <v>174</v>
      </c>
      <c r="I258" s="19" t="b">
        <v>0</v>
      </c>
      <c r="J258" s="19">
        <v>216</v>
      </c>
      <c r="K258" s="19">
        <v>140.33000000000001</v>
      </c>
      <c r="L258" s="20">
        <v>138516</v>
      </c>
      <c r="M258" s="20">
        <v>1000000000842622</v>
      </c>
      <c r="N258" s="19" t="s">
        <v>341</v>
      </c>
      <c r="O258" s="19"/>
    </row>
    <row r="259" spans="1:15" x14ac:dyDescent="0.25">
      <c r="A259" s="19"/>
      <c r="B259" s="19" t="s">
        <v>163</v>
      </c>
      <c r="C259" s="19" t="s">
        <v>164</v>
      </c>
      <c r="D259" s="19" t="s">
        <v>340</v>
      </c>
      <c r="E259" s="19" t="s">
        <v>124</v>
      </c>
      <c r="F259" s="19" t="s">
        <v>125</v>
      </c>
      <c r="G259" s="19" t="s">
        <v>125</v>
      </c>
      <c r="H259" s="19" t="s">
        <v>174</v>
      </c>
      <c r="I259" s="19" t="b">
        <v>0</v>
      </c>
      <c r="J259" s="19">
        <v>25</v>
      </c>
      <c r="K259" s="19">
        <v>140.34</v>
      </c>
      <c r="L259" s="20">
        <v>138514</v>
      </c>
      <c r="M259" s="20">
        <v>1000000000842622</v>
      </c>
      <c r="N259" s="19" t="s">
        <v>341</v>
      </c>
      <c r="O259" s="19"/>
    </row>
    <row r="260" spans="1:15" x14ac:dyDescent="0.25">
      <c r="A260" s="19"/>
      <c r="B260" s="19" t="s">
        <v>163</v>
      </c>
      <c r="C260" s="19" t="s">
        <v>164</v>
      </c>
      <c r="D260" s="19" t="s">
        <v>340</v>
      </c>
      <c r="E260" s="19" t="s">
        <v>124</v>
      </c>
      <c r="F260" s="19" t="s">
        <v>125</v>
      </c>
      <c r="G260" s="19" t="s">
        <v>125</v>
      </c>
      <c r="H260" s="19" t="s">
        <v>174</v>
      </c>
      <c r="I260" s="19" t="b">
        <v>0</v>
      </c>
      <c r="J260" s="19">
        <v>83</v>
      </c>
      <c r="K260" s="19">
        <v>140.34</v>
      </c>
      <c r="L260" s="20">
        <v>138515</v>
      </c>
      <c r="M260" s="20">
        <v>1000000000842622</v>
      </c>
      <c r="N260" s="19" t="s">
        <v>341</v>
      </c>
      <c r="O260" s="19"/>
    </row>
    <row r="261" spans="1:15" x14ac:dyDescent="0.25">
      <c r="A261" s="19"/>
      <c r="B261" s="19" t="s">
        <v>198</v>
      </c>
      <c r="C261" s="19" t="s">
        <v>199</v>
      </c>
      <c r="D261" s="19" t="s">
        <v>340</v>
      </c>
      <c r="E261" s="19" t="s">
        <v>100</v>
      </c>
      <c r="F261" s="19" t="s">
        <v>125</v>
      </c>
      <c r="G261" s="19" t="s">
        <v>180</v>
      </c>
      <c r="H261" s="19" t="s">
        <v>174</v>
      </c>
      <c r="I261" s="19" t="b">
        <v>0</v>
      </c>
      <c r="J261" s="19">
        <v>94</v>
      </c>
      <c r="K261" s="19">
        <v>898.15</v>
      </c>
      <c r="L261" s="20">
        <v>792900</v>
      </c>
      <c r="M261" s="20">
        <v>1.7700030001372119E+18</v>
      </c>
      <c r="N261" s="19" t="s">
        <v>342</v>
      </c>
      <c r="O261" s="19"/>
    </row>
    <row r="262" spans="1:15" x14ac:dyDescent="0.25">
      <c r="A262" s="19"/>
      <c r="B262" s="19" t="s">
        <v>238</v>
      </c>
      <c r="C262" s="19" t="s">
        <v>239</v>
      </c>
      <c r="D262" s="19" t="s">
        <v>340</v>
      </c>
      <c r="E262" s="19" t="s">
        <v>124</v>
      </c>
      <c r="F262" s="19" t="s">
        <v>125</v>
      </c>
      <c r="G262" s="19" t="s">
        <v>125</v>
      </c>
      <c r="H262" s="19" t="s">
        <v>174</v>
      </c>
      <c r="I262" s="19" t="b">
        <v>0</v>
      </c>
      <c r="J262" s="19">
        <v>10</v>
      </c>
      <c r="K262" s="19">
        <v>271.55</v>
      </c>
      <c r="L262" s="20">
        <v>3556964</v>
      </c>
      <c r="M262" s="20">
        <v>1000000039324729</v>
      </c>
      <c r="N262" s="19" t="s">
        <v>343</v>
      </c>
      <c r="O262" s="19"/>
    </row>
    <row r="263" spans="1:15" x14ac:dyDescent="0.25">
      <c r="A263" s="19"/>
      <c r="B263" s="19" t="s">
        <v>238</v>
      </c>
      <c r="C263" s="19" t="s">
        <v>239</v>
      </c>
      <c r="D263" s="19" t="s">
        <v>340</v>
      </c>
      <c r="E263" s="19" t="s">
        <v>124</v>
      </c>
      <c r="F263" s="19" t="s">
        <v>125</v>
      </c>
      <c r="G263" s="19" t="s">
        <v>125</v>
      </c>
      <c r="H263" s="19" t="s">
        <v>174</v>
      </c>
      <c r="I263" s="19" t="b">
        <v>0</v>
      </c>
      <c r="J263" s="19">
        <v>31</v>
      </c>
      <c r="K263" s="19">
        <v>271.60000000000002</v>
      </c>
      <c r="L263" s="20">
        <v>3556962</v>
      </c>
      <c r="M263" s="20">
        <v>1000000039324729</v>
      </c>
      <c r="N263" s="19" t="s">
        <v>343</v>
      </c>
      <c r="O263" s="19"/>
    </row>
    <row r="264" spans="1:15" x14ac:dyDescent="0.25">
      <c r="A264" s="19"/>
      <c r="B264" s="19" t="s">
        <v>238</v>
      </c>
      <c r="C264" s="19" t="s">
        <v>239</v>
      </c>
      <c r="D264" s="19" t="s">
        <v>340</v>
      </c>
      <c r="E264" s="19" t="s">
        <v>124</v>
      </c>
      <c r="F264" s="19" t="s">
        <v>125</v>
      </c>
      <c r="G264" s="19" t="s">
        <v>125</v>
      </c>
      <c r="H264" s="19" t="s">
        <v>174</v>
      </c>
      <c r="I264" s="19" t="b">
        <v>0</v>
      </c>
      <c r="J264" s="19">
        <v>59</v>
      </c>
      <c r="K264" s="19">
        <v>271.55</v>
      </c>
      <c r="L264" s="20">
        <v>3556968</v>
      </c>
      <c r="M264" s="20">
        <v>1000000039324729</v>
      </c>
      <c r="N264" s="19" t="s">
        <v>343</v>
      </c>
      <c r="O264" s="19"/>
    </row>
    <row r="265" spans="1:15" x14ac:dyDescent="0.25">
      <c r="A265" s="19"/>
      <c r="B265" s="19" t="s">
        <v>238</v>
      </c>
      <c r="C265" s="19" t="s">
        <v>239</v>
      </c>
      <c r="D265" s="19" t="s">
        <v>340</v>
      </c>
      <c r="E265" s="19" t="s">
        <v>124</v>
      </c>
      <c r="F265" s="19" t="s">
        <v>125</v>
      </c>
      <c r="G265" s="19" t="s">
        <v>125</v>
      </c>
      <c r="H265" s="19" t="s">
        <v>174</v>
      </c>
      <c r="I265" s="19" t="b">
        <v>0</v>
      </c>
      <c r="J265" s="19">
        <v>70</v>
      </c>
      <c r="K265" s="19">
        <v>271.55</v>
      </c>
      <c r="L265" s="20">
        <v>3556963</v>
      </c>
      <c r="M265" s="20">
        <v>1000000039324729</v>
      </c>
      <c r="N265" s="19" t="s">
        <v>343</v>
      </c>
      <c r="O265" s="19"/>
    </row>
    <row r="266" spans="1:15" x14ac:dyDescent="0.25">
      <c r="A266" s="19"/>
      <c r="B266" s="19" t="s">
        <v>310</v>
      </c>
      <c r="C266" s="19" t="s">
        <v>311</v>
      </c>
      <c r="D266" s="19" t="s">
        <v>340</v>
      </c>
      <c r="E266" s="19" t="s">
        <v>124</v>
      </c>
      <c r="F266" s="19" t="s">
        <v>125</v>
      </c>
      <c r="G266" s="19" t="s">
        <v>125</v>
      </c>
      <c r="H266" s="19" t="s">
        <v>174</v>
      </c>
      <c r="I266" s="19" t="b">
        <v>0</v>
      </c>
      <c r="J266" s="19">
        <v>200</v>
      </c>
      <c r="K266" s="19">
        <v>119.56</v>
      </c>
      <c r="L266" s="20">
        <v>404684795</v>
      </c>
      <c r="M266" s="20">
        <v>1200000051538381</v>
      </c>
      <c r="N266" s="19" t="s">
        <v>344</v>
      </c>
      <c r="O266" s="19"/>
    </row>
    <row r="267" spans="1:15" x14ac:dyDescent="0.25">
      <c r="A267" s="19"/>
      <c r="B267" s="19" t="s">
        <v>128</v>
      </c>
      <c r="C267" s="19" t="s">
        <v>129</v>
      </c>
      <c r="D267" s="19" t="s">
        <v>340</v>
      </c>
      <c r="E267" s="19" t="s">
        <v>124</v>
      </c>
      <c r="F267" s="19" t="s">
        <v>125</v>
      </c>
      <c r="G267" s="19" t="s">
        <v>125</v>
      </c>
      <c r="H267" s="19" t="s">
        <v>174</v>
      </c>
      <c r="I267" s="19" t="b">
        <v>0</v>
      </c>
      <c r="J267" s="19">
        <v>1</v>
      </c>
      <c r="K267" s="19">
        <v>1299.4000000000001</v>
      </c>
      <c r="L267" s="20">
        <v>4407181</v>
      </c>
      <c r="M267" s="20">
        <v>1000000050030745</v>
      </c>
      <c r="N267" s="19" t="s">
        <v>345</v>
      </c>
      <c r="O267" s="19"/>
    </row>
    <row r="268" spans="1:15" x14ac:dyDescent="0.25">
      <c r="A268" s="19"/>
      <c r="B268" s="19" t="s">
        <v>128</v>
      </c>
      <c r="C268" s="19" t="s">
        <v>129</v>
      </c>
      <c r="D268" s="19" t="s">
        <v>340</v>
      </c>
      <c r="E268" s="19" t="s">
        <v>124</v>
      </c>
      <c r="F268" s="19" t="s">
        <v>125</v>
      </c>
      <c r="G268" s="19" t="s">
        <v>125</v>
      </c>
      <c r="H268" s="19" t="s">
        <v>174</v>
      </c>
      <c r="I268" s="19" t="b">
        <v>0</v>
      </c>
      <c r="J268" s="19">
        <v>12</v>
      </c>
      <c r="K268" s="19">
        <v>1299.4000000000001</v>
      </c>
      <c r="L268" s="20">
        <v>4407183</v>
      </c>
      <c r="M268" s="20">
        <v>1000000050030745</v>
      </c>
      <c r="N268" s="19" t="s">
        <v>345</v>
      </c>
      <c r="O268" s="19"/>
    </row>
    <row r="269" spans="1:15" x14ac:dyDescent="0.25">
      <c r="A269" s="19"/>
      <c r="B269" s="19" t="s">
        <v>128</v>
      </c>
      <c r="C269" s="19" t="s">
        <v>129</v>
      </c>
      <c r="D269" s="19" t="s">
        <v>340</v>
      </c>
      <c r="E269" s="19" t="s">
        <v>124</v>
      </c>
      <c r="F269" s="19" t="s">
        <v>125</v>
      </c>
      <c r="G269" s="19" t="s">
        <v>125</v>
      </c>
      <c r="H269" s="19" t="s">
        <v>174</v>
      </c>
      <c r="I269" s="19" t="b">
        <v>0</v>
      </c>
      <c r="J269" s="19">
        <v>15</v>
      </c>
      <c r="K269" s="19">
        <v>1299.4000000000001</v>
      </c>
      <c r="L269" s="20">
        <v>4407180</v>
      </c>
      <c r="M269" s="20">
        <v>1000000050030745</v>
      </c>
      <c r="N269" s="19" t="s">
        <v>345</v>
      </c>
      <c r="O269" s="19"/>
    </row>
    <row r="270" spans="1:15" x14ac:dyDescent="0.25">
      <c r="A270" s="19"/>
      <c r="B270" s="19" t="s">
        <v>128</v>
      </c>
      <c r="C270" s="19" t="s">
        <v>129</v>
      </c>
      <c r="D270" s="19" t="s">
        <v>340</v>
      </c>
      <c r="E270" s="19" t="s">
        <v>124</v>
      </c>
      <c r="F270" s="19" t="s">
        <v>125</v>
      </c>
      <c r="G270" s="19" t="s">
        <v>125</v>
      </c>
      <c r="H270" s="19" t="s">
        <v>174</v>
      </c>
      <c r="I270" s="19" t="b">
        <v>0</v>
      </c>
      <c r="J270" s="19">
        <v>2</v>
      </c>
      <c r="K270" s="19">
        <v>1299.4000000000001</v>
      </c>
      <c r="L270" s="20">
        <v>4407179</v>
      </c>
      <c r="M270" s="20">
        <v>1000000050030745</v>
      </c>
      <c r="N270" s="19" t="s">
        <v>345</v>
      </c>
      <c r="O270" s="19"/>
    </row>
    <row r="271" spans="1:15" x14ac:dyDescent="0.25">
      <c r="A271" s="19"/>
      <c r="B271" s="19" t="s">
        <v>128</v>
      </c>
      <c r="C271" s="19" t="s">
        <v>129</v>
      </c>
      <c r="D271" s="19" t="s">
        <v>340</v>
      </c>
      <c r="E271" s="19" t="s">
        <v>124</v>
      </c>
      <c r="F271" s="19" t="s">
        <v>125</v>
      </c>
      <c r="G271" s="19" t="s">
        <v>125</v>
      </c>
      <c r="H271" s="19" t="s">
        <v>174</v>
      </c>
      <c r="I271" s="19" t="b">
        <v>0</v>
      </c>
      <c r="J271" s="19">
        <v>28</v>
      </c>
      <c r="K271" s="19">
        <v>1299.4000000000001</v>
      </c>
      <c r="L271" s="20">
        <v>4407182</v>
      </c>
      <c r="M271" s="20">
        <v>1000000050030745</v>
      </c>
      <c r="N271" s="19" t="s">
        <v>345</v>
      </c>
      <c r="O271" s="19"/>
    </row>
    <row r="272" spans="1:15" x14ac:dyDescent="0.25">
      <c r="A272" s="19"/>
      <c r="B272" s="19" t="s">
        <v>128</v>
      </c>
      <c r="C272" s="19" t="s">
        <v>129</v>
      </c>
      <c r="D272" s="19" t="s">
        <v>340</v>
      </c>
      <c r="E272" s="19" t="s">
        <v>124</v>
      </c>
      <c r="F272" s="19" t="s">
        <v>125</v>
      </c>
      <c r="G272" s="19" t="s">
        <v>125</v>
      </c>
      <c r="H272" s="19" t="s">
        <v>174</v>
      </c>
      <c r="I272" s="19" t="b">
        <v>0</v>
      </c>
      <c r="J272" s="19">
        <v>5</v>
      </c>
      <c r="K272" s="19">
        <v>1299.4000000000001</v>
      </c>
      <c r="L272" s="20">
        <v>4407185</v>
      </c>
      <c r="M272" s="20">
        <v>1000000050030745</v>
      </c>
      <c r="N272" s="19" t="s">
        <v>345</v>
      </c>
      <c r="O272" s="19"/>
    </row>
    <row r="273" spans="1:15" x14ac:dyDescent="0.25">
      <c r="A273" s="19"/>
      <c r="B273" s="19" t="s">
        <v>252</v>
      </c>
      <c r="C273" s="19" t="s">
        <v>346</v>
      </c>
      <c r="D273" s="19" t="s">
        <v>340</v>
      </c>
      <c r="E273" s="19" t="s">
        <v>124</v>
      </c>
      <c r="F273" s="19" t="s">
        <v>125</v>
      </c>
      <c r="G273" s="19" t="s">
        <v>125</v>
      </c>
      <c r="H273" s="19" t="s">
        <v>174</v>
      </c>
      <c r="I273" s="19" t="b">
        <v>0</v>
      </c>
      <c r="J273" s="19">
        <v>32</v>
      </c>
      <c r="K273" s="19">
        <v>1416.6</v>
      </c>
      <c r="L273" s="20">
        <v>5956220</v>
      </c>
      <c r="M273" s="20">
        <v>1000000069738672</v>
      </c>
      <c r="N273" s="19" t="s">
        <v>347</v>
      </c>
      <c r="O273" s="19"/>
    </row>
    <row r="274" spans="1:15" x14ac:dyDescent="0.25">
      <c r="A274" s="19"/>
      <c r="B274" s="19" t="s">
        <v>252</v>
      </c>
      <c r="C274" s="19" t="s">
        <v>346</v>
      </c>
      <c r="D274" s="19" t="s">
        <v>340</v>
      </c>
      <c r="E274" s="19" t="s">
        <v>124</v>
      </c>
      <c r="F274" s="19" t="s">
        <v>125</v>
      </c>
      <c r="G274" s="19" t="s">
        <v>125</v>
      </c>
      <c r="H274" s="19" t="s">
        <v>174</v>
      </c>
      <c r="I274" s="19" t="b">
        <v>0</v>
      </c>
      <c r="J274" s="19">
        <v>4</v>
      </c>
      <c r="K274" s="19">
        <v>1416.6</v>
      </c>
      <c r="L274" s="20">
        <v>5956219</v>
      </c>
      <c r="M274" s="20">
        <v>1000000069738672</v>
      </c>
      <c r="N274" s="19" t="s">
        <v>347</v>
      </c>
      <c r="O274" s="19"/>
    </row>
    <row r="275" spans="1:15" x14ac:dyDescent="0.25">
      <c r="A275" s="19"/>
      <c r="B275" s="19" t="s">
        <v>313</v>
      </c>
      <c r="C275" s="19" t="s">
        <v>314</v>
      </c>
      <c r="D275" s="19" t="s">
        <v>348</v>
      </c>
      <c r="E275" s="19" t="s">
        <v>124</v>
      </c>
      <c r="F275" s="19" t="s">
        <v>125</v>
      </c>
      <c r="G275" s="19" t="s">
        <v>125</v>
      </c>
      <c r="H275" s="19" t="s">
        <v>126</v>
      </c>
      <c r="I275" s="19" t="b">
        <v>0</v>
      </c>
      <c r="J275" s="19">
        <v>305</v>
      </c>
      <c r="K275" s="19">
        <v>163.99</v>
      </c>
      <c r="L275" s="20">
        <v>5395551</v>
      </c>
      <c r="M275" s="20">
        <v>1000000062502140</v>
      </c>
      <c r="N275" s="19" t="s">
        <v>349</v>
      </c>
      <c r="O275" s="19"/>
    </row>
    <row r="276" spans="1:15" x14ac:dyDescent="0.25">
      <c r="A276" s="19"/>
      <c r="B276" s="19" t="s">
        <v>53</v>
      </c>
      <c r="C276" s="19" t="s">
        <v>350</v>
      </c>
      <c r="D276" s="19" t="s">
        <v>351</v>
      </c>
      <c r="E276" s="19" t="s">
        <v>124</v>
      </c>
      <c r="F276" s="19" t="s">
        <v>125</v>
      </c>
      <c r="G276" s="19" t="s">
        <v>125</v>
      </c>
      <c r="H276" s="19" t="s">
        <v>126</v>
      </c>
      <c r="I276" s="19" t="b">
        <v>0</v>
      </c>
      <c r="J276" s="19">
        <v>45</v>
      </c>
      <c r="K276" s="19">
        <v>2237.6001000000001</v>
      </c>
      <c r="L276" s="20">
        <v>5804977</v>
      </c>
      <c r="M276" s="20">
        <v>1000000059786587</v>
      </c>
      <c r="N276" s="19" t="s">
        <v>352</v>
      </c>
      <c r="O276" s="19"/>
    </row>
    <row r="277" spans="1:15" x14ac:dyDescent="0.25">
      <c r="A277" s="19"/>
      <c r="B277" s="19" t="s">
        <v>38</v>
      </c>
      <c r="C277" s="19" t="s">
        <v>353</v>
      </c>
      <c r="D277" s="19" t="s">
        <v>354</v>
      </c>
      <c r="E277" s="19" t="s">
        <v>124</v>
      </c>
      <c r="F277" s="19" t="s">
        <v>125</v>
      </c>
      <c r="G277" s="19" t="s">
        <v>125</v>
      </c>
      <c r="H277" s="19" t="s">
        <v>126</v>
      </c>
      <c r="I277" s="19" t="b">
        <v>0</v>
      </c>
      <c r="J277" s="19">
        <v>10</v>
      </c>
      <c r="K277" s="19">
        <v>853.85</v>
      </c>
      <c r="L277" s="20">
        <v>606300119</v>
      </c>
      <c r="M277" s="20">
        <v>1300000062934832</v>
      </c>
      <c r="N277" s="19" t="s">
        <v>355</v>
      </c>
      <c r="O277" s="19"/>
    </row>
    <row r="278" spans="1:15" x14ac:dyDescent="0.25">
      <c r="A278" s="19"/>
      <c r="B278" s="19" t="s">
        <v>97</v>
      </c>
      <c r="C278" s="19" t="s">
        <v>156</v>
      </c>
      <c r="D278" s="19" t="s">
        <v>354</v>
      </c>
      <c r="E278" s="19" t="s">
        <v>124</v>
      </c>
      <c r="F278" s="19" t="s">
        <v>125</v>
      </c>
      <c r="G278" s="19" t="s">
        <v>125</v>
      </c>
      <c r="H278" s="19" t="s">
        <v>126</v>
      </c>
      <c r="I278" s="19" t="b">
        <v>0</v>
      </c>
      <c r="J278" s="19">
        <v>10</v>
      </c>
      <c r="K278" s="19">
        <v>684</v>
      </c>
      <c r="L278" s="20">
        <v>4236742</v>
      </c>
      <c r="M278" s="20">
        <v>1000000047242522</v>
      </c>
      <c r="N278" s="19" t="s">
        <v>356</v>
      </c>
      <c r="O278" s="19"/>
    </row>
    <row r="279" spans="1:15" x14ac:dyDescent="0.25">
      <c r="A279" s="19"/>
      <c r="B279" s="19" t="s">
        <v>357</v>
      </c>
      <c r="C279" s="19" t="s">
        <v>358</v>
      </c>
      <c r="D279" s="19" t="s">
        <v>354</v>
      </c>
      <c r="E279" s="19" t="s">
        <v>124</v>
      </c>
      <c r="F279" s="19" t="s">
        <v>125</v>
      </c>
      <c r="G279" s="19" t="s">
        <v>125</v>
      </c>
      <c r="H279" s="19" t="s">
        <v>126</v>
      </c>
      <c r="I279" s="19" t="b">
        <v>0</v>
      </c>
      <c r="J279" s="19">
        <v>10</v>
      </c>
      <c r="K279" s="19">
        <v>483.55</v>
      </c>
      <c r="L279" s="20">
        <v>606313822</v>
      </c>
      <c r="M279" s="20">
        <v>1300000063069924</v>
      </c>
      <c r="N279" s="19" t="s">
        <v>359</v>
      </c>
      <c r="O279" s="19"/>
    </row>
    <row r="280" spans="1:15" x14ac:dyDescent="0.25">
      <c r="A280" s="19"/>
      <c r="B280" s="19" t="s">
        <v>335</v>
      </c>
      <c r="C280" s="19" t="s">
        <v>336</v>
      </c>
      <c r="D280" s="19" t="s">
        <v>354</v>
      </c>
      <c r="E280" s="19" t="s">
        <v>124</v>
      </c>
      <c r="F280" s="19" t="s">
        <v>125</v>
      </c>
      <c r="G280" s="19" t="s">
        <v>125</v>
      </c>
      <c r="H280" s="19" t="s">
        <v>126</v>
      </c>
      <c r="I280" s="19" t="b">
        <v>0</v>
      </c>
      <c r="J280" s="19">
        <v>10</v>
      </c>
      <c r="K280" s="19">
        <v>1368</v>
      </c>
      <c r="L280" s="20">
        <v>608157505</v>
      </c>
      <c r="M280" s="20">
        <v>1300000081645901</v>
      </c>
      <c r="N280" s="19" t="s">
        <v>360</v>
      </c>
      <c r="O280" s="19"/>
    </row>
    <row r="281" spans="1:15" x14ac:dyDescent="0.25">
      <c r="A281" s="19"/>
      <c r="B281" s="19" t="s">
        <v>335</v>
      </c>
      <c r="C281" s="19" t="s">
        <v>336</v>
      </c>
      <c r="D281" s="19" t="s">
        <v>361</v>
      </c>
      <c r="E281" s="19" t="s">
        <v>124</v>
      </c>
      <c r="F281" s="19" t="s">
        <v>125</v>
      </c>
      <c r="G281" s="19" t="s">
        <v>125</v>
      </c>
      <c r="H281" s="19" t="s">
        <v>126</v>
      </c>
      <c r="I281" s="19" t="b">
        <v>0</v>
      </c>
      <c r="J281" s="19">
        <v>2</v>
      </c>
      <c r="K281" s="19">
        <v>1380.6</v>
      </c>
      <c r="L281" s="20">
        <v>608658740</v>
      </c>
      <c r="M281" s="20">
        <v>1300000087615108</v>
      </c>
      <c r="N281" s="19" t="s">
        <v>362</v>
      </c>
      <c r="O281" s="19"/>
    </row>
    <row r="282" spans="1:15" x14ac:dyDescent="0.25">
      <c r="A282" s="19"/>
      <c r="B282" s="19" t="s">
        <v>335</v>
      </c>
      <c r="C282" s="19" t="s">
        <v>336</v>
      </c>
      <c r="D282" s="19" t="s">
        <v>361</v>
      </c>
      <c r="E282" s="19" t="s">
        <v>124</v>
      </c>
      <c r="F282" s="19" t="s">
        <v>125</v>
      </c>
      <c r="G282" s="19" t="s">
        <v>125</v>
      </c>
      <c r="H282" s="19" t="s">
        <v>126</v>
      </c>
      <c r="I282" s="19" t="b">
        <v>0</v>
      </c>
      <c r="J282" s="19">
        <v>3</v>
      </c>
      <c r="K282" s="19">
        <v>1380.6</v>
      </c>
      <c r="L282" s="20">
        <v>608658741</v>
      </c>
      <c r="M282" s="20">
        <v>1300000087615108</v>
      </c>
      <c r="N282" s="19" t="s">
        <v>362</v>
      </c>
      <c r="O282" s="19"/>
    </row>
    <row r="283" spans="1:15" x14ac:dyDescent="0.25">
      <c r="A283" s="19"/>
      <c r="B283" s="19" t="s">
        <v>335</v>
      </c>
      <c r="C283" s="19" t="s">
        <v>336</v>
      </c>
      <c r="D283" s="19" t="s">
        <v>361</v>
      </c>
      <c r="E283" s="19" t="s">
        <v>124</v>
      </c>
      <c r="F283" s="19" t="s">
        <v>125</v>
      </c>
      <c r="G283" s="19" t="s">
        <v>125</v>
      </c>
      <c r="H283" s="19" t="s">
        <v>126</v>
      </c>
      <c r="I283" s="19" t="b">
        <v>0</v>
      </c>
      <c r="J283" s="19">
        <v>4</v>
      </c>
      <c r="K283" s="19">
        <v>1380.7</v>
      </c>
      <c r="L283" s="20">
        <v>608658742</v>
      </c>
      <c r="M283" s="20">
        <v>1300000087615108</v>
      </c>
      <c r="N283" s="19" t="s">
        <v>362</v>
      </c>
      <c r="O283" s="19"/>
    </row>
    <row r="284" spans="1:15" x14ac:dyDescent="0.25">
      <c r="A284" s="19"/>
      <c r="B284" s="19" t="s">
        <v>335</v>
      </c>
      <c r="C284" s="19" t="s">
        <v>336</v>
      </c>
      <c r="D284" s="19" t="s">
        <v>361</v>
      </c>
      <c r="E284" s="19" t="s">
        <v>124</v>
      </c>
      <c r="F284" s="19" t="s">
        <v>125</v>
      </c>
      <c r="G284" s="19" t="s">
        <v>125</v>
      </c>
      <c r="H284" s="19" t="s">
        <v>126</v>
      </c>
      <c r="I284" s="19" t="b">
        <v>0</v>
      </c>
      <c r="J284" s="19">
        <v>5</v>
      </c>
      <c r="K284" s="19">
        <v>1380.7</v>
      </c>
      <c r="L284" s="20">
        <v>608658743</v>
      </c>
      <c r="M284" s="20">
        <v>1300000087615108</v>
      </c>
      <c r="N284" s="19" t="s">
        <v>362</v>
      </c>
      <c r="O284" s="19"/>
    </row>
    <row r="285" spans="1:15" x14ac:dyDescent="0.25">
      <c r="A285" s="19"/>
      <c r="B285" s="19" t="s">
        <v>97</v>
      </c>
      <c r="C285" s="19" t="s">
        <v>156</v>
      </c>
      <c r="D285" s="19" t="s">
        <v>363</v>
      </c>
      <c r="E285" s="19" t="s">
        <v>124</v>
      </c>
      <c r="F285" s="19" t="s">
        <v>125</v>
      </c>
      <c r="G285" s="19" t="s">
        <v>125</v>
      </c>
      <c r="H285" s="19" t="s">
        <v>126</v>
      </c>
      <c r="I285" s="19" t="b">
        <v>0</v>
      </c>
      <c r="J285" s="19">
        <v>12</v>
      </c>
      <c r="K285" s="19">
        <v>714.9</v>
      </c>
      <c r="L285" s="20">
        <v>4580522</v>
      </c>
      <c r="M285" s="20">
        <v>1000000061460854</v>
      </c>
      <c r="N285" s="19" t="s">
        <v>364</v>
      </c>
      <c r="O285" s="19"/>
    </row>
    <row r="286" spans="1:15" x14ac:dyDescent="0.25">
      <c r="A286" s="19"/>
      <c r="B286" s="19" t="s">
        <v>97</v>
      </c>
      <c r="C286" s="19" t="s">
        <v>156</v>
      </c>
      <c r="D286" s="19" t="s">
        <v>363</v>
      </c>
      <c r="E286" s="19" t="s">
        <v>124</v>
      </c>
      <c r="F286" s="19" t="s">
        <v>125</v>
      </c>
      <c r="G286" s="19" t="s">
        <v>125</v>
      </c>
      <c r="H286" s="19" t="s">
        <v>126</v>
      </c>
      <c r="I286" s="19" t="b">
        <v>0</v>
      </c>
      <c r="J286" s="19">
        <v>15</v>
      </c>
      <c r="K286" s="19">
        <v>714.9</v>
      </c>
      <c r="L286" s="20">
        <v>4580523</v>
      </c>
      <c r="M286" s="20">
        <v>1000000061460854</v>
      </c>
      <c r="N286" s="19" t="s">
        <v>364</v>
      </c>
      <c r="O286" s="19"/>
    </row>
    <row r="287" spans="1:15" x14ac:dyDescent="0.25">
      <c r="A287" s="19"/>
      <c r="B287" s="19" t="s">
        <v>235</v>
      </c>
      <c r="C287" s="19" t="s">
        <v>236</v>
      </c>
      <c r="D287" s="19" t="s">
        <v>363</v>
      </c>
      <c r="E287" s="19" t="s">
        <v>100</v>
      </c>
      <c r="F287" s="19" t="s">
        <v>125</v>
      </c>
      <c r="G287" s="19" t="s">
        <v>180</v>
      </c>
      <c r="H287" s="19" t="s">
        <v>126</v>
      </c>
      <c r="I287" s="19" t="b">
        <v>0</v>
      </c>
      <c r="J287" s="19">
        <v>28</v>
      </c>
      <c r="K287" s="19">
        <v>1213.95</v>
      </c>
      <c r="L287" s="20">
        <v>13253100</v>
      </c>
      <c r="M287" s="20">
        <v>1.771577768926583E+18</v>
      </c>
      <c r="N287" s="19" t="s">
        <v>365</v>
      </c>
      <c r="O287" s="19"/>
    </row>
    <row r="288" spans="1:15" x14ac:dyDescent="0.25">
      <c r="A288" s="19"/>
      <c r="B288" s="19" t="s">
        <v>235</v>
      </c>
      <c r="C288" s="19" t="s">
        <v>236</v>
      </c>
      <c r="D288" s="19" t="s">
        <v>363</v>
      </c>
      <c r="E288" s="19" t="s">
        <v>100</v>
      </c>
      <c r="F288" s="19" t="s">
        <v>125</v>
      </c>
      <c r="G288" s="19" t="s">
        <v>180</v>
      </c>
      <c r="H288" s="19" t="s">
        <v>126</v>
      </c>
      <c r="I288" s="19" t="b">
        <v>0</v>
      </c>
      <c r="J288" s="19">
        <v>49</v>
      </c>
      <c r="K288" s="19">
        <v>1213.5999999999999</v>
      </c>
      <c r="L288" s="20">
        <v>13252800</v>
      </c>
      <c r="M288" s="20">
        <v>1.771577768926583E+18</v>
      </c>
      <c r="N288" s="19" t="s">
        <v>365</v>
      </c>
      <c r="O288" s="19"/>
    </row>
    <row r="289" spans="1:15" x14ac:dyDescent="0.25">
      <c r="A289" s="19"/>
      <c r="B289" s="19" t="s">
        <v>235</v>
      </c>
      <c r="C289" s="19" t="s">
        <v>236</v>
      </c>
      <c r="D289" s="19" t="s">
        <v>363</v>
      </c>
      <c r="E289" s="19" t="s">
        <v>100</v>
      </c>
      <c r="F289" s="19" t="s">
        <v>125</v>
      </c>
      <c r="G289" s="19" t="s">
        <v>180</v>
      </c>
      <c r="H289" s="19" t="s">
        <v>126</v>
      </c>
      <c r="I289" s="19" t="b">
        <v>0</v>
      </c>
      <c r="J289" s="19">
        <v>5</v>
      </c>
      <c r="K289" s="19">
        <v>1214</v>
      </c>
      <c r="L289" s="20">
        <v>13253400</v>
      </c>
      <c r="M289" s="20">
        <v>1.771577768926583E+18</v>
      </c>
      <c r="N289" s="19" t="s">
        <v>365</v>
      </c>
      <c r="O289" s="19"/>
    </row>
    <row r="290" spans="1:15" x14ac:dyDescent="0.25">
      <c r="A290" s="19"/>
      <c r="B290" s="19" t="s">
        <v>272</v>
      </c>
      <c r="C290" s="19" t="s">
        <v>273</v>
      </c>
      <c r="D290" s="19" t="s">
        <v>363</v>
      </c>
      <c r="E290" s="19" t="s">
        <v>100</v>
      </c>
      <c r="F290" s="19" t="s">
        <v>125</v>
      </c>
      <c r="G290" s="19" t="s">
        <v>180</v>
      </c>
      <c r="H290" s="19" t="s">
        <v>126</v>
      </c>
      <c r="I290" s="19" t="b">
        <v>0</v>
      </c>
      <c r="J290" s="19">
        <v>14</v>
      </c>
      <c r="K290" s="19">
        <v>538.9</v>
      </c>
      <c r="L290" s="20">
        <v>11077300</v>
      </c>
      <c r="M290" s="20">
        <v>1.77157744033997E+18</v>
      </c>
      <c r="N290" s="19" t="s">
        <v>366</v>
      </c>
      <c r="O290" s="19"/>
    </row>
    <row r="291" spans="1:15" x14ac:dyDescent="0.25">
      <c r="A291" s="19"/>
      <c r="B291" s="19" t="s">
        <v>272</v>
      </c>
      <c r="C291" s="19" t="s">
        <v>273</v>
      </c>
      <c r="D291" s="19" t="s">
        <v>363</v>
      </c>
      <c r="E291" s="19" t="s">
        <v>100</v>
      </c>
      <c r="F291" s="19" t="s">
        <v>125</v>
      </c>
      <c r="G291" s="19" t="s">
        <v>180</v>
      </c>
      <c r="H291" s="19" t="s">
        <v>126</v>
      </c>
      <c r="I291" s="19" t="b">
        <v>0</v>
      </c>
      <c r="J291" s="19">
        <v>23</v>
      </c>
      <c r="K291" s="19">
        <v>538.85</v>
      </c>
      <c r="L291" s="20">
        <v>11077100</v>
      </c>
      <c r="M291" s="20">
        <v>1.77157744033997E+18</v>
      </c>
      <c r="N291" s="19" t="s">
        <v>366</v>
      </c>
      <c r="O291" s="19"/>
    </row>
    <row r="292" spans="1:15" x14ac:dyDescent="0.25">
      <c r="A292" s="19"/>
      <c r="B292" s="19" t="s">
        <v>272</v>
      </c>
      <c r="C292" s="19" t="s">
        <v>273</v>
      </c>
      <c r="D292" s="19" t="s">
        <v>363</v>
      </c>
      <c r="E292" s="19" t="s">
        <v>100</v>
      </c>
      <c r="F292" s="19" t="s">
        <v>125</v>
      </c>
      <c r="G292" s="19" t="s">
        <v>180</v>
      </c>
      <c r="H292" s="19" t="s">
        <v>126</v>
      </c>
      <c r="I292" s="19" t="b">
        <v>0</v>
      </c>
      <c r="J292" s="19">
        <v>56</v>
      </c>
      <c r="K292" s="19">
        <v>538.95000000000005</v>
      </c>
      <c r="L292" s="20">
        <v>11077500</v>
      </c>
      <c r="M292" s="20">
        <v>1.77157744033997E+18</v>
      </c>
      <c r="N292" s="19" t="s">
        <v>366</v>
      </c>
      <c r="O292" s="19"/>
    </row>
    <row r="293" spans="1:15" x14ac:dyDescent="0.25">
      <c r="A293" s="19"/>
      <c r="B293" s="19" t="s">
        <v>367</v>
      </c>
      <c r="C293" s="19" t="s">
        <v>368</v>
      </c>
      <c r="D293" s="19" t="s">
        <v>363</v>
      </c>
      <c r="E293" s="19" t="s">
        <v>124</v>
      </c>
      <c r="F293" s="19" t="s">
        <v>125</v>
      </c>
      <c r="G293" s="19" t="s">
        <v>125</v>
      </c>
      <c r="H293" s="19" t="s">
        <v>126</v>
      </c>
      <c r="I293" s="19" t="b">
        <v>0</v>
      </c>
      <c r="J293" s="19">
        <v>2</v>
      </c>
      <c r="K293" s="19">
        <v>314.69</v>
      </c>
      <c r="L293" s="20">
        <v>606311000</v>
      </c>
      <c r="M293" s="20">
        <v>1300000076352903</v>
      </c>
      <c r="N293" s="19" t="s">
        <v>369</v>
      </c>
      <c r="O293" s="19"/>
    </row>
    <row r="294" spans="1:15" x14ac:dyDescent="0.25">
      <c r="A294" s="19"/>
      <c r="B294" s="19" t="s">
        <v>367</v>
      </c>
      <c r="C294" s="19" t="s">
        <v>368</v>
      </c>
      <c r="D294" s="19" t="s">
        <v>363</v>
      </c>
      <c r="E294" s="19" t="s">
        <v>124</v>
      </c>
      <c r="F294" s="19" t="s">
        <v>125</v>
      </c>
      <c r="G294" s="19" t="s">
        <v>125</v>
      </c>
      <c r="H294" s="19" t="s">
        <v>126</v>
      </c>
      <c r="I294" s="19" t="b">
        <v>0</v>
      </c>
      <c r="J294" s="19">
        <v>78</v>
      </c>
      <c r="K294" s="19">
        <v>314.7</v>
      </c>
      <c r="L294" s="20">
        <v>606311001</v>
      </c>
      <c r="M294" s="20">
        <v>1300000076352903</v>
      </c>
      <c r="N294" s="19" t="s">
        <v>369</v>
      </c>
      <c r="O294" s="19"/>
    </row>
    <row r="295" spans="1:15" x14ac:dyDescent="0.25">
      <c r="A295" s="19"/>
      <c r="B295" s="19" t="s">
        <v>232</v>
      </c>
      <c r="C295" s="19" t="s">
        <v>233</v>
      </c>
      <c r="D295" s="19" t="s">
        <v>370</v>
      </c>
      <c r="E295" s="19" t="s">
        <v>100</v>
      </c>
      <c r="F295" s="19" t="s">
        <v>125</v>
      </c>
      <c r="G295" s="19" t="s">
        <v>180</v>
      </c>
      <c r="H295" s="19" t="s">
        <v>126</v>
      </c>
      <c r="I295" s="19" t="b">
        <v>0</v>
      </c>
      <c r="J295" s="19">
        <v>266</v>
      </c>
      <c r="K295" s="19">
        <v>188.15</v>
      </c>
      <c r="L295" s="20">
        <v>22055000</v>
      </c>
      <c r="M295" s="20">
        <v>1.772179817893634E+18</v>
      </c>
      <c r="N295" s="19" t="s">
        <v>371</v>
      </c>
      <c r="O295" s="19"/>
    </row>
    <row r="296" spans="1:15" x14ac:dyDescent="0.25">
      <c r="A296" s="19"/>
      <c r="B296" s="19" t="s">
        <v>38</v>
      </c>
      <c r="C296" s="19" t="s">
        <v>353</v>
      </c>
      <c r="D296" s="19" t="s">
        <v>370</v>
      </c>
      <c r="E296" s="19" t="s">
        <v>100</v>
      </c>
      <c r="F296" s="19" t="s">
        <v>125</v>
      </c>
      <c r="G296" s="19" t="s">
        <v>180</v>
      </c>
      <c r="H296" s="19" t="s">
        <v>126</v>
      </c>
      <c r="I296" s="19" t="b">
        <v>0</v>
      </c>
      <c r="J296" s="19">
        <v>45</v>
      </c>
      <c r="K296" s="19">
        <v>908</v>
      </c>
      <c r="L296" s="20">
        <v>6795400</v>
      </c>
      <c r="M296" s="20">
        <v>1.7721776639566021E+18</v>
      </c>
      <c r="N296" s="19" t="s">
        <v>372</v>
      </c>
      <c r="O296" s="19"/>
    </row>
    <row r="297" spans="1:15" x14ac:dyDescent="0.25">
      <c r="A297" s="19"/>
      <c r="B297" s="19" t="s">
        <v>357</v>
      </c>
      <c r="C297" s="19" t="s">
        <v>358</v>
      </c>
      <c r="D297" s="19" t="s">
        <v>370</v>
      </c>
      <c r="E297" s="19" t="s">
        <v>100</v>
      </c>
      <c r="F297" s="19" t="s">
        <v>125</v>
      </c>
      <c r="G297" s="19" t="s">
        <v>305</v>
      </c>
      <c r="H297" s="19" t="s">
        <v>174</v>
      </c>
      <c r="I297" s="19" t="b">
        <v>0</v>
      </c>
      <c r="J297" s="19">
        <v>10</v>
      </c>
      <c r="K297" s="19">
        <v>419.3</v>
      </c>
      <c r="L297" s="20">
        <v>4846000</v>
      </c>
      <c r="M297" s="20">
        <v>1.7721796532175109E+18</v>
      </c>
      <c r="N297" s="19" t="s">
        <v>373</v>
      </c>
      <c r="O297" s="19"/>
    </row>
    <row r="298" spans="1:15" x14ac:dyDescent="0.25">
      <c r="A298" s="19"/>
      <c r="B298" s="19" t="s">
        <v>316</v>
      </c>
      <c r="C298" s="19" t="s">
        <v>317</v>
      </c>
      <c r="D298" s="19" t="s">
        <v>370</v>
      </c>
      <c r="E298" s="19" t="s">
        <v>124</v>
      </c>
      <c r="F298" s="19" t="s">
        <v>125</v>
      </c>
      <c r="G298" s="19" t="s">
        <v>125</v>
      </c>
      <c r="H298" s="19" t="s">
        <v>126</v>
      </c>
      <c r="I298" s="19" t="b">
        <v>0</v>
      </c>
      <c r="J298" s="19">
        <v>340</v>
      </c>
      <c r="K298" s="19">
        <v>75</v>
      </c>
      <c r="L298" s="20">
        <v>406697576</v>
      </c>
      <c r="M298" s="20">
        <v>1200000075865702</v>
      </c>
      <c r="N298" s="19" t="s">
        <v>374</v>
      </c>
      <c r="O298" s="19"/>
    </row>
    <row r="299" spans="1:15" x14ac:dyDescent="0.25">
      <c r="A299" s="19"/>
      <c r="B299" s="19" t="s">
        <v>272</v>
      </c>
      <c r="C299" s="19" t="s">
        <v>273</v>
      </c>
      <c r="D299" s="19" t="s">
        <v>375</v>
      </c>
      <c r="E299" s="19" t="s">
        <v>100</v>
      </c>
      <c r="F299" s="19" t="s">
        <v>125</v>
      </c>
      <c r="G299" s="19" t="s">
        <v>180</v>
      </c>
      <c r="H299" s="19" t="s">
        <v>174</v>
      </c>
      <c r="I299" s="19" t="b">
        <v>0</v>
      </c>
      <c r="J299" s="19">
        <v>196</v>
      </c>
      <c r="K299" s="19">
        <v>420.4</v>
      </c>
      <c r="L299" s="20">
        <v>81200</v>
      </c>
      <c r="M299" s="20">
        <v>1.7724222003260019E+18</v>
      </c>
      <c r="N299" s="19" t="s">
        <v>376</v>
      </c>
      <c r="O299" s="19"/>
    </row>
    <row r="300" spans="1:15" x14ac:dyDescent="0.25">
      <c r="A300" s="19"/>
      <c r="B300" s="19" t="s">
        <v>332</v>
      </c>
      <c r="C300" s="19" t="s">
        <v>333</v>
      </c>
      <c r="D300" s="19" t="s">
        <v>377</v>
      </c>
      <c r="E300" s="19" t="s">
        <v>100</v>
      </c>
      <c r="F300" s="19" t="s">
        <v>125</v>
      </c>
      <c r="G300" s="19" t="s">
        <v>180</v>
      </c>
      <c r="H300" s="19" t="s">
        <v>126</v>
      </c>
      <c r="I300" s="19" t="b">
        <v>0</v>
      </c>
      <c r="J300" s="19">
        <v>54</v>
      </c>
      <c r="K300" s="19">
        <v>468.3</v>
      </c>
      <c r="L300" s="20">
        <v>12056500</v>
      </c>
      <c r="M300" s="20">
        <v>1.7727866281458839E+18</v>
      </c>
      <c r="N300" s="19" t="s">
        <v>378</v>
      </c>
      <c r="O300" s="19"/>
    </row>
    <row r="301" spans="1:15" x14ac:dyDescent="0.25">
      <c r="A301" s="19"/>
      <c r="B301" s="19" t="s">
        <v>379</v>
      </c>
      <c r="C301" s="19" t="s">
        <v>380</v>
      </c>
      <c r="D301" s="19" t="s">
        <v>377</v>
      </c>
      <c r="E301" s="19" t="s">
        <v>124</v>
      </c>
      <c r="F301" s="19" t="s">
        <v>125</v>
      </c>
      <c r="G301" s="19" t="s">
        <v>125</v>
      </c>
      <c r="H301" s="19" t="s">
        <v>126</v>
      </c>
      <c r="I301" s="19" t="b">
        <v>0</v>
      </c>
      <c r="J301" s="19">
        <v>42</v>
      </c>
      <c r="K301" s="19">
        <v>206.6</v>
      </c>
      <c r="L301" s="20">
        <v>408247693</v>
      </c>
      <c r="M301" s="20">
        <v>1200000077068736</v>
      </c>
      <c r="N301" s="19" t="s">
        <v>381</v>
      </c>
      <c r="O301" s="19"/>
    </row>
    <row r="302" spans="1:15" x14ac:dyDescent="0.25">
      <c r="A302" s="19"/>
      <c r="B302" s="19" t="s">
        <v>379</v>
      </c>
      <c r="C302" s="19" t="s">
        <v>380</v>
      </c>
      <c r="D302" s="19" t="s">
        <v>377</v>
      </c>
      <c r="E302" s="19" t="s">
        <v>124</v>
      </c>
      <c r="F302" s="19" t="s">
        <v>125</v>
      </c>
      <c r="G302" s="19" t="s">
        <v>125</v>
      </c>
      <c r="H302" s="19" t="s">
        <v>126</v>
      </c>
      <c r="I302" s="19" t="b">
        <v>0</v>
      </c>
      <c r="J302" s="19">
        <v>79</v>
      </c>
      <c r="K302" s="19">
        <v>206.6</v>
      </c>
      <c r="L302" s="20">
        <v>408247694</v>
      </c>
      <c r="M302" s="20">
        <v>1200000077068736</v>
      </c>
      <c r="N302" s="19" t="s">
        <v>381</v>
      </c>
      <c r="O302" s="19"/>
    </row>
    <row r="303" spans="1:15" x14ac:dyDescent="0.25">
      <c r="A303" s="19"/>
      <c r="B303" s="19" t="s">
        <v>134</v>
      </c>
      <c r="C303" s="19" t="s">
        <v>135</v>
      </c>
      <c r="D303" s="19" t="s">
        <v>173</v>
      </c>
      <c r="E303" s="19" t="s">
        <v>124</v>
      </c>
      <c r="F303" s="19" t="s">
        <v>125</v>
      </c>
      <c r="G303" s="19" t="s">
        <v>125</v>
      </c>
      <c r="H303" s="19" t="s">
        <v>174</v>
      </c>
      <c r="I303" s="19" t="b">
        <v>0</v>
      </c>
      <c r="J303" s="19">
        <v>2</v>
      </c>
      <c r="K303" s="19">
        <v>4180.2002000000002</v>
      </c>
      <c r="L303" s="20">
        <v>602393096</v>
      </c>
      <c r="M303" s="20">
        <v>1300000019368715</v>
      </c>
      <c r="N303" s="19" t="s">
        <v>176</v>
      </c>
      <c r="O303" s="19"/>
    </row>
    <row r="304" spans="1:15" x14ac:dyDescent="0.25">
      <c r="A304" s="19"/>
      <c r="B304" s="19" t="s">
        <v>134</v>
      </c>
      <c r="C304" s="19" t="s">
        <v>135</v>
      </c>
      <c r="D304" s="19" t="s">
        <v>173</v>
      </c>
      <c r="E304" s="19" t="s">
        <v>124</v>
      </c>
      <c r="F304" s="19" t="s">
        <v>125</v>
      </c>
      <c r="G304" s="19" t="s">
        <v>125</v>
      </c>
      <c r="H304" s="19" t="s">
        <v>174</v>
      </c>
      <c r="I304" s="19" t="b">
        <v>0</v>
      </c>
      <c r="J304" s="19">
        <v>1</v>
      </c>
      <c r="K304" s="19">
        <v>4180.2002000000002</v>
      </c>
      <c r="L304" s="20">
        <v>602393097</v>
      </c>
      <c r="M304" s="20">
        <v>1300000019368715</v>
      </c>
      <c r="N304" s="19" t="s">
        <v>176</v>
      </c>
      <c r="O304" s="19"/>
    </row>
    <row r="305" spans="1:15" x14ac:dyDescent="0.25">
      <c r="A305" s="19"/>
      <c r="B305" s="19" t="s">
        <v>134</v>
      </c>
      <c r="C305" s="19" t="s">
        <v>135</v>
      </c>
      <c r="D305" s="19" t="s">
        <v>173</v>
      </c>
      <c r="E305" s="19" t="s">
        <v>124</v>
      </c>
      <c r="F305" s="19" t="s">
        <v>125</v>
      </c>
      <c r="G305" s="19" t="s">
        <v>125</v>
      </c>
      <c r="H305" s="19" t="s">
        <v>174</v>
      </c>
      <c r="I305" s="19" t="b">
        <v>0</v>
      </c>
      <c r="J305" s="19">
        <v>1</v>
      </c>
      <c r="K305" s="19">
        <v>4180.2002000000002</v>
      </c>
      <c r="L305" s="20">
        <v>602393094</v>
      </c>
      <c r="M305" s="20">
        <v>1300000019368715</v>
      </c>
      <c r="N305" s="19" t="s">
        <v>176</v>
      </c>
      <c r="O305" s="19"/>
    </row>
    <row r="306" spans="1:15" x14ac:dyDescent="0.25">
      <c r="A306" s="19"/>
      <c r="B306" s="19" t="s">
        <v>128</v>
      </c>
      <c r="C306" s="19" t="s">
        <v>129</v>
      </c>
      <c r="D306" s="19" t="s">
        <v>340</v>
      </c>
      <c r="E306" s="19" t="s">
        <v>124</v>
      </c>
      <c r="F306" s="19" t="s">
        <v>125</v>
      </c>
      <c r="G306" s="19" t="s">
        <v>125</v>
      </c>
      <c r="H306" s="19" t="s">
        <v>174</v>
      </c>
      <c r="I306" s="19" t="b">
        <v>0</v>
      </c>
      <c r="J306" s="19">
        <v>1</v>
      </c>
      <c r="K306" s="19">
        <v>1299.4000000000001</v>
      </c>
      <c r="L306" s="20">
        <v>4407184</v>
      </c>
      <c r="M306" s="20">
        <v>1000000050030745</v>
      </c>
      <c r="N306" s="19" t="s">
        <v>345</v>
      </c>
      <c r="O306" s="19"/>
    </row>
    <row r="307" spans="1:15" x14ac:dyDescent="0.25">
      <c r="A307" s="19"/>
      <c r="B307" s="19" t="s">
        <v>182</v>
      </c>
      <c r="C307" s="19" t="s">
        <v>183</v>
      </c>
      <c r="D307" s="19" t="s">
        <v>215</v>
      </c>
      <c r="E307" s="19" t="s">
        <v>124</v>
      </c>
      <c r="F307" s="19" t="s">
        <v>125</v>
      </c>
      <c r="G307" s="19" t="s">
        <v>125</v>
      </c>
      <c r="H307" s="19" t="s">
        <v>174</v>
      </c>
      <c r="I307" s="19" t="b">
        <v>0</v>
      </c>
      <c r="J307" s="19">
        <v>2</v>
      </c>
      <c r="K307" s="19">
        <v>482.05</v>
      </c>
      <c r="L307" s="20">
        <v>400073760</v>
      </c>
      <c r="M307" s="20">
        <v>1200000000472402</v>
      </c>
      <c r="N307" s="19" t="s">
        <v>216</v>
      </c>
      <c r="O307" s="19"/>
    </row>
    <row r="308" spans="1:15" x14ac:dyDescent="0.25">
      <c r="A308" s="19"/>
      <c r="B308" s="19" t="s">
        <v>182</v>
      </c>
      <c r="C308" s="19" t="s">
        <v>183</v>
      </c>
      <c r="D308" s="19" t="s">
        <v>215</v>
      </c>
      <c r="E308" s="19" t="s">
        <v>124</v>
      </c>
      <c r="F308" s="19" t="s">
        <v>125</v>
      </c>
      <c r="G308" s="19" t="s">
        <v>125</v>
      </c>
      <c r="H308" s="19" t="s">
        <v>174</v>
      </c>
      <c r="I308" s="19" t="b">
        <v>0</v>
      </c>
      <c r="J308" s="19">
        <v>2</v>
      </c>
      <c r="K308" s="19">
        <v>482</v>
      </c>
      <c r="L308" s="20">
        <v>400073765</v>
      </c>
      <c r="M308" s="20">
        <v>1200000000472402</v>
      </c>
      <c r="N308" s="19" t="s">
        <v>216</v>
      </c>
      <c r="O308" s="19"/>
    </row>
    <row r="309" spans="1:15" x14ac:dyDescent="0.25">
      <c r="A309" s="19"/>
      <c r="B309" s="19" t="s">
        <v>182</v>
      </c>
      <c r="C309" s="19" t="s">
        <v>183</v>
      </c>
      <c r="D309" s="19" t="s">
        <v>215</v>
      </c>
      <c r="E309" s="19" t="s">
        <v>124</v>
      </c>
      <c r="F309" s="19" t="s">
        <v>125</v>
      </c>
      <c r="G309" s="19" t="s">
        <v>125</v>
      </c>
      <c r="H309" s="19" t="s">
        <v>174</v>
      </c>
      <c r="I309" s="19" t="b">
        <v>0</v>
      </c>
      <c r="J309" s="19">
        <v>2</v>
      </c>
      <c r="K309" s="19">
        <v>482.05</v>
      </c>
      <c r="L309" s="20">
        <v>400073754</v>
      </c>
      <c r="M309" s="20">
        <v>1200000000472402</v>
      </c>
      <c r="N309" s="19" t="s">
        <v>216</v>
      </c>
      <c r="O309" s="19"/>
    </row>
    <row r="310" spans="1:15" x14ac:dyDescent="0.25">
      <c r="A310" s="19"/>
      <c r="B310" s="19" t="s">
        <v>182</v>
      </c>
      <c r="C310" s="19" t="s">
        <v>183</v>
      </c>
      <c r="D310" s="19" t="s">
        <v>215</v>
      </c>
      <c r="E310" s="19" t="s">
        <v>124</v>
      </c>
      <c r="F310" s="19" t="s">
        <v>125</v>
      </c>
      <c r="G310" s="19" t="s">
        <v>125</v>
      </c>
      <c r="H310" s="19" t="s">
        <v>174</v>
      </c>
      <c r="I310" s="19" t="b">
        <v>0</v>
      </c>
      <c r="J310" s="19">
        <v>17</v>
      </c>
      <c r="K310" s="19">
        <v>482.05</v>
      </c>
      <c r="L310" s="20">
        <v>400073757</v>
      </c>
      <c r="M310" s="20">
        <v>1200000000472402</v>
      </c>
      <c r="N310" s="19" t="s">
        <v>216</v>
      </c>
      <c r="O310" s="19"/>
    </row>
    <row r="311" spans="1:15" x14ac:dyDescent="0.25">
      <c r="A311" s="19"/>
      <c r="B311" s="19" t="s">
        <v>182</v>
      </c>
      <c r="C311" s="19" t="s">
        <v>183</v>
      </c>
      <c r="D311" s="19" t="s">
        <v>215</v>
      </c>
      <c r="E311" s="19" t="s">
        <v>124</v>
      </c>
      <c r="F311" s="19" t="s">
        <v>125</v>
      </c>
      <c r="G311" s="19" t="s">
        <v>125</v>
      </c>
      <c r="H311" s="19" t="s">
        <v>174</v>
      </c>
      <c r="I311" s="19" t="b">
        <v>0</v>
      </c>
      <c r="J311" s="19">
        <v>2</v>
      </c>
      <c r="K311" s="19">
        <v>482.05</v>
      </c>
      <c r="L311" s="20">
        <v>400073758</v>
      </c>
      <c r="M311" s="20">
        <v>1200000000472402</v>
      </c>
      <c r="N311" s="19" t="s">
        <v>216</v>
      </c>
      <c r="O311" s="19"/>
    </row>
    <row r="312" spans="1:15" x14ac:dyDescent="0.25">
      <c r="A312" s="19"/>
      <c r="B312" s="19" t="s">
        <v>38</v>
      </c>
      <c r="C312" s="19" t="s">
        <v>353</v>
      </c>
      <c r="D312" s="19" t="s">
        <v>382</v>
      </c>
      <c r="E312" s="19" t="s">
        <v>100</v>
      </c>
      <c r="F312" s="19" t="s">
        <v>125</v>
      </c>
      <c r="G312" s="19" t="s">
        <v>180</v>
      </c>
      <c r="H312" s="19" t="s">
        <v>126</v>
      </c>
      <c r="I312" s="19" t="b">
        <v>0</v>
      </c>
      <c r="J312" s="19">
        <v>14</v>
      </c>
      <c r="K312" s="19">
        <v>846.65</v>
      </c>
      <c r="L312" s="20">
        <v>12948500</v>
      </c>
      <c r="M312" s="20">
        <v>1.7730484151741571E+18</v>
      </c>
      <c r="N312" s="19" t="s">
        <v>383</v>
      </c>
      <c r="O312" s="19"/>
    </row>
    <row r="313" spans="1:15" x14ac:dyDescent="0.25">
      <c r="A313" s="19"/>
      <c r="B313" s="19" t="s">
        <v>38</v>
      </c>
      <c r="C313" s="19" t="s">
        <v>353</v>
      </c>
      <c r="D313" s="19" t="s">
        <v>382</v>
      </c>
      <c r="E313" s="19" t="s">
        <v>100</v>
      </c>
      <c r="F313" s="19" t="s">
        <v>125</v>
      </c>
      <c r="G313" s="19" t="s">
        <v>180</v>
      </c>
      <c r="H313" s="19" t="s">
        <v>126</v>
      </c>
      <c r="I313" s="19" t="b">
        <v>0</v>
      </c>
      <c r="J313" s="19">
        <v>14</v>
      </c>
      <c r="K313" s="19">
        <v>847.3</v>
      </c>
      <c r="L313" s="20">
        <v>12949700</v>
      </c>
      <c r="M313" s="20">
        <v>1.7730484151741571E+18</v>
      </c>
      <c r="N313" s="19" t="s">
        <v>383</v>
      </c>
      <c r="O313" s="19"/>
    </row>
    <row r="314" spans="1:15" x14ac:dyDescent="0.25">
      <c r="A314" s="19"/>
      <c r="B314" s="19" t="s">
        <v>38</v>
      </c>
      <c r="C314" s="19" t="s">
        <v>353</v>
      </c>
      <c r="D314" s="19" t="s">
        <v>382</v>
      </c>
      <c r="E314" s="19" t="s">
        <v>100</v>
      </c>
      <c r="F314" s="19" t="s">
        <v>125</v>
      </c>
      <c r="G314" s="19" t="s">
        <v>180</v>
      </c>
      <c r="H314" s="19" t="s">
        <v>126</v>
      </c>
      <c r="I314" s="19" t="b">
        <v>0</v>
      </c>
      <c r="J314" s="19">
        <v>20</v>
      </c>
      <c r="K314" s="19">
        <v>847.15</v>
      </c>
      <c r="L314" s="20">
        <v>12949500</v>
      </c>
      <c r="M314" s="20">
        <v>1.7730484151741571E+18</v>
      </c>
      <c r="N314" s="19" t="s">
        <v>383</v>
      </c>
      <c r="O314" s="19"/>
    </row>
    <row r="315" spans="1:15" x14ac:dyDescent="0.25">
      <c r="A315" s="19"/>
      <c r="B315" s="19" t="s">
        <v>38</v>
      </c>
      <c r="C315" s="19" t="s">
        <v>353</v>
      </c>
      <c r="D315" s="19" t="s">
        <v>382</v>
      </c>
      <c r="E315" s="19" t="s">
        <v>100</v>
      </c>
      <c r="F315" s="19" t="s">
        <v>125</v>
      </c>
      <c r="G315" s="19" t="s">
        <v>180</v>
      </c>
      <c r="H315" s="19" t="s">
        <v>126</v>
      </c>
      <c r="I315" s="19" t="b">
        <v>0</v>
      </c>
      <c r="J315" s="19">
        <v>27</v>
      </c>
      <c r="K315" s="19">
        <v>846.75</v>
      </c>
      <c r="L315" s="20">
        <v>12948800</v>
      </c>
      <c r="M315" s="20">
        <v>1.7730484151741571E+18</v>
      </c>
      <c r="N315" s="19" t="s">
        <v>383</v>
      </c>
      <c r="O315" s="19"/>
    </row>
    <row r="316" spans="1:15" x14ac:dyDescent="0.25">
      <c r="A316" s="19"/>
      <c r="B316" s="19" t="s">
        <v>38</v>
      </c>
      <c r="C316" s="19" t="s">
        <v>353</v>
      </c>
      <c r="D316" s="19" t="s">
        <v>382</v>
      </c>
      <c r="E316" s="19" t="s">
        <v>100</v>
      </c>
      <c r="F316" s="19" t="s">
        <v>125</v>
      </c>
      <c r="G316" s="19" t="s">
        <v>180</v>
      </c>
      <c r="H316" s="19" t="s">
        <v>126</v>
      </c>
      <c r="I316" s="19" t="b">
        <v>0</v>
      </c>
      <c r="J316" s="19">
        <v>28</v>
      </c>
      <c r="K316" s="19">
        <v>846.9</v>
      </c>
      <c r="L316" s="20">
        <v>12949300</v>
      </c>
      <c r="M316" s="20">
        <v>1.7730484151741571E+18</v>
      </c>
      <c r="N316" s="19" t="s">
        <v>383</v>
      </c>
      <c r="O316" s="19"/>
    </row>
    <row r="317" spans="1:15" x14ac:dyDescent="0.25">
      <c r="A317" s="19"/>
      <c r="B317" s="19" t="s">
        <v>38</v>
      </c>
      <c r="C317" s="19" t="s">
        <v>353</v>
      </c>
      <c r="D317" s="19" t="s">
        <v>382</v>
      </c>
      <c r="E317" s="19" t="s">
        <v>100</v>
      </c>
      <c r="F317" s="19" t="s">
        <v>125</v>
      </c>
      <c r="G317" s="19" t="s">
        <v>180</v>
      </c>
      <c r="H317" s="19" t="s">
        <v>126</v>
      </c>
      <c r="I317" s="19" t="b">
        <v>0</v>
      </c>
      <c r="J317" s="19">
        <v>6</v>
      </c>
      <c r="K317" s="19">
        <v>846.85</v>
      </c>
      <c r="L317" s="20">
        <v>12949000</v>
      </c>
      <c r="M317" s="20">
        <v>1.7730484151741571E+18</v>
      </c>
      <c r="N317" s="19" t="s">
        <v>383</v>
      </c>
      <c r="O317" s="19"/>
    </row>
    <row r="318" spans="1:15" x14ac:dyDescent="0.25">
      <c r="A318" s="19"/>
      <c r="B318" s="19" t="s">
        <v>38</v>
      </c>
      <c r="C318" s="19" t="s">
        <v>353</v>
      </c>
      <c r="D318" s="19" t="s">
        <v>382</v>
      </c>
      <c r="E318" s="19" t="s">
        <v>100</v>
      </c>
      <c r="F318" s="19" t="s">
        <v>125</v>
      </c>
      <c r="G318" s="19" t="s">
        <v>180</v>
      </c>
      <c r="H318" s="19" t="s">
        <v>126</v>
      </c>
      <c r="I318" s="19" t="b">
        <v>0</v>
      </c>
      <c r="J318" s="19">
        <v>9</v>
      </c>
      <c r="K318" s="19">
        <v>847.35</v>
      </c>
      <c r="L318" s="20">
        <v>12949900</v>
      </c>
      <c r="M318" s="20">
        <v>1.7730484151741571E+18</v>
      </c>
      <c r="N318" s="19" t="s">
        <v>383</v>
      </c>
      <c r="O318" s="19"/>
    </row>
    <row r="319" spans="1:15" x14ac:dyDescent="0.25">
      <c r="A319" s="19"/>
      <c r="B319" s="19" t="s">
        <v>47</v>
      </c>
      <c r="C319" s="19" t="s">
        <v>384</v>
      </c>
      <c r="D319" s="19" t="s">
        <v>382</v>
      </c>
      <c r="E319" s="19" t="s">
        <v>124</v>
      </c>
      <c r="F319" s="19" t="s">
        <v>125</v>
      </c>
      <c r="G319" s="19" t="s">
        <v>125</v>
      </c>
      <c r="H319" s="19" t="s">
        <v>126</v>
      </c>
      <c r="I319" s="19" t="b">
        <v>0</v>
      </c>
      <c r="J319" s="19">
        <v>92</v>
      </c>
      <c r="K319" s="19">
        <v>272.58999999999997</v>
      </c>
      <c r="L319" s="20">
        <v>408679913</v>
      </c>
      <c r="M319" s="20">
        <v>1200000090521780</v>
      </c>
      <c r="N319" s="19" t="s">
        <v>385</v>
      </c>
      <c r="O319" s="19"/>
    </row>
    <row r="320" spans="1:15" x14ac:dyDescent="0.25">
      <c r="A320" s="19"/>
      <c r="B320" s="19" t="s">
        <v>41</v>
      </c>
      <c r="C320" s="19" t="s">
        <v>122</v>
      </c>
      <c r="D320" s="19" t="s">
        <v>382</v>
      </c>
      <c r="E320" s="19" t="s">
        <v>124</v>
      </c>
      <c r="F320" s="19" t="s">
        <v>125</v>
      </c>
      <c r="G320" s="19" t="s">
        <v>125</v>
      </c>
      <c r="H320" s="19" t="s">
        <v>126</v>
      </c>
      <c r="I320" s="19" t="b">
        <v>0</v>
      </c>
      <c r="J320" s="19">
        <v>12</v>
      </c>
      <c r="K320" s="19">
        <v>8230.5</v>
      </c>
      <c r="L320" s="20">
        <v>409007482</v>
      </c>
      <c r="M320" s="20">
        <v>1200000092616711</v>
      </c>
      <c r="N320" s="19" t="s">
        <v>386</v>
      </c>
      <c r="O320" s="19"/>
    </row>
    <row r="321" spans="1:15" x14ac:dyDescent="0.25">
      <c r="A321" s="19"/>
      <c r="B321" s="19" t="s">
        <v>387</v>
      </c>
      <c r="C321" s="19" t="s">
        <v>388</v>
      </c>
      <c r="D321" s="19" t="s">
        <v>382</v>
      </c>
      <c r="E321" s="19" t="s">
        <v>124</v>
      </c>
      <c r="F321" s="19" t="s">
        <v>125</v>
      </c>
      <c r="G321" s="19" t="s">
        <v>125</v>
      </c>
      <c r="H321" s="19" t="s">
        <v>126</v>
      </c>
      <c r="I321" s="19" t="b">
        <v>0</v>
      </c>
      <c r="J321" s="19">
        <v>20</v>
      </c>
      <c r="K321" s="19">
        <v>1033.0999999999999</v>
      </c>
      <c r="L321" s="20">
        <v>8272775</v>
      </c>
      <c r="M321" s="20">
        <v>1000000076102617</v>
      </c>
      <c r="N321" s="19" t="s">
        <v>389</v>
      </c>
      <c r="O321" s="19"/>
    </row>
    <row r="322" spans="1:15" x14ac:dyDescent="0.25">
      <c r="A322" s="19"/>
      <c r="B322" s="19" t="s">
        <v>387</v>
      </c>
      <c r="C322" s="19" t="s">
        <v>388</v>
      </c>
      <c r="D322" s="19" t="s">
        <v>382</v>
      </c>
      <c r="E322" s="19" t="s">
        <v>124</v>
      </c>
      <c r="F322" s="19" t="s">
        <v>125</v>
      </c>
      <c r="G322" s="19" t="s">
        <v>125</v>
      </c>
      <c r="H322" s="19" t="s">
        <v>126</v>
      </c>
      <c r="I322" s="19" t="b">
        <v>0</v>
      </c>
      <c r="J322" s="19">
        <v>2</v>
      </c>
      <c r="K322" s="19">
        <v>1033.0999999999999</v>
      </c>
      <c r="L322" s="20">
        <v>8272774</v>
      </c>
      <c r="M322" s="20">
        <v>1000000076102617</v>
      </c>
      <c r="N322" s="19" t="s">
        <v>389</v>
      </c>
      <c r="O322" s="19"/>
    </row>
    <row r="323" spans="1:15" x14ac:dyDescent="0.25">
      <c r="A323" s="19"/>
      <c r="B323" s="19" t="s">
        <v>387</v>
      </c>
      <c r="C323" s="19" t="s">
        <v>388</v>
      </c>
      <c r="D323" s="19" t="s">
        <v>382</v>
      </c>
      <c r="E323" s="19" t="s">
        <v>124</v>
      </c>
      <c r="F323" s="19" t="s">
        <v>125</v>
      </c>
      <c r="G323" s="19" t="s">
        <v>125</v>
      </c>
      <c r="H323" s="19" t="s">
        <v>126</v>
      </c>
      <c r="I323" s="19" t="b">
        <v>0</v>
      </c>
      <c r="J323" s="19">
        <v>27</v>
      </c>
      <c r="K323" s="19">
        <v>1033.2</v>
      </c>
      <c r="L323" s="20">
        <v>8272776</v>
      </c>
      <c r="M323" s="20">
        <v>1000000076102617</v>
      </c>
      <c r="N323" s="19" t="s">
        <v>389</v>
      </c>
      <c r="O323" s="19"/>
    </row>
    <row r="324" spans="1:15" x14ac:dyDescent="0.25">
      <c r="A324" s="19"/>
      <c r="B324" s="19" t="s">
        <v>390</v>
      </c>
      <c r="C324" s="19" t="s">
        <v>391</v>
      </c>
      <c r="D324" s="19" t="s">
        <v>382</v>
      </c>
      <c r="E324" s="19" t="s">
        <v>124</v>
      </c>
      <c r="F324" s="19" t="s">
        <v>125</v>
      </c>
      <c r="G324" s="19" t="s">
        <v>125</v>
      </c>
      <c r="H324" s="19" t="s">
        <v>126</v>
      </c>
      <c r="I324" s="19" t="b">
        <v>0</v>
      </c>
      <c r="J324" s="19">
        <v>1</v>
      </c>
      <c r="K324" s="19">
        <v>3775.7</v>
      </c>
      <c r="L324" s="20">
        <v>211697566</v>
      </c>
      <c r="M324" s="20">
        <v>1100000104870322</v>
      </c>
      <c r="N324" s="19" t="s">
        <v>392</v>
      </c>
      <c r="O324" s="19"/>
    </row>
    <row r="325" spans="1:15" x14ac:dyDescent="0.25">
      <c r="A325" s="19"/>
      <c r="B325" s="19" t="s">
        <v>390</v>
      </c>
      <c r="C325" s="19" t="s">
        <v>391</v>
      </c>
      <c r="D325" s="19" t="s">
        <v>382</v>
      </c>
      <c r="E325" s="19" t="s">
        <v>124</v>
      </c>
      <c r="F325" s="19" t="s">
        <v>125</v>
      </c>
      <c r="G325" s="19" t="s">
        <v>125</v>
      </c>
      <c r="H325" s="19" t="s">
        <v>126</v>
      </c>
      <c r="I325" s="19" t="b">
        <v>0</v>
      </c>
      <c r="J325" s="19">
        <v>3</v>
      </c>
      <c r="K325" s="19">
        <v>3775.7</v>
      </c>
      <c r="L325" s="20">
        <v>211697563</v>
      </c>
      <c r="M325" s="20">
        <v>1100000104870322</v>
      </c>
      <c r="N325" s="19" t="s">
        <v>392</v>
      </c>
      <c r="O325" s="19"/>
    </row>
    <row r="326" spans="1:15" x14ac:dyDescent="0.25">
      <c r="A326" s="19"/>
      <c r="B326" s="19" t="s">
        <v>390</v>
      </c>
      <c r="C326" s="19" t="s">
        <v>391</v>
      </c>
      <c r="D326" s="19" t="s">
        <v>382</v>
      </c>
      <c r="E326" s="19" t="s">
        <v>124</v>
      </c>
      <c r="F326" s="19" t="s">
        <v>125</v>
      </c>
      <c r="G326" s="19" t="s">
        <v>125</v>
      </c>
      <c r="H326" s="19" t="s">
        <v>126</v>
      </c>
      <c r="I326" s="19" t="b">
        <v>0</v>
      </c>
      <c r="J326" s="19">
        <v>4</v>
      </c>
      <c r="K326" s="19">
        <v>3775.7</v>
      </c>
      <c r="L326" s="20">
        <v>211697565</v>
      </c>
      <c r="M326" s="20">
        <v>1100000104870322</v>
      </c>
      <c r="N326" s="19" t="s">
        <v>392</v>
      </c>
      <c r="O326" s="19"/>
    </row>
    <row r="327" spans="1:15" x14ac:dyDescent="0.25">
      <c r="A327" s="19"/>
      <c r="B327" s="19" t="s">
        <v>390</v>
      </c>
      <c r="C327" s="19" t="s">
        <v>391</v>
      </c>
      <c r="D327" s="19" t="s">
        <v>382</v>
      </c>
      <c r="E327" s="19" t="s">
        <v>124</v>
      </c>
      <c r="F327" s="19" t="s">
        <v>125</v>
      </c>
      <c r="G327" s="19" t="s">
        <v>125</v>
      </c>
      <c r="H327" s="19" t="s">
        <v>126</v>
      </c>
      <c r="I327" s="19" t="b">
        <v>0</v>
      </c>
      <c r="J327" s="19">
        <v>5</v>
      </c>
      <c r="K327" s="19">
        <v>3775.7</v>
      </c>
      <c r="L327" s="20">
        <v>211697564</v>
      </c>
      <c r="M327" s="20">
        <v>1100000104870322</v>
      </c>
      <c r="N327" s="19" t="s">
        <v>392</v>
      </c>
      <c r="O327" s="19"/>
    </row>
    <row r="328" spans="1:15" x14ac:dyDescent="0.25">
      <c r="A328" s="19"/>
      <c r="B328" s="19" t="s">
        <v>83</v>
      </c>
      <c r="C328" s="19" t="s">
        <v>154</v>
      </c>
      <c r="D328" s="19" t="s">
        <v>173</v>
      </c>
      <c r="E328" s="19" t="s">
        <v>124</v>
      </c>
      <c r="F328" s="19" t="s">
        <v>125</v>
      </c>
      <c r="G328" s="19" t="s">
        <v>125</v>
      </c>
      <c r="H328" s="19" t="s">
        <v>174</v>
      </c>
      <c r="I328" s="19" t="b">
        <v>0</v>
      </c>
      <c r="J328" s="19">
        <v>4</v>
      </c>
      <c r="K328" s="19">
        <v>1477.1</v>
      </c>
      <c r="L328" s="20">
        <v>402016993</v>
      </c>
      <c r="M328" s="20">
        <v>1200000018561473</v>
      </c>
      <c r="N328" s="19" t="s">
        <v>177</v>
      </c>
      <c r="O328" s="19"/>
    </row>
    <row r="329" spans="1:15" x14ac:dyDescent="0.25">
      <c r="A329" s="19"/>
      <c r="B329" s="19" t="s">
        <v>83</v>
      </c>
      <c r="C329" s="19" t="s">
        <v>154</v>
      </c>
      <c r="D329" s="19" t="s">
        <v>173</v>
      </c>
      <c r="E329" s="19" t="s">
        <v>124</v>
      </c>
      <c r="F329" s="19" t="s">
        <v>125</v>
      </c>
      <c r="G329" s="19" t="s">
        <v>125</v>
      </c>
      <c r="H329" s="19" t="s">
        <v>174</v>
      </c>
      <c r="I329" s="19" t="b">
        <v>0</v>
      </c>
      <c r="J329" s="19">
        <v>4</v>
      </c>
      <c r="K329" s="19">
        <v>1477.1</v>
      </c>
      <c r="L329" s="20">
        <v>402016995</v>
      </c>
      <c r="M329" s="20">
        <v>1200000018561473</v>
      </c>
      <c r="N329" s="19" t="s">
        <v>177</v>
      </c>
      <c r="O329" s="19"/>
    </row>
    <row r="330" spans="1:15" x14ac:dyDescent="0.25">
      <c r="A330" s="19"/>
      <c r="B330" s="19" t="s">
        <v>313</v>
      </c>
      <c r="C330" s="19" t="s">
        <v>314</v>
      </c>
      <c r="D330" s="19" t="s">
        <v>393</v>
      </c>
      <c r="E330" s="19" t="s">
        <v>100</v>
      </c>
      <c r="F330" s="19" t="s">
        <v>125</v>
      </c>
      <c r="G330" s="19" t="s">
        <v>180</v>
      </c>
      <c r="H330" s="19" t="s">
        <v>174</v>
      </c>
      <c r="I330" s="19" t="b">
        <v>0</v>
      </c>
      <c r="J330" s="19">
        <v>368</v>
      </c>
      <c r="K330" s="19">
        <v>152.80000000000001</v>
      </c>
      <c r="L330" s="20">
        <v>1999700</v>
      </c>
      <c r="M330" s="20">
        <v>1.7738046000148769E+18</v>
      </c>
      <c r="N330" s="19" t="s">
        <v>394</v>
      </c>
      <c r="O330" s="19"/>
    </row>
    <row r="331" spans="1:15" x14ac:dyDescent="0.25">
      <c r="A331" s="19"/>
      <c r="B331" s="19" t="s">
        <v>313</v>
      </c>
      <c r="C331" s="19" t="s">
        <v>314</v>
      </c>
      <c r="D331" s="19" t="s">
        <v>393</v>
      </c>
      <c r="E331" s="19" t="s">
        <v>100</v>
      </c>
      <c r="F331" s="19" t="s">
        <v>125</v>
      </c>
      <c r="G331" s="19" t="s">
        <v>180</v>
      </c>
      <c r="H331" s="19" t="s">
        <v>174</v>
      </c>
      <c r="I331" s="19" t="b">
        <v>0</v>
      </c>
      <c r="J331" s="19">
        <v>97</v>
      </c>
      <c r="K331" s="19">
        <v>152.85</v>
      </c>
      <c r="L331" s="20">
        <v>1999000</v>
      </c>
      <c r="M331" s="20">
        <v>1.7738046000148769E+18</v>
      </c>
      <c r="N331" s="19" t="s">
        <v>394</v>
      </c>
      <c r="O331" s="19"/>
    </row>
    <row r="332" spans="1:15" x14ac:dyDescent="0.25">
      <c r="A332" s="19"/>
      <c r="B332" s="19" t="s">
        <v>38</v>
      </c>
      <c r="C332" s="19" t="s">
        <v>353</v>
      </c>
      <c r="D332" s="19" t="s">
        <v>395</v>
      </c>
      <c r="E332" s="19" t="s">
        <v>124</v>
      </c>
      <c r="F332" s="19" t="s">
        <v>125</v>
      </c>
      <c r="G332" s="19" t="s">
        <v>125</v>
      </c>
      <c r="H332" s="19" t="s">
        <v>126</v>
      </c>
      <c r="I332" s="19" t="b">
        <v>0</v>
      </c>
      <c r="J332" s="19">
        <v>12</v>
      </c>
      <c r="K332" s="19">
        <v>862.95</v>
      </c>
      <c r="L332" s="20">
        <v>606850025</v>
      </c>
      <c r="M332" s="20">
        <v>1300000087261603</v>
      </c>
      <c r="N332" s="19" t="s">
        <v>396</v>
      </c>
      <c r="O332" s="19"/>
    </row>
    <row r="333" spans="1:15" x14ac:dyDescent="0.25">
      <c r="A333" s="19"/>
      <c r="B333" s="19" t="s">
        <v>38</v>
      </c>
      <c r="C333" s="19" t="s">
        <v>353</v>
      </c>
      <c r="D333" s="19" t="s">
        <v>395</v>
      </c>
      <c r="E333" s="19" t="s">
        <v>124</v>
      </c>
      <c r="F333" s="19" t="s">
        <v>125</v>
      </c>
      <c r="G333" s="19" t="s">
        <v>125</v>
      </c>
      <c r="H333" s="19" t="s">
        <v>126</v>
      </c>
      <c r="I333" s="19" t="b">
        <v>0</v>
      </c>
      <c r="J333" s="19">
        <v>2</v>
      </c>
      <c r="K333" s="19">
        <v>862.95</v>
      </c>
      <c r="L333" s="20">
        <v>606850024</v>
      </c>
      <c r="M333" s="20">
        <v>1300000087261603</v>
      </c>
      <c r="N333" s="19" t="s">
        <v>396</v>
      </c>
      <c r="O333" s="19"/>
    </row>
    <row r="334" spans="1:15" x14ac:dyDescent="0.25">
      <c r="A334" s="19"/>
      <c r="B334" s="19" t="s">
        <v>38</v>
      </c>
      <c r="C334" s="19" t="s">
        <v>353</v>
      </c>
      <c r="D334" s="19" t="s">
        <v>395</v>
      </c>
      <c r="E334" s="19" t="s">
        <v>124</v>
      </c>
      <c r="F334" s="19" t="s">
        <v>125</v>
      </c>
      <c r="G334" s="19" t="s">
        <v>125</v>
      </c>
      <c r="H334" s="19" t="s">
        <v>126</v>
      </c>
      <c r="I334" s="19" t="b">
        <v>0</v>
      </c>
      <c r="J334" s="19">
        <v>26</v>
      </c>
      <c r="K334" s="19">
        <v>862.95</v>
      </c>
      <c r="L334" s="20">
        <v>606850023</v>
      </c>
      <c r="M334" s="20">
        <v>1300000087261603</v>
      </c>
      <c r="N334" s="19" t="s">
        <v>396</v>
      </c>
      <c r="O334" s="19"/>
    </row>
    <row r="335" spans="1:15" x14ac:dyDescent="0.25">
      <c r="A335" s="19"/>
      <c r="B335" s="19" t="s">
        <v>38</v>
      </c>
      <c r="C335" s="19" t="s">
        <v>353</v>
      </c>
      <c r="D335" s="19" t="s">
        <v>395</v>
      </c>
      <c r="E335" s="19" t="s">
        <v>124</v>
      </c>
      <c r="F335" s="19" t="s">
        <v>125</v>
      </c>
      <c r="G335" s="19" t="s">
        <v>125</v>
      </c>
      <c r="H335" s="19" t="s">
        <v>126</v>
      </c>
      <c r="I335" s="19" t="b">
        <v>0</v>
      </c>
      <c r="J335" s="19">
        <v>9</v>
      </c>
      <c r="K335" s="19">
        <v>862.95</v>
      </c>
      <c r="L335" s="20">
        <v>606850022</v>
      </c>
      <c r="M335" s="20">
        <v>1300000087261603</v>
      </c>
      <c r="N335" s="19" t="s">
        <v>396</v>
      </c>
      <c r="O335" s="19"/>
    </row>
    <row r="336" spans="1:15" x14ac:dyDescent="0.25">
      <c r="A336" s="19"/>
      <c r="B336" s="19" t="s">
        <v>38</v>
      </c>
      <c r="C336" s="19" t="s">
        <v>353</v>
      </c>
      <c r="D336" s="19" t="s">
        <v>395</v>
      </c>
      <c r="E336" s="19" t="s">
        <v>124</v>
      </c>
      <c r="F336" s="19" t="s">
        <v>125</v>
      </c>
      <c r="G336" s="19" t="s">
        <v>125</v>
      </c>
      <c r="H336" s="19" t="s">
        <v>126</v>
      </c>
      <c r="I336" s="19" t="b">
        <v>0</v>
      </c>
      <c r="J336" s="19">
        <v>9</v>
      </c>
      <c r="K336" s="19">
        <v>862.95</v>
      </c>
      <c r="L336" s="20">
        <v>606850026</v>
      </c>
      <c r="M336" s="20">
        <v>1300000087261603</v>
      </c>
      <c r="N336" s="19" t="s">
        <v>396</v>
      </c>
      <c r="O336" s="19"/>
    </row>
    <row r="337" spans="1:15" x14ac:dyDescent="0.25">
      <c r="A337" s="19"/>
      <c r="B337" s="19" t="s">
        <v>131</v>
      </c>
      <c r="C337" s="19" t="s">
        <v>132</v>
      </c>
      <c r="D337" s="19" t="s">
        <v>395</v>
      </c>
      <c r="E337" s="19" t="s">
        <v>124</v>
      </c>
      <c r="F337" s="19" t="s">
        <v>125</v>
      </c>
      <c r="G337" s="19" t="s">
        <v>125</v>
      </c>
      <c r="H337" s="19" t="s">
        <v>174</v>
      </c>
      <c r="I337" s="19" t="b">
        <v>0</v>
      </c>
      <c r="J337" s="19">
        <v>3</v>
      </c>
      <c r="K337" s="19">
        <v>661.7</v>
      </c>
      <c r="L337" s="20">
        <v>209509049</v>
      </c>
      <c r="M337" s="20">
        <v>1100000108860545</v>
      </c>
      <c r="N337" s="19" t="s">
        <v>397</v>
      </c>
      <c r="O337" s="19"/>
    </row>
    <row r="338" spans="1:15" x14ac:dyDescent="0.25">
      <c r="A338" s="19"/>
      <c r="B338" s="19" t="s">
        <v>131</v>
      </c>
      <c r="C338" s="19" t="s">
        <v>132</v>
      </c>
      <c r="D338" s="19" t="s">
        <v>395</v>
      </c>
      <c r="E338" s="19" t="s">
        <v>124</v>
      </c>
      <c r="F338" s="19" t="s">
        <v>125</v>
      </c>
      <c r="G338" s="19" t="s">
        <v>125</v>
      </c>
      <c r="H338" s="19" t="s">
        <v>174</v>
      </c>
      <c r="I338" s="19" t="b">
        <v>0</v>
      </c>
      <c r="J338" s="19">
        <v>10</v>
      </c>
      <c r="K338" s="19">
        <v>661.7</v>
      </c>
      <c r="L338" s="20">
        <v>209509052</v>
      </c>
      <c r="M338" s="20">
        <v>1100000108860545</v>
      </c>
      <c r="N338" s="19" t="s">
        <v>397</v>
      </c>
      <c r="O338" s="19"/>
    </row>
    <row r="339" spans="1:15" x14ac:dyDescent="0.25">
      <c r="A339" s="19"/>
      <c r="B339" s="19" t="s">
        <v>131</v>
      </c>
      <c r="C339" s="19" t="s">
        <v>132</v>
      </c>
      <c r="D339" s="19" t="s">
        <v>395</v>
      </c>
      <c r="E339" s="19" t="s">
        <v>124</v>
      </c>
      <c r="F339" s="19" t="s">
        <v>125</v>
      </c>
      <c r="G339" s="19" t="s">
        <v>125</v>
      </c>
      <c r="H339" s="19" t="s">
        <v>174</v>
      </c>
      <c r="I339" s="19" t="b">
        <v>0</v>
      </c>
      <c r="J339" s="19">
        <v>11</v>
      </c>
      <c r="K339" s="19">
        <v>662</v>
      </c>
      <c r="L339" s="20">
        <v>209509041</v>
      </c>
      <c r="M339" s="20">
        <v>1100000108860545</v>
      </c>
      <c r="N339" s="19" t="s">
        <v>397</v>
      </c>
      <c r="O339" s="19"/>
    </row>
    <row r="340" spans="1:15" x14ac:dyDescent="0.25">
      <c r="A340" s="19"/>
      <c r="B340" s="19" t="s">
        <v>131</v>
      </c>
      <c r="C340" s="19" t="s">
        <v>132</v>
      </c>
      <c r="D340" s="19" t="s">
        <v>395</v>
      </c>
      <c r="E340" s="19" t="s">
        <v>124</v>
      </c>
      <c r="F340" s="19" t="s">
        <v>125</v>
      </c>
      <c r="G340" s="19" t="s">
        <v>125</v>
      </c>
      <c r="H340" s="19" t="s">
        <v>174</v>
      </c>
      <c r="I340" s="19" t="b">
        <v>0</v>
      </c>
      <c r="J340" s="19">
        <v>1</v>
      </c>
      <c r="K340" s="19">
        <v>661.7</v>
      </c>
      <c r="L340" s="20">
        <v>209509053</v>
      </c>
      <c r="M340" s="20">
        <v>1100000108860545</v>
      </c>
      <c r="N340" s="19" t="s">
        <v>397</v>
      </c>
      <c r="O340" s="19"/>
    </row>
    <row r="341" spans="1:15" x14ac:dyDescent="0.25">
      <c r="A341" s="19"/>
      <c r="B341" s="19" t="s">
        <v>131</v>
      </c>
      <c r="C341" s="19" t="s">
        <v>132</v>
      </c>
      <c r="D341" s="19" t="s">
        <v>395</v>
      </c>
      <c r="E341" s="19" t="s">
        <v>124</v>
      </c>
      <c r="F341" s="19" t="s">
        <v>125</v>
      </c>
      <c r="G341" s="19" t="s">
        <v>125</v>
      </c>
      <c r="H341" s="19" t="s">
        <v>174</v>
      </c>
      <c r="I341" s="19" t="b">
        <v>0</v>
      </c>
      <c r="J341" s="19">
        <v>1</v>
      </c>
      <c r="K341" s="19">
        <v>662.1</v>
      </c>
      <c r="L341" s="20">
        <v>209509040</v>
      </c>
      <c r="M341" s="20">
        <v>1100000108860545</v>
      </c>
      <c r="N341" s="19" t="s">
        <v>397</v>
      </c>
      <c r="O341" s="19"/>
    </row>
    <row r="342" spans="1:15" x14ac:dyDescent="0.25">
      <c r="A342" s="19"/>
      <c r="B342" s="19" t="s">
        <v>131</v>
      </c>
      <c r="C342" s="19" t="s">
        <v>132</v>
      </c>
      <c r="D342" s="19" t="s">
        <v>395</v>
      </c>
      <c r="E342" s="19" t="s">
        <v>124</v>
      </c>
      <c r="F342" s="19" t="s">
        <v>125</v>
      </c>
      <c r="G342" s="19" t="s">
        <v>125</v>
      </c>
      <c r="H342" s="19" t="s">
        <v>174</v>
      </c>
      <c r="I342" s="19" t="b">
        <v>0</v>
      </c>
      <c r="J342" s="19">
        <v>21</v>
      </c>
      <c r="K342" s="19">
        <v>661.75</v>
      </c>
      <c r="L342" s="20">
        <v>209509047</v>
      </c>
      <c r="M342" s="20">
        <v>1100000108860545</v>
      </c>
      <c r="N342" s="19" t="s">
        <v>397</v>
      </c>
      <c r="O342" s="19"/>
    </row>
    <row r="343" spans="1:15" x14ac:dyDescent="0.25">
      <c r="A343" s="19"/>
      <c r="B343" s="19" t="s">
        <v>131</v>
      </c>
      <c r="C343" s="19" t="s">
        <v>132</v>
      </c>
      <c r="D343" s="19" t="s">
        <v>395</v>
      </c>
      <c r="E343" s="19" t="s">
        <v>124</v>
      </c>
      <c r="F343" s="19" t="s">
        <v>125</v>
      </c>
      <c r="G343" s="19" t="s">
        <v>125</v>
      </c>
      <c r="H343" s="19" t="s">
        <v>174</v>
      </c>
      <c r="I343" s="19" t="b">
        <v>0</v>
      </c>
      <c r="J343" s="19">
        <v>22</v>
      </c>
      <c r="K343" s="19">
        <v>661.8</v>
      </c>
      <c r="L343" s="20">
        <v>209509043</v>
      </c>
      <c r="M343" s="20">
        <v>1100000108860545</v>
      </c>
      <c r="N343" s="19" t="s">
        <v>397</v>
      </c>
      <c r="O343" s="19"/>
    </row>
    <row r="344" spans="1:15" x14ac:dyDescent="0.25">
      <c r="A344" s="19"/>
      <c r="B344" s="19" t="s">
        <v>131</v>
      </c>
      <c r="C344" s="19" t="s">
        <v>132</v>
      </c>
      <c r="D344" s="19" t="s">
        <v>395</v>
      </c>
      <c r="E344" s="19" t="s">
        <v>124</v>
      </c>
      <c r="F344" s="19" t="s">
        <v>125</v>
      </c>
      <c r="G344" s="19" t="s">
        <v>125</v>
      </c>
      <c r="H344" s="19" t="s">
        <v>174</v>
      </c>
      <c r="I344" s="19" t="b">
        <v>0</v>
      </c>
      <c r="J344" s="19">
        <v>10</v>
      </c>
      <c r="K344" s="19">
        <v>661.7</v>
      </c>
      <c r="L344" s="20">
        <v>209509050</v>
      </c>
      <c r="M344" s="20">
        <v>1100000108860545</v>
      </c>
      <c r="N344" s="19" t="s">
        <v>397</v>
      </c>
      <c r="O344" s="19"/>
    </row>
    <row r="345" spans="1:15" x14ac:dyDescent="0.25">
      <c r="A345" s="19"/>
      <c r="B345" s="19" t="s">
        <v>131</v>
      </c>
      <c r="C345" s="19" t="s">
        <v>132</v>
      </c>
      <c r="D345" s="19" t="s">
        <v>395</v>
      </c>
      <c r="E345" s="19" t="s">
        <v>124</v>
      </c>
      <c r="F345" s="19" t="s">
        <v>125</v>
      </c>
      <c r="G345" s="19" t="s">
        <v>125</v>
      </c>
      <c r="H345" s="19" t="s">
        <v>174</v>
      </c>
      <c r="I345" s="19" t="b">
        <v>0</v>
      </c>
      <c r="J345" s="19">
        <v>3</v>
      </c>
      <c r="K345" s="19">
        <v>661.7</v>
      </c>
      <c r="L345" s="20">
        <v>209509051</v>
      </c>
      <c r="M345" s="20">
        <v>1100000108860545</v>
      </c>
      <c r="N345" s="19" t="s">
        <v>397</v>
      </c>
      <c r="O345" s="19"/>
    </row>
    <row r="346" spans="1:15" x14ac:dyDescent="0.25">
      <c r="A346" s="19"/>
      <c r="B346" s="19" t="s">
        <v>131</v>
      </c>
      <c r="C346" s="19" t="s">
        <v>132</v>
      </c>
      <c r="D346" s="19" t="s">
        <v>395</v>
      </c>
      <c r="E346" s="19" t="s">
        <v>124</v>
      </c>
      <c r="F346" s="19" t="s">
        <v>125</v>
      </c>
      <c r="G346" s="19" t="s">
        <v>125</v>
      </c>
      <c r="H346" s="19" t="s">
        <v>174</v>
      </c>
      <c r="I346" s="19" t="b">
        <v>0</v>
      </c>
      <c r="J346" s="19">
        <v>3</v>
      </c>
      <c r="K346" s="19">
        <v>661.75</v>
      </c>
      <c r="L346" s="20">
        <v>209509045</v>
      </c>
      <c r="M346" s="20">
        <v>1100000108860545</v>
      </c>
      <c r="N346" s="19" t="s">
        <v>397</v>
      </c>
      <c r="O346" s="19"/>
    </row>
    <row r="347" spans="1:15" x14ac:dyDescent="0.25">
      <c r="A347" s="19"/>
      <c r="B347" s="19" t="s">
        <v>131</v>
      </c>
      <c r="C347" s="19" t="s">
        <v>132</v>
      </c>
      <c r="D347" s="19" t="s">
        <v>395</v>
      </c>
      <c r="E347" s="19" t="s">
        <v>124</v>
      </c>
      <c r="F347" s="19" t="s">
        <v>125</v>
      </c>
      <c r="G347" s="19" t="s">
        <v>125</v>
      </c>
      <c r="H347" s="19" t="s">
        <v>174</v>
      </c>
      <c r="I347" s="19" t="b">
        <v>0</v>
      </c>
      <c r="J347" s="19">
        <v>60</v>
      </c>
      <c r="K347" s="19">
        <v>661.75</v>
      </c>
      <c r="L347" s="20">
        <v>209509046</v>
      </c>
      <c r="M347" s="20">
        <v>1100000108860545</v>
      </c>
      <c r="N347" s="19" t="s">
        <v>397</v>
      </c>
      <c r="O347" s="19"/>
    </row>
    <row r="348" spans="1:15" x14ac:dyDescent="0.25">
      <c r="A348" s="19"/>
      <c r="B348" s="19" t="s">
        <v>131</v>
      </c>
      <c r="C348" s="19" t="s">
        <v>132</v>
      </c>
      <c r="D348" s="19" t="s">
        <v>395</v>
      </c>
      <c r="E348" s="19" t="s">
        <v>124</v>
      </c>
      <c r="F348" s="19" t="s">
        <v>125</v>
      </c>
      <c r="G348" s="19" t="s">
        <v>125</v>
      </c>
      <c r="H348" s="19" t="s">
        <v>174</v>
      </c>
      <c r="I348" s="19" t="b">
        <v>0</v>
      </c>
      <c r="J348" s="19">
        <v>64</v>
      </c>
      <c r="K348" s="19">
        <v>661.8</v>
      </c>
      <c r="L348" s="20">
        <v>209509044</v>
      </c>
      <c r="M348" s="20">
        <v>1100000108860545</v>
      </c>
      <c r="N348" s="19" t="s">
        <v>397</v>
      </c>
      <c r="O348" s="19"/>
    </row>
    <row r="349" spans="1:15" x14ac:dyDescent="0.25">
      <c r="A349" s="19"/>
      <c r="B349" s="19" t="s">
        <v>131</v>
      </c>
      <c r="C349" s="19" t="s">
        <v>132</v>
      </c>
      <c r="D349" s="19" t="s">
        <v>395</v>
      </c>
      <c r="E349" s="19" t="s">
        <v>124</v>
      </c>
      <c r="F349" s="19" t="s">
        <v>125</v>
      </c>
      <c r="G349" s="19" t="s">
        <v>125</v>
      </c>
      <c r="H349" s="19" t="s">
        <v>174</v>
      </c>
      <c r="I349" s="19" t="b">
        <v>0</v>
      </c>
      <c r="J349" s="19">
        <v>8</v>
      </c>
      <c r="K349" s="19">
        <v>661.75</v>
      </c>
      <c r="L349" s="20">
        <v>209509048</v>
      </c>
      <c r="M349" s="20">
        <v>1100000108860545</v>
      </c>
      <c r="N349" s="19" t="s">
        <v>397</v>
      </c>
      <c r="O349" s="19"/>
    </row>
    <row r="350" spans="1:15" x14ac:dyDescent="0.25">
      <c r="A350" s="19"/>
      <c r="B350" s="19" t="s">
        <v>131</v>
      </c>
      <c r="C350" s="19" t="s">
        <v>132</v>
      </c>
      <c r="D350" s="19" t="s">
        <v>395</v>
      </c>
      <c r="E350" s="19" t="s">
        <v>124</v>
      </c>
      <c r="F350" s="19" t="s">
        <v>125</v>
      </c>
      <c r="G350" s="19" t="s">
        <v>125</v>
      </c>
      <c r="H350" s="19" t="s">
        <v>174</v>
      </c>
      <c r="I350" s="19" t="b">
        <v>0</v>
      </c>
      <c r="J350" s="19">
        <v>9</v>
      </c>
      <c r="K350" s="19">
        <v>661.85</v>
      </c>
      <c r="L350" s="20">
        <v>209509042</v>
      </c>
      <c r="M350" s="20">
        <v>1100000108860545</v>
      </c>
      <c r="N350" s="19" t="s">
        <v>397</v>
      </c>
      <c r="O350" s="19"/>
    </row>
    <row r="351" spans="1:15" x14ac:dyDescent="0.25">
      <c r="A351" s="19"/>
      <c r="B351" s="19" t="s">
        <v>390</v>
      </c>
      <c r="C351" s="19" t="s">
        <v>391</v>
      </c>
      <c r="D351" s="19" t="s">
        <v>395</v>
      </c>
      <c r="E351" s="19" t="s">
        <v>124</v>
      </c>
      <c r="F351" s="19" t="s">
        <v>125</v>
      </c>
      <c r="G351" s="19" t="s">
        <v>125</v>
      </c>
      <c r="H351" s="19" t="s">
        <v>126</v>
      </c>
      <c r="I351" s="19" t="b">
        <v>0</v>
      </c>
      <c r="J351" s="19">
        <v>14</v>
      </c>
      <c r="K351" s="19">
        <v>3676.8</v>
      </c>
      <c r="L351" s="20">
        <v>209534085</v>
      </c>
      <c r="M351" s="20">
        <v>1100000109127675</v>
      </c>
      <c r="N351" s="19" t="s">
        <v>398</v>
      </c>
      <c r="O351" s="19"/>
    </row>
    <row r="352" spans="1:15" x14ac:dyDescent="0.25">
      <c r="A352" s="19"/>
      <c r="B352" s="19" t="s">
        <v>53</v>
      </c>
      <c r="C352" s="19" t="s">
        <v>350</v>
      </c>
      <c r="D352" s="19" t="s">
        <v>395</v>
      </c>
      <c r="E352" s="19" t="s">
        <v>124</v>
      </c>
      <c r="F352" s="19" t="s">
        <v>125</v>
      </c>
      <c r="G352" s="19" t="s">
        <v>125</v>
      </c>
      <c r="H352" s="19" t="s">
        <v>126</v>
      </c>
      <c r="I352" s="19" t="b">
        <v>0</v>
      </c>
      <c r="J352" s="19">
        <v>15</v>
      </c>
      <c r="K352" s="19">
        <v>1980.1</v>
      </c>
      <c r="L352" s="20">
        <v>5422345</v>
      </c>
      <c r="M352" s="20">
        <v>1000000073661560</v>
      </c>
      <c r="N352" s="19" t="s">
        <v>399</v>
      </c>
      <c r="O352" s="19"/>
    </row>
    <row r="353" spans="1:15" x14ac:dyDescent="0.25">
      <c r="A353" s="19"/>
      <c r="B353" s="19" t="s">
        <v>53</v>
      </c>
      <c r="C353" s="19" t="s">
        <v>350</v>
      </c>
      <c r="D353" s="19" t="s">
        <v>395</v>
      </c>
      <c r="E353" s="19" t="s">
        <v>124</v>
      </c>
      <c r="F353" s="19" t="s">
        <v>125</v>
      </c>
      <c r="G353" s="19" t="s">
        <v>125</v>
      </c>
      <c r="H353" s="19" t="s">
        <v>126</v>
      </c>
      <c r="I353" s="19" t="b">
        <v>0</v>
      </c>
      <c r="J353" s="19">
        <v>31</v>
      </c>
      <c r="K353" s="19">
        <v>1980.1</v>
      </c>
      <c r="L353" s="20">
        <v>5422346</v>
      </c>
      <c r="M353" s="20">
        <v>1000000073661560</v>
      </c>
      <c r="N353" s="19" t="s">
        <v>399</v>
      </c>
      <c r="O353" s="19"/>
    </row>
    <row r="354" spans="1:15" x14ac:dyDescent="0.25">
      <c r="A354" s="19"/>
      <c r="B354" s="19" t="s">
        <v>53</v>
      </c>
      <c r="C354" s="19" t="s">
        <v>350</v>
      </c>
      <c r="D354" s="19" t="s">
        <v>395</v>
      </c>
      <c r="E354" s="19" t="s">
        <v>124</v>
      </c>
      <c r="F354" s="19" t="s">
        <v>125</v>
      </c>
      <c r="G354" s="19" t="s">
        <v>125</v>
      </c>
      <c r="H354" s="19" t="s">
        <v>126</v>
      </c>
      <c r="I354" s="19" t="b">
        <v>0</v>
      </c>
      <c r="J354" s="19">
        <v>5</v>
      </c>
      <c r="K354" s="19">
        <v>1980.1</v>
      </c>
      <c r="L354" s="20">
        <v>5422347</v>
      </c>
      <c r="M354" s="20">
        <v>1000000073661560</v>
      </c>
      <c r="N354" s="19" t="s">
        <v>399</v>
      </c>
      <c r="O354" s="19"/>
    </row>
    <row r="355" spans="1:15" x14ac:dyDescent="0.25">
      <c r="A355" s="19"/>
      <c r="B355" s="19" t="s">
        <v>400</v>
      </c>
      <c r="C355" s="19" t="s">
        <v>401</v>
      </c>
      <c r="D355" s="19" t="s">
        <v>395</v>
      </c>
      <c r="E355" s="19" t="s">
        <v>124</v>
      </c>
      <c r="F355" s="19" t="s">
        <v>125</v>
      </c>
      <c r="G355" s="19" t="s">
        <v>125</v>
      </c>
      <c r="H355" s="19" t="s">
        <v>126</v>
      </c>
      <c r="I355" s="19" t="b">
        <v>0</v>
      </c>
      <c r="J355" s="19">
        <v>1</v>
      </c>
      <c r="K355" s="19">
        <v>13020</v>
      </c>
      <c r="L355" s="20">
        <v>607146405</v>
      </c>
      <c r="M355" s="20">
        <v>1300000090848577</v>
      </c>
      <c r="N355" s="19" t="s">
        <v>402</v>
      </c>
      <c r="O355" s="19"/>
    </row>
    <row r="356" spans="1:15" x14ac:dyDescent="0.25">
      <c r="A356" s="19"/>
      <c r="B356" s="19" t="s">
        <v>400</v>
      </c>
      <c r="C356" s="19" t="s">
        <v>401</v>
      </c>
      <c r="D356" s="19" t="s">
        <v>395</v>
      </c>
      <c r="E356" s="19" t="s">
        <v>124</v>
      </c>
      <c r="F356" s="19" t="s">
        <v>125</v>
      </c>
      <c r="G356" s="19" t="s">
        <v>125</v>
      </c>
      <c r="H356" s="19" t="s">
        <v>126</v>
      </c>
      <c r="I356" s="19" t="b">
        <v>0</v>
      </c>
      <c r="J356" s="19">
        <v>1</v>
      </c>
      <c r="K356" s="19">
        <v>13022</v>
      </c>
      <c r="L356" s="20">
        <v>607146406</v>
      </c>
      <c r="M356" s="20">
        <v>1300000090848577</v>
      </c>
      <c r="N356" s="19" t="s">
        <v>402</v>
      </c>
      <c r="O356" s="19"/>
    </row>
    <row r="357" spans="1:15" x14ac:dyDescent="0.25">
      <c r="A357" s="19"/>
      <c r="B357" s="19" t="s">
        <v>335</v>
      </c>
      <c r="C357" s="19" t="s">
        <v>336</v>
      </c>
      <c r="D357" s="19" t="s">
        <v>395</v>
      </c>
      <c r="E357" s="19" t="s">
        <v>124</v>
      </c>
      <c r="F357" s="19" t="s">
        <v>125</v>
      </c>
      <c r="G357" s="19" t="s">
        <v>125</v>
      </c>
      <c r="H357" s="19" t="s">
        <v>126</v>
      </c>
      <c r="I357" s="19" t="b">
        <v>0</v>
      </c>
      <c r="J357" s="19">
        <v>8</v>
      </c>
      <c r="K357" s="19">
        <v>1378.7</v>
      </c>
      <c r="L357" s="20">
        <v>608752169</v>
      </c>
      <c r="M357" s="20">
        <v>1300000102008239</v>
      </c>
      <c r="N357" s="19" t="s">
        <v>403</v>
      </c>
      <c r="O357" s="19"/>
    </row>
    <row r="358" spans="1:15" x14ac:dyDescent="0.25">
      <c r="A358" s="19"/>
      <c r="B358" s="19" t="s">
        <v>404</v>
      </c>
      <c r="C358" s="19" t="s">
        <v>405</v>
      </c>
      <c r="D358" s="19" t="s">
        <v>406</v>
      </c>
      <c r="E358" s="19" t="s">
        <v>124</v>
      </c>
      <c r="F358" s="19" t="s">
        <v>125</v>
      </c>
      <c r="G358" s="19" t="s">
        <v>125</v>
      </c>
      <c r="H358" s="19" t="s">
        <v>126</v>
      </c>
      <c r="I358" s="19" t="b">
        <v>0</v>
      </c>
      <c r="J358" s="19">
        <v>19</v>
      </c>
      <c r="K358" s="19">
        <v>2683</v>
      </c>
      <c r="L358" s="20">
        <v>406774172</v>
      </c>
      <c r="M358" s="20">
        <v>1200000087322430</v>
      </c>
      <c r="N358" s="19" t="s">
        <v>407</v>
      </c>
      <c r="O358" s="19"/>
    </row>
    <row r="359" spans="1:15" x14ac:dyDescent="0.25">
      <c r="A359" s="19"/>
      <c r="B359" s="19" t="s">
        <v>51</v>
      </c>
      <c r="C359" s="19" t="s">
        <v>408</v>
      </c>
      <c r="D359" s="19" t="s">
        <v>406</v>
      </c>
      <c r="E359" s="19" t="s">
        <v>124</v>
      </c>
      <c r="F359" s="19" t="s">
        <v>125</v>
      </c>
      <c r="G359" s="19" t="s">
        <v>125</v>
      </c>
      <c r="H359" s="19" t="s">
        <v>126</v>
      </c>
      <c r="I359" s="19" t="b">
        <v>0</v>
      </c>
      <c r="J359" s="19">
        <v>44</v>
      </c>
      <c r="K359" s="19">
        <v>1141.55</v>
      </c>
      <c r="L359" s="20">
        <v>6545076</v>
      </c>
      <c r="M359" s="20">
        <v>1000000074468622</v>
      </c>
      <c r="N359" s="19" t="s">
        <v>409</v>
      </c>
      <c r="O359" s="19"/>
    </row>
    <row r="360" spans="1:15" x14ac:dyDescent="0.25">
      <c r="A360" s="19"/>
      <c r="B360" s="19" t="s">
        <v>229</v>
      </c>
      <c r="C360" s="19" t="s">
        <v>230</v>
      </c>
      <c r="D360" s="19" t="s">
        <v>410</v>
      </c>
      <c r="E360" s="19" t="s">
        <v>124</v>
      </c>
      <c r="F360" s="19" t="s">
        <v>125</v>
      </c>
      <c r="G360" s="19" t="s">
        <v>125</v>
      </c>
      <c r="H360" s="19" t="s">
        <v>174</v>
      </c>
      <c r="I360" s="19" t="b">
        <v>0</v>
      </c>
      <c r="J360" s="19">
        <v>6</v>
      </c>
      <c r="K360" s="19">
        <v>301.64999999999998</v>
      </c>
      <c r="L360" s="20">
        <v>8430924</v>
      </c>
      <c r="M360" s="20">
        <v>1000000084813264</v>
      </c>
      <c r="N360" s="19" t="s">
        <v>411</v>
      </c>
      <c r="O360" s="19"/>
    </row>
    <row r="361" spans="1:15" x14ac:dyDescent="0.25">
      <c r="A361" s="19"/>
      <c r="B361" s="19" t="s">
        <v>229</v>
      </c>
      <c r="C361" s="19" t="s">
        <v>230</v>
      </c>
      <c r="D361" s="19" t="s">
        <v>410</v>
      </c>
      <c r="E361" s="19" t="s">
        <v>124</v>
      </c>
      <c r="F361" s="19" t="s">
        <v>125</v>
      </c>
      <c r="G361" s="19" t="s">
        <v>125</v>
      </c>
      <c r="H361" s="19" t="s">
        <v>174</v>
      </c>
      <c r="I361" s="19" t="b">
        <v>0</v>
      </c>
      <c r="J361" s="19">
        <v>76</v>
      </c>
      <c r="K361" s="19">
        <v>301.64999999999998</v>
      </c>
      <c r="L361" s="20">
        <v>8430923</v>
      </c>
      <c r="M361" s="20">
        <v>1000000084813264</v>
      </c>
      <c r="N361" s="19" t="s">
        <v>411</v>
      </c>
      <c r="O361" s="19"/>
    </row>
    <row r="362" spans="1:15" x14ac:dyDescent="0.25">
      <c r="A362" s="19"/>
      <c r="B362" s="19" t="s">
        <v>379</v>
      </c>
      <c r="C362" s="19" t="s">
        <v>380</v>
      </c>
      <c r="D362" s="19" t="s">
        <v>410</v>
      </c>
      <c r="E362" s="19" t="s">
        <v>100</v>
      </c>
      <c r="F362" s="19" t="s">
        <v>125</v>
      </c>
      <c r="G362" s="19" t="s">
        <v>180</v>
      </c>
      <c r="H362" s="19" t="s">
        <v>174</v>
      </c>
      <c r="I362" s="19" t="b">
        <v>0</v>
      </c>
      <c r="J362" s="19">
        <v>23</v>
      </c>
      <c r="K362" s="19">
        <v>159.5</v>
      </c>
      <c r="L362" s="20">
        <v>5853700</v>
      </c>
      <c r="M362" s="20">
        <v>1.777882835281353E+18</v>
      </c>
      <c r="N362" s="19" t="s">
        <v>412</v>
      </c>
      <c r="O362" s="19"/>
    </row>
    <row r="363" spans="1:15" x14ac:dyDescent="0.25">
      <c r="A363" s="19"/>
      <c r="B363" s="19" t="s">
        <v>379</v>
      </c>
      <c r="C363" s="19" t="s">
        <v>380</v>
      </c>
      <c r="D363" s="19" t="s">
        <v>410</v>
      </c>
      <c r="E363" s="19" t="s">
        <v>100</v>
      </c>
      <c r="F363" s="19" t="s">
        <v>125</v>
      </c>
      <c r="G363" s="19" t="s">
        <v>180</v>
      </c>
      <c r="H363" s="19" t="s">
        <v>174</v>
      </c>
      <c r="I363" s="19" t="b">
        <v>0</v>
      </c>
      <c r="J363" s="19">
        <v>98</v>
      </c>
      <c r="K363" s="19">
        <v>159.44999999999999</v>
      </c>
      <c r="L363" s="20">
        <v>5854000</v>
      </c>
      <c r="M363" s="20">
        <v>1.777882835281353E+18</v>
      </c>
      <c r="N363" s="19" t="s">
        <v>412</v>
      </c>
      <c r="O363" s="19"/>
    </row>
    <row r="364" spans="1:15" x14ac:dyDescent="0.25">
      <c r="A364" s="19"/>
      <c r="B364" s="19" t="s">
        <v>413</v>
      </c>
      <c r="C364" s="19" t="s">
        <v>414</v>
      </c>
      <c r="D364" s="19" t="s">
        <v>410</v>
      </c>
      <c r="E364" s="19" t="s">
        <v>124</v>
      </c>
      <c r="F364" s="19" t="s">
        <v>125</v>
      </c>
      <c r="G364" s="19" t="s">
        <v>125</v>
      </c>
      <c r="H364" s="19" t="s">
        <v>126</v>
      </c>
      <c r="I364" s="19" t="b">
        <v>0</v>
      </c>
      <c r="J364" s="19">
        <v>17</v>
      </c>
      <c r="K364" s="19">
        <v>1375</v>
      </c>
      <c r="L364" s="20">
        <v>408376134</v>
      </c>
      <c r="M364" s="20">
        <v>1200000088766497</v>
      </c>
      <c r="N364" s="19" t="s">
        <v>415</v>
      </c>
      <c r="O364" s="19"/>
    </row>
    <row r="365" spans="1:15" x14ac:dyDescent="0.25">
      <c r="A365" s="19"/>
      <c r="B365" s="19" t="s">
        <v>413</v>
      </c>
      <c r="C365" s="19" t="s">
        <v>414</v>
      </c>
      <c r="D365" s="19" t="s">
        <v>410</v>
      </c>
      <c r="E365" s="19" t="s">
        <v>124</v>
      </c>
      <c r="F365" s="19" t="s">
        <v>125</v>
      </c>
      <c r="G365" s="19" t="s">
        <v>125</v>
      </c>
      <c r="H365" s="19" t="s">
        <v>126</v>
      </c>
      <c r="I365" s="19" t="b">
        <v>0</v>
      </c>
      <c r="J365" s="19">
        <v>37</v>
      </c>
      <c r="K365" s="19">
        <v>1375</v>
      </c>
      <c r="L365" s="20">
        <v>408376133</v>
      </c>
      <c r="M365" s="20">
        <v>1200000088766497</v>
      </c>
      <c r="N365" s="19" t="s">
        <v>415</v>
      </c>
      <c r="O365" s="19"/>
    </row>
    <row r="366" spans="1:15" x14ac:dyDescent="0.25">
      <c r="A366" s="19"/>
      <c r="B366" s="19" t="s">
        <v>416</v>
      </c>
      <c r="C366" s="19" t="s">
        <v>417</v>
      </c>
      <c r="D366" s="19" t="s">
        <v>410</v>
      </c>
      <c r="E366" s="19" t="s">
        <v>124</v>
      </c>
      <c r="F366" s="19" t="s">
        <v>125</v>
      </c>
      <c r="G366" s="19" t="s">
        <v>125</v>
      </c>
      <c r="H366" s="19" t="s">
        <v>126</v>
      </c>
      <c r="I366" s="19" t="b">
        <v>0</v>
      </c>
      <c r="J366" s="19">
        <v>3</v>
      </c>
      <c r="K366" s="19">
        <v>293.85000000000002</v>
      </c>
      <c r="L366" s="20">
        <v>8522751</v>
      </c>
      <c r="M366" s="20">
        <v>1000000085710219</v>
      </c>
      <c r="N366" s="19" t="s">
        <v>418</v>
      </c>
      <c r="O366" s="19"/>
    </row>
    <row r="367" spans="1:15" x14ac:dyDescent="0.25">
      <c r="A367" s="19"/>
      <c r="B367" s="19" t="s">
        <v>416</v>
      </c>
      <c r="C367" s="19" t="s">
        <v>417</v>
      </c>
      <c r="D367" s="19" t="s">
        <v>410</v>
      </c>
      <c r="E367" s="19" t="s">
        <v>124</v>
      </c>
      <c r="F367" s="19" t="s">
        <v>125</v>
      </c>
      <c r="G367" s="19" t="s">
        <v>125</v>
      </c>
      <c r="H367" s="19" t="s">
        <v>126</v>
      </c>
      <c r="I367" s="19" t="b">
        <v>0</v>
      </c>
      <c r="J367" s="19">
        <v>72</v>
      </c>
      <c r="K367" s="19">
        <v>293.85000000000002</v>
      </c>
      <c r="L367" s="20">
        <v>8522752</v>
      </c>
      <c r="M367" s="20">
        <v>1000000085710219</v>
      </c>
      <c r="N367" s="19" t="s">
        <v>418</v>
      </c>
      <c r="O367" s="19"/>
    </row>
    <row r="368" spans="1:15" x14ac:dyDescent="0.25">
      <c r="A368" s="19"/>
      <c r="B368" s="19" t="s">
        <v>416</v>
      </c>
      <c r="C368" s="19" t="s">
        <v>417</v>
      </c>
      <c r="D368" s="19" t="s">
        <v>410</v>
      </c>
      <c r="E368" s="19" t="s">
        <v>124</v>
      </c>
      <c r="F368" s="19" t="s">
        <v>125</v>
      </c>
      <c r="G368" s="19" t="s">
        <v>125</v>
      </c>
      <c r="H368" s="19" t="s">
        <v>126</v>
      </c>
      <c r="I368" s="19" t="b">
        <v>0</v>
      </c>
      <c r="J368" s="19">
        <v>96</v>
      </c>
      <c r="K368" s="19">
        <v>293.85000000000002</v>
      </c>
      <c r="L368" s="20">
        <v>8522750</v>
      </c>
      <c r="M368" s="20">
        <v>1000000085710219</v>
      </c>
      <c r="N368" s="19" t="s">
        <v>418</v>
      </c>
      <c r="O368" s="19"/>
    </row>
    <row r="369" spans="1:15" x14ac:dyDescent="0.25">
      <c r="A369" s="19"/>
      <c r="B369" s="19" t="s">
        <v>419</v>
      </c>
      <c r="C369" s="19" t="s">
        <v>420</v>
      </c>
      <c r="D369" s="19" t="s">
        <v>421</v>
      </c>
      <c r="E369" s="19" t="s">
        <v>124</v>
      </c>
      <c r="F369" s="19" t="s">
        <v>125</v>
      </c>
      <c r="G369" s="19" t="s">
        <v>125</v>
      </c>
      <c r="H369" s="19" t="s">
        <v>126</v>
      </c>
      <c r="I369" s="19" t="b">
        <v>0</v>
      </c>
      <c r="J369" s="19">
        <v>10</v>
      </c>
      <c r="K369" s="19">
        <v>10033</v>
      </c>
      <c r="L369" s="20">
        <v>607637537</v>
      </c>
      <c r="M369" s="20">
        <v>1300000082781863</v>
      </c>
      <c r="N369" s="19" t="s">
        <v>422</v>
      </c>
      <c r="O369" s="19"/>
    </row>
    <row r="370" spans="1:15" x14ac:dyDescent="0.25">
      <c r="A370" s="19"/>
      <c r="B370" s="19" t="s">
        <v>419</v>
      </c>
      <c r="C370" s="19" t="s">
        <v>420</v>
      </c>
      <c r="D370" s="19" t="s">
        <v>423</v>
      </c>
      <c r="E370" s="19" t="s">
        <v>124</v>
      </c>
      <c r="F370" s="19" t="s">
        <v>125</v>
      </c>
      <c r="G370" s="19" t="s">
        <v>125</v>
      </c>
      <c r="H370" s="19" t="s">
        <v>174</v>
      </c>
      <c r="I370" s="19" t="b">
        <v>0</v>
      </c>
      <c r="J370" s="19">
        <v>10</v>
      </c>
      <c r="K370" s="19">
        <v>9901</v>
      </c>
      <c r="L370" s="20">
        <v>600356889</v>
      </c>
      <c r="M370" s="20">
        <v>1300000002487452</v>
      </c>
      <c r="N370" s="19" t="s">
        <v>424</v>
      </c>
      <c r="O370" s="19"/>
    </row>
    <row r="371" spans="1:15" x14ac:dyDescent="0.25">
      <c r="A371" s="19"/>
      <c r="B371" s="19" t="s">
        <v>151</v>
      </c>
      <c r="C371" s="19" t="s">
        <v>152</v>
      </c>
      <c r="D371" s="19" t="s">
        <v>423</v>
      </c>
      <c r="E371" s="19" t="s">
        <v>124</v>
      </c>
      <c r="F371" s="19" t="s">
        <v>125</v>
      </c>
      <c r="G371" s="19" t="s">
        <v>125</v>
      </c>
      <c r="H371" s="19" t="s">
        <v>174</v>
      </c>
      <c r="I371" s="19" t="b">
        <v>0</v>
      </c>
      <c r="J371" s="19">
        <v>71</v>
      </c>
      <c r="K371" s="19">
        <v>1091.8</v>
      </c>
      <c r="L371" s="20">
        <v>601225185</v>
      </c>
      <c r="M371" s="20">
        <v>1300000010227980</v>
      </c>
      <c r="N371" s="19" t="s">
        <v>425</v>
      </c>
      <c r="O371" s="19"/>
    </row>
    <row r="372" spans="1:15" x14ac:dyDescent="0.25">
      <c r="A372" s="19"/>
      <c r="B372" s="19" t="s">
        <v>38</v>
      </c>
      <c r="C372" s="19" t="s">
        <v>353</v>
      </c>
      <c r="D372" s="19" t="s">
        <v>423</v>
      </c>
      <c r="E372" s="19" t="s">
        <v>100</v>
      </c>
      <c r="F372" s="19" t="s">
        <v>125</v>
      </c>
      <c r="G372" s="19" t="s">
        <v>180</v>
      </c>
      <c r="H372" s="19" t="s">
        <v>126</v>
      </c>
      <c r="I372" s="19" t="b">
        <v>0</v>
      </c>
      <c r="J372" s="19">
        <v>1</v>
      </c>
      <c r="K372" s="19">
        <v>1159.9000000000001</v>
      </c>
      <c r="L372" s="20">
        <v>2757900</v>
      </c>
      <c r="M372" s="20">
        <v>1.7780382000158469E+18</v>
      </c>
      <c r="N372" s="19" t="s">
        <v>426</v>
      </c>
      <c r="O372" s="19"/>
    </row>
    <row r="373" spans="1:15" x14ac:dyDescent="0.25">
      <c r="A373" s="19"/>
      <c r="B373" s="19" t="s">
        <v>38</v>
      </c>
      <c r="C373" s="19" t="s">
        <v>353</v>
      </c>
      <c r="D373" s="19" t="s">
        <v>423</v>
      </c>
      <c r="E373" s="19" t="s">
        <v>100</v>
      </c>
      <c r="F373" s="19" t="s">
        <v>125</v>
      </c>
      <c r="G373" s="19" t="s">
        <v>180</v>
      </c>
      <c r="H373" s="19" t="s">
        <v>126</v>
      </c>
      <c r="I373" s="19" t="b">
        <v>0</v>
      </c>
      <c r="J373" s="19">
        <v>12</v>
      </c>
      <c r="K373" s="19">
        <v>1160</v>
      </c>
      <c r="L373" s="20">
        <v>2758100</v>
      </c>
      <c r="M373" s="20">
        <v>1.7780382000158469E+18</v>
      </c>
      <c r="N373" s="19" t="s">
        <v>426</v>
      </c>
      <c r="O373" s="19"/>
    </row>
    <row r="374" spans="1:15" x14ac:dyDescent="0.25">
      <c r="A374" s="19"/>
      <c r="B374" s="19" t="s">
        <v>38</v>
      </c>
      <c r="C374" s="19" t="s">
        <v>353</v>
      </c>
      <c r="D374" s="19" t="s">
        <v>423</v>
      </c>
      <c r="E374" s="19" t="s">
        <v>100</v>
      </c>
      <c r="F374" s="19" t="s">
        <v>125</v>
      </c>
      <c r="G374" s="19" t="s">
        <v>180</v>
      </c>
      <c r="H374" s="19" t="s">
        <v>126</v>
      </c>
      <c r="I374" s="19" t="b">
        <v>0</v>
      </c>
      <c r="J374" s="19">
        <v>3</v>
      </c>
      <c r="K374" s="19">
        <v>1159.6500000000001</v>
      </c>
      <c r="L374" s="20">
        <v>2757400</v>
      </c>
      <c r="M374" s="20">
        <v>1.7780382000158469E+18</v>
      </c>
      <c r="N374" s="19" t="s">
        <v>426</v>
      </c>
      <c r="O374" s="19"/>
    </row>
    <row r="375" spans="1:15" x14ac:dyDescent="0.25">
      <c r="A375" s="19"/>
      <c r="B375" s="19" t="s">
        <v>38</v>
      </c>
      <c r="C375" s="19" t="s">
        <v>353</v>
      </c>
      <c r="D375" s="19" t="s">
        <v>423</v>
      </c>
      <c r="E375" s="19" t="s">
        <v>100</v>
      </c>
      <c r="F375" s="19" t="s">
        <v>125</v>
      </c>
      <c r="G375" s="19" t="s">
        <v>180</v>
      </c>
      <c r="H375" s="19" t="s">
        <v>126</v>
      </c>
      <c r="I375" s="19" t="b">
        <v>0</v>
      </c>
      <c r="J375" s="19">
        <v>49</v>
      </c>
      <c r="K375" s="19">
        <v>1159.7</v>
      </c>
      <c r="L375" s="20">
        <v>2757700</v>
      </c>
      <c r="M375" s="20">
        <v>1.7780382000158469E+18</v>
      </c>
      <c r="N375" s="19" t="s">
        <v>426</v>
      </c>
      <c r="O375" s="19"/>
    </row>
    <row r="376" spans="1:15" x14ac:dyDescent="0.25">
      <c r="A376" s="19"/>
      <c r="B376" s="19" t="s">
        <v>316</v>
      </c>
      <c r="C376" s="19" t="s">
        <v>317</v>
      </c>
      <c r="D376" s="19" t="s">
        <v>427</v>
      </c>
      <c r="E376" s="19" t="s">
        <v>100</v>
      </c>
      <c r="F376" s="19" t="s">
        <v>125</v>
      </c>
      <c r="G376" s="19" t="s">
        <v>180</v>
      </c>
      <c r="H376" s="19" t="s">
        <v>126</v>
      </c>
      <c r="I376" s="19" t="b">
        <v>0</v>
      </c>
      <c r="J376" s="19">
        <v>204</v>
      </c>
      <c r="K376" s="19">
        <v>84.04</v>
      </c>
      <c r="L376" s="20">
        <v>16785300</v>
      </c>
      <c r="M376" s="20">
        <v>1.7782300901514481E+18</v>
      </c>
      <c r="N376" s="19" t="s">
        <v>428</v>
      </c>
      <c r="O376" s="19"/>
    </row>
    <row r="377" spans="1:15" x14ac:dyDescent="0.25">
      <c r="A377" s="19"/>
      <c r="B377" s="19" t="s">
        <v>316</v>
      </c>
      <c r="C377" s="19" t="s">
        <v>317</v>
      </c>
      <c r="D377" s="19" t="s">
        <v>427</v>
      </c>
      <c r="E377" s="19" t="s">
        <v>100</v>
      </c>
      <c r="F377" s="19" t="s">
        <v>125</v>
      </c>
      <c r="G377" s="19" t="s">
        <v>180</v>
      </c>
      <c r="H377" s="19" t="s">
        <v>126</v>
      </c>
      <c r="I377" s="19" t="b">
        <v>0</v>
      </c>
      <c r="J377" s="19">
        <v>391</v>
      </c>
      <c r="K377" s="19">
        <v>84.05</v>
      </c>
      <c r="L377" s="20">
        <v>16785600</v>
      </c>
      <c r="M377" s="20">
        <v>1.7782300901514481E+18</v>
      </c>
      <c r="N377" s="19" t="s">
        <v>428</v>
      </c>
      <c r="O377" s="19"/>
    </row>
    <row r="378" spans="1:15" x14ac:dyDescent="0.25">
      <c r="A378" s="19"/>
      <c r="B378" s="19" t="s">
        <v>97</v>
      </c>
      <c r="C378" s="19" t="s">
        <v>156</v>
      </c>
      <c r="D378" s="19" t="s">
        <v>427</v>
      </c>
      <c r="E378" s="19" t="s">
        <v>124</v>
      </c>
      <c r="F378" s="19" t="s">
        <v>125</v>
      </c>
      <c r="G378" s="19" t="s">
        <v>125</v>
      </c>
      <c r="H378" s="19" t="s">
        <v>126</v>
      </c>
      <c r="I378" s="19" t="b">
        <v>0</v>
      </c>
      <c r="J378" s="19">
        <v>17</v>
      </c>
      <c r="K378" s="19">
        <v>870.95</v>
      </c>
      <c r="L378" s="20">
        <v>7993096</v>
      </c>
      <c r="M378" s="20">
        <v>1000000080642240</v>
      </c>
      <c r="N378" s="19" t="s">
        <v>429</v>
      </c>
      <c r="O378" s="19"/>
    </row>
    <row r="379" spans="1:15" x14ac:dyDescent="0.25">
      <c r="A379" s="19"/>
      <c r="B379" s="19" t="s">
        <v>97</v>
      </c>
      <c r="C379" s="19" t="s">
        <v>156</v>
      </c>
      <c r="D379" s="19" t="s">
        <v>427</v>
      </c>
      <c r="E379" s="19" t="s">
        <v>124</v>
      </c>
      <c r="F379" s="19" t="s">
        <v>125</v>
      </c>
      <c r="G379" s="19" t="s">
        <v>125</v>
      </c>
      <c r="H379" s="19" t="s">
        <v>126</v>
      </c>
      <c r="I379" s="19" t="b">
        <v>0</v>
      </c>
      <c r="J379" s="19">
        <v>18</v>
      </c>
      <c r="K379" s="19">
        <v>870.95</v>
      </c>
      <c r="L379" s="20">
        <v>7993097</v>
      </c>
      <c r="M379" s="20">
        <v>1000000080642240</v>
      </c>
      <c r="N379" s="19" t="s">
        <v>429</v>
      </c>
      <c r="O379" s="19"/>
    </row>
    <row r="380" spans="1:15" x14ac:dyDescent="0.25">
      <c r="A380" s="19"/>
      <c r="B380" s="19" t="s">
        <v>97</v>
      </c>
      <c r="C380" s="19" t="s">
        <v>156</v>
      </c>
      <c r="D380" s="19" t="s">
        <v>427</v>
      </c>
      <c r="E380" s="19" t="s">
        <v>124</v>
      </c>
      <c r="F380" s="19" t="s">
        <v>125</v>
      </c>
      <c r="G380" s="19" t="s">
        <v>125</v>
      </c>
      <c r="H380" s="19" t="s">
        <v>126</v>
      </c>
      <c r="I380" s="19" t="b">
        <v>0</v>
      </c>
      <c r="J380" s="19">
        <v>22</v>
      </c>
      <c r="K380" s="19">
        <v>870.95</v>
      </c>
      <c r="L380" s="20">
        <v>7993098</v>
      </c>
      <c r="M380" s="20">
        <v>1000000080642240</v>
      </c>
      <c r="N380" s="19" t="s">
        <v>429</v>
      </c>
      <c r="O380" s="19"/>
    </row>
    <row r="381" spans="1:15" x14ac:dyDescent="0.25">
      <c r="A381" s="19"/>
      <c r="B381" s="19" t="s">
        <v>316</v>
      </c>
      <c r="C381" s="19" t="s">
        <v>317</v>
      </c>
      <c r="D381" s="19" t="s">
        <v>427</v>
      </c>
      <c r="E381" s="19" t="s">
        <v>100</v>
      </c>
      <c r="F381" s="19" t="s">
        <v>125</v>
      </c>
      <c r="G381" s="19" t="s">
        <v>180</v>
      </c>
      <c r="H381" s="19" t="s">
        <v>174</v>
      </c>
      <c r="I381" s="19" t="b">
        <v>0</v>
      </c>
      <c r="J381" s="19">
        <v>535</v>
      </c>
      <c r="K381" s="19">
        <v>83.95</v>
      </c>
      <c r="L381" s="20">
        <v>16855200</v>
      </c>
      <c r="M381" s="20">
        <v>1.7782300901514501E+18</v>
      </c>
      <c r="N381" s="19" t="s">
        <v>430</v>
      </c>
      <c r="O381" s="19"/>
    </row>
    <row r="382" spans="1:15" x14ac:dyDescent="0.25">
      <c r="A382" s="19"/>
      <c r="B382" s="19" t="s">
        <v>316</v>
      </c>
      <c r="C382" s="19" t="s">
        <v>317</v>
      </c>
      <c r="D382" s="19" t="s">
        <v>427</v>
      </c>
      <c r="E382" s="19" t="s">
        <v>100</v>
      </c>
      <c r="F382" s="19" t="s">
        <v>125</v>
      </c>
      <c r="G382" s="19" t="s">
        <v>180</v>
      </c>
      <c r="H382" s="19" t="s">
        <v>174</v>
      </c>
      <c r="I382" s="19" t="b">
        <v>0</v>
      </c>
      <c r="J382" s="19">
        <v>60</v>
      </c>
      <c r="K382" s="19">
        <v>83.96</v>
      </c>
      <c r="L382" s="20">
        <v>16854900</v>
      </c>
      <c r="M382" s="20">
        <v>1.7782300901514501E+18</v>
      </c>
      <c r="N382" s="19" t="s">
        <v>430</v>
      </c>
      <c r="O382" s="19"/>
    </row>
    <row r="383" spans="1:15" x14ac:dyDescent="0.25">
      <c r="A383" s="19"/>
      <c r="B383" s="19" t="s">
        <v>390</v>
      </c>
      <c r="C383" s="19" t="s">
        <v>391</v>
      </c>
      <c r="D383" s="19" t="s">
        <v>423</v>
      </c>
      <c r="E383" s="19" t="s">
        <v>100</v>
      </c>
      <c r="F383" s="19" t="s">
        <v>125</v>
      </c>
      <c r="G383" s="19" t="s">
        <v>180</v>
      </c>
      <c r="H383" s="19" t="s">
        <v>126</v>
      </c>
      <c r="I383" s="19" t="b">
        <v>0</v>
      </c>
      <c r="J383" s="19">
        <v>1</v>
      </c>
      <c r="K383" s="19">
        <v>4534.5</v>
      </c>
      <c r="L383" s="20">
        <v>2301600</v>
      </c>
      <c r="M383" s="20">
        <v>1.7780382000125921E+18</v>
      </c>
      <c r="N383" s="19" t="s">
        <v>431</v>
      </c>
      <c r="O383" s="19"/>
    </row>
    <row r="384" spans="1:15" x14ac:dyDescent="0.25">
      <c r="A384" s="19"/>
      <c r="B384" s="19" t="s">
        <v>390</v>
      </c>
      <c r="C384" s="19" t="s">
        <v>391</v>
      </c>
      <c r="D384" s="19" t="s">
        <v>423</v>
      </c>
      <c r="E384" s="19" t="s">
        <v>100</v>
      </c>
      <c r="F384" s="19" t="s">
        <v>125</v>
      </c>
      <c r="G384" s="19" t="s">
        <v>180</v>
      </c>
      <c r="H384" s="19" t="s">
        <v>126</v>
      </c>
      <c r="I384" s="19" t="b">
        <v>0</v>
      </c>
      <c r="J384" s="19">
        <v>1</v>
      </c>
      <c r="K384" s="19">
        <v>4534.7997999999998</v>
      </c>
      <c r="L384" s="20">
        <v>2302000</v>
      </c>
      <c r="M384" s="20">
        <v>1.7780382000125921E+18</v>
      </c>
      <c r="N384" s="19" t="s">
        <v>431</v>
      </c>
      <c r="O384" s="19"/>
    </row>
    <row r="385" spans="1:15" x14ac:dyDescent="0.25">
      <c r="A385" s="19"/>
      <c r="B385" s="19" t="s">
        <v>390</v>
      </c>
      <c r="C385" s="19" t="s">
        <v>391</v>
      </c>
      <c r="D385" s="19" t="s">
        <v>423</v>
      </c>
      <c r="E385" s="19" t="s">
        <v>100</v>
      </c>
      <c r="F385" s="19" t="s">
        <v>125</v>
      </c>
      <c r="G385" s="19" t="s">
        <v>180</v>
      </c>
      <c r="H385" s="19" t="s">
        <v>126</v>
      </c>
      <c r="I385" s="19" t="b">
        <v>0</v>
      </c>
      <c r="J385" s="19">
        <v>5</v>
      </c>
      <c r="K385" s="19">
        <v>4534.7002000000002</v>
      </c>
      <c r="L385" s="20">
        <v>2301800</v>
      </c>
      <c r="M385" s="20">
        <v>1.7780382000125921E+18</v>
      </c>
      <c r="N385" s="19" t="s">
        <v>431</v>
      </c>
      <c r="O385" s="19"/>
    </row>
    <row r="386" spans="1:15" x14ac:dyDescent="0.25">
      <c r="A386" s="19"/>
      <c r="B386" s="19" t="s">
        <v>390</v>
      </c>
      <c r="C386" s="19" t="s">
        <v>391</v>
      </c>
      <c r="D386" s="19" t="s">
        <v>423</v>
      </c>
      <c r="E386" s="19" t="s">
        <v>100</v>
      </c>
      <c r="F386" s="19" t="s">
        <v>125</v>
      </c>
      <c r="G386" s="19" t="s">
        <v>180</v>
      </c>
      <c r="H386" s="19" t="s">
        <v>126</v>
      </c>
      <c r="I386" s="19" t="b">
        <v>0</v>
      </c>
      <c r="J386" s="19">
        <v>6</v>
      </c>
      <c r="K386" s="19">
        <v>4534.4502000000002</v>
      </c>
      <c r="L386" s="20">
        <v>2301400</v>
      </c>
      <c r="M386" s="20">
        <v>1.7780382000125921E+18</v>
      </c>
      <c r="N386" s="19" t="s">
        <v>431</v>
      </c>
      <c r="O386" s="19"/>
    </row>
    <row r="387" spans="1:15" x14ac:dyDescent="0.25">
      <c r="A387" s="19"/>
      <c r="B387" s="19" t="s">
        <v>390</v>
      </c>
      <c r="C387" s="19" t="s">
        <v>391</v>
      </c>
      <c r="D387" s="19" t="s">
        <v>423</v>
      </c>
      <c r="E387" s="19" t="s">
        <v>100</v>
      </c>
      <c r="F387" s="19" t="s">
        <v>125</v>
      </c>
      <c r="G387" s="19" t="s">
        <v>180</v>
      </c>
      <c r="H387" s="19" t="s">
        <v>126</v>
      </c>
      <c r="I387" s="19" t="b">
        <v>0</v>
      </c>
      <c r="J387" s="19">
        <v>9</v>
      </c>
      <c r="K387" s="19">
        <v>4535</v>
      </c>
      <c r="L387" s="20">
        <v>2302200</v>
      </c>
      <c r="M387" s="20">
        <v>1.7780382000125921E+18</v>
      </c>
      <c r="N387" s="19" t="s">
        <v>431</v>
      </c>
      <c r="O387" s="19"/>
    </row>
    <row r="388" spans="1:15" x14ac:dyDescent="0.25">
      <c r="A388" s="19"/>
      <c r="B388" s="19" t="s">
        <v>332</v>
      </c>
      <c r="C388" s="19" t="s">
        <v>333</v>
      </c>
      <c r="D388" s="19" t="s">
        <v>432</v>
      </c>
      <c r="E388" s="19" t="s">
        <v>100</v>
      </c>
      <c r="F388" s="19" t="s">
        <v>125</v>
      </c>
      <c r="G388" s="19" t="s">
        <v>180</v>
      </c>
      <c r="H388" s="19" t="s">
        <v>174</v>
      </c>
      <c r="I388" s="19" t="b">
        <v>0</v>
      </c>
      <c r="J388" s="19">
        <v>222</v>
      </c>
      <c r="K388" s="19">
        <v>425.25</v>
      </c>
      <c r="L388" s="20">
        <v>19706700</v>
      </c>
      <c r="M388" s="20">
        <v>1.7788293053555899E+18</v>
      </c>
      <c r="N388" s="19" t="s">
        <v>433</v>
      </c>
      <c r="O388" s="19"/>
    </row>
    <row r="389" spans="1:15" x14ac:dyDescent="0.25">
      <c r="A389" s="19"/>
      <c r="B389" s="19" t="s">
        <v>404</v>
      </c>
      <c r="C389" s="19" t="s">
        <v>405</v>
      </c>
      <c r="D389" s="19" t="s">
        <v>432</v>
      </c>
      <c r="E389" s="19" t="s">
        <v>100</v>
      </c>
      <c r="F389" s="19" t="s">
        <v>125</v>
      </c>
      <c r="G389" s="19" t="s">
        <v>180</v>
      </c>
      <c r="H389" s="19" t="s">
        <v>174</v>
      </c>
      <c r="I389" s="19" t="b">
        <v>0</v>
      </c>
      <c r="J389" s="19">
        <v>1</v>
      </c>
      <c r="K389" s="19">
        <v>2505.8501000000001</v>
      </c>
      <c r="L389" s="20">
        <v>8437100</v>
      </c>
      <c r="M389" s="20">
        <v>1.7788291752655501E+18</v>
      </c>
      <c r="N389" s="19" t="s">
        <v>434</v>
      </c>
      <c r="O389" s="19"/>
    </row>
    <row r="390" spans="1:15" x14ac:dyDescent="0.25">
      <c r="A390" s="19"/>
      <c r="B390" s="19" t="s">
        <v>404</v>
      </c>
      <c r="C390" s="19" t="s">
        <v>405</v>
      </c>
      <c r="D390" s="19" t="s">
        <v>432</v>
      </c>
      <c r="E390" s="19" t="s">
        <v>100</v>
      </c>
      <c r="F390" s="19" t="s">
        <v>125</v>
      </c>
      <c r="G390" s="19" t="s">
        <v>180</v>
      </c>
      <c r="H390" s="19" t="s">
        <v>174</v>
      </c>
      <c r="I390" s="19" t="b">
        <v>0</v>
      </c>
      <c r="J390" s="19">
        <v>18</v>
      </c>
      <c r="K390" s="19">
        <v>2505.8998999999999</v>
      </c>
      <c r="L390" s="20">
        <v>8436900</v>
      </c>
      <c r="M390" s="20">
        <v>1.7788291752655501E+18</v>
      </c>
      <c r="N390" s="19" t="s">
        <v>434</v>
      </c>
      <c r="O390" s="19"/>
    </row>
    <row r="391" spans="1:15" x14ac:dyDescent="0.25">
      <c r="A391" s="19"/>
      <c r="B391" s="19" t="s">
        <v>235</v>
      </c>
      <c r="C391" s="19" t="s">
        <v>236</v>
      </c>
      <c r="D391" s="19" t="s">
        <v>432</v>
      </c>
      <c r="E391" s="19" t="s">
        <v>124</v>
      </c>
      <c r="F391" s="19" t="s">
        <v>125</v>
      </c>
      <c r="G391" s="19" t="s">
        <v>125</v>
      </c>
      <c r="H391" s="19" t="s">
        <v>174</v>
      </c>
      <c r="I391" s="19" t="b">
        <v>0</v>
      </c>
      <c r="J391" s="19">
        <v>139</v>
      </c>
      <c r="K391" s="19">
        <v>970.2</v>
      </c>
      <c r="L391" s="20">
        <v>607127058</v>
      </c>
      <c r="M391" s="20">
        <v>1300000075009446</v>
      </c>
      <c r="N391" s="19" t="s">
        <v>435</v>
      </c>
      <c r="O391" s="19"/>
    </row>
    <row r="392" spans="1:15" x14ac:dyDescent="0.25">
      <c r="A392" s="19"/>
      <c r="B392" s="19" t="s">
        <v>235</v>
      </c>
      <c r="C392" s="19" t="s">
        <v>236</v>
      </c>
      <c r="D392" s="19" t="s">
        <v>432</v>
      </c>
      <c r="E392" s="19" t="s">
        <v>124</v>
      </c>
      <c r="F392" s="19" t="s">
        <v>125</v>
      </c>
      <c r="G392" s="19" t="s">
        <v>125</v>
      </c>
      <c r="H392" s="19" t="s">
        <v>174</v>
      </c>
      <c r="I392" s="19" t="b">
        <v>0</v>
      </c>
      <c r="J392" s="19">
        <v>139</v>
      </c>
      <c r="K392" s="19">
        <v>970.4</v>
      </c>
      <c r="L392" s="20">
        <v>607127057</v>
      </c>
      <c r="M392" s="20">
        <v>1300000075009446</v>
      </c>
      <c r="N392" s="19" t="s">
        <v>435</v>
      </c>
      <c r="O392" s="19"/>
    </row>
    <row r="393" spans="1:15" x14ac:dyDescent="0.25">
      <c r="A393" s="19"/>
      <c r="B393" s="19" t="s">
        <v>367</v>
      </c>
      <c r="C393" s="19" t="s">
        <v>368</v>
      </c>
      <c r="D393" s="19" t="s">
        <v>432</v>
      </c>
      <c r="E393" s="19" t="s">
        <v>124</v>
      </c>
      <c r="F393" s="19" t="s">
        <v>125</v>
      </c>
      <c r="G393" s="19" t="s">
        <v>125</v>
      </c>
      <c r="H393" s="19" t="s">
        <v>174</v>
      </c>
      <c r="I393" s="19" t="b">
        <v>0</v>
      </c>
      <c r="J393" s="19">
        <v>80</v>
      </c>
      <c r="K393" s="19">
        <v>304.10000000000002</v>
      </c>
      <c r="L393" s="20">
        <v>607151187</v>
      </c>
      <c r="M393" s="20">
        <v>1300000075257931</v>
      </c>
      <c r="N393" s="19" t="s">
        <v>436</v>
      </c>
      <c r="O393" s="19"/>
    </row>
    <row r="394" spans="1:15" x14ac:dyDescent="0.25">
      <c r="A394" s="19"/>
      <c r="B394" s="19" t="s">
        <v>222</v>
      </c>
      <c r="C394" s="19" t="s">
        <v>223</v>
      </c>
      <c r="D394" s="19" t="s">
        <v>432</v>
      </c>
      <c r="E394" s="19" t="s">
        <v>124</v>
      </c>
      <c r="F394" s="19" t="s">
        <v>125</v>
      </c>
      <c r="G394" s="19" t="s">
        <v>125</v>
      </c>
      <c r="H394" s="19" t="s">
        <v>174</v>
      </c>
      <c r="I394" s="19" t="b">
        <v>0</v>
      </c>
      <c r="J394" s="19">
        <v>100</v>
      </c>
      <c r="K394" s="19">
        <v>367</v>
      </c>
      <c r="L394" s="20">
        <v>206749723</v>
      </c>
      <c r="M394" s="20">
        <v>1100000069714916</v>
      </c>
      <c r="N394" s="19" t="s">
        <v>437</v>
      </c>
      <c r="O394" s="19"/>
    </row>
    <row r="395" spans="1:15" x14ac:dyDescent="0.25">
      <c r="A395" s="19"/>
      <c r="B395" s="19" t="s">
        <v>222</v>
      </c>
      <c r="C395" s="19" t="s">
        <v>223</v>
      </c>
      <c r="D395" s="19" t="s">
        <v>432</v>
      </c>
      <c r="E395" s="19" t="s">
        <v>124</v>
      </c>
      <c r="F395" s="19" t="s">
        <v>125</v>
      </c>
      <c r="G395" s="19" t="s">
        <v>125</v>
      </c>
      <c r="H395" s="19" t="s">
        <v>174</v>
      </c>
      <c r="I395" s="19" t="b">
        <v>0</v>
      </c>
      <c r="J395" s="19">
        <v>41</v>
      </c>
      <c r="K395" s="19">
        <v>367</v>
      </c>
      <c r="L395" s="20">
        <v>206749724</v>
      </c>
      <c r="M395" s="20">
        <v>1100000069714916</v>
      </c>
      <c r="N395" s="19" t="s">
        <v>437</v>
      </c>
      <c r="O395" s="19"/>
    </row>
    <row r="396" spans="1:15" x14ac:dyDescent="0.25">
      <c r="A396" s="19"/>
      <c r="B396" s="19" t="s">
        <v>222</v>
      </c>
      <c r="C396" s="19" t="s">
        <v>223</v>
      </c>
      <c r="D396" s="19" t="s">
        <v>432</v>
      </c>
      <c r="E396" s="19" t="s">
        <v>124</v>
      </c>
      <c r="F396" s="19" t="s">
        <v>125</v>
      </c>
      <c r="G396" s="19" t="s">
        <v>125</v>
      </c>
      <c r="H396" s="19" t="s">
        <v>174</v>
      </c>
      <c r="I396" s="19" t="b">
        <v>0</v>
      </c>
      <c r="J396" s="19">
        <v>64</v>
      </c>
      <c r="K396" s="19">
        <v>367</v>
      </c>
      <c r="L396" s="20">
        <v>206749722</v>
      </c>
      <c r="M396" s="20">
        <v>1100000069714916</v>
      </c>
      <c r="N396" s="19" t="s">
        <v>437</v>
      </c>
      <c r="O396" s="19"/>
    </row>
    <row r="397" spans="1:15" x14ac:dyDescent="0.25">
      <c r="A397" s="19"/>
      <c r="B397" s="19" t="s">
        <v>232</v>
      </c>
      <c r="C397" s="19" t="s">
        <v>233</v>
      </c>
      <c r="D397" s="19" t="s">
        <v>432</v>
      </c>
      <c r="E397" s="19" t="s">
        <v>124</v>
      </c>
      <c r="F397" s="19" t="s">
        <v>125</v>
      </c>
      <c r="G397" s="19" t="s">
        <v>125</v>
      </c>
      <c r="H397" s="19" t="s">
        <v>174</v>
      </c>
      <c r="I397" s="19" t="b">
        <v>0</v>
      </c>
      <c r="J397" s="19">
        <v>49</v>
      </c>
      <c r="K397" s="19">
        <v>136.25</v>
      </c>
      <c r="L397" s="20">
        <v>206751108</v>
      </c>
      <c r="M397" s="20">
        <v>1100000069734612</v>
      </c>
      <c r="N397" s="19" t="s">
        <v>438</v>
      </c>
      <c r="O397" s="19"/>
    </row>
    <row r="398" spans="1:15" x14ac:dyDescent="0.25">
      <c r="A398" s="19"/>
      <c r="B398" s="19" t="s">
        <v>232</v>
      </c>
      <c r="C398" s="19" t="s">
        <v>233</v>
      </c>
      <c r="D398" s="19" t="s">
        <v>432</v>
      </c>
      <c r="E398" s="19" t="s">
        <v>124</v>
      </c>
      <c r="F398" s="19" t="s">
        <v>125</v>
      </c>
      <c r="G398" s="19" t="s">
        <v>125</v>
      </c>
      <c r="H398" s="19" t="s">
        <v>174</v>
      </c>
      <c r="I398" s="19" t="b">
        <v>0</v>
      </c>
      <c r="J398" s="19">
        <v>201</v>
      </c>
      <c r="K398" s="19">
        <v>136.25</v>
      </c>
      <c r="L398" s="20">
        <v>206751110</v>
      </c>
      <c r="M398" s="20">
        <v>1100000069734612</v>
      </c>
      <c r="N398" s="19" t="s">
        <v>438</v>
      </c>
      <c r="O398" s="19"/>
    </row>
    <row r="399" spans="1:15" x14ac:dyDescent="0.25">
      <c r="A399" s="19"/>
      <c r="B399" s="19" t="s">
        <v>232</v>
      </c>
      <c r="C399" s="19" t="s">
        <v>233</v>
      </c>
      <c r="D399" s="19" t="s">
        <v>432</v>
      </c>
      <c r="E399" s="19" t="s">
        <v>124</v>
      </c>
      <c r="F399" s="19" t="s">
        <v>125</v>
      </c>
      <c r="G399" s="19" t="s">
        <v>125</v>
      </c>
      <c r="H399" s="19" t="s">
        <v>174</v>
      </c>
      <c r="I399" s="19" t="b">
        <v>0</v>
      </c>
      <c r="J399" s="19">
        <v>33</v>
      </c>
      <c r="K399" s="19">
        <v>136.25</v>
      </c>
      <c r="L399" s="20">
        <v>206751111</v>
      </c>
      <c r="M399" s="20">
        <v>1100000069734612</v>
      </c>
      <c r="N399" s="19" t="s">
        <v>438</v>
      </c>
      <c r="O399" s="19"/>
    </row>
    <row r="400" spans="1:15" x14ac:dyDescent="0.25">
      <c r="A400" s="19"/>
      <c r="B400" s="19" t="s">
        <v>232</v>
      </c>
      <c r="C400" s="19" t="s">
        <v>233</v>
      </c>
      <c r="D400" s="19" t="s">
        <v>432</v>
      </c>
      <c r="E400" s="19" t="s">
        <v>124</v>
      </c>
      <c r="F400" s="19" t="s">
        <v>125</v>
      </c>
      <c r="G400" s="19" t="s">
        <v>125</v>
      </c>
      <c r="H400" s="19" t="s">
        <v>174</v>
      </c>
      <c r="I400" s="19" t="b">
        <v>0</v>
      </c>
      <c r="J400" s="19">
        <v>103</v>
      </c>
      <c r="K400" s="19">
        <v>136.25</v>
      </c>
      <c r="L400" s="20">
        <v>206751109</v>
      </c>
      <c r="M400" s="20">
        <v>1100000069734612</v>
      </c>
      <c r="N400" s="19" t="s">
        <v>438</v>
      </c>
      <c r="O400" s="19"/>
    </row>
    <row r="401" spans="1:15" x14ac:dyDescent="0.25">
      <c r="A401" s="19"/>
      <c r="B401" s="19" t="s">
        <v>413</v>
      </c>
      <c r="C401" s="19" t="s">
        <v>414</v>
      </c>
      <c r="D401" s="19" t="s">
        <v>432</v>
      </c>
      <c r="E401" s="19" t="s">
        <v>124</v>
      </c>
      <c r="F401" s="19" t="s">
        <v>125</v>
      </c>
      <c r="G401" s="19" t="s">
        <v>125</v>
      </c>
      <c r="H401" s="19" t="s">
        <v>126</v>
      </c>
      <c r="I401" s="19" t="b">
        <v>0</v>
      </c>
      <c r="J401" s="19">
        <v>1</v>
      </c>
      <c r="K401" s="19">
        <v>1583.5</v>
      </c>
      <c r="L401" s="20">
        <v>406658173</v>
      </c>
      <c r="M401" s="20">
        <v>1200000075614562</v>
      </c>
      <c r="N401" s="19" t="s">
        <v>439</v>
      </c>
      <c r="O401" s="19"/>
    </row>
    <row r="402" spans="1:15" x14ac:dyDescent="0.25">
      <c r="A402" s="19"/>
      <c r="B402" s="19" t="s">
        <v>413</v>
      </c>
      <c r="C402" s="19" t="s">
        <v>414</v>
      </c>
      <c r="D402" s="19" t="s">
        <v>432</v>
      </c>
      <c r="E402" s="19" t="s">
        <v>124</v>
      </c>
      <c r="F402" s="19" t="s">
        <v>125</v>
      </c>
      <c r="G402" s="19" t="s">
        <v>125</v>
      </c>
      <c r="H402" s="19" t="s">
        <v>126</v>
      </c>
      <c r="I402" s="19" t="b">
        <v>0</v>
      </c>
      <c r="J402" s="19">
        <v>3</v>
      </c>
      <c r="K402" s="19">
        <v>1583.3</v>
      </c>
      <c r="L402" s="20">
        <v>406658171</v>
      </c>
      <c r="M402" s="20">
        <v>1200000075614562</v>
      </c>
      <c r="N402" s="19" t="s">
        <v>439</v>
      </c>
      <c r="O402" s="19"/>
    </row>
    <row r="403" spans="1:15" x14ac:dyDescent="0.25">
      <c r="A403" s="19"/>
      <c r="B403" s="19" t="s">
        <v>413</v>
      </c>
      <c r="C403" s="19" t="s">
        <v>414</v>
      </c>
      <c r="D403" s="19" t="s">
        <v>432</v>
      </c>
      <c r="E403" s="19" t="s">
        <v>124</v>
      </c>
      <c r="F403" s="19" t="s">
        <v>125</v>
      </c>
      <c r="G403" s="19" t="s">
        <v>125</v>
      </c>
      <c r="H403" s="19" t="s">
        <v>126</v>
      </c>
      <c r="I403" s="19" t="b">
        <v>0</v>
      </c>
      <c r="J403" s="19">
        <v>4</v>
      </c>
      <c r="K403" s="19">
        <v>1583.1</v>
      </c>
      <c r="L403" s="20">
        <v>406658169</v>
      </c>
      <c r="M403" s="20">
        <v>1200000075614562</v>
      </c>
      <c r="N403" s="19" t="s">
        <v>439</v>
      </c>
      <c r="O403" s="19"/>
    </row>
    <row r="404" spans="1:15" x14ac:dyDescent="0.25">
      <c r="A404" s="19"/>
      <c r="B404" s="19" t="s">
        <v>413</v>
      </c>
      <c r="C404" s="19" t="s">
        <v>414</v>
      </c>
      <c r="D404" s="19" t="s">
        <v>432</v>
      </c>
      <c r="E404" s="19" t="s">
        <v>124</v>
      </c>
      <c r="F404" s="19" t="s">
        <v>125</v>
      </c>
      <c r="G404" s="19" t="s">
        <v>125</v>
      </c>
      <c r="H404" s="19" t="s">
        <v>126</v>
      </c>
      <c r="I404" s="19" t="b">
        <v>0</v>
      </c>
      <c r="J404" s="19">
        <v>4</v>
      </c>
      <c r="K404" s="19">
        <v>1583.3</v>
      </c>
      <c r="L404" s="20">
        <v>406658170</v>
      </c>
      <c r="M404" s="20">
        <v>1200000075614562</v>
      </c>
      <c r="N404" s="19" t="s">
        <v>439</v>
      </c>
      <c r="O404" s="19"/>
    </row>
    <row r="405" spans="1:15" x14ac:dyDescent="0.25">
      <c r="A405" s="19"/>
      <c r="B405" s="19" t="s">
        <v>413</v>
      </c>
      <c r="C405" s="19" t="s">
        <v>414</v>
      </c>
      <c r="D405" s="19" t="s">
        <v>432</v>
      </c>
      <c r="E405" s="19" t="s">
        <v>124</v>
      </c>
      <c r="F405" s="19" t="s">
        <v>125</v>
      </c>
      <c r="G405" s="19" t="s">
        <v>125</v>
      </c>
      <c r="H405" s="19" t="s">
        <v>126</v>
      </c>
      <c r="I405" s="19" t="b">
        <v>0</v>
      </c>
      <c r="J405" s="19">
        <v>4</v>
      </c>
      <c r="K405" s="19">
        <v>1583.4</v>
      </c>
      <c r="L405" s="20">
        <v>406658172</v>
      </c>
      <c r="M405" s="20">
        <v>1200000075614562</v>
      </c>
      <c r="N405" s="19" t="s">
        <v>439</v>
      </c>
      <c r="O405" s="19"/>
    </row>
    <row r="406" spans="1:15" x14ac:dyDescent="0.25">
      <c r="A406" s="19"/>
      <c r="B406" s="19" t="s">
        <v>440</v>
      </c>
      <c r="C406" s="19" t="s">
        <v>441</v>
      </c>
      <c r="D406" s="19" t="s">
        <v>432</v>
      </c>
      <c r="E406" s="19" t="s">
        <v>124</v>
      </c>
      <c r="F406" s="19" t="s">
        <v>125</v>
      </c>
      <c r="G406" s="19" t="s">
        <v>125</v>
      </c>
      <c r="H406" s="19" t="s">
        <v>126</v>
      </c>
      <c r="I406" s="19" t="b">
        <v>0</v>
      </c>
      <c r="J406" s="19">
        <v>38</v>
      </c>
      <c r="K406" s="19">
        <v>1325.5</v>
      </c>
      <c r="L406" s="20">
        <v>408006404</v>
      </c>
      <c r="M406" s="20">
        <v>1200000088607726</v>
      </c>
      <c r="N406" s="19" t="s">
        <v>442</v>
      </c>
      <c r="O406" s="19"/>
    </row>
    <row r="407" spans="1:15" x14ac:dyDescent="0.25">
      <c r="A407" s="19"/>
      <c r="B407" s="19" t="s">
        <v>71</v>
      </c>
      <c r="C407" s="19" t="s">
        <v>443</v>
      </c>
      <c r="D407" s="19" t="s">
        <v>432</v>
      </c>
      <c r="E407" s="19" t="s">
        <v>124</v>
      </c>
      <c r="F407" s="19" t="s">
        <v>125</v>
      </c>
      <c r="G407" s="19" t="s">
        <v>125</v>
      </c>
      <c r="H407" s="19" t="s">
        <v>126</v>
      </c>
      <c r="I407" s="19" t="b">
        <v>0</v>
      </c>
      <c r="J407" s="19">
        <v>15</v>
      </c>
      <c r="K407" s="19">
        <v>2727.2</v>
      </c>
      <c r="L407" s="20">
        <v>7218708</v>
      </c>
      <c r="M407" s="20">
        <v>1000000079349236</v>
      </c>
      <c r="N407" s="19" t="s">
        <v>444</v>
      </c>
      <c r="O407" s="19"/>
    </row>
    <row r="408" spans="1:15" x14ac:dyDescent="0.25">
      <c r="A408" s="19"/>
      <c r="B408" s="19" t="s">
        <v>71</v>
      </c>
      <c r="C408" s="19" t="s">
        <v>443</v>
      </c>
      <c r="D408" s="19" t="s">
        <v>432</v>
      </c>
      <c r="E408" s="19" t="s">
        <v>124</v>
      </c>
      <c r="F408" s="19" t="s">
        <v>125</v>
      </c>
      <c r="G408" s="19" t="s">
        <v>125</v>
      </c>
      <c r="H408" s="19" t="s">
        <v>126</v>
      </c>
      <c r="I408" s="19" t="b">
        <v>0</v>
      </c>
      <c r="J408" s="19">
        <v>4</v>
      </c>
      <c r="K408" s="19">
        <v>2727.2</v>
      </c>
      <c r="L408" s="20">
        <v>7218709</v>
      </c>
      <c r="M408" s="20">
        <v>1000000079349236</v>
      </c>
      <c r="N408" s="19" t="s">
        <v>444</v>
      </c>
      <c r="O408" s="19"/>
    </row>
    <row r="409" spans="1:15" x14ac:dyDescent="0.25">
      <c r="A409" s="19"/>
      <c r="B409" s="19" t="s">
        <v>445</v>
      </c>
      <c r="C409" s="19" t="s">
        <v>446</v>
      </c>
      <c r="D409" s="19" t="s">
        <v>432</v>
      </c>
      <c r="E409" s="19" t="s">
        <v>124</v>
      </c>
      <c r="F409" s="19" t="s">
        <v>125</v>
      </c>
      <c r="G409" s="19" t="s">
        <v>125</v>
      </c>
      <c r="H409" s="19" t="s">
        <v>126</v>
      </c>
      <c r="I409" s="19" t="b">
        <v>0</v>
      </c>
      <c r="J409" s="19">
        <v>1</v>
      </c>
      <c r="K409" s="19">
        <v>2730</v>
      </c>
      <c r="L409" s="20">
        <v>7769815</v>
      </c>
      <c r="M409" s="20">
        <v>1000000082794405</v>
      </c>
      <c r="N409" s="19" t="s">
        <v>447</v>
      </c>
      <c r="O409" s="19"/>
    </row>
    <row r="410" spans="1:15" x14ac:dyDescent="0.25">
      <c r="A410" s="19"/>
      <c r="B410" s="19" t="s">
        <v>445</v>
      </c>
      <c r="C410" s="19" t="s">
        <v>446</v>
      </c>
      <c r="D410" s="19" t="s">
        <v>432</v>
      </c>
      <c r="E410" s="19" t="s">
        <v>124</v>
      </c>
      <c r="F410" s="19" t="s">
        <v>125</v>
      </c>
      <c r="G410" s="19" t="s">
        <v>125</v>
      </c>
      <c r="H410" s="19" t="s">
        <v>126</v>
      </c>
      <c r="I410" s="19" t="b">
        <v>0</v>
      </c>
      <c r="J410" s="19">
        <v>17</v>
      </c>
      <c r="K410" s="19">
        <v>2730</v>
      </c>
      <c r="L410" s="20">
        <v>7769814</v>
      </c>
      <c r="M410" s="20">
        <v>1000000082794405</v>
      </c>
      <c r="N410" s="19" t="s">
        <v>447</v>
      </c>
      <c r="O410" s="19"/>
    </row>
    <row r="411" spans="1:15" x14ac:dyDescent="0.25">
      <c r="A411" s="19"/>
      <c r="B411" s="19" t="s">
        <v>49</v>
      </c>
      <c r="C411" s="19" t="s">
        <v>448</v>
      </c>
      <c r="D411" s="19" t="s">
        <v>432</v>
      </c>
      <c r="E411" s="19" t="s">
        <v>124</v>
      </c>
      <c r="F411" s="19" t="s">
        <v>125</v>
      </c>
      <c r="G411" s="19" t="s">
        <v>125</v>
      </c>
      <c r="H411" s="19" t="s">
        <v>126</v>
      </c>
      <c r="I411" s="19" t="b">
        <v>0</v>
      </c>
      <c r="J411" s="19">
        <v>16</v>
      </c>
      <c r="K411" s="19">
        <v>3127</v>
      </c>
      <c r="L411" s="20">
        <v>408659311</v>
      </c>
      <c r="M411" s="20">
        <v>1200000092419234</v>
      </c>
      <c r="N411" s="19" t="s">
        <v>449</v>
      </c>
      <c r="O411" s="19"/>
    </row>
    <row r="412" spans="1:15" x14ac:dyDescent="0.25">
      <c r="A412" s="19"/>
      <c r="B412" s="19" t="s">
        <v>72</v>
      </c>
      <c r="C412" s="19" t="s">
        <v>450</v>
      </c>
      <c r="D412" s="19" t="s">
        <v>451</v>
      </c>
      <c r="E412" s="19" t="s">
        <v>124</v>
      </c>
      <c r="F412" s="19" t="s">
        <v>125</v>
      </c>
      <c r="G412" s="19" t="s">
        <v>125</v>
      </c>
      <c r="H412" s="19" t="s">
        <v>126</v>
      </c>
      <c r="I412" s="19" t="b">
        <v>0</v>
      </c>
      <c r="J412" s="19">
        <v>10</v>
      </c>
      <c r="K412" s="19">
        <v>1505.6</v>
      </c>
      <c r="L412" s="20">
        <v>6180298</v>
      </c>
      <c r="M412" s="20">
        <v>1000000066826705</v>
      </c>
      <c r="N412" s="19" t="s">
        <v>452</v>
      </c>
      <c r="O412" s="19"/>
    </row>
    <row r="413" spans="1:15" x14ac:dyDescent="0.25">
      <c r="A413" s="19"/>
      <c r="B413" s="19" t="s">
        <v>72</v>
      </c>
      <c r="C413" s="19" t="s">
        <v>450</v>
      </c>
      <c r="D413" s="19" t="s">
        <v>451</v>
      </c>
      <c r="E413" s="19" t="s">
        <v>124</v>
      </c>
      <c r="F413" s="19" t="s">
        <v>125</v>
      </c>
      <c r="G413" s="19" t="s">
        <v>125</v>
      </c>
      <c r="H413" s="19" t="s">
        <v>126</v>
      </c>
      <c r="I413" s="19" t="b">
        <v>0</v>
      </c>
      <c r="J413" s="19">
        <v>10</v>
      </c>
      <c r="K413" s="19">
        <v>1505.6</v>
      </c>
      <c r="L413" s="20">
        <v>6180301</v>
      </c>
      <c r="M413" s="20">
        <v>1000000066826705</v>
      </c>
      <c r="N413" s="19" t="s">
        <v>452</v>
      </c>
      <c r="O413" s="19"/>
    </row>
    <row r="414" spans="1:15" x14ac:dyDescent="0.25">
      <c r="A414" s="19"/>
      <c r="B414" s="19" t="s">
        <v>72</v>
      </c>
      <c r="C414" s="19" t="s">
        <v>450</v>
      </c>
      <c r="D414" s="19" t="s">
        <v>451</v>
      </c>
      <c r="E414" s="19" t="s">
        <v>124</v>
      </c>
      <c r="F414" s="19" t="s">
        <v>125</v>
      </c>
      <c r="G414" s="19" t="s">
        <v>125</v>
      </c>
      <c r="H414" s="19" t="s">
        <v>126</v>
      </c>
      <c r="I414" s="19" t="b">
        <v>0</v>
      </c>
      <c r="J414" s="19">
        <v>1</v>
      </c>
      <c r="K414" s="19">
        <v>1505.6</v>
      </c>
      <c r="L414" s="20">
        <v>6180299</v>
      </c>
      <c r="M414" s="20">
        <v>1000000066826705</v>
      </c>
      <c r="N414" s="19" t="s">
        <v>452</v>
      </c>
      <c r="O414" s="19"/>
    </row>
    <row r="415" spans="1:15" x14ac:dyDescent="0.25">
      <c r="A415" s="19"/>
      <c r="B415" s="19" t="s">
        <v>72</v>
      </c>
      <c r="C415" s="19" t="s">
        <v>450</v>
      </c>
      <c r="D415" s="19" t="s">
        <v>451</v>
      </c>
      <c r="E415" s="19" t="s">
        <v>124</v>
      </c>
      <c r="F415" s="19" t="s">
        <v>125</v>
      </c>
      <c r="G415" s="19" t="s">
        <v>125</v>
      </c>
      <c r="H415" s="19" t="s">
        <v>126</v>
      </c>
      <c r="I415" s="19" t="b">
        <v>0</v>
      </c>
      <c r="J415" s="19">
        <v>12</v>
      </c>
      <c r="K415" s="19">
        <v>1505.6</v>
      </c>
      <c r="L415" s="20">
        <v>6180300</v>
      </c>
      <c r="M415" s="20">
        <v>1000000066826705</v>
      </c>
      <c r="N415" s="19" t="s">
        <v>452</v>
      </c>
      <c r="O415" s="19"/>
    </row>
    <row r="416" spans="1:15" x14ac:dyDescent="0.25">
      <c r="A416" s="19"/>
      <c r="B416" s="19" t="s">
        <v>70</v>
      </c>
      <c r="C416" s="19" t="s">
        <v>453</v>
      </c>
      <c r="D416" s="19" t="s">
        <v>451</v>
      </c>
      <c r="E416" s="19" t="s">
        <v>124</v>
      </c>
      <c r="F416" s="19" t="s">
        <v>125</v>
      </c>
      <c r="G416" s="19" t="s">
        <v>125</v>
      </c>
      <c r="H416" s="19" t="s">
        <v>126</v>
      </c>
      <c r="I416" s="19" t="b">
        <v>0</v>
      </c>
      <c r="J416" s="19">
        <v>10</v>
      </c>
      <c r="K416" s="19">
        <v>1713.2</v>
      </c>
      <c r="L416" s="20">
        <v>6186275</v>
      </c>
      <c r="M416" s="20">
        <v>1000000066876330</v>
      </c>
      <c r="N416" s="19" t="s">
        <v>454</v>
      </c>
      <c r="O416" s="19"/>
    </row>
    <row r="417" spans="1:15" x14ac:dyDescent="0.25">
      <c r="A417" s="19"/>
      <c r="B417" s="19" t="s">
        <v>70</v>
      </c>
      <c r="C417" s="19" t="s">
        <v>453</v>
      </c>
      <c r="D417" s="19" t="s">
        <v>451</v>
      </c>
      <c r="E417" s="19" t="s">
        <v>124</v>
      </c>
      <c r="F417" s="19" t="s">
        <v>125</v>
      </c>
      <c r="G417" s="19" t="s">
        <v>125</v>
      </c>
      <c r="H417" s="19" t="s">
        <v>126</v>
      </c>
      <c r="I417" s="19" t="b">
        <v>0</v>
      </c>
      <c r="J417" s="19">
        <v>10</v>
      </c>
      <c r="K417" s="19">
        <v>1713.8</v>
      </c>
      <c r="L417" s="20">
        <v>6186277</v>
      </c>
      <c r="M417" s="20">
        <v>1000000066876330</v>
      </c>
      <c r="N417" s="19" t="s">
        <v>454</v>
      </c>
      <c r="O417" s="19"/>
    </row>
    <row r="418" spans="1:15" x14ac:dyDescent="0.25">
      <c r="A418" s="19"/>
      <c r="B418" s="19" t="s">
        <v>70</v>
      </c>
      <c r="C418" s="19" t="s">
        <v>453</v>
      </c>
      <c r="D418" s="19" t="s">
        <v>451</v>
      </c>
      <c r="E418" s="19" t="s">
        <v>124</v>
      </c>
      <c r="F418" s="19" t="s">
        <v>125</v>
      </c>
      <c r="G418" s="19" t="s">
        <v>125</v>
      </c>
      <c r="H418" s="19" t="s">
        <v>126</v>
      </c>
      <c r="I418" s="19" t="b">
        <v>0</v>
      </c>
      <c r="J418" s="19">
        <v>1</v>
      </c>
      <c r="K418" s="19">
        <v>1712.9</v>
      </c>
      <c r="L418" s="20">
        <v>6186273</v>
      </c>
      <c r="M418" s="20">
        <v>1000000066876330</v>
      </c>
      <c r="N418" s="19" t="s">
        <v>454</v>
      </c>
      <c r="O418" s="19"/>
    </row>
    <row r="419" spans="1:15" x14ac:dyDescent="0.25">
      <c r="A419" s="19"/>
      <c r="B419" s="19" t="s">
        <v>70</v>
      </c>
      <c r="C419" s="19" t="s">
        <v>453</v>
      </c>
      <c r="D419" s="19" t="s">
        <v>451</v>
      </c>
      <c r="E419" s="19" t="s">
        <v>124</v>
      </c>
      <c r="F419" s="19" t="s">
        <v>125</v>
      </c>
      <c r="G419" s="19" t="s">
        <v>125</v>
      </c>
      <c r="H419" s="19" t="s">
        <v>126</v>
      </c>
      <c r="I419" s="19" t="b">
        <v>0</v>
      </c>
      <c r="J419" s="19">
        <v>4</v>
      </c>
      <c r="K419" s="19">
        <v>1713</v>
      </c>
      <c r="L419" s="20">
        <v>6186274</v>
      </c>
      <c r="M419" s="20">
        <v>1000000066876330</v>
      </c>
      <c r="N419" s="19" t="s">
        <v>454</v>
      </c>
      <c r="O419" s="19"/>
    </row>
    <row r="420" spans="1:15" x14ac:dyDescent="0.25">
      <c r="A420" s="19"/>
      <c r="B420" s="19" t="s">
        <v>70</v>
      </c>
      <c r="C420" s="19" t="s">
        <v>453</v>
      </c>
      <c r="D420" s="19" t="s">
        <v>451</v>
      </c>
      <c r="E420" s="19" t="s">
        <v>124</v>
      </c>
      <c r="F420" s="19" t="s">
        <v>125</v>
      </c>
      <c r="G420" s="19" t="s">
        <v>125</v>
      </c>
      <c r="H420" s="19" t="s">
        <v>126</v>
      </c>
      <c r="I420" s="19" t="b">
        <v>0</v>
      </c>
      <c r="J420" s="19">
        <v>4</v>
      </c>
      <c r="K420" s="19">
        <v>1713.6</v>
      </c>
      <c r="L420" s="20">
        <v>6186276</v>
      </c>
      <c r="M420" s="20">
        <v>1000000066876330</v>
      </c>
      <c r="N420" s="19" t="s">
        <v>454</v>
      </c>
      <c r="O420" s="19"/>
    </row>
    <row r="421" spans="1:15" x14ac:dyDescent="0.25">
      <c r="A421" s="19"/>
      <c r="B421" s="19" t="s">
        <v>44</v>
      </c>
      <c r="C421" s="19" t="s">
        <v>290</v>
      </c>
      <c r="D421" s="19" t="s">
        <v>451</v>
      </c>
      <c r="E421" s="19" t="s">
        <v>100</v>
      </c>
      <c r="F421" s="19" t="s">
        <v>125</v>
      </c>
      <c r="G421" s="19" t="s">
        <v>305</v>
      </c>
      <c r="H421" s="19" t="s">
        <v>126</v>
      </c>
      <c r="I421" s="19" t="b">
        <v>0</v>
      </c>
      <c r="J421" s="19">
        <v>411</v>
      </c>
      <c r="K421" s="19">
        <v>121.7</v>
      </c>
      <c r="L421" s="20">
        <v>10509600</v>
      </c>
      <c r="M421" s="20">
        <v>1.7790926332850911E+18</v>
      </c>
      <c r="N421" s="19" t="s">
        <v>455</v>
      </c>
      <c r="O421" s="19"/>
    </row>
    <row r="422" spans="1:15" x14ac:dyDescent="0.25">
      <c r="A422" s="19"/>
      <c r="B422" s="19" t="s">
        <v>297</v>
      </c>
      <c r="C422" s="19" t="s">
        <v>298</v>
      </c>
      <c r="D422" s="19" t="s">
        <v>451</v>
      </c>
      <c r="E422" s="19" t="s">
        <v>124</v>
      </c>
      <c r="F422" s="19" t="s">
        <v>125</v>
      </c>
      <c r="G422" s="19" t="s">
        <v>125</v>
      </c>
      <c r="H422" s="19" t="s">
        <v>126</v>
      </c>
      <c r="I422" s="19" t="b">
        <v>0</v>
      </c>
      <c r="J422" s="19">
        <v>10</v>
      </c>
      <c r="K422" s="19">
        <v>3214</v>
      </c>
      <c r="L422" s="20">
        <v>6654262</v>
      </c>
      <c r="M422" s="20">
        <v>1000000071638445</v>
      </c>
      <c r="N422" s="19" t="s">
        <v>456</v>
      </c>
      <c r="O422" s="19"/>
    </row>
    <row r="423" spans="1:15" x14ac:dyDescent="0.25">
      <c r="A423" s="19"/>
      <c r="B423" s="19" t="s">
        <v>45</v>
      </c>
      <c r="C423" s="19" t="s">
        <v>457</v>
      </c>
      <c r="D423" s="19" t="s">
        <v>451</v>
      </c>
      <c r="E423" s="19" t="s">
        <v>124</v>
      </c>
      <c r="F423" s="19" t="s">
        <v>125</v>
      </c>
      <c r="G423" s="19" t="s">
        <v>125</v>
      </c>
      <c r="H423" s="19" t="s">
        <v>126</v>
      </c>
      <c r="I423" s="19" t="b">
        <v>0</v>
      </c>
      <c r="J423" s="19">
        <v>26</v>
      </c>
      <c r="K423" s="19">
        <v>1899.2</v>
      </c>
      <c r="L423" s="20">
        <v>609084122</v>
      </c>
      <c r="M423" s="20">
        <v>1300000096080231</v>
      </c>
      <c r="N423" s="19" t="s">
        <v>458</v>
      </c>
      <c r="O423" s="19"/>
    </row>
    <row r="424" spans="1:15" x14ac:dyDescent="0.25">
      <c r="A424" s="19"/>
      <c r="B424" s="19" t="s">
        <v>238</v>
      </c>
      <c r="C424" s="19" t="s">
        <v>239</v>
      </c>
      <c r="D424" s="19" t="s">
        <v>340</v>
      </c>
      <c r="E424" s="19" t="s">
        <v>124</v>
      </c>
      <c r="F424" s="19" t="s">
        <v>125</v>
      </c>
      <c r="G424" s="19" t="s">
        <v>125</v>
      </c>
      <c r="H424" s="19" t="s">
        <v>174</v>
      </c>
      <c r="I424" s="19" t="b">
        <v>0</v>
      </c>
      <c r="J424" s="19">
        <v>10</v>
      </c>
      <c r="K424" s="19">
        <v>271.55</v>
      </c>
      <c r="L424" s="20">
        <v>3556965</v>
      </c>
      <c r="M424" s="20">
        <v>1000000039324729</v>
      </c>
      <c r="N424" s="19" t="s">
        <v>343</v>
      </c>
      <c r="O424" s="19"/>
    </row>
    <row r="425" spans="1:15" x14ac:dyDescent="0.25">
      <c r="A425" s="19"/>
      <c r="B425" s="19" t="s">
        <v>238</v>
      </c>
      <c r="C425" s="19" t="s">
        <v>239</v>
      </c>
      <c r="D425" s="19" t="s">
        <v>340</v>
      </c>
      <c r="E425" s="19" t="s">
        <v>124</v>
      </c>
      <c r="F425" s="19" t="s">
        <v>125</v>
      </c>
      <c r="G425" s="19" t="s">
        <v>125</v>
      </c>
      <c r="H425" s="19" t="s">
        <v>174</v>
      </c>
      <c r="I425" s="19" t="b">
        <v>0</v>
      </c>
      <c r="J425" s="19">
        <v>10</v>
      </c>
      <c r="K425" s="19">
        <v>271.55</v>
      </c>
      <c r="L425" s="20">
        <v>3556967</v>
      </c>
      <c r="M425" s="20">
        <v>1000000039324729</v>
      </c>
      <c r="N425" s="19" t="s">
        <v>343</v>
      </c>
      <c r="O425" s="19"/>
    </row>
    <row r="426" spans="1:15" x14ac:dyDescent="0.25">
      <c r="A426" s="19"/>
      <c r="B426" s="19" t="s">
        <v>238</v>
      </c>
      <c r="C426" s="19" t="s">
        <v>239</v>
      </c>
      <c r="D426" s="19" t="s">
        <v>340</v>
      </c>
      <c r="E426" s="19" t="s">
        <v>124</v>
      </c>
      <c r="F426" s="19" t="s">
        <v>125</v>
      </c>
      <c r="G426" s="19" t="s">
        <v>125</v>
      </c>
      <c r="H426" s="19" t="s">
        <v>174</v>
      </c>
      <c r="I426" s="19" t="b">
        <v>0</v>
      </c>
      <c r="J426" s="19">
        <v>70</v>
      </c>
      <c r="K426" s="19">
        <v>271.55</v>
      </c>
      <c r="L426" s="20">
        <v>3556966</v>
      </c>
      <c r="M426" s="20">
        <v>1000000039324729</v>
      </c>
      <c r="N426" s="19" t="s">
        <v>343</v>
      </c>
      <c r="O426" s="19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6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3" width="12" customWidth="1"/>
    <col min="4" max="4" width="16" customWidth="1"/>
    <col min="5" max="5" width="15" customWidth="1"/>
    <col min="6" max="7" width="16" customWidth="1"/>
  </cols>
  <sheetData>
    <row r="1" spans="1:7" x14ac:dyDescent="0.25">
      <c r="A1" s="18" t="s">
        <v>110</v>
      </c>
      <c r="B1" s="18" t="s">
        <v>33</v>
      </c>
      <c r="C1" s="18" t="s">
        <v>114</v>
      </c>
      <c r="D1" s="18" t="s">
        <v>459</v>
      </c>
      <c r="E1" s="18" t="s">
        <v>460</v>
      </c>
      <c r="F1" s="18" t="s">
        <v>461</v>
      </c>
      <c r="G1" s="18" t="s">
        <v>462</v>
      </c>
    </row>
    <row r="2" spans="1:7" x14ac:dyDescent="0.25">
      <c r="A2" s="19" t="s">
        <v>123</v>
      </c>
      <c r="B2" s="19" t="s">
        <v>134</v>
      </c>
      <c r="C2" s="19" t="s">
        <v>126</v>
      </c>
      <c r="D2" s="19">
        <v>20</v>
      </c>
      <c r="E2" s="21">
        <v>4509</v>
      </c>
      <c r="F2" s="21">
        <v>90180</v>
      </c>
      <c r="G2" s="19" t="s">
        <v>463</v>
      </c>
    </row>
    <row r="3" spans="1:7" x14ac:dyDescent="0.25">
      <c r="A3" s="19" t="s">
        <v>123</v>
      </c>
      <c r="B3" s="19" t="s">
        <v>140</v>
      </c>
      <c r="C3" s="19" t="s">
        <v>126</v>
      </c>
      <c r="D3" s="19">
        <v>19</v>
      </c>
      <c r="E3" s="21">
        <v>4724.03</v>
      </c>
      <c r="F3" s="21">
        <v>89756.6</v>
      </c>
      <c r="G3" s="19" t="s">
        <v>463</v>
      </c>
    </row>
    <row r="4" spans="1:7" x14ac:dyDescent="0.25">
      <c r="A4" s="19" t="s">
        <v>123</v>
      </c>
      <c r="B4" s="19" t="s">
        <v>131</v>
      </c>
      <c r="C4" s="19" t="s">
        <v>126</v>
      </c>
      <c r="D4" s="19">
        <v>116</v>
      </c>
      <c r="E4" s="21">
        <v>844.15</v>
      </c>
      <c r="F4" s="21">
        <v>97921.4</v>
      </c>
      <c r="G4" s="19" t="s">
        <v>463</v>
      </c>
    </row>
    <row r="5" spans="1:7" x14ac:dyDescent="0.25">
      <c r="A5" s="19" t="s">
        <v>123</v>
      </c>
      <c r="B5" s="19" t="s">
        <v>137</v>
      </c>
      <c r="C5" s="19" t="s">
        <v>126</v>
      </c>
      <c r="D5" s="19">
        <v>25</v>
      </c>
      <c r="E5" s="21">
        <v>3662.7</v>
      </c>
      <c r="F5" s="21">
        <v>91567.5</v>
      </c>
      <c r="G5" s="19" t="s">
        <v>463</v>
      </c>
    </row>
    <row r="6" spans="1:7" x14ac:dyDescent="0.25">
      <c r="A6" s="19" t="s">
        <v>123</v>
      </c>
      <c r="B6" s="19" t="s">
        <v>81</v>
      </c>
      <c r="C6" s="19" t="s">
        <v>126</v>
      </c>
      <c r="D6" s="19">
        <v>168</v>
      </c>
      <c r="E6" s="21">
        <v>543</v>
      </c>
      <c r="F6" s="21">
        <v>91224</v>
      </c>
      <c r="G6" s="19" t="s">
        <v>463</v>
      </c>
    </row>
    <row r="7" spans="1:7" x14ac:dyDescent="0.25">
      <c r="A7" s="19" t="s">
        <v>123</v>
      </c>
      <c r="B7" s="19" t="s">
        <v>128</v>
      </c>
      <c r="C7" s="19" t="s">
        <v>126</v>
      </c>
      <c r="D7" s="19">
        <v>64</v>
      </c>
      <c r="E7" s="21">
        <v>1548.9</v>
      </c>
      <c r="F7" s="21">
        <v>99129.600000000006</v>
      </c>
      <c r="G7" s="19" t="s">
        <v>463</v>
      </c>
    </row>
    <row r="8" spans="1:7" x14ac:dyDescent="0.25">
      <c r="A8" s="19" t="s">
        <v>123</v>
      </c>
      <c r="B8" s="19" t="s">
        <v>41</v>
      </c>
      <c r="C8" s="19" t="s">
        <v>126</v>
      </c>
      <c r="D8" s="19">
        <v>13</v>
      </c>
      <c r="E8" s="21">
        <v>7343</v>
      </c>
      <c r="F8" s="21">
        <v>95459</v>
      </c>
      <c r="G8" s="19" t="s">
        <v>463</v>
      </c>
    </row>
    <row r="9" spans="1:7" x14ac:dyDescent="0.25">
      <c r="A9" s="19" t="s">
        <v>147</v>
      </c>
      <c r="B9" s="19" t="s">
        <v>151</v>
      </c>
      <c r="C9" s="19" t="s">
        <v>126</v>
      </c>
      <c r="D9" s="19">
        <v>37</v>
      </c>
      <c r="E9" s="21">
        <v>1289.2</v>
      </c>
      <c r="F9" s="21">
        <v>47700.4</v>
      </c>
      <c r="G9" s="19" t="s">
        <v>68</v>
      </c>
    </row>
    <row r="10" spans="1:7" x14ac:dyDescent="0.25">
      <c r="A10" s="19" t="s">
        <v>147</v>
      </c>
      <c r="B10" s="19" t="s">
        <v>94</v>
      </c>
      <c r="C10" s="19" t="s">
        <v>126</v>
      </c>
      <c r="D10" s="19">
        <v>48</v>
      </c>
      <c r="E10" s="21">
        <v>517.1</v>
      </c>
      <c r="F10" s="21">
        <v>24820.799999999999</v>
      </c>
      <c r="G10" s="19" t="s">
        <v>68</v>
      </c>
    </row>
    <row r="11" spans="1:7" x14ac:dyDescent="0.25">
      <c r="A11" s="19" t="s">
        <v>147</v>
      </c>
      <c r="B11" s="19" t="s">
        <v>145</v>
      </c>
      <c r="C11" s="19" t="s">
        <v>126</v>
      </c>
      <c r="D11" s="19">
        <v>140</v>
      </c>
      <c r="E11" s="21">
        <v>175.36</v>
      </c>
      <c r="F11" s="21">
        <v>24550.400000000001</v>
      </c>
      <c r="G11" s="19" t="s">
        <v>68</v>
      </c>
    </row>
    <row r="12" spans="1:7" x14ac:dyDescent="0.25">
      <c r="A12" s="19" t="s">
        <v>147</v>
      </c>
      <c r="B12" s="19" t="s">
        <v>83</v>
      </c>
      <c r="C12" s="19" t="s">
        <v>126</v>
      </c>
      <c r="D12" s="19">
        <v>60</v>
      </c>
      <c r="E12" s="21">
        <v>1562.4</v>
      </c>
      <c r="F12" s="21">
        <v>93744</v>
      </c>
      <c r="G12" s="19" t="s">
        <v>463</v>
      </c>
    </row>
    <row r="13" spans="1:7" x14ac:dyDescent="0.25">
      <c r="A13" s="19" t="s">
        <v>157</v>
      </c>
      <c r="B13" s="19" t="s">
        <v>97</v>
      </c>
      <c r="C13" s="19" t="s">
        <v>126</v>
      </c>
      <c r="D13" s="19">
        <v>33</v>
      </c>
      <c r="E13" s="21">
        <v>785.35</v>
      </c>
      <c r="F13" s="21">
        <v>25916.55</v>
      </c>
      <c r="G13" s="19" t="s">
        <v>68</v>
      </c>
    </row>
    <row r="14" spans="1:7" x14ac:dyDescent="0.25">
      <c r="A14" s="19" t="s">
        <v>161</v>
      </c>
      <c r="B14" s="19" t="s">
        <v>159</v>
      </c>
      <c r="C14" s="19" t="s">
        <v>126</v>
      </c>
      <c r="D14" s="19">
        <v>35</v>
      </c>
      <c r="E14" s="21">
        <v>716.85</v>
      </c>
      <c r="F14" s="21">
        <v>25089.75</v>
      </c>
      <c r="G14" s="19" t="s">
        <v>68</v>
      </c>
    </row>
    <row r="15" spans="1:7" x14ac:dyDescent="0.25">
      <c r="A15" s="19" t="s">
        <v>165</v>
      </c>
      <c r="B15" s="19" t="s">
        <v>94</v>
      </c>
      <c r="C15" s="19" t="s">
        <v>126</v>
      </c>
      <c r="D15" s="19">
        <v>87</v>
      </c>
      <c r="E15" s="21">
        <v>577.82000000000005</v>
      </c>
      <c r="F15" s="21">
        <v>50270.25</v>
      </c>
      <c r="G15" s="19" t="s">
        <v>96</v>
      </c>
    </row>
    <row r="16" spans="1:7" x14ac:dyDescent="0.25">
      <c r="A16" s="19" t="s">
        <v>165</v>
      </c>
      <c r="B16" s="19" t="s">
        <v>163</v>
      </c>
      <c r="C16" s="19" t="s">
        <v>126</v>
      </c>
      <c r="D16" s="19">
        <v>220</v>
      </c>
      <c r="E16" s="21">
        <v>119.3</v>
      </c>
      <c r="F16" s="21">
        <v>26246</v>
      </c>
      <c r="G16" s="19" t="s">
        <v>68</v>
      </c>
    </row>
    <row r="17" spans="1:7" x14ac:dyDescent="0.25">
      <c r="A17" s="19" t="s">
        <v>165</v>
      </c>
      <c r="B17" s="19" t="s">
        <v>145</v>
      </c>
      <c r="C17" s="19" t="s">
        <v>126</v>
      </c>
      <c r="D17" s="19">
        <v>131</v>
      </c>
      <c r="E17" s="21">
        <v>188.99</v>
      </c>
      <c r="F17" s="21">
        <v>24757.54</v>
      </c>
      <c r="G17" s="19" t="s">
        <v>96</v>
      </c>
    </row>
    <row r="18" spans="1:7" x14ac:dyDescent="0.25">
      <c r="A18" s="19" t="s">
        <v>171</v>
      </c>
      <c r="B18" s="19" t="s">
        <v>169</v>
      </c>
      <c r="C18" s="19" t="s">
        <v>126</v>
      </c>
      <c r="D18" s="19">
        <v>57</v>
      </c>
      <c r="E18" s="21">
        <v>880</v>
      </c>
      <c r="F18" s="21">
        <v>50160</v>
      </c>
      <c r="G18" s="19" t="s">
        <v>68</v>
      </c>
    </row>
    <row r="19" spans="1:7" x14ac:dyDescent="0.25">
      <c r="A19" s="19" t="s">
        <v>173</v>
      </c>
      <c r="B19" s="19" t="s">
        <v>83</v>
      </c>
      <c r="C19" s="19" t="s">
        <v>174</v>
      </c>
      <c r="D19" s="19">
        <v>60</v>
      </c>
      <c r="E19" s="21">
        <v>1477.02</v>
      </c>
      <c r="F19" s="21">
        <v>88621.5</v>
      </c>
      <c r="G19" s="19" t="s">
        <v>464</v>
      </c>
    </row>
    <row r="20" spans="1:7" x14ac:dyDescent="0.25">
      <c r="A20" s="19" t="s">
        <v>173</v>
      </c>
      <c r="B20" s="19" t="s">
        <v>137</v>
      </c>
      <c r="C20" s="19" t="s">
        <v>174</v>
      </c>
      <c r="D20" s="19">
        <v>25</v>
      </c>
      <c r="E20" s="21">
        <v>3390.5</v>
      </c>
      <c r="F20" s="21">
        <v>84762.5</v>
      </c>
      <c r="G20" s="19" t="s">
        <v>464</v>
      </c>
    </row>
    <row r="21" spans="1:7" x14ac:dyDescent="0.25">
      <c r="A21" s="19" t="s">
        <v>173</v>
      </c>
      <c r="B21" s="19" t="s">
        <v>134</v>
      </c>
      <c r="C21" s="19" t="s">
        <v>174</v>
      </c>
      <c r="D21" s="19">
        <v>20</v>
      </c>
      <c r="E21" s="21">
        <v>4180.1499999999996</v>
      </c>
      <c r="F21" s="21">
        <v>83602.899999999994</v>
      </c>
      <c r="G21" s="19" t="s">
        <v>464</v>
      </c>
    </row>
    <row r="22" spans="1:7" x14ac:dyDescent="0.25">
      <c r="A22" s="19" t="s">
        <v>178</v>
      </c>
      <c r="B22" s="19" t="s">
        <v>163</v>
      </c>
      <c r="C22" s="19" t="s">
        <v>126</v>
      </c>
      <c r="D22" s="19">
        <v>734</v>
      </c>
      <c r="E22" s="21">
        <v>126.7</v>
      </c>
      <c r="F22" s="21">
        <v>92995.86</v>
      </c>
      <c r="G22" s="19" t="s">
        <v>463</v>
      </c>
    </row>
    <row r="23" spans="1:7" x14ac:dyDescent="0.25">
      <c r="A23" s="19" t="s">
        <v>178</v>
      </c>
      <c r="B23" s="19" t="s">
        <v>94</v>
      </c>
      <c r="C23" s="19" t="s">
        <v>126</v>
      </c>
      <c r="D23" s="19">
        <v>163</v>
      </c>
      <c r="E23" s="21">
        <v>612.20000000000005</v>
      </c>
      <c r="F23" s="21">
        <v>99788.6</v>
      </c>
      <c r="G23" s="19" t="s">
        <v>463</v>
      </c>
    </row>
    <row r="24" spans="1:7" x14ac:dyDescent="0.25">
      <c r="A24" s="19" t="s">
        <v>178</v>
      </c>
      <c r="B24" s="19" t="s">
        <v>42</v>
      </c>
      <c r="C24" s="19" t="s">
        <v>126</v>
      </c>
      <c r="D24" s="19">
        <v>129</v>
      </c>
      <c r="E24" s="21">
        <v>775.7</v>
      </c>
      <c r="F24" s="21">
        <v>100065.3</v>
      </c>
      <c r="G24" s="19" t="s">
        <v>463</v>
      </c>
    </row>
    <row r="25" spans="1:7" x14ac:dyDescent="0.25">
      <c r="A25" s="19" t="s">
        <v>178</v>
      </c>
      <c r="B25" s="19" t="s">
        <v>145</v>
      </c>
      <c r="C25" s="19" t="s">
        <v>126</v>
      </c>
      <c r="D25" s="19">
        <v>250</v>
      </c>
      <c r="E25" s="21">
        <v>207</v>
      </c>
      <c r="F25" s="21">
        <v>51750</v>
      </c>
      <c r="G25" s="19" t="s">
        <v>95</v>
      </c>
    </row>
    <row r="26" spans="1:7" x14ac:dyDescent="0.25">
      <c r="A26" s="19" t="s">
        <v>178</v>
      </c>
      <c r="B26" s="19" t="s">
        <v>182</v>
      </c>
      <c r="C26" s="19" t="s">
        <v>126</v>
      </c>
      <c r="D26" s="19">
        <v>188</v>
      </c>
      <c r="E26" s="21">
        <v>531.34</v>
      </c>
      <c r="F26" s="21">
        <v>99892.65</v>
      </c>
      <c r="G26" s="19" t="s">
        <v>463</v>
      </c>
    </row>
    <row r="27" spans="1:7" x14ac:dyDescent="0.25">
      <c r="A27" s="19" t="s">
        <v>178</v>
      </c>
      <c r="B27" s="19" t="s">
        <v>185</v>
      </c>
      <c r="C27" s="19" t="s">
        <v>126</v>
      </c>
      <c r="D27" s="19">
        <v>104</v>
      </c>
      <c r="E27" s="21">
        <v>210.49</v>
      </c>
      <c r="F27" s="21">
        <v>21890.69</v>
      </c>
      <c r="G27" s="19" t="s">
        <v>68</v>
      </c>
    </row>
    <row r="28" spans="1:7" x14ac:dyDescent="0.25">
      <c r="A28" s="19" t="s">
        <v>191</v>
      </c>
      <c r="B28" s="19" t="s">
        <v>169</v>
      </c>
      <c r="C28" s="19" t="s">
        <v>174</v>
      </c>
      <c r="D28" s="19">
        <v>57</v>
      </c>
      <c r="E28" s="21">
        <v>786.85</v>
      </c>
      <c r="F28" s="21">
        <v>44850.6</v>
      </c>
      <c r="G28" s="19" t="s">
        <v>464</v>
      </c>
    </row>
    <row r="29" spans="1:7" x14ac:dyDescent="0.25">
      <c r="A29" s="19" t="s">
        <v>193</v>
      </c>
      <c r="B29" s="19" t="s">
        <v>41</v>
      </c>
      <c r="C29" s="19" t="s">
        <v>126</v>
      </c>
      <c r="D29" s="19">
        <v>13</v>
      </c>
      <c r="E29" s="21">
        <v>7609</v>
      </c>
      <c r="F29" s="21">
        <v>98917</v>
      </c>
      <c r="G29" s="19" t="s">
        <v>62</v>
      </c>
    </row>
    <row r="30" spans="1:7" x14ac:dyDescent="0.25">
      <c r="A30" s="19" t="s">
        <v>195</v>
      </c>
      <c r="B30" s="19" t="s">
        <v>145</v>
      </c>
      <c r="C30" s="19" t="s">
        <v>126</v>
      </c>
      <c r="D30" s="19">
        <v>150</v>
      </c>
      <c r="E30" s="21">
        <v>190.91</v>
      </c>
      <c r="F30" s="21">
        <v>28635.84</v>
      </c>
      <c r="G30" s="19" t="s">
        <v>98</v>
      </c>
    </row>
    <row r="31" spans="1:7" x14ac:dyDescent="0.25">
      <c r="A31" s="19" t="s">
        <v>195</v>
      </c>
      <c r="B31" s="19" t="s">
        <v>163</v>
      </c>
      <c r="C31" s="19" t="s">
        <v>126</v>
      </c>
      <c r="D31" s="19">
        <v>784</v>
      </c>
      <c r="E31" s="21">
        <v>127.5</v>
      </c>
      <c r="F31" s="21">
        <v>99956.44</v>
      </c>
      <c r="G31" s="19" t="s">
        <v>62</v>
      </c>
    </row>
    <row r="32" spans="1:7" x14ac:dyDescent="0.25">
      <c r="A32" s="19" t="s">
        <v>200</v>
      </c>
      <c r="B32" s="19" t="s">
        <v>131</v>
      </c>
      <c r="C32" s="19" t="s">
        <v>126</v>
      </c>
      <c r="D32" s="19">
        <v>110</v>
      </c>
      <c r="E32" s="21">
        <v>914.55</v>
      </c>
      <c r="F32" s="21">
        <v>100600.5</v>
      </c>
      <c r="G32" s="19" t="s">
        <v>62</v>
      </c>
    </row>
    <row r="33" spans="1:7" x14ac:dyDescent="0.25">
      <c r="A33" s="19" t="s">
        <v>200</v>
      </c>
      <c r="B33" s="19" t="s">
        <v>198</v>
      </c>
      <c r="C33" s="19" t="s">
        <v>126</v>
      </c>
      <c r="D33" s="19">
        <v>94</v>
      </c>
      <c r="E33" s="21">
        <v>1064.5999999999999</v>
      </c>
      <c r="F33" s="21">
        <v>100072.4</v>
      </c>
      <c r="G33" s="19" t="s">
        <v>463</v>
      </c>
    </row>
    <row r="34" spans="1:7" x14ac:dyDescent="0.25">
      <c r="A34" s="19" t="s">
        <v>203</v>
      </c>
      <c r="B34" s="19" t="s">
        <v>97</v>
      </c>
      <c r="C34" s="19" t="s">
        <v>174</v>
      </c>
      <c r="D34" s="19">
        <v>33</v>
      </c>
      <c r="E34" s="21">
        <v>757.6</v>
      </c>
      <c r="F34" s="21">
        <v>25000.799999999999</v>
      </c>
      <c r="G34" s="19" t="s">
        <v>464</v>
      </c>
    </row>
    <row r="35" spans="1:7" x14ac:dyDescent="0.25">
      <c r="A35" s="19" t="s">
        <v>203</v>
      </c>
      <c r="B35" s="19" t="s">
        <v>159</v>
      </c>
      <c r="C35" s="19" t="s">
        <v>174</v>
      </c>
      <c r="D35" s="19">
        <v>35</v>
      </c>
      <c r="E35" s="21">
        <v>647.19000000000005</v>
      </c>
      <c r="F35" s="21">
        <v>22651.75</v>
      </c>
      <c r="G35" s="19" t="s">
        <v>464</v>
      </c>
    </row>
    <row r="36" spans="1:7" x14ac:dyDescent="0.25">
      <c r="A36" s="19" t="s">
        <v>206</v>
      </c>
      <c r="B36" s="19" t="s">
        <v>145</v>
      </c>
      <c r="C36" s="19" t="s">
        <v>174</v>
      </c>
      <c r="D36" s="19">
        <v>671</v>
      </c>
      <c r="E36" s="21">
        <v>179.34</v>
      </c>
      <c r="F36" s="21">
        <v>120337.14</v>
      </c>
      <c r="G36" s="19" t="s">
        <v>464</v>
      </c>
    </row>
    <row r="37" spans="1:7" x14ac:dyDescent="0.25">
      <c r="A37" s="19" t="s">
        <v>210</v>
      </c>
      <c r="B37" s="19" t="s">
        <v>208</v>
      </c>
      <c r="C37" s="19" t="s">
        <v>126</v>
      </c>
      <c r="D37" s="19">
        <v>75</v>
      </c>
      <c r="E37" s="21">
        <v>339.2</v>
      </c>
      <c r="F37" s="21">
        <v>25440</v>
      </c>
      <c r="G37" s="19" t="s">
        <v>68</v>
      </c>
    </row>
    <row r="38" spans="1:7" x14ac:dyDescent="0.25">
      <c r="A38" s="19" t="s">
        <v>210</v>
      </c>
      <c r="B38" s="19" t="s">
        <v>163</v>
      </c>
      <c r="C38" s="19" t="s">
        <v>174</v>
      </c>
      <c r="D38" s="19">
        <v>1754</v>
      </c>
      <c r="E38" s="21">
        <v>126.6</v>
      </c>
      <c r="F38" s="21">
        <v>222056.4</v>
      </c>
      <c r="G38" s="19" t="s">
        <v>464</v>
      </c>
    </row>
    <row r="39" spans="1:7" x14ac:dyDescent="0.25">
      <c r="A39" s="19" t="s">
        <v>213</v>
      </c>
      <c r="B39" s="19" t="s">
        <v>94</v>
      </c>
      <c r="C39" s="19" t="s">
        <v>174</v>
      </c>
      <c r="D39" s="19">
        <v>298</v>
      </c>
      <c r="E39" s="21">
        <v>589.95000000000005</v>
      </c>
      <c r="F39" s="21">
        <v>175804.15</v>
      </c>
      <c r="G39" s="19" t="s">
        <v>464</v>
      </c>
    </row>
    <row r="40" spans="1:7" x14ac:dyDescent="0.25">
      <c r="A40" s="19" t="s">
        <v>215</v>
      </c>
      <c r="B40" s="19" t="s">
        <v>99</v>
      </c>
      <c r="C40" s="19" t="s">
        <v>126</v>
      </c>
      <c r="D40" s="19">
        <v>100</v>
      </c>
      <c r="E40" s="21">
        <v>269.68</v>
      </c>
      <c r="F40" s="21">
        <v>26968.49</v>
      </c>
      <c r="G40" s="19" t="s">
        <v>68</v>
      </c>
    </row>
    <row r="41" spans="1:7" x14ac:dyDescent="0.25">
      <c r="A41" s="19" t="s">
        <v>215</v>
      </c>
      <c r="B41" s="19" t="s">
        <v>42</v>
      </c>
      <c r="C41" s="19" t="s">
        <v>126</v>
      </c>
      <c r="D41" s="19">
        <v>119</v>
      </c>
      <c r="E41" s="21">
        <v>841.1</v>
      </c>
      <c r="F41" s="21">
        <v>100090.9</v>
      </c>
      <c r="G41" s="19" t="s">
        <v>62</v>
      </c>
    </row>
    <row r="42" spans="1:7" x14ac:dyDescent="0.25">
      <c r="A42" s="19" t="s">
        <v>215</v>
      </c>
      <c r="B42" s="19" t="s">
        <v>182</v>
      </c>
      <c r="C42" s="19" t="s">
        <v>174</v>
      </c>
      <c r="D42" s="19">
        <v>188</v>
      </c>
      <c r="E42" s="21">
        <v>482.02</v>
      </c>
      <c r="F42" s="21">
        <v>90619.1</v>
      </c>
      <c r="G42" s="19" t="s">
        <v>464</v>
      </c>
    </row>
    <row r="43" spans="1:7" x14ac:dyDescent="0.25">
      <c r="A43" s="19" t="s">
        <v>220</v>
      </c>
      <c r="B43" s="19" t="s">
        <v>99</v>
      </c>
      <c r="C43" s="19" t="s">
        <v>126</v>
      </c>
      <c r="D43" s="19">
        <v>176</v>
      </c>
      <c r="E43" s="21">
        <v>283.89</v>
      </c>
      <c r="F43" s="21">
        <v>49964.04</v>
      </c>
      <c r="G43" s="19" t="s">
        <v>96</v>
      </c>
    </row>
    <row r="44" spans="1:7" x14ac:dyDescent="0.25">
      <c r="A44" s="19" t="s">
        <v>224</v>
      </c>
      <c r="B44" s="19" t="s">
        <v>232</v>
      </c>
      <c r="C44" s="19" t="s">
        <v>126</v>
      </c>
      <c r="D44" s="19">
        <v>120</v>
      </c>
      <c r="E44" s="21">
        <v>167.82</v>
      </c>
      <c r="F44" s="21">
        <v>20138.400000000001</v>
      </c>
      <c r="G44" s="19" t="s">
        <v>68</v>
      </c>
    </row>
    <row r="45" spans="1:7" x14ac:dyDescent="0.25">
      <c r="A45" s="19" t="s">
        <v>224</v>
      </c>
      <c r="B45" s="19" t="s">
        <v>235</v>
      </c>
      <c r="C45" s="19" t="s">
        <v>126</v>
      </c>
      <c r="D45" s="19">
        <v>9</v>
      </c>
      <c r="E45" s="21">
        <v>950.5</v>
      </c>
      <c r="F45" s="21">
        <v>8554.5</v>
      </c>
      <c r="G45" s="19" t="s">
        <v>68</v>
      </c>
    </row>
    <row r="46" spans="1:7" x14ac:dyDescent="0.25">
      <c r="A46" s="19" t="s">
        <v>224</v>
      </c>
      <c r="B46" s="19" t="s">
        <v>222</v>
      </c>
      <c r="C46" s="19" t="s">
        <v>126</v>
      </c>
      <c r="D46" s="19">
        <v>205</v>
      </c>
      <c r="E46" s="21">
        <v>483.35</v>
      </c>
      <c r="F46" s="21">
        <v>99086.75</v>
      </c>
      <c r="G46" s="19" t="s">
        <v>463</v>
      </c>
    </row>
    <row r="47" spans="1:7" x14ac:dyDescent="0.25">
      <c r="A47" s="19" t="s">
        <v>224</v>
      </c>
      <c r="B47" s="19" t="s">
        <v>238</v>
      </c>
      <c r="C47" s="19" t="s">
        <v>126</v>
      </c>
      <c r="D47" s="19">
        <v>260</v>
      </c>
      <c r="E47" s="21">
        <v>292.10000000000002</v>
      </c>
      <c r="F47" s="21">
        <v>75946</v>
      </c>
      <c r="G47" s="19" t="s">
        <v>463</v>
      </c>
    </row>
    <row r="48" spans="1:7" x14ac:dyDescent="0.25">
      <c r="A48" s="19" t="s">
        <v>224</v>
      </c>
      <c r="B48" s="19" t="s">
        <v>43</v>
      </c>
      <c r="C48" s="19" t="s">
        <v>126</v>
      </c>
      <c r="D48" s="19">
        <v>210</v>
      </c>
      <c r="E48" s="21">
        <v>238.41</v>
      </c>
      <c r="F48" s="21">
        <v>50066.1</v>
      </c>
      <c r="G48" s="19" t="s">
        <v>68</v>
      </c>
    </row>
    <row r="49" spans="1:7" x14ac:dyDescent="0.25">
      <c r="A49" s="19" t="s">
        <v>224</v>
      </c>
      <c r="B49" s="19" t="s">
        <v>226</v>
      </c>
      <c r="C49" s="19" t="s">
        <v>126</v>
      </c>
      <c r="D49" s="19">
        <v>42</v>
      </c>
      <c r="E49" s="21">
        <v>955.88</v>
      </c>
      <c r="F49" s="21">
        <v>40147.050000000003</v>
      </c>
      <c r="G49" s="19" t="s">
        <v>68</v>
      </c>
    </row>
    <row r="50" spans="1:7" x14ac:dyDescent="0.25">
      <c r="A50" s="19" t="s">
        <v>224</v>
      </c>
      <c r="B50" s="19" t="s">
        <v>229</v>
      </c>
      <c r="C50" s="19" t="s">
        <v>126</v>
      </c>
      <c r="D50" s="19">
        <v>82</v>
      </c>
      <c r="E50" s="21">
        <v>367.7</v>
      </c>
      <c r="F50" s="21">
        <v>30151.4</v>
      </c>
      <c r="G50" s="19" t="s">
        <v>68</v>
      </c>
    </row>
    <row r="51" spans="1:7" x14ac:dyDescent="0.25">
      <c r="A51" s="19" t="s">
        <v>243</v>
      </c>
      <c r="B51" s="19" t="s">
        <v>208</v>
      </c>
      <c r="C51" s="19" t="s">
        <v>174</v>
      </c>
      <c r="D51" s="19">
        <v>75</v>
      </c>
      <c r="E51" s="21">
        <v>304.75</v>
      </c>
      <c r="F51" s="21">
        <v>22856.25</v>
      </c>
      <c r="G51" s="19" t="s">
        <v>464</v>
      </c>
    </row>
    <row r="52" spans="1:7" x14ac:dyDescent="0.25">
      <c r="A52" s="19" t="s">
        <v>245</v>
      </c>
      <c r="B52" s="19" t="s">
        <v>81</v>
      </c>
      <c r="C52" s="19" t="s">
        <v>174</v>
      </c>
      <c r="D52" s="19">
        <v>168</v>
      </c>
      <c r="E52" s="21">
        <v>482.75</v>
      </c>
      <c r="F52" s="21">
        <v>81102.5</v>
      </c>
      <c r="G52" s="19" t="s">
        <v>464</v>
      </c>
    </row>
    <row r="53" spans="1:7" x14ac:dyDescent="0.25">
      <c r="A53" s="19" t="s">
        <v>245</v>
      </c>
      <c r="B53" s="19" t="s">
        <v>140</v>
      </c>
      <c r="C53" s="19" t="s">
        <v>174</v>
      </c>
      <c r="D53" s="19">
        <v>19</v>
      </c>
      <c r="E53" s="21">
        <v>4056.8</v>
      </c>
      <c r="F53" s="21">
        <v>77079.199999999997</v>
      </c>
      <c r="G53" s="19" t="s">
        <v>464</v>
      </c>
    </row>
    <row r="54" spans="1:7" x14ac:dyDescent="0.25">
      <c r="A54" s="19" t="s">
        <v>248</v>
      </c>
      <c r="B54" s="19" t="s">
        <v>41</v>
      </c>
      <c r="C54" s="19" t="s">
        <v>126</v>
      </c>
      <c r="D54" s="19">
        <v>12</v>
      </c>
      <c r="E54" s="21">
        <v>7775.42</v>
      </c>
      <c r="F54" s="21">
        <v>93305</v>
      </c>
      <c r="G54" s="19" t="s">
        <v>69</v>
      </c>
    </row>
    <row r="55" spans="1:7" x14ac:dyDescent="0.25">
      <c r="A55" s="19" t="s">
        <v>250</v>
      </c>
      <c r="B55" s="19" t="s">
        <v>185</v>
      </c>
      <c r="C55" s="19" t="s">
        <v>126</v>
      </c>
      <c r="D55" s="19">
        <v>100</v>
      </c>
      <c r="E55" s="21">
        <v>268.67</v>
      </c>
      <c r="F55" s="21">
        <v>26867</v>
      </c>
      <c r="G55" s="19" t="s">
        <v>96</v>
      </c>
    </row>
    <row r="56" spans="1:7" x14ac:dyDescent="0.25">
      <c r="A56" s="19" t="s">
        <v>253</v>
      </c>
      <c r="B56" s="19" t="s">
        <v>252</v>
      </c>
      <c r="C56" s="19" t="s">
        <v>126</v>
      </c>
      <c r="D56" s="19">
        <v>36</v>
      </c>
      <c r="E56" s="21">
        <v>1393.8</v>
      </c>
      <c r="F56" s="21">
        <v>50176.800000000003</v>
      </c>
      <c r="G56" s="19" t="s">
        <v>68</v>
      </c>
    </row>
    <row r="57" spans="1:7" x14ac:dyDescent="0.25">
      <c r="A57" s="19" t="s">
        <v>253</v>
      </c>
      <c r="B57" s="19" t="s">
        <v>255</v>
      </c>
      <c r="C57" s="19" t="s">
        <v>126</v>
      </c>
      <c r="D57" s="19">
        <v>11</v>
      </c>
      <c r="E57" s="21">
        <v>4513.75</v>
      </c>
      <c r="F57" s="21">
        <v>49651.199999999997</v>
      </c>
      <c r="G57" s="19" t="s">
        <v>68</v>
      </c>
    </row>
    <row r="58" spans="1:7" x14ac:dyDescent="0.25">
      <c r="A58" s="19" t="s">
        <v>258</v>
      </c>
      <c r="B58" s="19" t="s">
        <v>43</v>
      </c>
      <c r="C58" s="19" t="s">
        <v>126</v>
      </c>
      <c r="D58" s="19">
        <v>204</v>
      </c>
      <c r="E58" s="21">
        <v>246.27</v>
      </c>
      <c r="F58" s="21">
        <v>50240.04</v>
      </c>
      <c r="G58" s="19" t="s">
        <v>96</v>
      </c>
    </row>
    <row r="59" spans="1:7" x14ac:dyDescent="0.25">
      <c r="A59" s="19" t="s">
        <v>258</v>
      </c>
      <c r="B59" s="19" t="s">
        <v>255</v>
      </c>
      <c r="C59" s="19" t="s">
        <v>126</v>
      </c>
      <c r="D59" s="19">
        <v>11</v>
      </c>
      <c r="E59" s="21">
        <v>4712.03</v>
      </c>
      <c r="F59" s="21">
        <v>51832.3</v>
      </c>
      <c r="G59" s="19" t="s">
        <v>96</v>
      </c>
    </row>
    <row r="60" spans="1:7" x14ac:dyDescent="0.25">
      <c r="A60" s="19" t="s">
        <v>261</v>
      </c>
      <c r="B60" s="19" t="s">
        <v>43</v>
      </c>
      <c r="C60" s="19" t="s">
        <v>126</v>
      </c>
      <c r="D60" s="19">
        <v>388</v>
      </c>
      <c r="E60" s="21">
        <v>257.7</v>
      </c>
      <c r="F60" s="21">
        <v>99987.74</v>
      </c>
      <c r="G60" s="19" t="s">
        <v>62</v>
      </c>
    </row>
    <row r="61" spans="1:7" x14ac:dyDescent="0.25">
      <c r="A61" s="19" t="s">
        <v>261</v>
      </c>
      <c r="B61" s="19" t="s">
        <v>263</v>
      </c>
      <c r="C61" s="19" t="s">
        <v>126</v>
      </c>
      <c r="D61" s="19">
        <v>920</v>
      </c>
      <c r="E61" s="21">
        <v>108.48</v>
      </c>
      <c r="F61" s="21">
        <v>99801.600000000006</v>
      </c>
      <c r="G61" s="19" t="s">
        <v>463</v>
      </c>
    </row>
    <row r="62" spans="1:7" x14ac:dyDescent="0.25">
      <c r="A62" s="19" t="s">
        <v>268</v>
      </c>
      <c r="B62" s="19" t="s">
        <v>100</v>
      </c>
      <c r="C62" s="19" t="s">
        <v>126</v>
      </c>
      <c r="D62" s="19">
        <v>18</v>
      </c>
      <c r="E62" s="21">
        <v>2801.6</v>
      </c>
      <c r="F62" s="21">
        <v>50428.800000000003</v>
      </c>
      <c r="G62" s="19" t="s">
        <v>68</v>
      </c>
    </row>
    <row r="63" spans="1:7" x14ac:dyDescent="0.25">
      <c r="A63" s="19" t="s">
        <v>268</v>
      </c>
      <c r="B63" s="19" t="s">
        <v>266</v>
      </c>
      <c r="C63" s="19" t="s">
        <v>126</v>
      </c>
      <c r="D63" s="19">
        <v>117</v>
      </c>
      <c r="E63" s="21">
        <v>426.6</v>
      </c>
      <c r="F63" s="21">
        <v>49912.2</v>
      </c>
      <c r="G63" s="19" t="s">
        <v>68</v>
      </c>
    </row>
    <row r="64" spans="1:7" x14ac:dyDescent="0.25">
      <c r="A64" s="19" t="s">
        <v>274</v>
      </c>
      <c r="B64" s="19" t="s">
        <v>272</v>
      </c>
      <c r="C64" s="19" t="s">
        <v>126</v>
      </c>
      <c r="D64" s="19">
        <v>103</v>
      </c>
      <c r="E64" s="21">
        <v>485.05</v>
      </c>
      <c r="F64" s="21">
        <v>49960.15</v>
      </c>
      <c r="G64" s="19" t="s">
        <v>68</v>
      </c>
    </row>
    <row r="65" spans="1:7" x14ac:dyDescent="0.25">
      <c r="A65" s="19" t="s">
        <v>274</v>
      </c>
      <c r="B65" s="19" t="s">
        <v>266</v>
      </c>
      <c r="C65" s="19" t="s">
        <v>126</v>
      </c>
      <c r="D65" s="19">
        <v>111</v>
      </c>
      <c r="E65" s="21">
        <v>450.45</v>
      </c>
      <c r="F65" s="21">
        <v>49999.95</v>
      </c>
      <c r="G65" s="19" t="s">
        <v>96</v>
      </c>
    </row>
    <row r="66" spans="1:7" x14ac:dyDescent="0.25">
      <c r="A66" s="19" t="s">
        <v>279</v>
      </c>
      <c r="B66" s="19" t="s">
        <v>277</v>
      </c>
      <c r="C66" s="19" t="s">
        <v>126</v>
      </c>
      <c r="D66" s="19">
        <v>19</v>
      </c>
      <c r="E66" s="21">
        <v>1314.6</v>
      </c>
      <c r="F66" s="21">
        <v>24977.4</v>
      </c>
      <c r="G66" s="19" t="s">
        <v>68</v>
      </c>
    </row>
    <row r="67" spans="1:7" x14ac:dyDescent="0.25">
      <c r="A67" s="19" t="s">
        <v>281</v>
      </c>
      <c r="B67" s="19" t="s">
        <v>185</v>
      </c>
      <c r="C67" s="19" t="s">
        <v>174</v>
      </c>
      <c r="D67" s="19">
        <v>220</v>
      </c>
      <c r="E67" s="21">
        <v>245.9</v>
      </c>
      <c r="F67" s="21">
        <v>54098</v>
      </c>
      <c r="G67" s="19" t="s">
        <v>464</v>
      </c>
    </row>
    <row r="68" spans="1:7" x14ac:dyDescent="0.25">
      <c r="A68" s="19" t="s">
        <v>283</v>
      </c>
      <c r="B68" s="19" t="s">
        <v>101</v>
      </c>
      <c r="C68" s="19" t="s">
        <v>126</v>
      </c>
      <c r="D68" s="19">
        <v>182</v>
      </c>
      <c r="E68" s="21">
        <v>137.25</v>
      </c>
      <c r="F68" s="21">
        <v>24979.5</v>
      </c>
      <c r="G68" s="19" t="s">
        <v>68</v>
      </c>
    </row>
    <row r="69" spans="1:7" x14ac:dyDescent="0.25">
      <c r="A69" s="19" t="s">
        <v>283</v>
      </c>
      <c r="B69" s="19" t="s">
        <v>42</v>
      </c>
      <c r="C69" s="19" t="s">
        <v>126</v>
      </c>
      <c r="D69" s="19">
        <v>108</v>
      </c>
      <c r="E69" s="21">
        <v>926.51</v>
      </c>
      <c r="F69" s="21">
        <v>100063.1</v>
      </c>
      <c r="G69" s="19" t="s">
        <v>69</v>
      </c>
    </row>
    <row r="70" spans="1:7" x14ac:dyDescent="0.25">
      <c r="A70" s="19" t="s">
        <v>283</v>
      </c>
      <c r="B70" s="19" t="s">
        <v>285</v>
      </c>
      <c r="C70" s="19" t="s">
        <v>126</v>
      </c>
      <c r="D70" s="19">
        <v>300</v>
      </c>
      <c r="E70" s="21">
        <v>84.49</v>
      </c>
      <c r="F70" s="21">
        <v>25347</v>
      </c>
      <c r="G70" s="19" t="s">
        <v>68</v>
      </c>
    </row>
    <row r="71" spans="1:7" x14ac:dyDescent="0.25">
      <c r="A71" s="19" t="s">
        <v>291</v>
      </c>
      <c r="B71" s="19" t="s">
        <v>44</v>
      </c>
      <c r="C71" s="19" t="s">
        <v>174</v>
      </c>
      <c r="D71" s="19">
        <v>665</v>
      </c>
      <c r="E71" s="21">
        <v>72.98</v>
      </c>
      <c r="F71" s="21">
        <v>48531.7</v>
      </c>
      <c r="G71" s="19" t="s">
        <v>464</v>
      </c>
    </row>
    <row r="72" spans="1:7" x14ac:dyDescent="0.25">
      <c r="A72" s="19" t="s">
        <v>291</v>
      </c>
      <c r="B72" s="19" t="s">
        <v>44</v>
      </c>
      <c r="C72" s="19" t="s">
        <v>126</v>
      </c>
      <c r="D72" s="19">
        <v>665</v>
      </c>
      <c r="E72" s="21">
        <v>75.5</v>
      </c>
      <c r="F72" s="21">
        <v>50207.5</v>
      </c>
      <c r="G72" s="19" t="s">
        <v>68</v>
      </c>
    </row>
    <row r="73" spans="1:7" x14ac:dyDescent="0.25">
      <c r="A73" s="19" t="s">
        <v>291</v>
      </c>
      <c r="B73" s="19" t="s">
        <v>226</v>
      </c>
      <c r="C73" s="19" t="s">
        <v>174</v>
      </c>
      <c r="D73" s="19">
        <v>52</v>
      </c>
      <c r="E73" s="21">
        <v>814.95</v>
      </c>
      <c r="F73" s="21">
        <v>42377.3</v>
      </c>
      <c r="G73" s="19" t="s">
        <v>464</v>
      </c>
    </row>
    <row r="74" spans="1:7" x14ac:dyDescent="0.25">
      <c r="A74" s="19" t="s">
        <v>291</v>
      </c>
      <c r="B74" s="19" t="s">
        <v>94</v>
      </c>
      <c r="C74" s="19" t="s">
        <v>126</v>
      </c>
      <c r="D74" s="19">
        <v>41</v>
      </c>
      <c r="E74" s="21">
        <v>612</v>
      </c>
      <c r="F74" s="21">
        <v>25092</v>
      </c>
      <c r="G74" s="19" t="s">
        <v>95</v>
      </c>
    </row>
    <row r="75" spans="1:7" x14ac:dyDescent="0.25">
      <c r="A75" s="19" t="s">
        <v>291</v>
      </c>
      <c r="B75" s="19" t="s">
        <v>163</v>
      </c>
      <c r="C75" s="19" t="s">
        <v>126</v>
      </c>
      <c r="D75" s="19">
        <v>324</v>
      </c>
      <c r="E75" s="21">
        <v>154.59</v>
      </c>
      <c r="F75" s="21">
        <v>50087.6</v>
      </c>
      <c r="G75" s="19" t="s">
        <v>96</v>
      </c>
    </row>
    <row r="76" spans="1:7" x14ac:dyDescent="0.25">
      <c r="A76" s="19" t="s">
        <v>291</v>
      </c>
      <c r="B76" s="19" t="s">
        <v>297</v>
      </c>
      <c r="C76" s="19" t="s">
        <v>126</v>
      </c>
      <c r="D76" s="19">
        <v>4</v>
      </c>
      <c r="E76" s="21">
        <v>2936.3</v>
      </c>
      <c r="F76" s="21">
        <v>11745.2</v>
      </c>
      <c r="G76" s="19" t="s">
        <v>68</v>
      </c>
    </row>
    <row r="77" spans="1:7" x14ac:dyDescent="0.25">
      <c r="A77" s="19" t="s">
        <v>300</v>
      </c>
      <c r="B77" s="19" t="s">
        <v>44</v>
      </c>
      <c r="C77" s="19" t="s">
        <v>126</v>
      </c>
      <c r="D77" s="19">
        <v>500</v>
      </c>
      <c r="E77" s="21">
        <v>84.92</v>
      </c>
      <c r="F77" s="21">
        <v>42460</v>
      </c>
      <c r="G77" s="19" t="s">
        <v>96</v>
      </c>
    </row>
    <row r="78" spans="1:7" x14ac:dyDescent="0.25">
      <c r="A78" s="19" t="s">
        <v>302</v>
      </c>
      <c r="B78" s="19" t="s">
        <v>44</v>
      </c>
      <c r="C78" s="19" t="s">
        <v>126</v>
      </c>
      <c r="D78" s="19">
        <v>525</v>
      </c>
      <c r="E78" s="21">
        <v>96.34</v>
      </c>
      <c r="F78" s="21">
        <v>50578.5</v>
      </c>
      <c r="G78" s="19" t="s">
        <v>95</v>
      </c>
    </row>
    <row r="79" spans="1:7" x14ac:dyDescent="0.25">
      <c r="A79" s="19" t="s">
        <v>302</v>
      </c>
      <c r="B79" s="19" t="s">
        <v>43</v>
      </c>
      <c r="C79" s="19" t="s">
        <v>126</v>
      </c>
      <c r="D79" s="19">
        <v>370</v>
      </c>
      <c r="E79" s="21">
        <v>270.25</v>
      </c>
      <c r="F79" s="21">
        <v>99991.4</v>
      </c>
      <c r="G79" s="19" t="s">
        <v>69</v>
      </c>
    </row>
    <row r="80" spans="1:7" x14ac:dyDescent="0.25">
      <c r="A80" s="19" t="s">
        <v>302</v>
      </c>
      <c r="B80" s="19" t="s">
        <v>101</v>
      </c>
      <c r="C80" s="19" t="s">
        <v>126</v>
      </c>
      <c r="D80" s="19">
        <v>180</v>
      </c>
      <c r="E80" s="21">
        <v>140.28</v>
      </c>
      <c r="F80" s="21">
        <v>25249.79</v>
      </c>
      <c r="G80" s="19" t="s">
        <v>96</v>
      </c>
    </row>
    <row r="81" spans="1:7" x14ac:dyDescent="0.25">
      <c r="A81" s="19" t="s">
        <v>302</v>
      </c>
      <c r="B81" s="19" t="s">
        <v>316</v>
      </c>
      <c r="C81" s="19" t="s">
        <v>126</v>
      </c>
      <c r="D81" s="19">
        <v>20</v>
      </c>
      <c r="E81" s="21">
        <v>66.849999999999994</v>
      </c>
      <c r="F81" s="21">
        <v>1337</v>
      </c>
      <c r="G81" s="19" t="s">
        <v>68</v>
      </c>
    </row>
    <row r="82" spans="1:7" x14ac:dyDescent="0.25">
      <c r="A82" s="19" t="s">
        <v>302</v>
      </c>
      <c r="B82" s="19" t="s">
        <v>307</v>
      </c>
      <c r="C82" s="19" t="s">
        <v>126</v>
      </c>
      <c r="D82" s="19">
        <v>600</v>
      </c>
      <c r="E82" s="21">
        <v>44.47</v>
      </c>
      <c r="F82" s="21">
        <v>26682</v>
      </c>
      <c r="G82" s="19" t="s">
        <v>68</v>
      </c>
    </row>
    <row r="83" spans="1:7" x14ac:dyDescent="0.25">
      <c r="A83" s="19" t="s">
        <v>302</v>
      </c>
      <c r="B83" s="19" t="s">
        <v>255</v>
      </c>
      <c r="C83" s="19" t="s">
        <v>174</v>
      </c>
      <c r="D83" s="19">
        <v>22</v>
      </c>
      <c r="E83" s="21">
        <v>4030.42</v>
      </c>
      <c r="F83" s="21">
        <v>88669.2</v>
      </c>
      <c r="G83" s="19" t="s">
        <v>464</v>
      </c>
    </row>
    <row r="84" spans="1:7" x14ac:dyDescent="0.25">
      <c r="A84" s="19" t="s">
        <v>302</v>
      </c>
      <c r="B84" s="19" t="s">
        <v>313</v>
      </c>
      <c r="C84" s="19" t="s">
        <v>126</v>
      </c>
      <c r="D84" s="19">
        <v>160</v>
      </c>
      <c r="E84" s="21">
        <v>157.27000000000001</v>
      </c>
      <c r="F84" s="21">
        <v>25162.48</v>
      </c>
      <c r="G84" s="19" t="s">
        <v>68</v>
      </c>
    </row>
    <row r="85" spans="1:7" x14ac:dyDescent="0.25">
      <c r="A85" s="19" t="s">
        <v>302</v>
      </c>
      <c r="B85" s="19" t="s">
        <v>235</v>
      </c>
      <c r="C85" s="19" t="s">
        <v>126</v>
      </c>
      <c r="D85" s="19">
        <v>24</v>
      </c>
      <c r="E85" s="21">
        <v>1043.0999999999999</v>
      </c>
      <c r="F85" s="21">
        <v>25034.400000000001</v>
      </c>
      <c r="G85" s="19" t="s">
        <v>96</v>
      </c>
    </row>
    <row r="86" spans="1:7" x14ac:dyDescent="0.25">
      <c r="A86" s="19" t="s">
        <v>302</v>
      </c>
      <c r="B86" s="19" t="s">
        <v>310</v>
      </c>
      <c r="C86" s="19" t="s">
        <v>126</v>
      </c>
      <c r="D86" s="19">
        <v>10</v>
      </c>
      <c r="E86" s="21">
        <v>131.88999999999999</v>
      </c>
      <c r="F86" s="21">
        <v>1318.9</v>
      </c>
      <c r="G86" s="19" t="s">
        <v>68</v>
      </c>
    </row>
    <row r="87" spans="1:7" x14ac:dyDescent="0.25">
      <c r="A87" s="19" t="s">
        <v>322</v>
      </c>
      <c r="B87" s="19" t="s">
        <v>316</v>
      </c>
      <c r="C87" s="19" t="s">
        <v>126</v>
      </c>
      <c r="D87" s="19">
        <v>360</v>
      </c>
      <c r="E87" s="21">
        <v>66.84</v>
      </c>
      <c r="F87" s="21">
        <v>24062.69</v>
      </c>
      <c r="G87" s="19" t="s">
        <v>96</v>
      </c>
    </row>
    <row r="88" spans="1:7" x14ac:dyDescent="0.25">
      <c r="A88" s="19" t="s">
        <v>322</v>
      </c>
      <c r="B88" s="19" t="s">
        <v>310</v>
      </c>
      <c r="C88" s="19" t="s">
        <v>126</v>
      </c>
      <c r="D88" s="19">
        <v>190</v>
      </c>
      <c r="E88" s="21">
        <v>127.48</v>
      </c>
      <c r="F88" s="21">
        <v>24221.200000000001</v>
      </c>
      <c r="G88" s="19" t="s">
        <v>96</v>
      </c>
    </row>
    <row r="89" spans="1:7" x14ac:dyDescent="0.25">
      <c r="A89" s="19" t="s">
        <v>322</v>
      </c>
      <c r="B89" s="19" t="s">
        <v>277</v>
      </c>
      <c r="C89" s="19" t="s">
        <v>174</v>
      </c>
      <c r="D89" s="19">
        <v>19</v>
      </c>
      <c r="E89" s="21">
        <v>1130.3</v>
      </c>
      <c r="F89" s="21">
        <v>21475.7</v>
      </c>
      <c r="G89" s="19" t="s">
        <v>464</v>
      </c>
    </row>
    <row r="90" spans="1:7" x14ac:dyDescent="0.25">
      <c r="A90" s="19" t="s">
        <v>326</v>
      </c>
      <c r="B90" s="19" t="s">
        <v>266</v>
      </c>
      <c r="C90" s="19" t="s">
        <v>174</v>
      </c>
      <c r="D90" s="19">
        <v>228</v>
      </c>
      <c r="E90" s="21">
        <v>395.42</v>
      </c>
      <c r="F90" s="21">
        <v>90155.4</v>
      </c>
      <c r="G90" s="19" t="s">
        <v>464</v>
      </c>
    </row>
    <row r="91" spans="1:7" x14ac:dyDescent="0.25">
      <c r="A91" s="19" t="s">
        <v>326</v>
      </c>
      <c r="B91" s="19" t="s">
        <v>263</v>
      </c>
      <c r="C91" s="19" t="s">
        <v>174</v>
      </c>
      <c r="D91" s="19">
        <v>920</v>
      </c>
      <c r="E91" s="21">
        <v>89.75</v>
      </c>
      <c r="F91" s="21">
        <v>82570</v>
      </c>
      <c r="G91" s="19" t="s">
        <v>464</v>
      </c>
    </row>
    <row r="92" spans="1:7" x14ac:dyDescent="0.25">
      <c r="A92" s="19" t="s">
        <v>329</v>
      </c>
      <c r="B92" s="19" t="s">
        <v>235</v>
      </c>
      <c r="C92" s="19" t="s">
        <v>126</v>
      </c>
      <c r="D92" s="19">
        <v>93</v>
      </c>
      <c r="E92" s="21">
        <v>1078</v>
      </c>
      <c r="F92" s="21">
        <v>100254</v>
      </c>
      <c r="G92" s="19" t="s">
        <v>463</v>
      </c>
    </row>
    <row r="93" spans="1:7" x14ac:dyDescent="0.25">
      <c r="A93" s="19" t="s">
        <v>329</v>
      </c>
      <c r="B93" s="19" t="s">
        <v>335</v>
      </c>
      <c r="C93" s="19" t="s">
        <v>126</v>
      </c>
      <c r="D93" s="19">
        <v>10</v>
      </c>
      <c r="E93" s="21">
        <v>1282.3599999999999</v>
      </c>
      <c r="F93" s="21">
        <v>12823.6</v>
      </c>
      <c r="G93" s="19" t="s">
        <v>68</v>
      </c>
    </row>
    <row r="94" spans="1:7" x14ac:dyDescent="0.25">
      <c r="A94" s="19" t="s">
        <v>329</v>
      </c>
      <c r="B94" s="19" t="s">
        <v>332</v>
      </c>
      <c r="C94" s="19" t="s">
        <v>126</v>
      </c>
      <c r="D94" s="19">
        <v>168</v>
      </c>
      <c r="E94" s="21">
        <v>449.35</v>
      </c>
      <c r="F94" s="21">
        <v>75490.05</v>
      </c>
      <c r="G94" s="19" t="s">
        <v>463</v>
      </c>
    </row>
    <row r="95" spans="1:7" x14ac:dyDescent="0.25">
      <c r="A95" s="19" t="s">
        <v>329</v>
      </c>
      <c r="B95" s="19" t="s">
        <v>307</v>
      </c>
      <c r="C95" s="19" t="s">
        <v>174</v>
      </c>
      <c r="D95" s="19">
        <v>600</v>
      </c>
      <c r="E95" s="21">
        <v>37.549999999999997</v>
      </c>
      <c r="F95" s="21">
        <v>22532.01</v>
      </c>
      <c r="G95" s="19" t="s">
        <v>464</v>
      </c>
    </row>
    <row r="96" spans="1:7" x14ac:dyDescent="0.25">
      <c r="A96" s="19" t="s">
        <v>329</v>
      </c>
      <c r="B96" s="19" t="s">
        <v>42</v>
      </c>
      <c r="C96" s="19" t="s">
        <v>174</v>
      </c>
      <c r="D96" s="19">
        <v>103</v>
      </c>
      <c r="E96" s="21">
        <v>968.1</v>
      </c>
      <c r="F96" s="21">
        <v>99714.35</v>
      </c>
      <c r="G96" s="19" t="s">
        <v>464</v>
      </c>
    </row>
    <row r="97" spans="1:7" x14ac:dyDescent="0.25">
      <c r="A97" s="19" t="s">
        <v>340</v>
      </c>
      <c r="B97" s="19" t="s">
        <v>252</v>
      </c>
      <c r="C97" s="19" t="s">
        <v>174</v>
      </c>
      <c r="D97" s="19">
        <v>36</v>
      </c>
      <c r="E97" s="21">
        <v>1416.6</v>
      </c>
      <c r="F97" s="21">
        <v>50997.599999999999</v>
      </c>
      <c r="G97" s="19" t="s">
        <v>464</v>
      </c>
    </row>
    <row r="98" spans="1:7" x14ac:dyDescent="0.25">
      <c r="A98" s="19" t="s">
        <v>340</v>
      </c>
      <c r="B98" s="19" t="s">
        <v>310</v>
      </c>
      <c r="C98" s="19" t="s">
        <v>174</v>
      </c>
      <c r="D98" s="19">
        <v>200</v>
      </c>
      <c r="E98" s="21">
        <v>119.56</v>
      </c>
      <c r="F98" s="21">
        <v>23912</v>
      </c>
      <c r="G98" s="19" t="s">
        <v>464</v>
      </c>
    </row>
    <row r="99" spans="1:7" x14ac:dyDescent="0.25">
      <c r="A99" s="19" t="s">
        <v>340</v>
      </c>
      <c r="B99" s="19" t="s">
        <v>238</v>
      </c>
      <c r="C99" s="19" t="s">
        <v>174</v>
      </c>
      <c r="D99" s="19">
        <v>260</v>
      </c>
      <c r="E99" s="21">
        <v>271.56</v>
      </c>
      <c r="F99" s="21">
        <v>70604.55</v>
      </c>
      <c r="G99" s="19" t="s">
        <v>464</v>
      </c>
    </row>
    <row r="100" spans="1:7" x14ac:dyDescent="0.25">
      <c r="A100" s="19" t="s">
        <v>340</v>
      </c>
      <c r="B100" s="19" t="s">
        <v>198</v>
      </c>
      <c r="C100" s="19" t="s">
        <v>174</v>
      </c>
      <c r="D100" s="19">
        <v>94</v>
      </c>
      <c r="E100" s="21">
        <v>898.15</v>
      </c>
      <c r="F100" s="21">
        <v>84426.1</v>
      </c>
      <c r="G100" s="19" t="s">
        <v>464</v>
      </c>
    </row>
    <row r="101" spans="1:7" x14ac:dyDescent="0.25">
      <c r="A101" s="19" t="s">
        <v>340</v>
      </c>
      <c r="B101" s="19" t="s">
        <v>163</v>
      </c>
      <c r="C101" s="19" t="s">
        <v>174</v>
      </c>
      <c r="D101" s="19">
        <v>324</v>
      </c>
      <c r="E101" s="21">
        <v>140.33000000000001</v>
      </c>
      <c r="F101" s="21">
        <v>45468</v>
      </c>
      <c r="G101" s="19" t="s">
        <v>464</v>
      </c>
    </row>
    <row r="102" spans="1:7" x14ac:dyDescent="0.25">
      <c r="A102" s="19" t="s">
        <v>340</v>
      </c>
      <c r="B102" s="19" t="s">
        <v>128</v>
      </c>
      <c r="C102" s="19" t="s">
        <v>174</v>
      </c>
      <c r="D102" s="19">
        <v>64</v>
      </c>
      <c r="E102" s="21">
        <v>1299.4000000000001</v>
      </c>
      <c r="F102" s="21">
        <v>83161.600000000006</v>
      </c>
      <c r="G102" s="19" t="s">
        <v>464</v>
      </c>
    </row>
    <row r="103" spans="1:7" x14ac:dyDescent="0.25">
      <c r="A103" s="19" t="s">
        <v>348</v>
      </c>
      <c r="B103" s="19" t="s">
        <v>313</v>
      </c>
      <c r="C103" s="19" t="s">
        <v>126</v>
      </c>
      <c r="D103" s="19">
        <v>305</v>
      </c>
      <c r="E103" s="21">
        <v>163.99</v>
      </c>
      <c r="F103" s="21">
        <v>50016.95</v>
      </c>
      <c r="G103" s="19" t="s">
        <v>96</v>
      </c>
    </row>
    <row r="104" spans="1:7" x14ac:dyDescent="0.25">
      <c r="A104" s="19" t="s">
        <v>351</v>
      </c>
      <c r="B104" s="19" t="s">
        <v>53</v>
      </c>
      <c r="C104" s="19" t="s">
        <v>126</v>
      </c>
      <c r="D104" s="19">
        <v>45</v>
      </c>
      <c r="E104" s="21">
        <v>2237.6</v>
      </c>
      <c r="F104" s="21">
        <v>100692</v>
      </c>
      <c r="G104" s="19" t="s">
        <v>463</v>
      </c>
    </row>
    <row r="105" spans="1:7" x14ac:dyDescent="0.25">
      <c r="A105" s="19" t="s">
        <v>354</v>
      </c>
      <c r="B105" s="19" t="s">
        <v>97</v>
      </c>
      <c r="C105" s="19" t="s">
        <v>126</v>
      </c>
      <c r="D105" s="19">
        <v>10</v>
      </c>
      <c r="E105" s="21">
        <v>684</v>
      </c>
      <c r="F105" s="21">
        <v>6840</v>
      </c>
      <c r="G105" s="19" t="s">
        <v>96</v>
      </c>
    </row>
    <row r="106" spans="1:7" x14ac:dyDescent="0.25">
      <c r="A106" s="19" t="s">
        <v>354</v>
      </c>
      <c r="B106" s="19" t="s">
        <v>357</v>
      </c>
      <c r="C106" s="19" t="s">
        <v>126</v>
      </c>
      <c r="D106" s="19">
        <v>10</v>
      </c>
      <c r="E106" s="21">
        <v>483.55</v>
      </c>
      <c r="F106" s="21">
        <v>4835.5</v>
      </c>
      <c r="G106" s="19" t="s">
        <v>68</v>
      </c>
    </row>
    <row r="107" spans="1:7" x14ac:dyDescent="0.25">
      <c r="A107" s="19" t="s">
        <v>354</v>
      </c>
      <c r="B107" s="19" t="s">
        <v>335</v>
      </c>
      <c r="C107" s="19" t="s">
        <v>126</v>
      </c>
      <c r="D107" s="19">
        <v>10</v>
      </c>
      <c r="E107" s="21">
        <v>1368</v>
      </c>
      <c r="F107" s="21">
        <v>13680</v>
      </c>
      <c r="G107" s="19" t="s">
        <v>96</v>
      </c>
    </row>
    <row r="108" spans="1:7" x14ac:dyDescent="0.25">
      <c r="A108" s="19" t="s">
        <v>354</v>
      </c>
      <c r="B108" s="19" t="s">
        <v>38</v>
      </c>
      <c r="C108" s="19" t="s">
        <v>126</v>
      </c>
      <c r="D108" s="19">
        <v>10</v>
      </c>
      <c r="E108" s="21">
        <v>853.85</v>
      </c>
      <c r="F108" s="21">
        <v>8538.5</v>
      </c>
      <c r="G108" s="19" t="s">
        <v>68</v>
      </c>
    </row>
    <row r="109" spans="1:7" x14ac:dyDescent="0.25">
      <c r="A109" s="19" t="s">
        <v>361</v>
      </c>
      <c r="B109" s="19" t="s">
        <v>335</v>
      </c>
      <c r="C109" s="19" t="s">
        <v>126</v>
      </c>
      <c r="D109" s="19">
        <v>14</v>
      </c>
      <c r="E109" s="21">
        <v>1380.66</v>
      </c>
      <c r="F109" s="21">
        <v>19329.3</v>
      </c>
      <c r="G109" s="19" t="s">
        <v>95</v>
      </c>
    </row>
    <row r="110" spans="1:7" x14ac:dyDescent="0.25">
      <c r="A110" s="19" t="s">
        <v>363</v>
      </c>
      <c r="B110" s="19" t="s">
        <v>367</v>
      </c>
      <c r="C110" s="19" t="s">
        <v>126</v>
      </c>
      <c r="D110" s="19">
        <v>80</v>
      </c>
      <c r="E110" s="21">
        <v>314.7</v>
      </c>
      <c r="F110" s="21">
        <v>25175.98</v>
      </c>
      <c r="G110" s="19" t="s">
        <v>68</v>
      </c>
    </row>
    <row r="111" spans="1:7" x14ac:dyDescent="0.25">
      <c r="A111" s="19" t="s">
        <v>363</v>
      </c>
      <c r="B111" s="19" t="s">
        <v>97</v>
      </c>
      <c r="C111" s="19" t="s">
        <v>126</v>
      </c>
      <c r="D111" s="19">
        <v>27</v>
      </c>
      <c r="E111" s="21">
        <v>714.9</v>
      </c>
      <c r="F111" s="21">
        <v>19302.3</v>
      </c>
      <c r="G111" s="19" t="s">
        <v>95</v>
      </c>
    </row>
    <row r="112" spans="1:7" x14ac:dyDescent="0.25">
      <c r="A112" s="19" t="s">
        <v>363</v>
      </c>
      <c r="B112" s="19" t="s">
        <v>235</v>
      </c>
      <c r="C112" s="19" t="s">
        <v>126</v>
      </c>
      <c r="D112" s="19">
        <v>82</v>
      </c>
      <c r="E112" s="21">
        <v>1213.74</v>
      </c>
      <c r="F112" s="21">
        <v>99527</v>
      </c>
      <c r="G112" s="19" t="s">
        <v>62</v>
      </c>
    </row>
    <row r="113" spans="1:7" x14ac:dyDescent="0.25">
      <c r="A113" s="19" t="s">
        <v>363</v>
      </c>
      <c r="B113" s="19" t="s">
        <v>272</v>
      </c>
      <c r="C113" s="19" t="s">
        <v>126</v>
      </c>
      <c r="D113" s="19">
        <v>93</v>
      </c>
      <c r="E113" s="21">
        <v>538.91999999999996</v>
      </c>
      <c r="F113" s="21">
        <v>50119.35</v>
      </c>
      <c r="G113" s="19" t="s">
        <v>96</v>
      </c>
    </row>
    <row r="114" spans="1:7" x14ac:dyDescent="0.25">
      <c r="A114" s="19" t="s">
        <v>370</v>
      </c>
      <c r="B114" s="19" t="s">
        <v>357</v>
      </c>
      <c r="C114" s="19" t="s">
        <v>174</v>
      </c>
      <c r="D114" s="19">
        <v>10</v>
      </c>
      <c r="E114" s="21">
        <v>419.3</v>
      </c>
      <c r="F114" s="21">
        <v>4193</v>
      </c>
      <c r="G114" s="19" t="s">
        <v>464</v>
      </c>
    </row>
    <row r="115" spans="1:7" x14ac:dyDescent="0.25">
      <c r="A115" s="19" t="s">
        <v>370</v>
      </c>
      <c r="B115" s="19" t="s">
        <v>316</v>
      </c>
      <c r="C115" s="19" t="s">
        <v>126</v>
      </c>
      <c r="D115" s="19">
        <v>340</v>
      </c>
      <c r="E115" s="21">
        <v>75</v>
      </c>
      <c r="F115" s="21">
        <v>25500</v>
      </c>
      <c r="G115" s="19" t="s">
        <v>95</v>
      </c>
    </row>
    <row r="116" spans="1:7" x14ac:dyDescent="0.25">
      <c r="A116" s="19" t="s">
        <v>370</v>
      </c>
      <c r="B116" s="19" t="s">
        <v>38</v>
      </c>
      <c r="C116" s="19" t="s">
        <v>126</v>
      </c>
      <c r="D116" s="19">
        <v>45</v>
      </c>
      <c r="E116" s="21">
        <v>908</v>
      </c>
      <c r="F116" s="21">
        <v>40860</v>
      </c>
      <c r="G116" s="19" t="s">
        <v>96</v>
      </c>
    </row>
    <row r="117" spans="1:7" x14ac:dyDescent="0.25">
      <c r="A117" s="19" t="s">
        <v>370</v>
      </c>
      <c r="B117" s="19" t="s">
        <v>232</v>
      </c>
      <c r="C117" s="19" t="s">
        <v>126</v>
      </c>
      <c r="D117" s="19">
        <v>266</v>
      </c>
      <c r="E117" s="21">
        <v>188.15</v>
      </c>
      <c r="F117" s="21">
        <v>50047.9</v>
      </c>
      <c r="G117" s="19" t="s">
        <v>96</v>
      </c>
    </row>
    <row r="118" spans="1:7" x14ac:dyDescent="0.25">
      <c r="A118" s="19" t="s">
        <v>375</v>
      </c>
      <c r="B118" s="19" t="s">
        <v>272</v>
      </c>
      <c r="C118" s="19" t="s">
        <v>174</v>
      </c>
      <c r="D118" s="19">
        <v>196</v>
      </c>
      <c r="E118" s="21">
        <v>420.4</v>
      </c>
      <c r="F118" s="21">
        <v>82398.399999999994</v>
      </c>
      <c r="G118" s="19" t="s">
        <v>464</v>
      </c>
    </row>
    <row r="119" spans="1:7" x14ac:dyDescent="0.25">
      <c r="A119" s="19" t="s">
        <v>377</v>
      </c>
      <c r="B119" s="19" t="s">
        <v>379</v>
      </c>
      <c r="C119" s="19" t="s">
        <v>126</v>
      </c>
      <c r="D119" s="19">
        <v>121</v>
      </c>
      <c r="E119" s="21">
        <v>206.6</v>
      </c>
      <c r="F119" s="21">
        <v>24998.6</v>
      </c>
      <c r="G119" s="19" t="s">
        <v>68</v>
      </c>
    </row>
    <row r="120" spans="1:7" x14ac:dyDescent="0.25">
      <c r="A120" s="19" t="s">
        <v>377</v>
      </c>
      <c r="B120" s="19" t="s">
        <v>332</v>
      </c>
      <c r="C120" s="19" t="s">
        <v>126</v>
      </c>
      <c r="D120" s="19">
        <v>54</v>
      </c>
      <c r="E120" s="21">
        <v>468.3</v>
      </c>
      <c r="F120" s="21">
        <v>25288.2</v>
      </c>
      <c r="G120" s="19" t="s">
        <v>68</v>
      </c>
    </row>
    <row r="121" spans="1:7" x14ac:dyDescent="0.25">
      <c r="A121" s="19" t="s">
        <v>382</v>
      </c>
      <c r="B121" s="19" t="s">
        <v>38</v>
      </c>
      <c r="C121" s="19" t="s">
        <v>126</v>
      </c>
      <c r="D121" s="19">
        <v>118</v>
      </c>
      <c r="E121" s="21">
        <v>846.96</v>
      </c>
      <c r="F121" s="21">
        <v>99941</v>
      </c>
      <c r="G121" s="19" t="s">
        <v>463</v>
      </c>
    </row>
    <row r="122" spans="1:7" x14ac:dyDescent="0.25">
      <c r="A122" s="19" t="s">
        <v>382</v>
      </c>
      <c r="B122" s="19" t="s">
        <v>390</v>
      </c>
      <c r="C122" s="19" t="s">
        <v>126</v>
      </c>
      <c r="D122" s="19">
        <v>13</v>
      </c>
      <c r="E122" s="21">
        <v>3775.7</v>
      </c>
      <c r="F122" s="21">
        <v>49084.1</v>
      </c>
      <c r="G122" s="19" t="s">
        <v>68</v>
      </c>
    </row>
    <row r="123" spans="1:7" x14ac:dyDescent="0.25">
      <c r="A123" s="19" t="s">
        <v>382</v>
      </c>
      <c r="B123" s="19" t="s">
        <v>387</v>
      </c>
      <c r="C123" s="19" t="s">
        <v>126</v>
      </c>
      <c r="D123" s="19">
        <v>49</v>
      </c>
      <c r="E123" s="21">
        <v>1033.1600000000001</v>
      </c>
      <c r="F123" s="21">
        <v>50624.6</v>
      </c>
      <c r="G123" s="19" t="s">
        <v>68</v>
      </c>
    </row>
    <row r="124" spans="1:7" x14ac:dyDescent="0.25">
      <c r="A124" s="19" t="s">
        <v>382</v>
      </c>
      <c r="B124" s="19" t="s">
        <v>41</v>
      </c>
      <c r="C124" s="19" t="s">
        <v>126</v>
      </c>
      <c r="D124" s="19">
        <v>12</v>
      </c>
      <c r="E124" s="21">
        <v>8230.5</v>
      </c>
      <c r="F124" s="21">
        <v>98766</v>
      </c>
      <c r="G124" s="19" t="s">
        <v>64</v>
      </c>
    </row>
    <row r="125" spans="1:7" x14ac:dyDescent="0.25">
      <c r="A125" s="19" t="s">
        <v>382</v>
      </c>
      <c r="B125" s="19" t="s">
        <v>47</v>
      </c>
      <c r="C125" s="19" t="s">
        <v>126</v>
      </c>
      <c r="D125" s="19">
        <v>92</v>
      </c>
      <c r="E125" s="21">
        <v>272.58999999999997</v>
      </c>
      <c r="F125" s="21">
        <v>25078.28</v>
      </c>
      <c r="G125" s="19" t="s">
        <v>68</v>
      </c>
    </row>
    <row r="126" spans="1:7" x14ac:dyDescent="0.25">
      <c r="A126" s="19" t="s">
        <v>393</v>
      </c>
      <c r="B126" s="19" t="s">
        <v>313</v>
      </c>
      <c r="C126" s="19" t="s">
        <v>174</v>
      </c>
      <c r="D126" s="19">
        <v>465</v>
      </c>
      <c r="E126" s="21">
        <v>152.81</v>
      </c>
      <c r="F126" s="21">
        <v>71056.850000000006</v>
      </c>
      <c r="G126" s="19" t="s">
        <v>464</v>
      </c>
    </row>
    <row r="127" spans="1:7" x14ac:dyDescent="0.25">
      <c r="A127" s="19" t="s">
        <v>395</v>
      </c>
      <c r="B127" s="19" t="s">
        <v>53</v>
      </c>
      <c r="C127" s="19" t="s">
        <v>126</v>
      </c>
      <c r="D127" s="19">
        <v>51</v>
      </c>
      <c r="E127" s="21">
        <v>1980.1</v>
      </c>
      <c r="F127" s="21">
        <v>100985.1</v>
      </c>
      <c r="G127" s="19" t="s">
        <v>62</v>
      </c>
    </row>
    <row r="128" spans="1:7" x14ac:dyDescent="0.25">
      <c r="A128" s="19" t="s">
        <v>395</v>
      </c>
      <c r="B128" s="19" t="s">
        <v>400</v>
      </c>
      <c r="C128" s="19" t="s">
        <v>126</v>
      </c>
      <c r="D128" s="19">
        <v>2</v>
      </c>
      <c r="E128" s="21">
        <v>13021</v>
      </c>
      <c r="F128" s="21">
        <v>26042</v>
      </c>
      <c r="G128" s="19" t="s">
        <v>68</v>
      </c>
    </row>
    <row r="129" spans="1:7" x14ac:dyDescent="0.25">
      <c r="A129" s="19" t="s">
        <v>395</v>
      </c>
      <c r="B129" s="19" t="s">
        <v>390</v>
      </c>
      <c r="C129" s="19" t="s">
        <v>126</v>
      </c>
      <c r="D129" s="19">
        <v>14</v>
      </c>
      <c r="E129" s="21">
        <v>3676.8</v>
      </c>
      <c r="F129" s="21">
        <v>51475.199999999997</v>
      </c>
      <c r="G129" s="19" t="s">
        <v>96</v>
      </c>
    </row>
    <row r="130" spans="1:7" x14ac:dyDescent="0.25">
      <c r="A130" s="19" t="s">
        <v>395</v>
      </c>
      <c r="B130" s="19" t="s">
        <v>131</v>
      </c>
      <c r="C130" s="19" t="s">
        <v>174</v>
      </c>
      <c r="D130" s="19">
        <v>226</v>
      </c>
      <c r="E130" s="21">
        <v>661.78</v>
      </c>
      <c r="F130" s="21">
        <v>149562.45000000001</v>
      </c>
      <c r="G130" s="19" t="s">
        <v>464</v>
      </c>
    </row>
    <row r="131" spans="1:7" x14ac:dyDescent="0.25">
      <c r="A131" s="19" t="s">
        <v>395</v>
      </c>
      <c r="B131" s="19" t="s">
        <v>335</v>
      </c>
      <c r="C131" s="19" t="s">
        <v>126</v>
      </c>
      <c r="D131" s="19">
        <v>8</v>
      </c>
      <c r="E131" s="21">
        <v>1378.7</v>
      </c>
      <c r="F131" s="21">
        <v>11029.6</v>
      </c>
      <c r="G131" s="19" t="s">
        <v>98</v>
      </c>
    </row>
    <row r="132" spans="1:7" x14ac:dyDescent="0.25">
      <c r="A132" s="19" t="s">
        <v>395</v>
      </c>
      <c r="B132" s="19" t="s">
        <v>38</v>
      </c>
      <c r="C132" s="19" t="s">
        <v>126</v>
      </c>
      <c r="D132" s="19">
        <v>58</v>
      </c>
      <c r="E132" s="21">
        <v>862.95</v>
      </c>
      <c r="F132" s="21">
        <v>50051.1</v>
      </c>
      <c r="G132" s="19" t="s">
        <v>95</v>
      </c>
    </row>
    <row r="133" spans="1:7" x14ac:dyDescent="0.25">
      <c r="A133" s="19" t="s">
        <v>406</v>
      </c>
      <c r="B133" s="19" t="s">
        <v>404</v>
      </c>
      <c r="C133" s="19" t="s">
        <v>126</v>
      </c>
      <c r="D133" s="19">
        <v>19</v>
      </c>
      <c r="E133" s="21">
        <v>2683</v>
      </c>
      <c r="F133" s="21">
        <v>50977</v>
      </c>
      <c r="G133" s="19" t="s">
        <v>68</v>
      </c>
    </row>
    <row r="134" spans="1:7" x14ac:dyDescent="0.25">
      <c r="A134" s="19" t="s">
        <v>406</v>
      </c>
      <c r="B134" s="19" t="s">
        <v>51</v>
      </c>
      <c r="C134" s="19" t="s">
        <v>126</v>
      </c>
      <c r="D134" s="19">
        <v>44</v>
      </c>
      <c r="E134" s="21">
        <v>1141.55</v>
      </c>
      <c r="F134" s="21">
        <v>50228.2</v>
      </c>
      <c r="G134" s="19" t="s">
        <v>68</v>
      </c>
    </row>
    <row r="135" spans="1:7" x14ac:dyDescent="0.25">
      <c r="A135" s="19" t="s">
        <v>410</v>
      </c>
      <c r="B135" s="19" t="s">
        <v>413</v>
      </c>
      <c r="C135" s="19" t="s">
        <v>126</v>
      </c>
      <c r="D135" s="19">
        <v>54</v>
      </c>
      <c r="E135" s="21">
        <v>1375</v>
      </c>
      <c r="F135" s="21">
        <v>74250</v>
      </c>
      <c r="G135" s="19" t="s">
        <v>68</v>
      </c>
    </row>
    <row r="136" spans="1:7" x14ac:dyDescent="0.25">
      <c r="A136" s="19" t="s">
        <v>410</v>
      </c>
      <c r="B136" s="19" t="s">
        <v>416</v>
      </c>
      <c r="C136" s="19" t="s">
        <v>126</v>
      </c>
      <c r="D136" s="19">
        <v>171</v>
      </c>
      <c r="E136" s="21">
        <v>293.85000000000002</v>
      </c>
      <c r="F136" s="21">
        <v>50248.35</v>
      </c>
      <c r="G136" s="19" t="s">
        <v>68</v>
      </c>
    </row>
    <row r="137" spans="1:7" x14ac:dyDescent="0.25">
      <c r="A137" s="19" t="s">
        <v>410</v>
      </c>
      <c r="B137" s="19" t="s">
        <v>379</v>
      </c>
      <c r="C137" s="19" t="s">
        <v>174</v>
      </c>
      <c r="D137" s="19">
        <v>121</v>
      </c>
      <c r="E137" s="21">
        <v>159.46</v>
      </c>
      <c r="F137" s="21">
        <v>19294.599999999999</v>
      </c>
      <c r="G137" s="19" t="s">
        <v>464</v>
      </c>
    </row>
    <row r="138" spans="1:7" x14ac:dyDescent="0.25">
      <c r="A138" s="19" t="s">
        <v>410</v>
      </c>
      <c r="B138" s="19" t="s">
        <v>229</v>
      </c>
      <c r="C138" s="19" t="s">
        <v>174</v>
      </c>
      <c r="D138" s="19">
        <v>82</v>
      </c>
      <c r="E138" s="21">
        <v>301.64999999999998</v>
      </c>
      <c r="F138" s="21">
        <v>24735.3</v>
      </c>
      <c r="G138" s="19" t="s">
        <v>464</v>
      </c>
    </row>
    <row r="139" spans="1:7" x14ac:dyDescent="0.25">
      <c r="A139" s="19" t="s">
        <v>421</v>
      </c>
      <c r="B139" s="19" t="s">
        <v>419</v>
      </c>
      <c r="C139" s="19" t="s">
        <v>126</v>
      </c>
      <c r="D139" s="19">
        <v>10</v>
      </c>
      <c r="E139" s="21">
        <v>10033</v>
      </c>
      <c r="F139" s="21">
        <v>100330</v>
      </c>
      <c r="G139" s="19" t="s">
        <v>463</v>
      </c>
    </row>
    <row r="140" spans="1:7" x14ac:dyDescent="0.25">
      <c r="A140" s="19" t="s">
        <v>423</v>
      </c>
      <c r="B140" s="19" t="s">
        <v>151</v>
      </c>
      <c r="C140" s="19" t="s">
        <v>174</v>
      </c>
      <c r="D140" s="19">
        <v>71</v>
      </c>
      <c r="E140" s="21">
        <v>1091.8</v>
      </c>
      <c r="F140" s="21">
        <v>77517.8</v>
      </c>
      <c r="G140" s="19" t="s">
        <v>464</v>
      </c>
    </row>
    <row r="141" spans="1:7" x14ac:dyDescent="0.25">
      <c r="A141" s="19" t="s">
        <v>423</v>
      </c>
      <c r="B141" s="19" t="s">
        <v>38</v>
      </c>
      <c r="C141" s="19" t="s">
        <v>126</v>
      </c>
      <c r="D141" s="19">
        <v>65</v>
      </c>
      <c r="E141" s="21">
        <v>1159.76</v>
      </c>
      <c r="F141" s="21">
        <v>75384.149999999994</v>
      </c>
      <c r="G141" s="19" t="s">
        <v>69</v>
      </c>
    </row>
    <row r="142" spans="1:7" x14ac:dyDescent="0.25">
      <c r="A142" s="19" t="s">
        <v>423</v>
      </c>
      <c r="B142" s="19" t="s">
        <v>419</v>
      </c>
      <c r="C142" s="19" t="s">
        <v>174</v>
      </c>
      <c r="D142" s="19">
        <v>10</v>
      </c>
      <c r="E142" s="21">
        <v>9901</v>
      </c>
      <c r="F142" s="21">
        <v>99010</v>
      </c>
      <c r="G142" s="19" t="s">
        <v>464</v>
      </c>
    </row>
    <row r="143" spans="1:7" x14ac:dyDescent="0.25">
      <c r="A143" s="19" t="s">
        <v>423</v>
      </c>
      <c r="B143" s="19" t="s">
        <v>390</v>
      </c>
      <c r="C143" s="19" t="s">
        <v>126</v>
      </c>
      <c r="D143" s="19">
        <v>22</v>
      </c>
      <c r="E143" s="21">
        <v>4534.75</v>
      </c>
      <c r="F143" s="21">
        <v>99764.5</v>
      </c>
      <c r="G143" s="19" t="s">
        <v>62</v>
      </c>
    </row>
    <row r="144" spans="1:7" x14ac:dyDescent="0.25">
      <c r="A144" s="19" t="s">
        <v>427</v>
      </c>
      <c r="B144" s="19" t="s">
        <v>316</v>
      </c>
      <c r="C144" s="19" t="s">
        <v>174</v>
      </c>
      <c r="D144" s="19">
        <v>595</v>
      </c>
      <c r="E144" s="21">
        <v>83.95</v>
      </c>
      <c r="F144" s="21">
        <v>49950.85</v>
      </c>
      <c r="G144" s="19" t="s">
        <v>464</v>
      </c>
    </row>
    <row r="145" spans="1:7" x14ac:dyDescent="0.25">
      <c r="A145" s="19" t="s">
        <v>427</v>
      </c>
      <c r="B145" s="19" t="s">
        <v>316</v>
      </c>
      <c r="C145" s="19" t="s">
        <v>126</v>
      </c>
      <c r="D145" s="19">
        <v>595</v>
      </c>
      <c r="E145" s="21">
        <v>84.05</v>
      </c>
      <c r="F145" s="21">
        <v>50007.71</v>
      </c>
      <c r="G145" s="19" t="s">
        <v>98</v>
      </c>
    </row>
    <row r="146" spans="1:7" x14ac:dyDescent="0.25">
      <c r="A146" s="19" t="s">
        <v>427</v>
      </c>
      <c r="B146" s="19" t="s">
        <v>97</v>
      </c>
      <c r="C146" s="19" t="s">
        <v>126</v>
      </c>
      <c r="D146" s="19">
        <v>57</v>
      </c>
      <c r="E146" s="21">
        <v>870.95</v>
      </c>
      <c r="F146" s="21">
        <v>49644.15</v>
      </c>
      <c r="G146" s="19" t="s">
        <v>98</v>
      </c>
    </row>
    <row r="147" spans="1:7" x14ac:dyDescent="0.25">
      <c r="A147" s="19" t="s">
        <v>432</v>
      </c>
      <c r="B147" s="19" t="s">
        <v>413</v>
      </c>
      <c r="C147" s="19" t="s">
        <v>126</v>
      </c>
      <c r="D147" s="19">
        <v>16</v>
      </c>
      <c r="E147" s="21">
        <v>1583.29</v>
      </c>
      <c r="F147" s="21">
        <v>25332.6</v>
      </c>
      <c r="G147" s="19" t="s">
        <v>96</v>
      </c>
    </row>
    <row r="148" spans="1:7" x14ac:dyDescent="0.25">
      <c r="A148" s="19" t="s">
        <v>432</v>
      </c>
      <c r="B148" s="19" t="s">
        <v>71</v>
      </c>
      <c r="C148" s="19" t="s">
        <v>126</v>
      </c>
      <c r="D148" s="19">
        <v>19</v>
      </c>
      <c r="E148" s="21">
        <v>2727.2</v>
      </c>
      <c r="F148" s="21">
        <v>51816.800000000003</v>
      </c>
      <c r="G148" s="19" t="s">
        <v>68</v>
      </c>
    </row>
    <row r="149" spans="1:7" x14ac:dyDescent="0.25">
      <c r="A149" s="19" t="s">
        <v>432</v>
      </c>
      <c r="B149" s="19" t="s">
        <v>332</v>
      </c>
      <c r="C149" s="19" t="s">
        <v>174</v>
      </c>
      <c r="D149" s="19">
        <v>222</v>
      </c>
      <c r="E149" s="21">
        <v>425.25</v>
      </c>
      <c r="F149" s="21">
        <v>94405.5</v>
      </c>
      <c r="G149" s="19" t="s">
        <v>464</v>
      </c>
    </row>
    <row r="150" spans="1:7" x14ac:dyDescent="0.25">
      <c r="A150" s="19" t="s">
        <v>432</v>
      </c>
      <c r="B150" s="19" t="s">
        <v>235</v>
      </c>
      <c r="C150" s="19" t="s">
        <v>174</v>
      </c>
      <c r="D150" s="19">
        <v>278</v>
      </c>
      <c r="E150" s="21">
        <v>970.3</v>
      </c>
      <c r="F150" s="21">
        <v>269743.40000000002</v>
      </c>
      <c r="G150" s="19" t="s">
        <v>464</v>
      </c>
    </row>
    <row r="151" spans="1:7" x14ac:dyDescent="0.25">
      <c r="A151" s="19" t="s">
        <v>432</v>
      </c>
      <c r="B151" s="19" t="s">
        <v>222</v>
      </c>
      <c r="C151" s="19" t="s">
        <v>174</v>
      </c>
      <c r="D151" s="19">
        <v>205</v>
      </c>
      <c r="E151" s="21">
        <v>367</v>
      </c>
      <c r="F151" s="21">
        <v>75235</v>
      </c>
      <c r="G151" s="19" t="s">
        <v>464</v>
      </c>
    </row>
    <row r="152" spans="1:7" x14ac:dyDescent="0.25">
      <c r="A152" s="19" t="s">
        <v>432</v>
      </c>
      <c r="B152" s="19" t="s">
        <v>440</v>
      </c>
      <c r="C152" s="19" t="s">
        <v>126</v>
      </c>
      <c r="D152" s="19">
        <v>38</v>
      </c>
      <c r="E152" s="21">
        <v>1325.5</v>
      </c>
      <c r="F152" s="21">
        <v>50369</v>
      </c>
      <c r="G152" s="19" t="s">
        <v>68</v>
      </c>
    </row>
    <row r="153" spans="1:7" x14ac:dyDescent="0.25">
      <c r="A153" s="19" t="s">
        <v>432</v>
      </c>
      <c r="B153" s="19" t="s">
        <v>49</v>
      </c>
      <c r="C153" s="19" t="s">
        <v>126</v>
      </c>
      <c r="D153" s="19">
        <v>16</v>
      </c>
      <c r="E153" s="21">
        <v>3127</v>
      </c>
      <c r="F153" s="21">
        <v>50032</v>
      </c>
      <c r="G153" s="19" t="s">
        <v>68</v>
      </c>
    </row>
    <row r="154" spans="1:7" x14ac:dyDescent="0.25">
      <c r="A154" s="19" t="s">
        <v>432</v>
      </c>
      <c r="B154" s="19" t="s">
        <v>367</v>
      </c>
      <c r="C154" s="19" t="s">
        <v>174</v>
      </c>
      <c r="D154" s="19">
        <v>80</v>
      </c>
      <c r="E154" s="21">
        <v>304.10000000000002</v>
      </c>
      <c r="F154" s="21">
        <v>24328</v>
      </c>
      <c r="G154" s="19" t="s">
        <v>464</v>
      </c>
    </row>
    <row r="155" spans="1:7" x14ac:dyDescent="0.25">
      <c r="A155" s="19" t="s">
        <v>432</v>
      </c>
      <c r="B155" s="19" t="s">
        <v>404</v>
      </c>
      <c r="C155" s="19" t="s">
        <v>174</v>
      </c>
      <c r="D155" s="19">
        <v>19</v>
      </c>
      <c r="E155" s="21">
        <v>2505.9</v>
      </c>
      <c r="F155" s="21">
        <v>47612.05</v>
      </c>
      <c r="G155" s="19" t="s">
        <v>464</v>
      </c>
    </row>
    <row r="156" spans="1:7" x14ac:dyDescent="0.25">
      <c r="A156" s="19" t="s">
        <v>432</v>
      </c>
      <c r="B156" s="19" t="s">
        <v>232</v>
      </c>
      <c r="C156" s="19" t="s">
        <v>174</v>
      </c>
      <c r="D156" s="19">
        <v>386</v>
      </c>
      <c r="E156" s="21">
        <v>136.25</v>
      </c>
      <c r="F156" s="21">
        <v>52592.5</v>
      </c>
      <c r="G156" s="19" t="s">
        <v>464</v>
      </c>
    </row>
    <row r="157" spans="1:7" x14ac:dyDescent="0.25">
      <c r="A157" s="19" t="s">
        <v>432</v>
      </c>
      <c r="B157" s="19" t="s">
        <v>445</v>
      </c>
      <c r="C157" s="19" t="s">
        <v>126</v>
      </c>
      <c r="D157" s="19">
        <v>18</v>
      </c>
      <c r="E157" s="21">
        <v>2730</v>
      </c>
      <c r="F157" s="21">
        <v>49140</v>
      </c>
      <c r="G157" s="19" t="s">
        <v>68</v>
      </c>
    </row>
    <row r="158" spans="1:7" x14ac:dyDescent="0.25">
      <c r="A158" s="19" t="s">
        <v>451</v>
      </c>
      <c r="B158" s="19" t="s">
        <v>44</v>
      </c>
      <c r="C158" s="19" t="s">
        <v>126</v>
      </c>
      <c r="D158" s="19">
        <v>411</v>
      </c>
      <c r="E158" s="21">
        <v>121.7</v>
      </c>
      <c r="F158" s="21">
        <v>50018.7</v>
      </c>
      <c r="G158" s="19" t="s">
        <v>98</v>
      </c>
    </row>
    <row r="159" spans="1:7" x14ac:dyDescent="0.25">
      <c r="A159" s="19" t="s">
        <v>451</v>
      </c>
      <c r="B159" s="19" t="s">
        <v>70</v>
      </c>
      <c r="C159" s="19" t="s">
        <v>126</v>
      </c>
      <c r="D159" s="19">
        <v>29</v>
      </c>
      <c r="E159" s="21">
        <v>1713.42</v>
      </c>
      <c r="F159" s="21">
        <v>49689.3</v>
      </c>
      <c r="G159" s="19" t="s">
        <v>68</v>
      </c>
    </row>
    <row r="160" spans="1:7" x14ac:dyDescent="0.25">
      <c r="A160" s="19" t="s">
        <v>451</v>
      </c>
      <c r="B160" s="19" t="s">
        <v>72</v>
      </c>
      <c r="C160" s="19" t="s">
        <v>126</v>
      </c>
      <c r="D160" s="19">
        <v>33</v>
      </c>
      <c r="E160" s="21">
        <v>1505.6</v>
      </c>
      <c r="F160" s="21">
        <v>49684.800000000003</v>
      </c>
      <c r="G160" s="19" t="s">
        <v>68</v>
      </c>
    </row>
    <row r="161" spans="1:7" x14ac:dyDescent="0.25">
      <c r="A161" s="19" t="s">
        <v>451</v>
      </c>
      <c r="B161" s="19" t="s">
        <v>297</v>
      </c>
      <c r="C161" s="19" t="s">
        <v>126</v>
      </c>
      <c r="D161" s="19">
        <v>10</v>
      </c>
      <c r="E161" s="21">
        <v>3214</v>
      </c>
      <c r="F161" s="21">
        <v>32140</v>
      </c>
      <c r="G161" s="19" t="s">
        <v>96</v>
      </c>
    </row>
    <row r="162" spans="1:7" x14ac:dyDescent="0.25">
      <c r="A162" s="19" t="s">
        <v>451</v>
      </c>
      <c r="B162" s="19" t="s">
        <v>45</v>
      </c>
      <c r="C162" s="19" t="s">
        <v>126</v>
      </c>
      <c r="D162" s="19">
        <v>26</v>
      </c>
      <c r="E162" s="21">
        <v>1899.2</v>
      </c>
      <c r="F162" s="21">
        <v>49379.199999999997</v>
      </c>
      <c r="G162" s="19" t="s">
        <v>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11" customWidth="1"/>
    <col min="3" max="3" width="24" customWidth="1"/>
    <col min="4" max="4" width="19" customWidth="1"/>
    <col min="5" max="5" width="16" customWidth="1"/>
    <col min="6" max="6" width="18" customWidth="1"/>
    <col min="7" max="7" width="19" customWidth="1"/>
    <col min="8" max="9" width="14" customWidth="1"/>
    <col min="10" max="10" width="27" customWidth="1"/>
    <col min="11" max="11" width="16" customWidth="1"/>
    <col min="12" max="12" width="14" customWidth="1"/>
    <col min="13" max="14" width="15" customWidth="1"/>
    <col min="15" max="15" width="14" customWidth="1"/>
    <col min="16" max="16" width="15" customWidth="1"/>
    <col min="17" max="19" width="16" customWidth="1"/>
    <col min="20" max="20" width="25" customWidth="1"/>
    <col min="21" max="21" width="14" customWidth="1"/>
  </cols>
  <sheetData>
    <row r="1" spans="1:21" x14ac:dyDescent="0.25">
      <c r="A1" s="18" t="s">
        <v>33</v>
      </c>
      <c r="B1" s="18" t="s">
        <v>74</v>
      </c>
      <c r="C1" s="18" t="s">
        <v>465</v>
      </c>
      <c r="D1" s="18" t="s">
        <v>466</v>
      </c>
      <c r="E1" s="18" t="s">
        <v>467</v>
      </c>
      <c r="F1" s="18" t="s">
        <v>468</v>
      </c>
      <c r="G1" s="18" t="s">
        <v>469</v>
      </c>
      <c r="H1" s="18" t="s">
        <v>58</v>
      </c>
      <c r="I1" s="18" t="s">
        <v>470</v>
      </c>
      <c r="J1" s="18" t="s">
        <v>471</v>
      </c>
      <c r="K1" s="18" t="s">
        <v>472</v>
      </c>
      <c r="L1" s="18" t="s">
        <v>57</v>
      </c>
      <c r="M1" s="18" t="s">
        <v>473</v>
      </c>
      <c r="N1" s="18" t="s">
        <v>474</v>
      </c>
      <c r="O1" s="18" t="s">
        <v>475</v>
      </c>
      <c r="P1" s="18" t="s">
        <v>476</v>
      </c>
      <c r="Q1" s="18" t="s">
        <v>477</v>
      </c>
      <c r="R1" s="18" t="s">
        <v>478</v>
      </c>
      <c r="S1" s="18" t="s">
        <v>479</v>
      </c>
      <c r="T1" s="18" t="s">
        <v>480</v>
      </c>
      <c r="U1" s="18" t="s">
        <v>481</v>
      </c>
    </row>
    <row r="2" spans="1:21" x14ac:dyDescent="0.25">
      <c r="A2" s="19" t="s">
        <v>445</v>
      </c>
      <c r="B2" s="19" t="s">
        <v>26</v>
      </c>
      <c r="C2" s="19" t="s">
        <v>55</v>
      </c>
      <c r="D2" s="19" t="s">
        <v>39</v>
      </c>
      <c r="E2" s="19" t="s">
        <v>68</v>
      </c>
      <c r="F2" s="19">
        <v>18</v>
      </c>
      <c r="G2" s="21">
        <v>2730</v>
      </c>
      <c r="H2" s="21">
        <v>2457</v>
      </c>
      <c r="I2" s="21">
        <v>429.5</v>
      </c>
      <c r="J2" s="22">
        <v>0.1487961198683527</v>
      </c>
      <c r="K2" s="21">
        <v>49140</v>
      </c>
      <c r="L2" s="21">
        <v>2886.5</v>
      </c>
      <c r="M2" s="21">
        <v>2763.25</v>
      </c>
      <c r="N2" s="21">
        <v>2752.93</v>
      </c>
      <c r="O2" s="21">
        <v>2742.62</v>
      </c>
      <c r="P2" s="21">
        <v>2648.69</v>
      </c>
      <c r="Q2" s="21">
        <v>51957</v>
      </c>
      <c r="R2" s="21">
        <v>2817</v>
      </c>
      <c r="S2" s="19">
        <v>4</v>
      </c>
      <c r="T2" s="19"/>
      <c r="U2" s="19" t="s">
        <v>80</v>
      </c>
    </row>
    <row r="3" spans="1:21" x14ac:dyDescent="0.25">
      <c r="A3" s="19" t="s">
        <v>71</v>
      </c>
      <c r="B3" s="19" t="s">
        <v>24</v>
      </c>
      <c r="C3" s="19" t="s">
        <v>50</v>
      </c>
      <c r="D3" s="19" t="s">
        <v>40</v>
      </c>
      <c r="E3" s="19" t="s">
        <v>68</v>
      </c>
      <c r="F3" s="19">
        <v>19</v>
      </c>
      <c r="G3" s="21">
        <v>2727.2</v>
      </c>
      <c r="H3" s="21">
        <v>2454.48</v>
      </c>
      <c r="I3" s="21">
        <v>270.52</v>
      </c>
      <c r="J3" s="22">
        <v>9.9273394495412837E-2</v>
      </c>
      <c r="K3" s="21">
        <v>51816.800000000003</v>
      </c>
      <c r="L3" s="21">
        <v>2725</v>
      </c>
      <c r="M3" s="21">
        <v>2404.44</v>
      </c>
      <c r="N3" s="21">
        <v>2381.91</v>
      </c>
      <c r="O3" s="21">
        <v>2362.91</v>
      </c>
      <c r="P3" s="21">
        <v>2282.12</v>
      </c>
      <c r="Q3" s="21">
        <v>51775</v>
      </c>
      <c r="R3" s="21">
        <v>-41.8</v>
      </c>
      <c r="S3" s="19">
        <v>4</v>
      </c>
      <c r="T3" s="19"/>
      <c r="U3" s="19" t="s">
        <v>80</v>
      </c>
    </row>
    <row r="4" spans="1:21" x14ac:dyDescent="0.25">
      <c r="A4" s="19" t="s">
        <v>297</v>
      </c>
      <c r="B4" s="19" t="s">
        <v>28</v>
      </c>
      <c r="C4" s="19" t="s">
        <v>55</v>
      </c>
      <c r="D4" s="19" t="s">
        <v>40</v>
      </c>
      <c r="E4" s="19" t="s">
        <v>96</v>
      </c>
      <c r="F4" s="19">
        <v>14</v>
      </c>
      <c r="G4" s="21">
        <v>3134.66</v>
      </c>
      <c r="H4" s="21">
        <v>2821.19</v>
      </c>
      <c r="I4" s="21">
        <v>427.01</v>
      </c>
      <c r="J4" s="22">
        <v>0.13146050120066491</v>
      </c>
      <c r="K4" s="21">
        <v>43885.24</v>
      </c>
      <c r="L4" s="21">
        <v>3248.2</v>
      </c>
      <c r="M4" s="21">
        <v>2993.13</v>
      </c>
      <c r="N4" s="21">
        <v>2980.46</v>
      </c>
      <c r="O4" s="21">
        <v>2969.06</v>
      </c>
      <c r="P4" s="21">
        <v>2885.09</v>
      </c>
      <c r="Q4" s="21">
        <v>45474.8</v>
      </c>
      <c r="R4" s="21">
        <v>1589.56</v>
      </c>
      <c r="S4" s="19">
        <v>134</v>
      </c>
      <c r="T4" s="19"/>
      <c r="U4" s="19" t="s">
        <v>80</v>
      </c>
    </row>
    <row r="5" spans="1:21" x14ac:dyDescent="0.25">
      <c r="A5" s="19" t="s">
        <v>53</v>
      </c>
      <c r="B5" s="19" t="s">
        <v>28</v>
      </c>
      <c r="C5" s="19" t="s">
        <v>50</v>
      </c>
      <c r="D5" s="19" t="s">
        <v>39</v>
      </c>
      <c r="E5" s="19" t="s">
        <v>62</v>
      </c>
      <c r="F5" s="19">
        <v>96</v>
      </c>
      <c r="G5" s="21">
        <v>2100.8000000000002</v>
      </c>
      <c r="H5" s="21">
        <v>2237.6</v>
      </c>
      <c r="I5" s="21">
        <v>-373.1</v>
      </c>
      <c r="J5" s="22">
        <v>-0.2001072673639045</v>
      </c>
      <c r="K5" s="21">
        <v>201676.79999999999</v>
      </c>
      <c r="L5" s="21">
        <v>1864.5</v>
      </c>
      <c r="M5" s="21">
        <v>1896.42</v>
      </c>
      <c r="N5" s="21">
        <v>1899.74</v>
      </c>
      <c r="O5" s="21">
        <v>1903</v>
      </c>
      <c r="P5" s="21">
        <v>1930.85</v>
      </c>
      <c r="Q5" s="21">
        <v>178992</v>
      </c>
      <c r="R5" s="21">
        <v>-22684.799999999999</v>
      </c>
      <c r="S5" s="19">
        <v>99</v>
      </c>
      <c r="T5" s="19"/>
      <c r="U5" s="19" t="s">
        <v>80</v>
      </c>
    </row>
    <row r="6" spans="1:21" x14ac:dyDescent="0.25">
      <c r="A6" s="19" t="s">
        <v>416</v>
      </c>
      <c r="B6" s="19" t="s">
        <v>26</v>
      </c>
      <c r="C6" s="19" t="s">
        <v>50</v>
      </c>
      <c r="D6" s="19" t="s">
        <v>40</v>
      </c>
      <c r="E6" s="19" t="s">
        <v>68</v>
      </c>
      <c r="F6" s="19">
        <v>171</v>
      </c>
      <c r="G6" s="21">
        <v>293.85000000000002</v>
      </c>
      <c r="H6" s="21">
        <v>264.47000000000003</v>
      </c>
      <c r="I6" s="21">
        <v>76.23</v>
      </c>
      <c r="J6" s="22">
        <v>0.2237452304079835</v>
      </c>
      <c r="K6" s="21">
        <v>50248.35</v>
      </c>
      <c r="L6" s="21">
        <v>340.7</v>
      </c>
      <c r="M6" s="21">
        <v>286.26</v>
      </c>
      <c r="N6" s="21">
        <v>282.74</v>
      </c>
      <c r="O6" s="21">
        <v>279.70999999999998</v>
      </c>
      <c r="P6" s="21">
        <v>263.77999999999997</v>
      </c>
      <c r="Q6" s="21">
        <v>58259.7</v>
      </c>
      <c r="R6" s="21">
        <v>8011.35</v>
      </c>
      <c r="S6" s="19">
        <v>15</v>
      </c>
      <c r="T6" s="19"/>
      <c r="U6" s="19" t="s">
        <v>80</v>
      </c>
    </row>
    <row r="7" spans="1:21" x14ac:dyDescent="0.25">
      <c r="A7" s="19" t="s">
        <v>51</v>
      </c>
      <c r="B7" s="19" t="s">
        <v>26</v>
      </c>
      <c r="C7" s="19" t="s">
        <v>50</v>
      </c>
      <c r="D7" s="19" t="s">
        <v>40</v>
      </c>
      <c r="E7" s="19" t="s">
        <v>68</v>
      </c>
      <c r="F7" s="19">
        <v>44</v>
      </c>
      <c r="G7" s="21">
        <v>1141.55</v>
      </c>
      <c r="H7" s="21">
        <v>1027.3900000000001</v>
      </c>
      <c r="I7" s="21">
        <v>65.31</v>
      </c>
      <c r="J7" s="22">
        <v>5.9769378603459267E-2</v>
      </c>
      <c r="K7" s="21">
        <v>50228.2</v>
      </c>
      <c r="L7" s="21">
        <v>1092.7</v>
      </c>
      <c r="M7" s="21">
        <v>1071.3499999999999</v>
      </c>
      <c r="N7" s="21">
        <v>1065.3499999999999</v>
      </c>
      <c r="O7" s="21">
        <v>1059.8399999999999</v>
      </c>
      <c r="P7" s="21">
        <v>1026.04</v>
      </c>
      <c r="Q7" s="21">
        <v>48078.8</v>
      </c>
      <c r="R7" s="21">
        <v>-2149.4</v>
      </c>
      <c r="S7" s="19">
        <v>22</v>
      </c>
      <c r="T7" s="19"/>
      <c r="U7" s="19" t="s">
        <v>80</v>
      </c>
    </row>
    <row r="8" spans="1:21" x14ac:dyDescent="0.25">
      <c r="A8" s="19" t="s">
        <v>72</v>
      </c>
      <c r="B8" s="19" t="s">
        <v>28</v>
      </c>
      <c r="C8" s="19" t="s">
        <v>55</v>
      </c>
      <c r="D8" s="19" t="s">
        <v>40</v>
      </c>
      <c r="E8" s="19" t="s">
        <v>68</v>
      </c>
      <c r="F8" s="19">
        <v>33</v>
      </c>
      <c r="G8" s="21">
        <v>1505.6</v>
      </c>
      <c r="H8" s="21">
        <v>1355.04</v>
      </c>
      <c r="I8" s="21">
        <v>157.76</v>
      </c>
      <c r="J8" s="22">
        <v>0.10428344791115809</v>
      </c>
      <c r="K8" s="21">
        <v>49684.800000000003</v>
      </c>
      <c r="L8" s="21">
        <v>1512.8</v>
      </c>
      <c r="M8" s="21">
        <v>1419.55</v>
      </c>
      <c r="N8" s="21">
        <v>1409.4</v>
      </c>
      <c r="O8" s="21">
        <v>1399.88</v>
      </c>
      <c r="P8" s="21">
        <v>1330.54</v>
      </c>
      <c r="Q8" s="21">
        <v>49922.400000000001</v>
      </c>
      <c r="R8" s="21">
        <v>237.6</v>
      </c>
      <c r="S8" s="19">
        <v>1</v>
      </c>
      <c r="T8" s="19"/>
      <c r="U8" s="19" t="s">
        <v>80</v>
      </c>
    </row>
    <row r="9" spans="1:21" x14ac:dyDescent="0.25">
      <c r="A9" s="19" t="s">
        <v>70</v>
      </c>
      <c r="B9" s="19" t="s">
        <v>26</v>
      </c>
      <c r="C9" s="19" t="s">
        <v>55</v>
      </c>
      <c r="D9" s="19" t="s">
        <v>40</v>
      </c>
      <c r="E9" s="19" t="s">
        <v>68</v>
      </c>
      <c r="F9" s="19">
        <v>29</v>
      </c>
      <c r="G9" s="21">
        <v>1713.42</v>
      </c>
      <c r="H9" s="21">
        <v>1542.08</v>
      </c>
      <c r="I9" s="21">
        <v>166.72</v>
      </c>
      <c r="J9" s="22">
        <v>9.7565543071161068E-2</v>
      </c>
      <c r="K9" s="21">
        <v>49689.18</v>
      </c>
      <c r="L9" s="21">
        <v>1708.8</v>
      </c>
      <c r="M9" s="21">
        <v>1399.94</v>
      </c>
      <c r="N9" s="21">
        <v>1379.1</v>
      </c>
      <c r="O9" s="21">
        <v>1361.36</v>
      </c>
      <c r="P9" s="21">
        <v>1282.54</v>
      </c>
      <c r="Q9" s="21">
        <v>49555.199999999997</v>
      </c>
      <c r="R9" s="21">
        <v>-133.97999999999999</v>
      </c>
      <c r="S9" s="19">
        <v>1</v>
      </c>
      <c r="T9" s="19"/>
      <c r="U9" s="19" t="s">
        <v>80</v>
      </c>
    </row>
    <row r="10" spans="1:21" x14ac:dyDescent="0.25">
      <c r="A10" s="19" t="s">
        <v>100</v>
      </c>
      <c r="B10" s="19" t="s">
        <v>24</v>
      </c>
      <c r="C10" s="19" t="s">
        <v>54</v>
      </c>
      <c r="D10" s="19" t="s">
        <v>40</v>
      </c>
      <c r="E10" s="19" t="s">
        <v>68</v>
      </c>
      <c r="F10" s="19">
        <v>18</v>
      </c>
      <c r="G10" s="21">
        <v>2801.6</v>
      </c>
      <c r="H10" s="21">
        <v>2521.44</v>
      </c>
      <c r="I10" s="21">
        <v>1669.36</v>
      </c>
      <c r="J10" s="22">
        <v>0.39833921924214949</v>
      </c>
      <c r="K10" s="21">
        <v>50428.800000000003</v>
      </c>
      <c r="L10" s="21">
        <v>4190.8</v>
      </c>
      <c r="M10" s="21">
        <v>3623.33</v>
      </c>
      <c r="N10" s="21">
        <v>3575.74</v>
      </c>
      <c r="O10" s="21">
        <v>3532.3</v>
      </c>
      <c r="P10" s="21">
        <v>3236.77</v>
      </c>
      <c r="Q10" s="21">
        <v>75434.399999999994</v>
      </c>
      <c r="R10" s="21">
        <v>25005.599999999999</v>
      </c>
      <c r="S10" s="19">
        <v>162</v>
      </c>
      <c r="T10" s="19"/>
      <c r="U10" s="19" t="s">
        <v>80</v>
      </c>
    </row>
    <row r="11" spans="1:21" x14ac:dyDescent="0.25">
      <c r="A11" s="19" t="s">
        <v>387</v>
      </c>
      <c r="B11" s="19" t="s">
        <v>26</v>
      </c>
      <c r="C11" s="19" t="s">
        <v>52</v>
      </c>
      <c r="D11" s="19" t="s">
        <v>39</v>
      </c>
      <c r="E11" s="19" t="s">
        <v>68</v>
      </c>
      <c r="F11" s="19">
        <v>49</v>
      </c>
      <c r="G11" s="21">
        <v>1033.1600000000001</v>
      </c>
      <c r="H11" s="21">
        <v>929.84</v>
      </c>
      <c r="I11" s="21">
        <v>159.56</v>
      </c>
      <c r="J11" s="22">
        <v>0.1464659445566367</v>
      </c>
      <c r="K11" s="21">
        <v>50624.84</v>
      </c>
      <c r="L11" s="21">
        <v>1089.4000000000001</v>
      </c>
      <c r="M11" s="21">
        <v>1111.93</v>
      </c>
      <c r="N11" s="21">
        <v>1113.3399999999999</v>
      </c>
      <c r="O11" s="21">
        <v>1114.44</v>
      </c>
      <c r="P11" s="21">
        <v>1115.26</v>
      </c>
      <c r="Q11" s="21">
        <v>53380.6</v>
      </c>
      <c r="R11" s="21">
        <v>2755.76</v>
      </c>
      <c r="S11" s="19">
        <v>71</v>
      </c>
      <c r="T11" s="19"/>
      <c r="U11" s="19" t="s">
        <v>80</v>
      </c>
    </row>
    <row r="12" spans="1:21" x14ac:dyDescent="0.25">
      <c r="A12" s="19" t="s">
        <v>97</v>
      </c>
      <c r="B12" s="19" t="s">
        <v>24</v>
      </c>
      <c r="C12" s="19" t="s">
        <v>50</v>
      </c>
      <c r="D12" s="19" t="s">
        <v>40</v>
      </c>
      <c r="E12" s="19" t="s">
        <v>98</v>
      </c>
      <c r="F12" s="19">
        <v>94</v>
      </c>
      <c r="G12" s="21">
        <v>800.81</v>
      </c>
      <c r="H12" s="21">
        <v>720.73</v>
      </c>
      <c r="I12" s="21">
        <v>98.67</v>
      </c>
      <c r="J12" s="22">
        <v>0.1204173785696851</v>
      </c>
      <c r="K12" s="21">
        <v>75276.14</v>
      </c>
      <c r="L12" s="21">
        <v>819.4</v>
      </c>
      <c r="M12" s="21">
        <v>792.23</v>
      </c>
      <c r="N12" s="21">
        <v>786.23</v>
      </c>
      <c r="O12" s="21">
        <v>780.66</v>
      </c>
      <c r="P12" s="21">
        <v>744.23</v>
      </c>
      <c r="Q12" s="21">
        <v>77023.600000000006</v>
      </c>
      <c r="R12" s="21">
        <v>1747.46</v>
      </c>
      <c r="S12" s="19">
        <v>246</v>
      </c>
      <c r="T12" s="19"/>
      <c r="U12" s="19" t="s">
        <v>80</v>
      </c>
    </row>
    <row r="13" spans="1:21" x14ac:dyDescent="0.25">
      <c r="A13" s="19" t="s">
        <v>44</v>
      </c>
      <c r="B13" s="19" t="s">
        <v>26</v>
      </c>
      <c r="C13" s="19" t="s">
        <v>52</v>
      </c>
      <c r="D13" s="19" t="s">
        <v>40</v>
      </c>
      <c r="E13" s="19" t="s">
        <v>98</v>
      </c>
      <c r="F13" s="19">
        <v>1436</v>
      </c>
      <c r="G13" s="21">
        <v>91.99</v>
      </c>
      <c r="H13" s="21">
        <v>82.79</v>
      </c>
      <c r="I13" s="21">
        <v>31.55</v>
      </c>
      <c r="J13" s="22">
        <v>0.27593143256952951</v>
      </c>
      <c r="K13" s="21">
        <v>132097.64000000001</v>
      </c>
      <c r="L13" s="21">
        <v>114.34</v>
      </c>
      <c r="M13" s="21">
        <v>109.72</v>
      </c>
      <c r="N13" s="21">
        <v>108.25</v>
      </c>
      <c r="O13" s="21">
        <v>106.86</v>
      </c>
      <c r="P13" s="21">
        <v>95.33</v>
      </c>
      <c r="Q13" s="21">
        <v>164192.24</v>
      </c>
      <c r="R13" s="21">
        <v>32094.6</v>
      </c>
      <c r="S13" s="19">
        <v>134</v>
      </c>
      <c r="T13" s="19" t="s">
        <v>79</v>
      </c>
      <c r="U13" s="19" t="s">
        <v>80</v>
      </c>
    </row>
    <row r="14" spans="1:21" x14ac:dyDescent="0.25">
      <c r="A14" s="19" t="s">
        <v>43</v>
      </c>
      <c r="B14" s="19" t="s">
        <v>28</v>
      </c>
      <c r="C14" s="19" t="s">
        <v>54</v>
      </c>
      <c r="D14" s="19" t="s">
        <v>40</v>
      </c>
      <c r="E14" s="19" t="s">
        <v>69</v>
      </c>
      <c r="F14" s="19">
        <v>1172</v>
      </c>
      <c r="G14" s="21">
        <v>256.22000000000003</v>
      </c>
      <c r="H14" s="21">
        <v>263.82</v>
      </c>
      <c r="I14" s="21">
        <v>22.78</v>
      </c>
      <c r="J14" s="22">
        <v>7.9483600837404147E-2</v>
      </c>
      <c r="K14" s="21">
        <v>300289.84000000003</v>
      </c>
      <c r="L14" s="21">
        <v>286.60000000000002</v>
      </c>
      <c r="M14" s="21">
        <v>285.62</v>
      </c>
      <c r="N14" s="21">
        <v>285.13</v>
      </c>
      <c r="O14" s="21">
        <v>284.58</v>
      </c>
      <c r="P14" s="21">
        <v>276.81</v>
      </c>
      <c r="Q14" s="21">
        <v>335895.2</v>
      </c>
      <c r="R14" s="21">
        <v>35605.360000000001</v>
      </c>
      <c r="S14" s="19">
        <v>197</v>
      </c>
      <c r="T14" s="19"/>
      <c r="U14" s="19" t="s">
        <v>80</v>
      </c>
    </row>
    <row r="15" spans="1:21" x14ac:dyDescent="0.25">
      <c r="A15" s="19" t="s">
        <v>101</v>
      </c>
      <c r="B15" s="19" t="s">
        <v>26</v>
      </c>
      <c r="C15" s="19" t="s">
        <v>52</v>
      </c>
      <c r="D15" s="19" t="s">
        <v>40</v>
      </c>
      <c r="E15" s="19" t="s">
        <v>96</v>
      </c>
      <c r="F15" s="19">
        <v>362</v>
      </c>
      <c r="G15" s="21">
        <v>138.75</v>
      </c>
      <c r="H15" s="21">
        <v>124.88</v>
      </c>
      <c r="I15" s="21">
        <v>36.24</v>
      </c>
      <c r="J15" s="22">
        <v>0.22492552135054619</v>
      </c>
      <c r="K15" s="21">
        <v>50227.5</v>
      </c>
      <c r="L15" s="21">
        <v>161.12</v>
      </c>
      <c r="M15" s="21">
        <v>154.07</v>
      </c>
      <c r="N15" s="21">
        <v>153.01</v>
      </c>
      <c r="O15" s="21">
        <v>152</v>
      </c>
      <c r="P15" s="21">
        <v>143.69</v>
      </c>
      <c r="Q15" s="21">
        <v>58325.440000000002</v>
      </c>
      <c r="R15" s="21">
        <v>8097.94</v>
      </c>
      <c r="S15" s="19">
        <v>137</v>
      </c>
      <c r="T15" s="19"/>
      <c r="U15" s="19" t="s">
        <v>80</v>
      </c>
    </row>
    <row r="16" spans="1:21" x14ac:dyDescent="0.25">
      <c r="A16" s="19" t="s">
        <v>94</v>
      </c>
      <c r="B16" s="19" t="s">
        <v>26</v>
      </c>
      <c r="C16" s="19" t="s">
        <v>50</v>
      </c>
      <c r="D16" s="19" t="s">
        <v>40</v>
      </c>
      <c r="E16" s="19" t="s">
        <v>95</v>
      </c>
      <c r="F16" s="19">
        <v>41</v>
      </c>
      <c r="G16" s="21">
        <v>589.89</v>
      </c>
      <c r="H16" s="21">
        <v>530.9</v>
      </c>
      <c r="I16" s="21">
        <v>112.95</v>
      </c>
      <c r="J16" s="22">
        <v>0.175429059563563</v>
      </c>
      <c r="K16" s="21">
        <v>24185.49</v>
      </c>
      <c r="L16" s="21">
        <v>643.85</v>
      </c>
      <c r="M16" s="21">
        <v>649.59</v>
      </c>
      <c r="N16" s="21">
        <v>646.04</v>
      </c>
      <c r="O16" s="21">
        <v>642.54999999999995</v>
      </c>
      <c r="P16" s="21">
        <v>612.38</v>
      </c>
      <c r="Q16" s="21">
        <v>26397.85</v>
      </c>
      <c r="R16" s="21">
        <v>2212.36</v>
      </c>
      <c r="S16" s="19">
        <v>252</v>
      </c>
      <c r="T16" s="19"/>
      <c r="U16" s="19" t="s">
        <v>80</v>
      </c>
    </row>
    <row r="17" spans="1:21" x14ac:dyDescent="0.25">
      <c r="A17" s="19" t="s">
        <v>99</v>
      </c>
      <c r="B17" s="19" t="s">
        <v>26</v>
      </c>
      <c r="C17" s="19" t="s">
        <v>50</v>
      </c>
      <c r="D17" s="19" t="s">
        <v>40</v>
      </c>
      <c r="E17" s="19" t="s">
        <v>96</v>
      </c>
      <c r="F17" s="19">
        <v>276</v>
      </c>
      <c r="G17" s="21">
        <v>278.74</v>
      </c>
      <c r="H17" s="21">
        <v>250.87</v>
      </c>
      <c r="I17" s="21">
        <v>39.68</v>
      </c>
      <c r="J17" s="22">
        <v>0.13656857683703319</v>
      </c>
      <c r="K17" s="21">
        <v>76932.240000000005</v>
      </c>
      <c r="L17" s="21">
        <v>290.55</v>
      </c>
      <c r="M17" s="21">
        <v>286.24</v>
      </c>
      <c r="N17" s="21">
        <v>285.06</v>
      </c>
      <c r="O17" s="21">
        <v>283.89999999999998</v>
      </c>
      <c r="P17" s="21">
        <v>273.58999999999997</v>
      </c>
      <c r="Q17" s="21">
        <v>80191.8</v>
      </c>
      <c r="R17" s="21">
        <v>3259.56</v>
      </c>
      <c r="S17" s="19">
        <v>204</v>
      </c>
      <c r="T17" s="19"/>
      <c r="U17" s="19" t="s">
        <v>80</v>
      </c>
    </row>
    <row r="18" spans="1:21" x14ac:dyDescent="0.25">
      <c r="A18" s="19" t="s">
        <v>390</v>
      </c>
      <c r="B18" s="19" t="s">
        <v>24</v>
      </c>
      <c r="C18" s="19" t="s">
        <v>52</v>
      </c>
      <c r="D18" s="19" t="s">
        <v>39</v>
      </c>
      <c r="E18" s="19" t="s">
        <v>62</v>
      </c>
      <c r="F18" s="19">
        <v>49</v>
      </c>
      <c r="G18" s="21">
        <v>4088.24</v>
      </c>
      <c r="H18" s="21">
        <v>3679.42</v>
      </c>
      <c r="I18" s="21">
        <v>705.88</v>
      </c>
      <c r="J18" s="22">
        <v>0.16096504230041281</v>
      </c>
      <c r="K18" s="21">
        <v>200323.76</v>
      </c>
      <c r="L18" s="21">
        <v>4385.3</v>
      </c>
      <c r="M18" s="21">
        <v>4410.37</v>
      </c>
      <c r="N18" s="21">
        <v>4412.63</v>
      </c>
      <c r="O18" s="21">
        <v>4413.55</v>
      </c>
      <c r="P18" s="21">
        <v>4369.8100000000004</v>
      </c>
      <c r="Q18" s="21">
        <v>214879.7</v>
      </c>
      <c r="R18" s="21">
        <v>14555.94</v>
      </c>
      <c r="S18" s="19">
        <v>71</v>
      </c>
      <c r="T18" s="19"/>
      <c r="U18" s="19" t="s">
        <v>80</v>
      </c>
    </row>
    <row r="19" spans="1:21" x14ac:dyDescent="0.25">
      <c r="A19" s="19" t="s">
        <v>42</v>
      </c>
      <c r="B19" s="19" t="s">
        <v>24</v>
      </c>
      <c r="C19" s="19" t="s">
        <v>50</v>
      </c>
      <c r="D19" s="19" t="s">
        <v>40</v>
      </c>
      <c r="E19" s="19" t="s">
        <v>69</v>
      </c>
      <c r="F19" s="19">
        <v>253</v>
      </c>
      <c r="G19" s="21">
        <v>843.31</v>
      </c>
      <c r="H19" s="21">
        <v>843.31</v>
      </c>
      <c r="I19" s="21">
        <v>204.99</v>
      </c>
      <c r="J19" s="22">
        <v>0.19554516836783359</v>
      </c>
      <c r="K19" s="21">
        <v>213357.43</v>
      </c>
      <c r="L19" s="21">
        <v>1048.3</v>
      </c>
      <c r="M19" s="21">
        <v>1016.47</v>
      </c>
      <c r="N19" s="21">
        <v>1010.99</v>
      </c>
      <c r="O19" s="21">
        <v>1005.73</v>
      </c>
      <c r="P19" s="21">
        <v>960.29</v>
      </c>
      <c r="Q19" s="21">
        <v>265219.90000000002</v>
      </c>
      <c r="R19" s="21">
        <v>51862.47</v>
      </c>
      <c r="S19" s="19">
        <v>225</v>
      </c>
      <c r="T19" s="19"/>
      <c r="U19" s="19" t="s">
        <v>80</v>
      </c>
    </row>
    <row r="20" spans="1:21" x14ac:dyDescent="0.25">
      <c r="A20" s="19" t="s">
        <v>440</v>
      </c>
      <c r="B20" s="19" t="s">
        <v>28</v>
      </c>
      <c r="C20" s="19" t="s">
        <v>55</v>
      </c>
      <c r="D20" s="19" t="s">
        <v>40</v>
      </c>
      <c r="E20" s="19" t="s">
        <v>68</v>
      </c>
      <c r="F20" s="19">
        <v>38</v>
      </c>
      <c r="G20" s="21">
        <v>1325.5</v>
      </c>
      <c r="H20" s="21">
        <v>1192.95</v>
      </c>
      <c r="I20" s="21">
        <v>151.94999999999999</v>
      </c>
      <c r="J20" s="22">
        <v>0.1129823778719608</v>
      </c>
      <c r="K20" s="21">
        <v>50369</v>
      </c>
      <c r="L20" s="21">
        <v>1344.9</v>
      </c>
      <c r="M20" s="21">
        <v>1187.1300000000001</v>
      </c>
      <c r="N20" s="21">
        <v>1176.3599999999999</v>
      </c>
      <c r="O20" s="21">
        <v>1166.73</v>
      </c>
      <c r="P20" s="21">
        <v>1100.72</v>
      </c>
      <c r="Q20" s="21">
        <v>51106.2</v>
      </c>
      <c r="R20" s="21">
        <v>737.2</v>
      </c>
      <c r="S20" s="19">
        <v>4</v>
      </c>
      <c r="T20" s="19"/>
      <c r="U20" s="19" t="s">
        <v>80</v>
      </c>
    </row>
    <row r="21" spans="1:21" x14ac:dyDescent="0.25">
      <c r="A21" s="19" t="s">
        <v>49</v>
      </c>
      <c r="B21" s="19" t="s">
        <v>24</v>
      </c>
      <c r="C21" s="19" t="s">
        <v>50</v>
      </c>
      <c r="D21" s="19" t="s">
        <v>39</v>
      </c>
      <c r="E21" s="19" t="s">
        <v>68</v>
      </c>
      <c r="F21" s="19">
        <v>16</v>
      </c>
      <c r="G21" s="21">
        <v>3127</v>
      </c>
      <c r="H21" s="21">
        <v>2814.3</v>
      </c>
      <c r="I21" s="21">
        <v>278</v>
      </c>
      <c r="J21" s="22">
        <v>8.9900721146072504E-2</v>
      </c>
      <c r="K21" s="21">
        <v>50032</v>
      </c>
      <c r="L21" s="21">
        <v>3092.3</v>
      </c>
      <c r="M21" s="21">
        <v>3147.77</v>
      </c>
      <c r="N21" s="21">
        <v>3151.04</v>
      </c>
      <c r="O21" s="21">
        <v>3153.58</v>
      </c>
      <c r="P21" s="21">
        <v>3162.32</v>
      </c>
      <c r="Q21" s="21">
        <v>49476.800000000003</v>
      </c>
      <c r="R21" s="21">
        <v>-555.20000000000005</v>
      </c>
      <c r="S21" s="19">
        <v>4</v>
      </c>
      <c r="T21" s="19"/>
      <c r="U21" s="19" t="s">
        <v>80</v>
      </c>
    </row>
    <row r="22" spans="1:21" x14ac:dyDescent="0.25">
      <c r="A22" s="19" t="s">
        <v>316</v>
      </c>
      <c r="B22" s="19" t="s">
        <v>28</v>
      </c>
      <c r="C22" s="19" t="s">
        <v>54</v>
      </c>
      <c r="D22" s="19" t="s">
        <v>40</v>
      </c>
      <c r="E22" s="19" t="s">
        <v>98</v>
      </c>
      <c r="F22" s="19">
        <v>720</v>
      </c>
      <c r="G22" s="21">
        <v>76.739999999999995</v>
      </c>
      <c r="H22" s="21">
        <v>69.069999999999993</v>
      </c>
      <c r="I22" s="21">
        <v>9.27</v>
      </c>
      <c r="J22" s="22">
        <v>0.118330354863416</v>
      </c>
      <c r="K22" s="21">
        <v>55252.800000000003</v>
      </c>
      <c r="L22" s="21">
        <v>78.34</v>
      </c>
      <c r="M22" s="21">
        <v>75.510000000000005</v>
      </c>
      <c r="N22" s="21">
        <v>74.97</v>
      </c>
      <c r="O22" s="21">
        <v>74.459999999999994</v>
      </c>
      <c r="P22" s="21">
        <v>70.319999999999993</v>
      </c>
      <c r="Q22" s="21">
        <v>56404.800000000003</v>
      </c>
      <c r="R22" s="21">
        <v>1152</v>
      </c>
      <c r="S22" s="19">
        <v>123</v>
      </c>
      <c r="T22" s="19"/>
      <c r="U22" s="19" t="s">
        <v>80</v>
      </c>
    </row>
    <row r="23" spans="1:21" x14ac:dyDescent="0.25">
      <c r="A23" s="19" t="s">
        <v>47</v>
      </c>
      <c r="B23" s="19"/>
      <c r="C23" s="19" t="s">
        <v>52</v>
      </c>
      <c r="D23" s="19" t="s">
        <v>40</v>
      </c>
      <c r="E23" s="19" t="s">
        <v>68</v>
      </c>
      <c r="F23" s="19">
        <v>92</v>
      </c>
      <c r="G23" s="21">
        <v>272.58999999999997</v>
      </c>
      <c r="H23" s="21">
        <v>245.33</v>
      </c>
      <c r="I23" s="21">
        <v>22.28</v>
      </c>
      <c r="J23" s="22">
        <v>8.325548372631815E-2</v>
      </c>
      <c r="K23" s="21">
        <v>25078.28</v>
      </c>
      <c r="L23" s="21">
        <v>267.61</v>
      </c>
      <c r="M23" s="21">
        <v>270.54000000000002</v>
      </c>
      <c r="N23" s="21">
        <v>270.92</v>
      </c>
      <c r="O23" s="21">
        <v>271.32</v>
      </c>
      <c r="P23" s="21">
        <v>275.06</v>
      </c>
      <c r="Q23" s="21">
        <v>24620.12</v>
      </c>
      <c r="R23" s="21">
        <v>-458.16</v>
      </c>
      <c r="S23" s="19">
        <v>71</v>
      </c>
      <c r="T23" s="19"/>
      <c r="U23" s="19" t="s">
        <v>80</v>
      </c>
    </row>
    <row r="24" spans="1:21" x14ac:dyDescent="0.25">
      <c r="A24" s="19" t="s">
        <v>285</v>
      </c>
      <c r="B24" s="19" t="s">
        <v>28</v>
      </c>
      <c r="C24" s="19" t="s">
        <v>50</v>
      </c>
      <c r="D24" s="19" t="s">
        <v>40</v>
      </c>
      <c r="E24" s="19" t="s">
        <v>68</v>
      </c>
      <c r="F24" s="19">
        <v>300</v>
      </c>
      <c r="G24" s="21">
        <v>84.49</v>
      </c>
      <c r="H24" s="21">
        <v>76.040000000000006</v>
      </c>
      <c r="I24" s="21">
        <v>12.98</v>
      </c>
      <c r="J24" s="22">
        <v>0.1458099303527296</v>
      </c>
      <c r="K24" s="21">
        <v>25347</v>
      </c>
      <c r="L24" s="21">
        <v>89.02</v>
      </c>
      <c r="M24" s="21">
        <v>87.22</v>
      </c>
      <c r="N24" s="21">
        <v>86.81</v>
      </c>
      <c r="O24" s="21">
        <v>86.41</v>
      </c>
      <c r="P24" s="21">
        <v>83.21</v>
      </c>
      <c r="Q24" s="21">
        <v>26706</v>
      </c>
      <c r="R24" s="21">
        <v>1359</v>
      </c>
      <c r="S24" s="19">
        <v>137</v>
      </c>
      <c r="T24" s="19"/>
      <c r="U24" s="19" t="s">
        <v>80</v>
      </c>
    </row>
    <row r="25" spans="1:21" x14ac:dyDescent="0.25">
      <c r="A25" s="19" t="s">
        <v>413</v>
      </c>
      <c r="B25" s="19" t="s">
        <v>26</v>
      </c>
      <c r="C25" s="19" t="s">
        <v>50</v>
      </c>
      <c r="D25" s="19" t="s">
        <v>40</v>
      </c>
      <c r="E25" s="19" t="s">
        <v>96</v>
      </c>
      <c r="F25" s="19">
        <v>70</v>
      </c>
      <c r="G25" s="21">
        <v>1422.61</v>
      </c>
      <c r="H25" s="21">
        <v>1280.3499999999999</v>
      </c>
      <c r="I25" s="21">
        <v>249.45</v>
      </c>
      <c r="J25" s="22">
        <v>0.1630605307883384</v>
      </c>
      <c r="K25" s="21">
        <v>99582.7</v>
      </c>
      <c r="L25" s="21">
        <v>1529.8</v>
      </c>
      <c r="M25" s="21">
        <v>1355.76</v>
      </c>
      <c r="N25" s="21">
        <v>1343.42</v>
      </c>
      <c r="O25" s="21">
        <v>1333.09</v>
      </c>
      <c r="P25" s="21">
        <v>1280.92</v>
      </c>
      <c r="Q25" s="21">
        <v>107086</v>
      </c>
      <c r="R25" s="21">
        <v>7503.3</v>
      </c>
      <c r="S25" s="19">
        <v>15</v>
      </c>
      <c r="T25" s="19"/>
      <c r="U25" s="19" t="s">
        <v>80</v>
      </c>
    </row>
    <row r="26" spans="1:21" x14ac:dyDescent="0.25">
      <c r="A26" s="19" t="s">
        <v>41</v>
      </c>
      <c r="B26" s="19" t="s">
        <v>24</v>
      </c>
      <c r="C26" s="19" t="s">
        <v>50</v>
      </c>
      <c r="D26" s="19" t="s">
        <v>39</v>
      </c>
      <c r="E26" s="19" t="s">
        <v>64</v>
      </c>
      <c r="F26" s="19">
        <v>50</v>
      </c>
      <c r="G26" s="21">
        <v>7728.94</v>
      </c>
      <c r="H26" s="21">
        <v>8630.76</v>
      </c>
      <c r="I26" s="21">
        <v>531.74</v>
      </c>
      <c r="J26" s="22">
        <v>5.8034379263301468E-2</v>
      </c>
      <c r="K26" s="21">
        <v>386447</v>
      </c>
      <c r="L26" s="21">
        <v>9162.5</v>
      </c>
      <c r="M26" s="21">
        <v>8992.02</v>
      </c>
      <c r="N26" s="21">
        <v>8959.18</v>
      </c>
      <c r="O26" s="21">
        <v>8926.2099999999991</v>
      </c>
      <c r="P26" s="21">
        <v>8630.76</v>
      </c>
      <c r="Q26" s="21">
        <v>458125</v>
      </c>
      <c r="R26" s="21">
        <v>71678</v>
      </c>
      <c r="S26" s="19">
        <v>253</v>
      </c>
      <c r="T26" s="19"/>
      <c r="U26" s="19" t="s">
        <v>80</v>
      </c>
    </row>
    <row r="27" spans="1:21" x14ac:dyDescent="0.25">
      <c r="A27" s="19" t="s">
        <v>335</v>
      </c>
      <c r="B27" s="19" t="s">
        <v>26</v>
      </c>
      <c r="C27" s="19" t="s">
        <v>50</v>
      </c>
      <c r="D27" s="19" t="s">
        <v>40</v>
      </c>
      <c r="E27" s="19" t="s">
        <v>98</v>
      </c>
      <c r="F27" s="19">
        <v>42</v>
      </c>
      <c r="G27" s="21">
        <v>1353.87</v>
      </c>
      <c r="H27" s="21">
        <v>1218.48</v>
      </c>
      <c r="I27" s="21">
        <v>343.12</v>
      </c>
      <c r="J27" s="22">
        <v>0.21972336065573761</v>
      </c>
      <c r="K27" s="21">
        <v>56862.54</v>
      </c>
      <c r="L27" s="21">
        <v>1561.6</v>
      </c>
      <c r="M27" s="21">
        <v>1499.56</v>
      </c>
      <c r="N27" s="21">
        <v>1489.44</v>
      </c>
      <c r="O27" s="21">
        <v>1478.96</v>
      </c>
      <c r="P27" s="21">
        <v>1375.13</v>
      </c>
      <c r="Q27" s="21">
        <v>65587.199999999997</v>
      </c>
      <c r="R27" s="21">
        <v>8724.66</v>
      </c>
      <c r="S27" s="19">
        <v>109</v>
      </c>
      <c r="T27" s="19"/>
      <c r="U27" s="19" t="s">
        <v>80</v>
      </c>
    </row>
    <row r="28" spans="1:21" x14ac:dyDescent="0.25">
      <c r="A28" s="19" t="s">
        <v>400</v>
      </c>
      <c r="B28" s="19" t="s">
        <v>24</v>
      </c>
      <c r="C28" s="19" t="s">
        <v>50</v>
      </c>
      <c r="D28" s="19" t="s">
        <v>39</v>
      </c>
      <c r="E28" s="19" t="s">
        <v>68</v>
      </c>
      <c r="F28" s="19">
        <v>2</v>
      </c>
      <c r="G28" s="21">
        <v>13021</v>
      </c>
      <c r="H28" s="21">
        <v>11718.9</v>
      </c>
      <c r="I28" s="21">
        <v>6397.1</v>
      </c>
      <c r="J28" s="22">
        <v>0.35311879001987201</v>
      </c>
      <c r="K28" s="21">
        <v>26042</v>
      </c>
      <c r="L28" s="21">
        <v>18116</v>
      </c>
      <c r="M28" s="21">
        <v>16880.240000000002</v>
      </c>
      <c r="N28" s="21">
        <v>16786.32</v>
      </c>
      <c r="O28" s="21">
        <v>16699.8</v>
      </c>
      <c r="P28" s="21">
        <v>16053.77</v>
      </c>
      <c r="Q28" s="21">
        <v>36232</v>
      </c>
      <c r="R28" s="21">
        <v>10190</v>
      </c>
      <c r="S28" s="19">
        <v>60</v>
      </c>
      <c r="T28" s="19"/>
      <c r="U28" s="19" t="s">
        <v>80</v>
      </c>
    </row>
    <row r="29" spans="1:21" x14ac:dyDescent="0.25">
      <c r="A29" s="19" t="s">
        <v>45</v>
      </c>
      <c r="B29" s="19" t="s">
        <v>24</v>
      </c>
      <c r="C29" s="19" t="s">
        <v>55</v>
      </c>
      <c r="D29" s="19" t="s">
        <v>40</v>
      </c>
      <c r="E29" s="19" t="s">
        <v>68</v>
      </c>
      <c r="F29" s="19">
        <v>26</v>
      </c>
      <c r="G29" s="21">
        <v>1899.2</v>
      </c>
      <c r="H29" s="21">
        <v>1709.28</v>
      </c>
      <c r="I29" s="21">
        <v>173.02</v>
      </c>
      <c r="J29" s="22">
        <v>9.1919460234819103E-2</v>
      </c>
      <c r="K29" s="21">
        <v>49379.199999999997</v>
      </c>
      <c r="L29" s="21">
        <v>1882.3</v>
      </c>
      <c r="M29" s="21">
        <v>1793.32</v>
      </c>
      <c r="N29" s="21">
        <v>1787.71</v>
      </c>
      <c r="O29" s="21">
        <v>1782.81</v>
      </c>
      <c r="P29" s="21">
        <v>1753.02</v>
      </c>
      <c r="Q29" s="21">
        <v>48939.8</v>
      </c>
      <c r="R29" s="21">
        <v>-439.4</v>
      </c>
      <c r="S29" s="19">
        <v>1</v>
      </c>
      <c r="T29" s="19"/>
      <c r="U29" s="19" t="s">
        <v>80</v>
      </c>
    </row>
    <row r="30" spans="1:21" x14ac:dyDescent="0.25">
      <c r="A30" s="19" t="s">
        <v>38</v>
      </c>
      <c r="B30" s="19" t="s">
        <v>26</v>
      </c>
      <c r="C30" s="19" t="s">
        <v>50</v>
      </c>
      <c r="D30" s="19" t="s">
        <v>39</v>
      </c>
      <c r="E30" s="19" t="s">
        <v>69</v>
      </c>
      <c r="F30" s="19">
        <v>296</v>
      </c>
      <c r="G30" s="21">
        <v>928.29</v>
      </c>
      <c r="H30" s="21">
        <v>958.06</v>
      </c>
      <c r="I30" s="21">
        <v>298.24</v>
      </c>
      <c r="J30" s="22">
        <v>0.2373955265462071</v>
      </c>
      <c r="K30" s="21">
        <v>274773.84000000003</v>
      </c>
      <c r="L30" s="21">
        <v>1256.3</v>
      </c>
      <c r="M30" s="21">
        <v>1232.7</v>
      </c>
      <c r="N30" s="21">
        <v>1226.6600000000001</v>
      </c>
      <c r="O30" s="21">
        <v>1220.6600000000001</v>
      </c>
      <c r="P30" s="21">
        <v>1162.77</v>
      </c>
      <c r="Q30" s="21">
        <v>371864.8</v>
      </c>
      <c r="R30" s="21">
        <v>97090.96</v>
      </c>
      <c r="S30" s="19">
        <v>96</v>
      </c>
      <c r="T30" s="19"/>
      <c r="U30" s="19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3"/>
  <sheetViews>
    <sheetView workbookViewId="0">
      <selection activeCell="N2" sqref="N2:O22"/>
    </sheetView>
  </sheetViews>
  <sheetFormatPr defaultRowHeight="15" x14ac:dyDescent="0.25"/>
  <cols>
    <col min="1" max="1" width="15.140625" customWidth="1"/>
    <col min="9" max="9" width="16.85546875" customWidth="1"/>
    <col min="14" max="14" width="14.140625" customWidth="1"/>
  </cols>
  <sheetData>
    <row r="1" spans="1:15" x14ac:dyDescent="0.25">
      <c r="A1" t="s">
        <v>297</v>
      </c>
      <c r="B1" t="s">
        <v>482</v>
      </c>
      <c r="I1" s="2" t="s">
        <v>71</v>
      </c>
      <c r="J1" t="s">
        <v>482</v>
      </c>
    </row>
    <row r="2" spans="1:15" x14ac:dyDescent="0.25">
      <c r="A2" t="s">
        <v>416</v>
      </c>
      <c r="B2" t="s">
        <v>482</v>
      </c>
      <c r="I2" s="2" t="s">
        <v>297</v>
      </c>
      <c r="J2" t="s">
        <v>482</v>
      </c>
      <c r="N2" s="3" t="s">
        <v>71</v>
      </c>
      <c r="O2" t="s">
        <v>482</v>
      </c>
    </row>
    <row r="3" spans="1:15" x14ac:dyDescent="0.25">
      <c r="A3" t="s">
        <v>51</v>
      </c>
      <c r="B3" t="s">
        <v>482</v>
      </c>
      <c r="I3" s="2" t="s">
        <v>416</v>
      </c>
      <c r="J3" t="s">
        <v>482</v>
      </c>
      <c r="N3" s="3" t="s">
        <v>297</v>
      </c>
      <c r="O3" t="s">
        <v>482</v>
      </c>
    </row>
    <row r="4" spans="1:15" x14ac:dyDescent="0.25">
      <c r="A4" t="s">
        <v>238</v>
      </c>
      <c r="B4" t="s">
        <v>482</v>
      </c>
      <c r="I4" s="2" t="s">
        <v>51</v>
      </c>
      <c r="J4" t="s">
        <v>482</v>
      </c>
      <c r="N4" s="3" t="s">
        <v>416</v>
      </c>
      <c r="O4" t="s">
        <v>482</v>
      </c>
    </row>
    <row r="5" spans="1:15" x14ac:dyDescent="0.25">
      <c r="A5" t="s">
        <v>332</v>
      </c>
      <c r="B5" t="s">
        <v>482</v>
      </c>
      <c r="I5" s="2" t="s">
        <v>238</v>
      </c>
      <c r="J5" t="s">
        <v>482</v>
      </c>
      <c r="N5" s="3" t="s">
        <v>51</v>
      </c>
      <c r="O5" t="s">
        <v>482</v>
      </c>
    </row>
    <row r="6" spans="1:15" x14ac:dyDescent="0.25">
      <c r="A6" t="s">
        <v>100</v>
      </c>
      <c r="B6" t="s">
        <v>482</v>
      </c>
      <c r="I6" s="2" t="s">
        <v>100</v>
      </c>
      <c r="J6" t="s">
        <v>482</v>
      </c>
      <c r="N6" s="3" t="s">
        <v>72</v>
      </c>
      <c r="O6" t="s">
        <v>482</v>
      </c>
    </row>
    <row r="7" spans="1:15" x14ac:dyDescent="0.25">
      <c r="A7" t="s">
        <v>97</v>
      </c>
      <c r="B7" t="s">
        <v>482</v>
      </c>
      <c r="I7" s="2" t="s">
        <v>97</v>
      </c>
      <c r="J7" t="s">
        <v>482</v>
      </c>
      <c r="N7" s="3" t="s">
        <v>70</v>
      </c>
      <c r="O7" t="s">
        <v>482</v>
      </c>
    </row>
    <row r="8" spans="1:15" x14ac:dyDescent="0.25">
      <c r="A8" t="s">
        <v>44</v>
      </c>
      <c r="B8" t="s">
        <v>482</v>
      </c>
      <c r="I8" s="2" t="s">
        <v>44</v>
      </c>
      <c r="J8" t="s">
        <v>482</v>
      </c>
      <c r="N8" s="3" t="s">
        <v>100</v>
      </c>
      <c r="O8" t="s">
        <v>482</v>
      </c>
    </row>
    <row r="9" spans="1:15" x14ac:dyDescent="0.25">
      <c r="A9" t="s">
        <v>43</v>
      </c>
      <c r="B9" t="s">
        <v>482</v>
      </c>
      <c r="I9" s="2" t="s">
        <v>43</v>
      </c>
      <c r="J9" t="s">
        <v>482</v>
      </c>
      <c r="N9" s="3" t="s">
        <v>97</v>
      </c>
      <c r="O9" t="s">
        <v>482</v>
      </c>
    </row>
    <row r="10" spans="1:15" x14ac:dyDescent="0.25">
      <c r="A10" t="s">
        <v>101</v>
      </c>
      <c r="B10" t="s">
        <v>482</v>
      </c>
      <c r="I10" s="2" t="s">
        <v>101</v>
      </c>
      <c r="J10" t="s">
        <v>482</v>
      </c>
      <c r="N10" s="3" t="s">
        <v>44</v>
      </c>
      <c r="O10" t="s">
        <v>482</v>
      </c>
    </row>
    <row r="11" spans="1:15" x14ac:dyDescent="0.25">
      <c r="A11" t="s">
        <v>94</v>
      </c>
      <c r="B11" t="s">
        <v>482</v>
      </c>
      <c r="I11" s="2" t="s">
        <v>94</v>
      </c>
      <c r="J11" t="s">
        <v>482</v>
      </c>
      <c r="N11" s="3" t="s">
        <v>43</v>
      </c>
      <c r="O11" t="s">
        <v>482</v>
      </c>
    </row>
    <row r="12" spans="1:15" x14ac:dyDescent="0.25">
      <c r="A12" t="s">
        <v>99</v>
      </c>
      <c r="B12" t="s">
        <v>482</v>
      </c>
      <c r="I12" s="2" t="s">
        <v>99</v>
      </c>
      <c r="J12" t="s">
        <v>482</v>
      </c>
      <c r="N12" s="3" t="s">
        <v>101</v>
      </c>
      <c r="O12" t="s">
        <v>482</v>
      </c>
    </row>
    <row r="13" spans="1:15" x14ac:dyDescent="0.25">
      <c r="A13" t="s">
        <v>42</v>
      </c>
      <c r="B13" t="s">
        <v>482</v>
      </c>
      <c r="I13" s="2" t="s">
        <v>42</v>
      </c>
      <c r="J13" t="s">
        <v>482</v>
      </c>
      <c r="N13" s="3" t="s">
        <v>94</v>
      </c>
      <c r="O13" t="s">
        <v>482</v>
      </c>
    </row>
    <row r="14" spans="1:15" x14ac:dyDescent="0.25">
      <c r="A14" t="s">
        <v>222</v>
      </c>
      <c r="B14" t="s">
        <v>482</v>
      </c>
      <c r="I14" s="2" t="s">
        <v>440</v>
      </c>
      <c r="J14" t="s">
        <v>482</v>
      </c>
      <c r="N14" s="3" t="s">
        <v>99</v>
      </c>
      <c r="O14" t="s">
        <v>482</v>
      </c>
    </row>
    <row r="15" spans="1:15" x14ac:dyDescent="0.25">
      <c r="A15" t="s">
        <v>232</v>
      </c>
      <c r="B15" t="s">
        <v>482</v>
      </c>
      <c r="I15" s="2" t="s">
        <v>316</v>
      </c>
      <c r="J15" t="s">
        <v>482</v>
      </c>
      <c r="N15" s="3" t="s">
        <v>42</v>
      </c>
      <c r="O15" t="s">
        <v>482</v>
      </c>
    </row>
    <row r="16" spans="1:15" x14ac:dyDescent="0.25">
      <c r="A16" t="s">
        <v>316</v>
      </c>
      <c r="B16" t="s">
        <v>482</v>
      </c>
      <c r="I16" s="2" t="s">
        <v>47</v>
      </c>
      <c r="J16" t="s">
        <v>482</v>
      </c>
      <c r="N16" s="3" t="s">
        <v>440</v>
      </c>
      <c r="O16" t="s">
        <v>482</v>
      </c>
    </row>
    <row r="17" spans="1:15" x14ac:dyDescent="0.25">
      <c r="A17" t="s">
        <v>404</v>
      </c>
      <c r="B17" t="s">
        <v>482</v>
      </c>
      <c r="I17" s="2" t="s">
        <v>285</v>
      </c>
      <c r="J17" t="s">
        <v>482</v>
      </c>
      <c r="N17" s="3" t="s">
        <v>316</v>
      </c>
      <c r="O17" t="s">
        <v>482</v>
      </c>
    </row>
    <row r="18" spans="1:15" x14ac:dyDescent="0.25">
      <c r="A18" t="s">
        <v>47</v>
      </c>
      <c r="B18" t="s">
        <v>482</v>
      </c>
      <c r="I18" s="2" t="s">
        <v>413</v>
      </c>
      <c r="J18" t="s">
        <v>482</v>
      </c>
      <c r="N18" s="3" t="s">
        <v>47</v>
      </c>
      <c r="O18" t="s">
        <v>482</v>
      </c>
    </row>
    <row r="19" spans="1:15" x14ac:dyDescent="0.25">
      <c r="A19" t="s">
        <v>285</v>
      </c>
      <c r="B19" t="s">
        <v>482</v>
      </c>
      <c r="I19" s="2" t="s">
        <v>335</v>
      </c>
      <c r="N19" s="3" t="s">
        <v>285</v>
      </c>
      <c r="O19" t="s">
        <v>482</v>
      </c>
    </row>
    <row r="20" spans="1:15" x14ac:dyDescent="0.25">
      <c r="A20" t="s">
        <v>413</v>
      </c>
      <c r="B20" t="s">
        <v>482</v>
      </c>
      <c r="N20" s="3" t="s">
        <v>413</v>
      </c>
      <c r="O20" t="s">
        <v>482</v>
      </c>
    </row>
    <row r="21" spans="1:15" x14ac:dyDescent="0.25">
      <c r="A21" t="s">
        <v>235</v>
      </c>
      <c r="B21" t="s">
        <v>482</v>
      </c>
      <c r="N21" s="3" t="s">
        <v>335</v>
      </c>
      <c r="O21" t="s">
        <v>482</v>
      </c>
    </row>
    <row r="22" spans="1:15" x14ac:dyDescent="0.25">
      <c r="A22" t="s">
        <v>335</v>
      </c>
      <c r="B22" t="s">
        <v>482</v>
      </c>
      <c r="N22" s="3" t="s">
        <v>45</v>
      </c>
    </row>
    <row r="23" spans="1:15" x14ac:dyDescent="0.25">
      <c r="A23" t="s">
        <v>367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6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11" customWidth="1"/>
    <col min="3" max="3" width="24" customWidth="1"/>
    <col min="4" max="4" width="19" customWidth="1"/>
    <col min="5" max="5" width="16" customWidth="1"/>
    <col min="6" max="6" width="20" customWidth="1"/>
    <col min="7" max="7" width="25" customWidth="1"/>
    <col min="8" max="8" width="19" customWidth="1"/>
    <col min="9" max="9" width="21" customWidth="1"/>
    <col min="10" max="10" width="25" customWidth="1"/>
    <col min="11" max="11" width="20" customWidth="1"/>
    <col min="12" max="12" width="18" customWidth="1"/>
    <col min="13" max="13" width="16" customWidth="1"/>
    <col min="14" max="14" width="14" customWidth="1"/>
    <col min="15" max="18" width="16" customWidth="1"/>
    <col min="19" max="19" width="29" customWidth="1"/>
    <col min="20" max="20" width="16" customWidth="1"/>
    <col min="21" max="21" width="25" customWidth="1"/>
    <col min="22" max="22" width="14" customWidth="1"/>
  </cols>
  <sheetData>
    <row r="1" spans="1:22" x14ac:dyDescent="0.25">
      <c r="A1" s="18" t="s">
        <v>33</v>
      </c>
      <c r="B1" s="18" t="s">
        <v>74</v>
      </c>
      <c r="C1" s="18" t="s">
        <v>465</v>
      </c>
      <c r="D1" s="18" t="s">
        <v>466</v>
      </c>
      <c r="E1" s="18" t="s">
        <v>467</v>
      </c>
      <c r="F1" s="18" t="s">
        <v>483</v>
      </c>
      <c r="G1" s="18" t="s">
        <v>484</v>
      </c>
      <c r="H1" s="18" t="s">
        <v>469</v>
      </c>
      <c r="I1" s="18" t="s">
        <v>485</v>
      </c>
      <c r="J1" s="18" t="s">
        <v>486</v>
      </c>
      <c r="K1" s="18" t="s">
        <v>487</v>
      </c>
      <c r="L1" s="18" t="s">
        <v>468</v>
      </c>
      <c r="M1" s="18" t="s">
        <v>472</v>
      </c>
      <c r="N1" s="18" t="s">
        <v>57</v>
      </c>
      <c r="O1" s="18" t="s">
        <v>477</v>
      </c>
      <c r="P1" s="18" t="s">
        <v>488</v>
      </c>
      <c r="Q1" s="18" t="s">
        <v>478</v>
      </c>
      <c r="R1" s="18" t="s">
        <v>489</v>
      </c>
      <c r="S1" s="18" t="s">
        <v>490</v>
      </c>
      <c r="T1" s="18" t="s">
        <v>479</v>
      </c>
      <c r="U1" s="18" t="s">
        <v>480</v>
      </c>
      <c r="V1" s="18" t="s">
        <v>481</v>
      </c>
    </row>
    <row r="2" spans="1:22" x14ac:dyDescent="0.25">
      <c r="A2" s="19" t="s">
        <v>445</v>
      </c>
      <c r="B2" s="19" t="s">
        <v>26</v>
      </c>
      <c r="C2" s="19" t="s">
        <v>55</v>
      </c>
      <c r="D2" s="19" t="s">
        <v>39</v>
      </c>
      <c r="E2" s="19" t="s">
        <v>68</v>
      </c>
      <c r="F2" s="19">
        <v>18</v>
      </c>
      <c r="G2" s="21">
        <v>49140</v>
      </c>
      <c r="H2" s="21">
        <v>2730</v>
      </c>
      <c r="I2" s="19">
        <v>0</v>
      </c>
      <c r="J2" s="21">
        <v>0</v>
      </c>
      <c r="K2" s="21">
        <v>0</v>
      </c>
      <c r="L2" s="19">
        <v>18</v>
      </c>
      <c r="M2" s="21">
        <v>49140</v>
      </c>
      <c r="N2" s="21">
        <v>2886.5</v>
      </c>
      <c r="O2" s="21">
        <v>51957</v>
      </c>
      <c r="P2" s="21">
        <v>0</v>
      </c>
      <c r="Q2" s="21">
        <v>2817</v>
      </c>
      <c r="R2" s="21">
        <v>2817</v>
      </c>
      <c r="S2" s="22">
        <v>5.7326007326007317E-2</v>
      </c>
      <c r="T2" s="19">
        <v>4</v>
      </c>
      <c r="U2" s="19"/>
      <c r="V2" s="19" t="s">
        <v>80</v>
      </c>
    </row>
    <row r="3" spans="1:22" x14ac:dyDescent="0.25">
      <c r="A3" s="19" t="s">
        <v>71</v>
      </c>
      <c r="B3" s="19" t="s">
        <v>24</v>
      </c>
      <c r="C3" s="19" t="s">
        <v>50</v>
      </c>
      <c r="D3" s="19" t="s">
        <v>40</v>
      </c>
      <c r="E3" s="19" t="s">
        <v>68</v>
      </c>
      <c r="F3" s="19">
        <v>19</v>
      </c>
      <c r="G3" s="21">
        <v>51816.800000000003</v>
      </c>
      <c r="H3" s="21">
        <v>2727.2</v>
      </c>
      <c r="I3" s="19">
        <v>0</v>
      </c>
      <c r="J3" s="21">
        <v>0</v>
      </c>
      <c r="K3" s="21">
        <v>0</v>
      </c>
      <c r="L3" s="19">
        <v>19</v>
      </c>
      <c r="M3" s="21">
        <v>51816.800000000003</v>
      </c>
      <c r="N3" s="21">
        <v>2725</v>
      </c>
      <c r="O3" s="21">
        <v>51775</v>
      </c>
      <c r="P3" s="21">
        <v>0</v>
      </c>
      <c r="Q3" s="21">
        <v>-41.8</v>
      </c>
      <c r="R3" s="21">
        <v>-41.8</v>
      </c>
      <c r="S3" s="22">
        <v>-8.0668817835142256E-4</v>
      </c>
      <c r="T3" s="19">
        <v>4</v>
      </c>
      <c r="U3" s="19"/>
      <c r="V3" s="19" t="s">
        <v>80</v>
      </c>
    </row>
    <row r="4" spans="1:22" x14ac:dyDescent="0.25">
      <c r="A4" s="19" t="s">
        <v>297</v>
      </c>
      <c r="B4" s="19" t="s">
        <v>28</v>
      </c>
      <c r="C4" s="19" t="s">
        <v>55</v>
      </c>
      <c r="D4" s="19" t="s">
        <v>40</v>
      </c>
      <c r="E4" s="19" t="s">
        <v>96</v>
      </c>
      <c r="F4" s="19">
        <v>14</v>
      </c>
      <c r="G4" s="21">
        <v>43885.2</v>
      </c>
      <c r="H4" s="21">
        <v>3134.66</v>
      </c>
      <c r="I4" s="19">
        <v>0</v>
      </c>
      <c r="J4" s="21">
        <v>0</v>
      </c>
      <c r="K4" s="21">
        <v>0</v>
      </c>
      <c r="L4" s="19">
        <v>14</v>
      </c>
      <c r="M4" s="21">
        <v>43885.24</v>
      </c>
      <c r="N4" s="21">
        <v>3248.2</v>
      </c>
      <c r="O4" s="21">
        <v>45474.8</v>
      </c>
      <c r="P4" s="21">
        <v>0</v>
      </c>
      <c r="Q4" s="21">
        <v>1589.56</v>
      </c>
      <c r="R4" s="21">
        <v>1589.56</v>
      </c>
      <c r="S4" s="22">
        <v>3.6220867171620499E-2</v>
      </c>
      <c r="T4" s="19">
        <v>134</v>
      </c>
      <c r="U4" s="19"/>
      <c r="V4" s="19" t="s">
        <v>80</v>
      </c>
    </row>
    <row r="5" spans="1:22" x14ac:dyDescent="0.25">
      <c r="A5" s="19" t="s">
        <v>53</v>
      </c>
      <c r="B5" s="19" t="s">
        <v>28</v>
      </c>
      <c r="C5" s="19" t="s">
        <v>50</v>
      </c>
      <c r="D5" s="19" t="s">
        <v>39</v>
      </c>
      <c r="E5" s="19" t="s">
        <v>62</v>
      </c>
      <c r="F5" s="19">
        <v>96</v>
      </c>
      <c r="G5" s="21">
        <v>201677.10449999999</v>
      </c>
      <c r="H5" s="21">
        <v>2100.8000000000002</v>
      </c>
      <c r="I5" s="19">
        <v>0</v>
      </c>
      <c r="J5" s="21">
        <v>0</v>
      </c>
      <c r="K5" s="21">
        <v>0</v>
      </c>
      <c r="L5" s="19">
        <v>96</v>
      </c>
      <c r="M5" s="21">
        <v>201676.79999999999</v>
      </c>
      <c r="N5" s="21">
        <v>1864.5</v>
      </c>
      <c r="O5" s="21">
        <v>178992</v>
      </c>
      <c r="P5" s="21">
        <v>0</v>
      </c>
      <c r="Q5" s="21">
        <v>-22684.799999999999</v>
      </c>
      <c r="R5" s="21">
        <v>-22684.799999999999</v>
      </c>
      <c r="S5" s="22">
        <v>-0.11248078980626181</v>
      </c>
      <c r="T5" s="19">
        <v>99</v>
      </c>
      <c r="U5" s="19"/>
      <c r="V5" s="19" t="s">
        <v>80</v>
      </c>
    </row>
    <row r="6" spans="1:22" x14ac:dyDescent="0.25">
      <c r="A6" s="19" t="s">
        <v>416</v>
      </c>
      <c r="B6" s="19" t="s">
        <v>26</v>
      </c>
      <c r="C6" s="19" t="s">
        <v>50</v>
      </c>
      <c r="D6" s="19" t="s">
        <v>40</v>
      </c>
      <c r="E6" s="19" t="s">
        <v>68</v>
      </c>
      <c r="F6" s="19">
        <v>171</v>
      </c>
      <c r="G6" s="21">
        <v>50248.350000000013</v>
      </c>
      <c r="H6" s="21">
        <v>293.85000000000002</v>
      </c>
      <c r="I6" s="19">
        <v>0</v>
      </c>
      <c r="J6" s="21">
        <v>0</v>
      </c>
      <c r="K6" s="21">
        <v>0</v>
      </c>
      <c r="L6" s="19">
        <v>171</v>
      </c>
      <c r="M6" s="21">
        <v>50248.35</v>
      </c>
      <c r="N6" s="21">
        <v>340.7</v>
      </c>
      <c r="O6" s="21">
        <v>58259.7</v>
      </c>
      <c r="P6" s="21">
        <v>0</v>
      </c>
      <c r="Q6" s="21">
        <v>8011.35</v>
      </c>
      <c r="R6" s="21">
        <v>8011.35</v>
      </c>
      <c r="S6" s="22">
        <v>0.15943508592819461</v>
      </c>
      <c r="T6" s="19">
        <v>15</v>
      </c>
      <c r="U6" s="19"/>
      <c r="V6" s="19" t="s">
        <v>80</v>
      </c>
    </row>
    <row r="7" spans="1:22" x14ac:dyDescent="0.25">
      <c r="A7" s="19" t="s">
        <v>51</v>
      </c>
      <c r="B7" s="19" t="s">
        <v>26</v>
      </c>
      <c r="C7" s="19" t="s">
        <v>50</v>
      </c>
      <c r="D7" s="19" t="s">
        <v>40</v>
      </c>
      <c r="E7" s="19" t="s">
        <v>68</v>
      </c>
      <c r="F7" s="19">
        <v>44</v>
      </c>
      <c r="G7" s="21">
        <v>50228.2</v>
      </c>
      <c r="H7" s="21">
        <v>1141.55</v>
      </c>
      <c r="I7" s="19">
        <v>0</v>
      </c>
      <c r="J7" s="21">
        <v>0</v>
      </c>
      <c r="K7" s="21">
        <v>0</v>
      </c>
      <c r="L7" s="19">
        <v>44</v>
      </c>
      <c r="M7" s="21">
        <v>50228.2</v>
      </c>
      <c r="N7" s="21">
        <v>1092.7</v>
      </c>
      <c r="O7" s="21">
        <v>48078.8</v>
      </c>
      <c r="P7" s="21">
        <v>0</v>
      </c>
      <c r="Q7" s="21">
        <v>-2149.4</v>
      </c>
      <c r="R7" s="21">
        <v>-2149.4</v>
      </c>
      <c r="S7" s="22">
        <v>-4.2792694143927119E-2</v>
      </c>
      <c r="T7" s="19">
        <v>22</v>
      </c>
      <c r="U7" s="19"/>
      <c r="V7" s="19" t="s">
        <v>80</v>
      </c>
    </row>
    <row r="8" spans="1:22" x14ac:dyDescent="0.25">
      <c r="A8" s="19" t="s">
        <v>72</v>
      </c>
      <c r="B8" s="19" t="s">
        <v>28</v>
      </c>
      <c r="C8" s="19" t="s">
        <v>55</v>
      </c>
      <c r="D8" s="19" t="s">
        <v>40</v>
      </c>
      <c r="E8" s="19" t="s">
        <v>68</v>
      </c>
      <c r="F8" s="19">
        <v>33</v>
      </c>
      <c r="G8" s="21">
        <v>49684.800000000003</v>
      </c>
      <c r="H8" s="21">
        <v>1505.6</v>
      </c>
      <c r="I8" s="19">
        <v>0</v>
      </c>
      <c r="J8" s="21">
        <v>0</v>
      </c>
      <c r="K8" s="21">
        <v>0</v>
      </c>
      <c r="L8" s="19">
        <v>33</v>
      </c>
      <c r="M8" s="21">
        <v>49684.800000000003</v>
      </c>
      <c r="N8" s="21">
        <v>1512.8</v>
      </c>
      <c r="O8" s="21">
        <v>49922.400000000001</v>
      </c>
      <c r="P8" s="21">
        <v>0</v>
      </c>
      <c r="Q8" s="21">
        <v>237.6</v>
      </c>
      <c r="R8" s="21">
        <v>237.6</v>
      </c>
      <c r="S8" s="22">
        <v>4.7821466524973436E-3</v>
      </c>
      <c r="T8" s="19">
        <v>1</v>
      </c>
      <c r="U8" s="19"/>
      <c r="V8" s="19" t="s">
        <v>80</v>
      </c>
    </row>
    <row r="9" spans="1:22" x14ac:dyDescent="0.25">
      <c r="A9" s="19" t="s">
        <v>145</v>
      </c>
      <c r="B9" s="19" t="s">
        <v>26</v>
      </c>
      <c r="C9" s="19" t="s">
        <v>491</v>
      </c>
      <c r="D9" s="19" t="s">
        <v>40</v>
      </c>
      <c r="E9" s="19" t="s">
        <v>98</v>
      </c>
      <c r="F9" s="19">
        <v>671</v>
      </c>
      <c r="G9" s="21">
        <v>129693.78</v>
      </c>
      <c r="H9" s="21">
        <v>193.28</v>
      </c>
      <c r="I9" s="19">
        <v>671</v>
      </c>
      <c r="J9" s="21">
        <v>120337.14</v>
      </c>
      <c r="K9" s="21">
        <v>179.34</v>
      </c>
      <c r="L9" s="19">
        <v>0</v>
      </c>
      <c r="M9" s="21">
        <v>0</v>
      </c>
      <c r="N9" s="21">
        <v>151.34</v>
      </c>
      <c r="O9" s="21">
        <v>0</v>
      </c>
      <c r="P9" s="21">
        <v>-9353.74</v>
      </c>
      <c r="Q9" s="21">
        <v>0</v>
      </c>
      <c r="R9" s="21">
        <v>-9353.74</v>
      </c>
      <c r="S9" s="22">
        <v>-7.2121731666699815E-2</v>
      </c>
      <c r="T9" s="19">
        <v>41</v>
      </c>
      <c r="U9" s="19"/>
      <c r="V9" s="19" t="s">
        <v>80</v>
      </c>
    </row>
    <row r="10" spans="1:22" x14ac:dyDescent="0.25">
      <c r="A10" s="19" t="s">
        <v>198</v>
      </c>
      <c r="B10" s="19" t="s">
        <v>24</v>
      </c>
      <c r="C10" s="19" t="s">
        <v>54</v>
      </c>
      <c r="D10" s="19" t="s">
        <v>39</v>
      </c>
      <c r="E10" s="19" t="s">
        <v>463</v>
      </c>
      <c r="F10" s="19">
        <v>94</v>
      </c>
      <c r="G10" s="21">
        <v>100072.4</v>
      </c>
      <c r="H10" s="21">
        <v>1064.5999999999999</v>
      </c>
      <c r="I10" s="19">
        <v>94</v>
      </c>
      <c r="J10" s="21">
        <v>84426.099999999991</v>
      </c>
      <c r="K10" s="21">
        <v>898.15</v>
      </c>
      <c r="L10" s="19">
        <v>0</v>
      </c>
      <c r="M10" s="21">
        <v>0</v>
      </c>
      <c r="N10" s="21">
        <v>923.55</v>
      </c>
      <c r="O10" s="21">
        <v>0</v>
      </c>
      <c r="P10" s="21">
        <v>-15646.3</v>
      </c>
      <c r="Q10" s="21">
        <v>0</v>
      </c>
      <c r="R10" s="21">
        <v>-15646.3</v>
      </c>
      <c r="S10" s="22">
        <v>-0.15634980274281421</v>
      </c>
      <c r="T10" s="19">
        <v>109</v>
      </c>
      <c r="U10" s="19"/>
      <c r="V10" s="19" t="s">
        <v>80</v>
      </c>
    </row>
    <row r="11" spans="1:22" x14ac:dyDescent="0.25">
      <c r="A11" s="19" t="s">
        <v>70</v>
      </c>
      <c r="B11" s="19" t="s">
        <v>26</v>
      </c>
      <c r="C11" s="19" t="s">
        <v>55</v>
      </c>
      <c r="D11" s="19" t="s">
        <v>40</v>
      </c>
      <c r="E11" s="19" t="s">
        <v>68</v>
      </c>
      <c r="F11" s="19">
        <v>29</v>
      </c>
      <c r="G11" s="21">
        <v>49689.3</v>
      </c>
      <c r="H11" s="21">
        <v>1713.42</v>
      </c>
      <c r="I11" s="19">
        <v>0</v>
      </c>
      <c r="J11" s="21">
        <v>0</v>
      </c>
      <c r="K11" s="21">
        <v>0</v>
      </c>
      <c r="L11" s="19">
        <v>29</v>
      </c>
      <c r="M11" s="21">
        <v>49689.18</v>
      </c>
      <c r="N11" s="21">
        <v>1708.8</v>
      </c>
      <c r="O11" s="21">
        <v>49555.199999999997</v>
      </c>
      <c r="P11" s="21">
        <v>0</v>
      </c>
      <c r="Q11" s="21">
        <v>-133.97999999999999</v>
      </c>
      <c r="R11" s="21">
        <v>-133.97999999999999</v>
      </c>
      <c r="S11" s="22">
        <v>-2.69635515090774E-3</v>
      </c>
      <c r="T11" s="19">
        <v>1</v>
      </c>
      <c r="U11" s="19"/>
      <c r="V11" s="19" t="s">
        <v>80</v>
      </c>
    </row>
    <row r="12" spans="1:22" x14ac:dyDescent="0.25">
      <c r="A12" s="19" t="s">
        <v>238</v>
      </c>
      <c r="B12" s="19" t="s">
        <v>24</v>
      </c>
      <c r="C12" s="19" t="s">
        <v>54</v>
      </c>
      <c r="D12" s="19" t="s">
        <v>40</v>
      </c>
      <c r="E12" s="19" t="s">
        <v>463</v>
      </c>
      <c r="F12" s="19">
        <v>260</v>
      </c>
      <c r="G12" s="21">
        <v>75946</v>
      </c>
      <c r="H12" s="21">
        <v>292.10000000000002</v>
      </c>
      <c r="I12" s="19">
        <v>260</v>
      </c>
      <c r="J12" s="21">
        <v>70604.55</v>
      </c>
      <c r="K12" s="21">
        <v>271.56</v>
      </c>
      <c r="L12" s="19">
        <v>0</v>
      </c>
      <c r="M12" s="21">
        <v>0</v>
      </c>
      <c r="N12" s="21">
        <v>260.60000000000002</v>
      </c>
      <c r="O12" s="21">
        <v>0</v>
      </c>
      <c r="P12" s="21">
        <v>-5341.45</v>
      </c>
      <c r="Q12" s="21">
        <v>0</v>
      </c>
      <c r="R12" s="21">
        <v>-5341.45</v>
      </c>
      <c r="S12" s="22">
        <v>-7.0332209727964598E-2</v>
      </c>
      <c r="T12" s="19">
        <v>91</v>
      </c>
      <c r="U12" s="19"/>
      <c r="V12" s="19" t="s">
        <v>80</v>
      </c>
    </row>
    <row r="13" spans="1:22" x14ac:dyDescent="0.25">
      <c r="A13" s="19" t="s">
        <v>313</v>
      </c>
      <c r="B13" s="19" t="s">
        <v>28</v>
      </c>
      <c r="C13" s="19" t="s">
        <v>54</v>
      </c>
      <c r="D13" s="19" t="s">
        <v>40</v>
      </c>
      <c r="E13" s="19" t="s">
        <v>96</v>
      </c>
      <c r="F13" s="19">
        <v>465</v>
      </c>
      <c r="G13" s="21">
        <v>75179.430000000008</v>
      </c>
      <c r="H13" s="21">
        <v>161.68</v>
      </c>
      <c r="I13" s="19">
        <v>465</v>
      </c>
      <c r="J13" s="21">
        <v>71056.850000000006</v>
      </c>
      <c r="K13" s="21">
        <v>152.81</v>
      </c>
      <c r="L13" s="19">
        <v>0</v>
      </c>
      <c r="M13" s="21">
        <v>0</v>
      </c>
      <c r="N13" s="21">
        <v>138.63999999999999</v>
      </c>
      <c r="O13" s="21">
        <v>0</v>
      </c>
      <c r="P13" s="21">
        <v>-4124.3500000000004</v>
      </c>
      <c r="Q13" s="21">
        <v>0</v>
      </c>
      <c r="R13" s="21">
        <v>-4124.3500000000004</v>
      </c>
      <c r="S13" s="22">
        <v>-5.4860086063435169E-2</v>
      </c>
      <c r="T13" s="19">
        <v>61</v>
      </c>
      <c r="U13" s="19"/>
      <c r="V13" s="19" t="s">
        <v>80</v>
      </c>
    </row>
    <row r="14" spans="1:22" x14ac:dyDescent="0.25">
      <c r="A14" s="19" t="s">
        <v>332</v>
      </c>
      <c r="B14" s="19" t="s">
        <v>24</v>
      </c>
      <c r="C14" s="19" t="s">
        <v>50</v>
      </c>
      <c r="D14" s="19" t="s">
        <v>40</v>
      </c>
      <c r="E14" s="19" t="s">
        <v>463</v>
      </c>
      <c r="F14" s="19">
        <v>222</v>
      </c>
      <c r="G14" s="21">
        <v>100778.25</v>
      </c>
      <c r="H14" s="21">
        <v>453.96</v>
      </c>
      <c r="I14" s="19">
        <v>222</v>
      </c>
      <c r="J14" s="21">
        <v>94405.5</v>
      </c>
      <c r="K14" s="21">
        <v>425.25</v>
      </c>
      <c r="L14" s="19">
        <v>0</v>
      </c>
      <c r="M14" s="21">
        <v>0</v>
      </c>
      <c r="N14" s="21">
        <v>422.95</v>
      </c>
      <c r="O14" s="21">
        <v>0</v>
      </c>
      <c r="P14" s="21">
        <v>-6373.62</v>
      </c>
      <c r="Q14" s="21">
        <v>0</v>
      </c>
      <c r="R14" s="21">
        <v>-6373.62</v>
      </c>
      <c r="S14" s="22">
        <v>-6.3244003542431024E-2</v>
      </c>
      <c r="T14" s="19">
        <v>105</v>
      </c>
      <c r="U14" s="19"/>
      <c r="V14" s="19" t="s">
        <v>80</v>
      </c>
    </row>
    <row r="15" spans="1:22" x14ac:dyDescent="0.25">
      <c r="A15" s="19" t="s">
        <v>252</v>
      </c>
      <c r="B15" s="19" t="s">
        <v>28</v>
      </c>
      <c r="C15" s="19" t="s">
        <v>50</v>
      </c>
      <c r="D15" s="19" t="s">
        <v>40</v>
      </c>
      <c r="E15" s="19" t="s">
        <v>68</v>
      </c>
      <c r="F15" s="19">
        <v>36</v>
      </c>
      <c r="G15" s="21">
        <v>50176.800000000003</v>
      </c>
      <c r="H15" s="21">
        <v>1393.8</v>
      </c>
      <c r="I15" s="19">
        <v>36</v>
      </c>
      <c r="J15" s="21">
        <v>50997.599999999999</v>
      </c>
      <c r="K15" s="21">
        <v>1416.6</v>
      </c>
      <c r="L15" s="19">
        <v>0</v>
      </c>
      <c r="M15" s="21">
        <v>0</v>
      </c>
      <c r="N15" s="21">
        <v>1857.3</v>
      </c>
      <c r="O15" s="21">
        <v>0</v>
      </c>
      <c r="P15" s="21">
        <v>820.8</v>
      </c>
      <c r="Q15" s="21">
        <v>0</v>
      </c>
      <c r="R15" s="21">
        <v>820.8</v>
      </c>
      <c r="S15" s="22">
        <v>1.635815755488592E-2</v>
      </c>
      <c r="T15" s="19">
        <v>77</v>
      </c>
      <c r="U15" s="19"/>
      <c r="V15" s="19" t="s">
        <v>80</v>
      </c>
    </row>
    <row r="16" spans="1:22" x14ac:dyDescent="0.25">
      <c r="A16" s="19" t="s">
        <v>229</v>
      </c>
      <c r="B16" s="19" t="s">
        <v>24</v>
      </c>
      <c r="C16" s="19" t="s">
        <v>50</v>
      </c>
      <c r="D16" s="19" t="s">
        <v>40</v>
      </c>
      <c r="E16" s="19" t="s">
        <v>68</v>
      </c>
      <c r="F16" s="19">
        <v>82</v>
      </c>
      <c r="G16" s="21">
        <v>30151.4</v>
      </c>
      <c r="H16" s="21">
        <v>367.7</v>
      </c>
      <c r="I16" s="19">
        <v>82</v>
      </c>
      <c r="J16" s="21">
        <v>24735.3</v>
      </c>
      <c r="K16" s="21">
        <v>301.64999999999998</v>
      </c>
      <c r="L16" s="19">
        <v>0</v>
      </c>
      <c r="M16" s="21">
        <v>0</v>
      </c>
      <c r="N16" s="21">
        <v>286.45</v>
      </c>
      <c r="O16" s="21">
        <v>0</v>
      </c>
      <c r="P16" s="21">
        <v>-5416.1</v>
      </c>
      <c r="Q16" s="21">
        <v>0</v>
      </c>
      <c r="R16" s="21">
        <v>-5416.1</v>
      </c>
      <c r="S16" s="22">
        <v>-0.17963013326081051</v>
      </c>
      <c r="T16" s="19">
        <v>182</v>
      </c>
      <c r="U16" s="19"/>
      <c r="V16" s="19" t="s">
        <v>80</v>
      </c>
    </row>
    <row r="17" spans="1:22" x14ac:dyDescent="0.25">
      <c r="A17" s="19" t="s">
        <v>100</v>
      </c>
      <c r="B17" s="19" t="s">
        <v>24</v>
      </c>
      <c r="C17" s="19" t="s">
        <v>54</v>
      </c>
      <c r="D17" s="19" t="s">
        <v>40</v>
      </c>
      <c r="E17" s="19" t="s">
        <v>68</v>
      </c>
      <c r="F17" s="19">
        <v>18</v>
      </c>
      <c r="G17" s="21">
        <v>50428.801800000001</v>
      </c>
      <c r="H17" s="21">
        <v>2801.6</v>
      </c>
      <c r="I17" s="19">
        <v>0</v>
      </c>
      <c r="J17" s="21">
        <v>0</v>
      </c>
      <c r="K17" s="21">
        <v>0</v>
      </c>
      <c r="L17" s="19">
        <v>18</v>
      </c>
      <c r="M17" s="21">
        <v>50428.800000000003</v>
      </c>
      <c r="N17" s="21">
        <v>4190.8</v>
      </c>
      <c r="O17" s="21">
        <v>75434.399999999994</v>
      </c>
      <c r="P17" s="21">
        <v>0</v>
      </c>
      <c r="Q17" s="21">
        <v>25005.599999999999</v>
      </c>
      <c r="R17" s="21">
        <v>25005.599999999999</v>
      </c>
      <c r="S17" s="22">
        <v>0.49585949115293082</v>
      </c>
      <c r="T17" s="19">
        <v>162</v>
      </c>
      <c r="U17" s="19"/>
      <c r="V17" s="19" t="s">
        <v>80</v>
      </c>
    </row>
    <row r="18" spans="1:22" x14ac:dyDescent="0.25">
      <c r="A18" s="19" t="s">
        <v>266</v>
      </c>
      <c r="B18" s="19" t="s">
        <v>26</v>
      </c>
      <c r="C18" s="19" t="s">
        <v>491</v>
      </c>
      <c r="D18" s="19" t="s">
        <v>40</v>
      </c>
      <c r="E18" s="19" t="s">
        <v>96</v>
      </c>
      <c r="F18" s="19">
        <v>228</v>
      </c>
      <c r="G18" s="21">
        <v>99912.15</v>
      </c>
      <c r="H18" s="21">
        <v>438.21</v>
      </c>
      <c r="I18" s="19">
        <v>228</v>
      </c>
      <c r="J18" s="21">
        <v>90155.400000000009</v>
      </c>
      <c r="K18" s="21">
        <v>395.42</v>
      </c>
      <c r="L18" s="19">
        <v>0</v>
      </c>
      <c r="M18" s="21">
        <v>0</v>
      </c>
      <c r="N18" s="21">
        <v>320.89999999999998</v>
      </c>
      <c r="O18" s="21">
        <v>0</v>
      </c>
      <c r="P18" s="21">
        <v>-9756.48</v>
      </c>
      <c r="Q18" s="21">
        <v>0</v>
      </c>
      <c r="R18" s="21">
        <v>-9756.48</v>
      </c>
      <c r="S18" s="22">
        <v>-9.7650586039835993E-2</v>
      </c>
      <c r="T18" s="19">
        <v>50</v>
      </c>
      <c r="U18" s="19"/>
      <c r="V18" s="19" t="s">
        <v>80</v>
      </c>
    </row>
    <row r="19" spans="1:22" x14ac:dyDescent="0.25">
      <c r="A19" s="19" t="s">
        <v>163</v>
      </c>
      <c r="B19" s="19" t="s">
        <v>24</v>
      </c>
      <c r="C19" s="19" t="s">
        <v>54</v>
      </c>
      <c r="D19" s="19" t="s">
        <v>40</v>
      </c>
      <c r="E19" s="19" t="s">
        <v>62</v>
      </c>
      <c r="F19" s="19">
        <v>2062</v>
      </c>
      <c r="G19" s="21">
        <v>269285.90000000002</v>
      </c>
      <c r="H19" s="21">
        <v>130.59</v>
      </c>
      <c r="I19" s="19">
        <v>2078</v>
      </c>
      <c r="J19" s="21">
        <v>267524.40000000002</v>
      </c>
      <c r="K19" s="21">
        <v>128.74</v>
      </c>
      <c r="L19" s="19">
        <v>-16</v>
      </c>
      <c r="M19" s="21">
        <v>-2089.44</v>
      </c>
      <c r="N19" s="21">
        <v>126.15</v>
      </c>
      <c r="O19" s="21">
        <v>-2018.4</v>
      </c>
      <c r="P19" s="21">
        <v>-3841.62</v>
      </c>
      <c r="Q19" s="21">
        <v>71.040000000000006</v>
      </c>
      <c r="R19" s="21">
        <v>-3770.58</v>
      </c>
      <c r="S19" s="22">
        <v>-1.400214418950268E-2</v>
      </c>
      <c r="T19" s="19">
        <v>239</v>
      </c>
      <c r="U19" s="19"/>
      <c r="V19" s="19" t="s">
        <v>80</v>
      </c>
    </row>
    <row r="20" spans="1:22" x14ac:dyDescent="0.25">
      <c r="A20" s="19" t="s">
        <v>387</v>
      </c>
      <c r="B20" s="19" t="s">
        <v>26</v>
      </c>
      <c r="C20" s="19" t="s">
        <v>52</v>
      </c>
      <c r="D20" s="19" t="s">
        <v>39</v>
      </c>
      <c r="E20" s="19" t="s">
        <v>68</v>
      </c>
      <c r="F20" s="19">
        <v>49</v>
      </c>
      <c r="G20" s="21">
        <v>50624.600000000013</v>
      </c>
      <c r="H20" s="21">
        <v>1033.1600000000001</v>
      </c>
      <c r="I20" s="19">
        <v>0</v>
      </c>
      <c r="J20" s="21">
        <v>0</v>
      </c>
      <c r="K20" s="21">
        <v>0</v>
      </c>
      <c r="L20" s="19">
        <v>49</v>
      </c>
      <c r="M20" s="21">
        <v>50624.84</v>
      </c>
      <c r="N20" s="21">
        <v>1089.4000000000001</v>
      </c>
      <c r="O20" s="21">
        <v>53380.6</v>
      </c>
      <c r="P20" s="21">
        <v>0</v>
      </c>
      <c r="Q20" s="21">
        <v>2755.76</v>
      </c>
      <c r="R20" s="21">
        <v>2755.76</v>
      </c>
      <c r="S20" s="22">
        <v>5.4435195537347457E-2</v>
      </c>
      <c r="T20" s="19">
        <v>71</v>
      </c>
      <c r="U20" s="19"/>
      <c r="V20" s="19" t="s">
        <v>80</v>
      </c>
    </row>
    <row r="21" spans="1:22" x14ac:dyDescent="0.25">
      <c r="A21" s="19" t="s">
        <v>97</v>
      </c>
      <c r="B21" s="19" t="s">
        <v>24</v>
      </c>
      <c r="C21" s="19" t="s">
        <v>50</v>
      </c>
      <c r="D21" s="19" t="s">
        <v>40</v>
      </c>
      <c r="E21" s="19" t="s">
        <v>98</v>
      </c>
      <c r="F21" s="19">
        <v>127</v>
      </c>
      <c r="G21" s="21">
        <v>101703</v>
      </c>
      <c r="H21" s="21">
        <v>800.81</v>
      </c>
      <c r="I21" s="19">
        <v>33</v>
      </c>
      <c r="J21" s="21">
        <v>25000.799999999999</v>
      </c>
      <c r="K21" s="21">
        <v>757.6</v>
      </c>
      <c r="L21" s="19">
        <v>94</v>
      </c>
      <c r="M21" s="21">
        <v>75276.14</v>
      </c>
      <c r="N21" s="21">
        <v>819.4</v>
      </c>
      <c r="O21" s="21">
        <v>77023.600000000006</v>
      </c>
      <c r="P21" s="21">
        <v>-1425.93</v>
      </c>
      <c r="Q21" s="21">
        <v>1747.46</v>
      </c>
      <c r="R21" s="21">
        <v>321.52999999999997</v>
      </c>
      <c r="S21" s="22">
        <v>3.1614603305703858E-3</v>
      </c>
      <c r="T21" s="19">
        <v>246</v>
      </c>
      <c r="U21" s="19"/>
      <c r="V21" s="19" t="s">
        <v>80</v>
      </c>
    </row>
    <row r="22" spans="1:22" x14ac:dyDescent="0.25">
      <c r="A22" s="19" t="s">
        <v>226</v>
      </c>
      <c r="B22" s="19" t="s">
        <v>26</v>
      </c>
      <c r="C22" s="19" t="s">
        <v>50</v>
      </c>
      <c r="D22" s="19" t="s">
        <v>40</v>
      </c>
      <c r="E22" s="19" t="s">
        <v>68</v>
      </c>
      <c r="F22" s="19">
        <v>42</v>
      </c>
      <c r="G22" s="21">
        <v>40147.050000000003</v>
      </c>
      <c r="H22" s="21">
        <v>955.88</v>
      </c>
      <c r="I22" s="19">
        <v>52</v>
      </c>
      <c r="J22" s="21">
        <v>42377.3</v>
      </c>
      <c r="K22" s="21">
        <v>814.95</v>
      </c>
      <c r="L22" s="19">
        <v>-10</v>
      </c>
      <c r="M22" s="21">
        <v>-9558.7999999999993</v>
      </c>
      <c r="N22" s="21">
        <v>982.4</v>
      </c>
      <c r="O22" s="21">
        <v>-9824</v>
      </c>
      <c r="P22" s="21">
        <v>-7328.46</v>
      </c>
      <c r="Q22" s="21">
        <v>-265.2</v>
      </c>
      <c r="R22" s="21">
        <v>-7593.66</v>
      </c>
      <c r="S22" s="22">
        <v>-0.18914615146069261</v>
      </c>
      <c r="T22" s="19">
        <v>197</v>
      </c>
      <c r="U22" s="19"/>
      <c r="V22" s="19" t="s">
        <v>80</v>
      </c>
    </row>
    <row r="23" spans="1:22" x14ac:dyDescent="0.25">
      <c r="A23" s="19" t="s">
        <v>128</v>
      </c>
      <c r="B23" s="19" t="s">
        <v>24</v>
      </c>
      <c r="C23" s="19" t="s">
        <v>55</v>
      </c>
      <c r="D23" s="19" t="s">
        <v>39</v>
      </c>
      <c r="E23" s="19" t="s">
        <v>463</v>
      </c>
      <c r="F23" s="19">
        <v>64</v>
      </c>
      <c r="G23" s="21">
        <v>99129.600000000006</v>
      </c>
      <c r="H23" s="21">
        <v>1548.9</v>
      </c>
      <c r="I23" s="19">
        <v>64</v>
      </c>
      <c r="J23" s="21">
        <v>83161.600000000006</v>
      </c>
      <c r="K23" s="21">
        <v>1299.4000000000001</v>
      </c>
      <c r="L23" s="19">
        <v>0</v>
      </c>
      <c r="M23" s="21">
        <v>0</v>
      </c>
      <c r="N23" s="21">
        <v>1409.8</v>
      </c>
      <c r="O23" s="21">
        <v>0</v>
      </c>
      <c r="P23" s="21">
        <v>-15968</v>
      </c>
      <c r="Q23" s="21">
        <v>0</v>
      </c>
      <c r="R23" s="21">
        <v>-15968</v>
      </c>
      <c r="S23" s="22">
        <v>-0.16108205823487631</v>
      </c>
      <c r="T23" s="19">
        <v>147</v>
      </c>
      <c r="U23" s="19"/>
      <c r="V23" s="19" t="s">
        <v>80</v>
      </c>
    </row>
    <row r="24" spans="1:22" x14ac:dyDescent="0.25">
      <c r="A24" s="19" t="s">
        <v>44</v>
      </c>
      <c r="B24" s="19" t="s">
        <v>26</v>
      </c>
      <c r="C24" s="19" t="s">
        <v>52</v>
      </c>
      <c r="D24" s="19" t="s">
        <v>40</v>
      </c>
      <c r="E24" s="19" t="s">
        <v>98</v>
      </c>
      <c r="F24" s="19">
        <v>2101</v>
      </c>
      <c r="G24" s="21">
        <v>193264.7</v>
      </c>
      <c r="H24" s="21">
        <v>91.99</v>
      </c>
      <c r="I24" s="19">
        <v>665</v>
      </c>
      <c r="J24" s="21">
        <v>48531.7</v>
      </c>
      <c r="K24" s="21">
        <v>72.98</v>
      </c>
      <c r="L24" s="19">
        <v>1436</v>
      </c>
      <c r="M24" s="21">
        <v>132097.64000000001</v>
      </c>
      <c r="N24" s="21">
        <v>114.34</v>
      </c>
      <c r="O24" s="21">
        <v>164192.24</v>
      </c>
      <c r="P24" s="21">
        <v>-12641.65</v>
      </c>
      <c r="Q24" s="21">
        <v>32094.6</v>
      </c>
      <c r="R24" s="21">
        <v>19452.95</v>
      </c>
      <c r="S24" s="22">
        <v>0.1006544392224757</v>
      </c>
      <c r="T24" s="19">
        <v>134</v>
      </c>
      <c r="U24" s="19" t="s">
        <v>79</v>
      </c>
      <c r="V24" s="19" t="s">
        <v>80</v>
      </c>
    </row>
    <row r="25" spans="1:22" x14ac:dyDescent="0.25">
      <c r="A25" s="19" t="s">
        <v>140</v>
      </c>
      <c r="B25" s="19" t="s">
        <v>24</v>
      </c>
      <c r="C25" s="19" t="s">
        <v>52</v>
      </c>
      <c r="D25" s="19" t="s">
        <v>39</v>
      </c>
      <c r="E25" s="19" t="s">
        <v>463</v>
      </c>
      <c r="F25" s="19">
        <v>19</v>
      </c>
      <c r="G25" s="21">
        <v>89756.600600000005</v>
      </c>
      <c r="H25" s="21">
        <v>4724.03</v>
      </c>
      <c r="I25" s="19">
        <v>19</v>
      </c>
      <c r="J25" s="21">
        <v>77079.199999999997</v>
      </c>
      <c r="K25" s="21">
        <v>4056.8</v>
      </c>
      <c r="L25" s="19">
        <v>0</v>
      </c>
      <c r="M25" s="21">
        <v>0</v>
      </c>
      <c r="N25" s="21">
        <v>4236</v>
      </c>
      <c r="O25" s="21">
        <v>0</v>
      </c>
      <c r="P25" s="21">
        <v>-12677.37</v>
      </c>
      <c r="Q25" s="21">
        <v>0</v>
      </c>
      <c r="R25" s="21">
        <v>-12677.37</v>
      </c>
      <c r="S25" s="22">
        <v>-0.14124164590966029</v>
      </c>
      <c r="T25" s="19">
        <v>64</v>
      </c>
      <c r="U25" s="19"/>
      <c r="V25" s="19" t="s">
        <v>80</v>
      </c>
    </row>
    <row r="26" spans="1:22" x14ac:dyDescent="0.25">
      <c r="A26" s="19" t="s">
        <v>208</v>
      </c>
      <c r="B26" s="19" t="s">
        <v>24</v>
      </c>
      <c r="C26" s="19" t="s">
        <v>491</v>
      </c>
      <c r="D26" s="19" t="s">
        <v>40</v>
      </c>
      <c r="E26" s="19" t="s">
        <v>68</v>
      </c>
      <c r="F26" s="19">
        <v>75</v>
      </c>
      <c r="G26" s="21">
        <v>25440</v>
      </c>
      <c r="H26" s="21">
        <v>339.2</v>
      </c>
      <c r="I26" s="19">
        <v>75</v>
      </c>
      <c r="J26" s="21">
        <v>22856.25</v>
      </c>
      <c r="K26" s="21">
        <v>304.75</v>
      </c>
      <c r="L26" s="19">
        <v>0</v>
      </c>
      <c r="M26" s="21">
        <v>0</v>
      </c>
      <c r="N26" s="21">
        <v>247.21</v>
      </c>
      <c r="O26" s="21">
        <v>0</v>
      </c>
      <c r="P26" s="21">
        <v>-2583.75</v>
      </c>
      <c r="Q26" s="21">
        <v>0</v>
      </c>
      <c r="R26" s="21">
        <v>-2583.75</v>
      </c>
      <c r="S26" s="22">
        <v>-0.1015625</v>
      </c>
      <c r="T26" s="19">
        <v>20</v>
      </c>
      <c r="U26" s="19"/>
      <c r="V26" s="19" t="s">
        <v>80</v>
      </c>
    </row>
    <row r="27" spans="1:22" x14ac:dyDescent="0.25">
      <c r="A27" s="19" t="s">
        <v>43</v>
      </c>
      <c r="B27" s="19" t="s">
        <v>28</v>
      </c>
      <c r="C27" s="19" t="s">
        <v>54</v>
      </c>
      <c r="D27" s="19" t="s">
        <v>40</v>
      </c>
      <c r="E27" s="19" t="s">
        <v>69</v>
      </c>
      <c r="F27" s="19">
        <v>1172</v>
      </c>
      <c r="G27" s="21">
        <v>300285.28000000003</v>
      </c>
      <c r="H27" s="21">
        <v>256.22000000000003</v>
      </c>
      <c r="I27" s="19">
        <v>0</v>
      </c>
      <c r="J27" s="21">
        <v>0</v>
      </c>
      <c r="K27" s="21">
        <v>0</v>
      </c>
      <c r="L27" s="19">
        <v>1172</v>
      </c>
      <c r="M27" s="21">
        <v>300289.84000000003</v>
      </c>
      <c r="N27" s="21">
        <v>286.60000000000002</v>
      </c>
      <c r="O27" s="21">
        <v>335895.2</v>
      </c>
      <c r="P27" s="21">
        <v>0</v>
      </c>
      <c r="Q27" s="21">
        <v>35605.360000000001</v>
      </c>
      <c r="R27" s="21">
        <v>35605.360000000001</v>
      </c>
      <c r="S27" s="22">
        <v>0.11857177947583709</v>
      </c>
      <c r="T27" s="19">
        <v>197</v>
      </c>
      <c r="U27" s="19"/>
      <c r="V27" s="19" t="s">
        <v>80</v>
      </c>
    </row>
    <row r="28" spans="1:22" x14ac:dyDescent="0.25">
      <c r="A28" s="19" t="s">
        <v>101</v>
      </c>
      <c r="B28" s="19" t="s">
        <v>26</v>
      </c>
      <c r="C28" s="19" t="s">
        <v>52</v>
      </c>
      <c r="D28" s="19" t="s">
        <v>40</v>
      </c>
      <c r="E28" s="19" t="s">
        <v>96</v>
      </c>
      <c r="F28" s="19">
        <v>362</v>
      </c>
      <c r="G28" s="21">
        <v>50229.29</v>
      </c>
      <c r="H28" s="21">
        <v>138.75</v>
      </c>
      <c r="I28" s="19">
        <v>0</v>
      </c>
      <c r="J28" s="21">
        <v>0</v>
      </c>
      <c r="K28" s="21">
        <v>0</v>
      </c>
      <c r="L28" s="19">
        <v>362</v>
      </c>
      <c r="M28" s="21">
        <v>50227.5</v>
      </c>
      <c r="N28" s="21">
        <v>161.12</v>
      </c>
      <c r="O28" s="21">
        <v>58325.440000000002</v>
      </c>
      <c r="P28" s="21">
        <v>0</v>
      </c>
      <c r="Q28" s="21">
        <v>8097.94</v>
      </c>
      <c r="R28" s="21">
        <v>8097.94</v>
      </c>
      <c r="S28" s="22">
        <v>0.1612194797099461</v>
      </c>
      <c r="T28" s="19">
        <v>137</v>
      </c>
      <c r="U28" s="19"/>
      <c r="V28" s="19" t="s">
        <v>80</v>
      </c>
    </row>
    <row r="29" spans="1:22" x14ac:dyDescent="0.25">
      <c r="A29" s="19" t="s">
        <v>94</v>
      </c>
      <c r="B29" s="19" t="s">
        <v>26</v>
      </c>
      <c r="C29" s="19" t="s">
        <v>50</v>
      </c>
      <c r="D29" s="19" t="s">
        <v>40</v>
      </c>
      <c r="E29" s="19" t="s">
        <v>95</v>
      </c>
      <c r="F29" s="19">
        <v>339</v>
      </c>
      <c r="G29" s="21">
        <v>199971.65</v>
      </c>
      <c r="H29" s="21">
        <v>589.89</v>
      </c>
      <c r="I29" s="19">
        <v>298</v>
      </c>
      <c r="J29" s="21">
        <v>175804.15</v>
      </c>
      <c r="K29" s="21">
        <v>589.95000000000005</v>
      </c>
      <c r="L29" s="19">
        <v>41</v>
      </c>
      <c r="M29" s="21">
        <v>24185.49</v>
      </c>
      <c r="N29" s="21">
        <v>643.85</v>
      </c>
      <c r="O29" s="21">
        <v>26397.85</v>
      </c>
      <c r="P29" s="21">
        <v>16.93</v>
      </c>
      <c r="Q29" s="21">
        <v>2212.36</v>
      </c>
      <c r="R29" s="21">
        <v>2229.29</v>
      </c>
      <c r="S29" s="22">
        <v>1.1148030233285569E-2</v>
      </c>
      <c r="T29" s="19">
        <v>252</v>
      </c>
      <c r="U29" s="19"/>
      <c r="V29" s="19" t="s">
        <v>80</v>
      </c>
    </row>
    <row r="30" spans="1:22" x14ac:dyDescent="0.25">
      <c r="A30" s="19" t="s">
        <v>263</v>
      </c>
      <c r="B30" s="19" t="s">
        <v>28</v>
      </c>
      <c r="C30" s="19" t="s">
        <v>50</v>
      </c>
      <c r="D30" s="19" t="s">
        <v>40</v>
      </c>
      <c r="E30" s="19" t="s">
        <v>463</v>
      </c>
      <c r="F30" s="19">
        <v>920</v>
      </c>
      <c r="G30" s="21">
        <v>99801.600000000006</v>
      </c>
      <c r="H30" s="21">
        <v>108.48</v>
      </c>
      <c r="I30" s="19">
        <v>920</v>
      </c>
      <c r="J30" s="21">
        <v>82570</v>
      </c>
      <c r="K30" s="21">
        <v>89.75</v>
      </c>
      <c r="L30" s="19">
        <v>0</v>
      </c>
      <c r="M30" s="21">
        <v>0</v>
      </c>
      <c r="N30" s="21">
        <v>94.21</v>
      </c>
      <c r="O30" s="21">
        <v>0</v>
      </c>
      <c r="P30" s="21">
        <v>-17231.599999999999</v>
      </c>
      <c r="Q30" s="21">
        <v>0</v>
      </c>
      <c r="R30" s="21">
        <v>-17231.599999999999</v>
      </c>
      <c r="S30" s="22">
        <v>-0.17265855457227139</v>
      </c>
      <c r="T30" s="19">
        <v>60</v>
      </c>
      <c r="U30" s="19"/>
      <c r="V30" s="19" t="s">
        <v>80</v>
      </c>
    </row>
    <row r="31" spans="1:22" x14ac:dyDescent="0.25">
      <c r="A31" s="19" t="s">
        <v>99</v>
      </c>
      <c r="B31" s="19" t="s">
        <v>26</v>
      </c>
      <c r="C31" s="19" t="s">
        <v>50</v>
      </c>
      <c r="D31" s="19" t="s">
        <v>40</v>
      </c>
      <c r="E31" s="19" t="s">
        <v>96</v>
      </c>
      <c r="F31" s="19">
        <v>276</v>
      </c>
      <c r="G31" s="21">
        <v>76932.53</v>
      </c>
      <c r="H31" s="21">
        <v>278.74</v>
      </c>
      <c r="I31" s="19">
        <v>0</v>
      </c>
      <c r="J31" s="21">
        <v>0</v>
      </c>
      <c r="K31" s="21">
        <v>0</v>
      </c>
      <c r="L31" s="19">
        <v>276</v>
      </c>
      <c r="M31" s="21">
        <v>76932.240000000005</v>
      </c>
      <c r="N31" s="21">
        <v>290.55</v>
      </c>
      <c r="O31" s="21">
        <v>80191.8</v>
      </c>
      <c r="P31" s="21">
        <v>0</v>
      </c>
      <c r="Q31" s="21">
        <v>3259.56</v>
      </c>
      <c r="R31" s="21">
        <v>3259.56</v>
      </c>
      <c r="S31" s="22">
        <v>4.2369073264586513E-2</v>
      </c>
      <c r="T31" s="19">
        <v>204</v>
      </c>
      <c r="U31" s="19"/>
      <c r="V31" s="19" t="s">
        <v>80</v>
      </c>
    </row>
    <row r="32" spans="1:22" x14ac:dyDescent="0.25">
      <c r="A32" s="19" t="s">
        <v>390</v>
      </c>
      <c r="B32" s="19" t="s">
        <v>24</v>
      </c>
      <c r="C32" s="19" t="s">
        <v>52</v>
      </c>
      <c r="D32" s="19" t="s">
        <v>39</v>
      </c>
      <c r="E32" s="19" t="s">
        <v>62</v>
      </c>
      <c r="F32" s="19">
        <v>49</v>
      </c>
      <c r="G32" s="21">
        <v>200323.802</v>
      </c>
      <c r="H32" s="21">
        <v>4088.24</v>
      </c>
      <c r="I32" s="19">
        <v>0</v>
      </c>
      <c r="J32" s="21">
        <v>0</v>
      </c>
      <c r="K32" s="21">
        <v>0</v>
      </c>
      <c r="L32" s="19">
        <v>49</v>
      </c>
      <c r="M32" s="21">
        <v>200323.76</v>
      </c>
      <c r="N32" s="21">
        <v>4385.3</v>
      </c>
      <c r="O32" s="21">
        <v>214879.7</v>
      </c>
      <c r="P32" s="21">
        <v>0</v>
      </c>
      <c r="Q32" s="21">
        <v>14555.94</v>
      </c>
      <c r="R32" s="21">
        <v>14555.94</v>
      </c>
      <c r="S32" s="22">
        <v>7.2662059399212081E-2</v>
      </c>
      <c r="T32" s="19">
        <v>71</v>
      </c>
      <c r="U32" s="19"/>
      <c r="V32" s="19" t="s">
        <v>80</v>
      </c>
    </row>
    <row r="33" spans="1:22" x14ac:dyDescent="0.25">
      <c r="A33" s="19" t="s">
        <v>131</v>
      </c>
      <c r="B33" s="19" t="s">
        <v>26</v>
      </c>
      <c r="C33" s="19" t="s">
        <v>50</v>
      </c>
      <c r="D33" s="19" t="s">
        <v>39</v>
      </c>
      <c r="E33" s="19" t="s">
        <v>62</v>
      </c>
      <c r="F33" s="19">
        <v>226</v>
      </c>
      <c r="G33" s="21">
        <v>198521.9</v>
      </c>
      <c r="H33" s="21">
        <v>878.42</v>
      </c>
      <c r="I33" s="19">
        <v>226</v>
      </c>
      <c r="J33" s="21">
        <v>149562.45000000001</v>
      </c>
      <c r="K33" s="21">
        <v>661.78</v>
      </c>
      <c r="L33" s="19">
        <v>0</v>
      </c>
      <c r="M33" s="21">
        <v>0</v>
      </c>
      <c r="N33" s="21">
        <v>752.2</v>
      </c>
      <c r="O33" s="21">
        <v>0</v>
      </c>
      <c r="P33" s="21">
        <v>-48960.47</v>
      </c>
      <c r="Q33" s="21">
        <v>0</v>
      </c>
      <c r="R33" s="21">
        <v>-48960.47</v>
      </c>
      <c r="S33" s="22">
        <v>-0.24662503230122221</v>
      </c>
      <c r="T33" s="19">
        <v>193</v>
      </c>
      <c r="U33" s="19"/>
      <c r="V33" s="19" t="s">
        <v>80</v>
      </c>
    </row>
    <row r="34" spans="1:22" x14ac:dyDescent="0.25">
      <c r="A34" s="19" t="s">
        <v>42</v>
      </c>
      <c r="B34" s="19" t="s">
        <v>24</v>
      </c>
      <c r="C34" s="19" t="s">
        <v>50</v>
      </c>
      <c r="D34" s="19" t="s">
        <v>40</v>
      </c>
      <c r="E34" s="19" t="s">
        <v>69</v>
      </c>
      <c r="F34" s="19">
        <v>356</v>
      </c>
      <c r="G34" s="21">
        <v>300219.3</v>
      </c>
      <c r="H34" s="21">
        <v>843.31</v>
      </c>
      <c r="I34" s="19">
        <v>103</v>
      </c>
      <c r="J34" s="21">
        <v>99714.349999999991</v>
      </c>
      <c r="K34" s="21">
        <v>968.1</v>
      </c>
      <c r="L34" s="19">
        <v>253</v>
      </c>
      <c r="M34" s="21">
        <v>213357.43</v>
      </c>
      <c r="N34" s="21">
        <v>1048.3</v>
      </c>
      <c r="O34" s="21">
        <v>265219.90000000002</v>
      </c>
      <c r="P34" s="21">
        <v>12853.42</v>
      </c>
      <c r="Q34" s="21">
        <v>51862.47</v>
      </c>
      <c r="R34" s="21">
        <v>64715.89</v>
      </c>
      <c r="S34" s="22">
        <v>0.21556205746932319</v>
      </c>
      <c r="T34" s="19">
        <v>225</v>
      </c>
      <c r="U34" s="19"/>
      <c r="V34" s="19" t="s">
        <v>80</v>
      </c>
    </row>
    <row r="35" spans="1:22" x14ac:dyDescent="0.25">
      <c r="A35" s="19" t="s">
        <v>222</v>
      </c>
      <c r="B35" s="19" t="s">
        <v>28</v>
      </c>
      <c r="C35" s="19" t="s">
        <v>50</v>
      </c>
      <c r="D35" s="19" t="s">
        <v>40</v>
      </c>
      <c r="E35" s="19" t="s">
        <v>463</v>
      </c>
      <c r="F35" s="19">
        <v>205</v>
      </c>
      <c r="G35" s="21">
        <v>99086.75</v>
      </c>
      <c r="H35" s="21">
        <v>483.35</v>
      </c>
      <c r="I35" s="19">
        <v>205</v>
      </c>
      <c r="J35" s="21">
        <v>75235</v>
      </c>
      <c r="K35" s="21">
        <v>367</v>
      </c>
      <c r="L35" s="19">
        <v>0</v>
      </c>
      <c r="M35" s="21">
        <v>0</v>
      </c>
      <c r="N35" s="21">
        <v>371</v>
      </c>
      <c r="O35" s="21">
        <v>0</v>
      </c>
      <c r="P35" s="21">
        <v>-23851.75</v>
      </c>
      <c r="Q35" s="21">
        <v>0</v>
      </c>
      <c r="R35" s="21">
        <v>-23851.75</v>
      </c>
      <c r="S35" s="22">
        <v>-0.24071583738491781</v>
      </c>
      <c r="T35" s="19">
        <v>193</v>
      </c>
      <c r="U35" s="19"/>
      <c r="V35" s="19" t="s">
        <v>80</v>
      </c>
    </row>
    <row r="36" spans="1:22" x14ac:dyDescent="0.25">
      <c r="A36" s="19" t="s">
        <v>232</v>
      </c>
      <c r="B36" s="19" t="s">
        <v>24</v>
      </c>
      <c r="C36" s="19" t="s">
        <v>50</v>
      </c>
      <c r="D36" s="19" t="s">
        <v>40</v>
      </c>
      <c r="E36" s="19" t="s">
        <v>96</v>
      </c>
      <c r="F36" s="19">
        <v>386</v>
      </c>
      <c r="G36" s="21">
        <v>70186.3</v>
      </c>
      <c r="H36" s="21">
        <v>181.83</v>
      </c>
      <c r="I36" s="19">
        <v>386</v>
      </c>
      <c r="J36" s="21">
        <v>52592.5</v>
      </c>
      <c r="K36" s="21">
        <v>136.25</v>
      </c>
      <c r="L36" s="19">
        <v>0</v>
      </c>
      <c r="M36" s="21">
        <v>0</v>
      </c>
      <c r="N36" s="21">
        <v>135</v>
      </c>
      <c r="O36" s="21">
        <v>0</v>
      </c>
      <c r="P36" s="21">
        <v>-17593.88</v>
      </c>
      <c r="Q36" s="21">
        <v>0</v>
      </c>
      <c r="R36" s="21">
        <v>-17593.88</v>
      </c>
      <c r="S36" s="22">
        <v>-0.25067399193289858</v>
      </c>
      <c r="T36" s="19">
        <v>193</v>
      </c>
      <c r="U36" s="19"/>
      <c r="V36" s="19" t="s">
        <v>80</v>
      </c>
    </row>
    <row r="37" spans="1:22" x14ac:dyDescent="0.25">
      <c r="A37" s="19" t="s">
        <v>159</v>
      </c>
      <c r="B37" s="19" t="s">
        <v>26</v>
      </c>
      <c r="C37" s="19" t="s">
        <v>52</v>
      </c>
      <c r="D37" s="19" t="s">
        <v>40</v>
      </c>
      <c r="E37" s="19" t="s">
        <v>68</v>
      </c>
      <c r="F37" s="19">
        <v>35</v>
      </c>
      <c r="G37" s="21">
        <v>25089.75</v>
      </c>
      <c r="H37" s="21">
        <v>716.85</v>
      </c>
      <c r="I37" s="19">
        <v>35</v>
      </c>
      <c r="J37" s="21">
        <v>22651.75</v>
      </c>
      <c r="K37" s="21">
        <v>647.19000000000005</v>
      </c>
      <c r="L37" s="19">
        <v>0</v>
      </c>
      <c r="M37" s="21">
        <v>0</v>
      </c>
      <c r="N37" s="21">
        <v>622.95000000000005</v>
      </c>
      <c r="O37" s="21">
        <v>0</v>
      </c>
      <c r="P37" s="21">
        <v>-2438</v>
      </c>
      <c r="Q37" s="21">
        <v>0</v>
      </c>
      <c r="R37" s="21">
        <v>-2438</v>
      </c>
      <c r="S37" s="22">
        <v>-9.7171155551569868E-2</v>
      </c>
      <c r="T37" s="19">
        <v>31</v>
      </c>
      <c r="U37" s="19"/>
      <c r="V37" s="19" t="s">
        <v>80</v>
      </c>
    </row>
    <row r="38" spans="1:22" x14ac:dyDescent="0.25">
      <c r="A38" s="19" t="s">
        <v>272</v>
      </c>
      <c r="B38" s="19" t="s">
        <v>26</v>
      </c>
      <c r="C38" s="19" t="s">
        <v>52</v>
      </c>
      <c r="D38" s="19" t="s">
        <v>40</v>
      </c>
      <c r="E38" s="19" t="s">
        <v>96</v>
      </c>
      <c r="F38" s="19">
        <v>196</v>
      </c>
      <c r="G38" s="21">
        <v>100079.5</v>
      </c>
      <c r="H38" s="21">
        <v>510.61</v>
      </c>
      <c r="I38" s="19">
        <v>196</v>
      </c>
      <c r="J38" s="21">
        <v>82398.399999999994</v>
      </c>
      <c r="K38" s="21">
        <v>420.4</v>
      </c>
      <c r="L38" s="19">
        <v>0</v>
      </c>
      <c r="M38" s="21">
        <v>0</v>
      </c>
      <c r="N38" s="21">
        <v>368.6</v>
      </c>
      <c r="O38" s="21">
        <v>0</v>
      </c>
      <c r="P38" s="21">
        <v>-17681.16</v>
      </c>
      <c r="Q38" s="21">
        <v>0</v>
      </c>
      <c r="R38" s="21">
        <v>-17681.16</v>
      </c>
      <c r="S38" s="22">
        <v>-0.17667114643858131</v>
      </c>
      <c r="T38" s="19">
        <v>70</v>
      </c>
      <c r="U38" s="19"/>
      <c r="V38" s="19" t="s">
        <v>80</v>
      </c>
    </row>
    <row r="39" spans="1:22" x14ac:dyDescent="0.25">
      <c r="A39" s="19" t="s">
        <v>277</v>
      </c>
      <c r="B39" s="19" t="s">
        <v>26</v>
      </c>
      <c r="C39" s="19" t="s">
        <v>50</v>
      </c>
      <c r="D39" s="19" t="s">
        <v>40</v>
      </c>
      <c r="E39" s="19" t="s">
        <v>68</v>
      </c>
      <c r="F39" s="19">
        <v>19</v>
      </c>
      <c r="G39" s="21">
        <v>24977.4</v>
      </c>
      <c r="H39" s="21">
        <v>1314.6</v>
      </c>
      <c r="I39" s="19">
        <v>19</v>
      </c>
      <c r="J39" s="21">
        <v>21475.7</v>
      </c>
      <c r="K39" s="21">
        <v>1130.3</v>
      </c>
      <c r="L39" s="19">
        <v>0</v>
      </c>
      <c r="M39" s="21">
        <v>0</v>
      </c>
      <c r="N39" s="21">
        <v>1660.3</v>
      </c>
      <c r="O39" s="21">
        <v>0</v>
      </c>
      <c r="P39" s="21">
        <v>-3501.7</v>
      </c>
      <c r="Q39" s="21">
        <v>0</v>
      </c>
      <c r="R39" s="21">
        <v>-3501.7</v>
      </c>
      <c r="S39" s="22">
        <v>-0.14019473604138141</v>
      </c>
      <c r="T39" s="19">
        <v>27</v>
      </c>
      <c r="U39" s="19"/>
      <c r="V39" s="19" t="s">
        <v>80</v>
      </c>
    </row>
    <row r="40" spans="1:22" x14ac:dyDescent="0.25">
      <c r="A40" s="19" t="s">
        <v>440</v>
      </c>
      <c r="B40" s="19" t="s">
        <v>28</v>
      </c>
      <c r="C40" s="19" t="s">
        <v>55</v>
      </c>
      <c r="D40" s="19" t="s">
        <v>40</v>
      </c>
      <c r="E40" s="19" t="s">
        <v>68</v>
      </c>
      <c r="F40" s="19">
        <v>38</v>
      </c>
      <c r="G40" s="21">
        <v>50369</v>
      </c>
      <c r="H40" s="21">
        <v>1325.5</v>
      </c>
      <c r="I40" s="19">
        <v>0</v>
      </c>
      <c r="J40" s="21">
        <v>0</v>
      </c>
      <c r="K40" s="21">
        <v>0</v>
      </c>
      <c r="L40" s="19">
        <v>38</v>
      </c>
      <c r="M40" s="21">
        <v>50369</v>
      </c>
      <c r="N40" s="21">
        <v>1344.9</v>
      </c>
      <c r="O40" s="21">
        <v>51106.2</v>
      </c>
      <c r="P40" s="21">
        <v>0</v>
      </c>
      <c r="Q40" s="21">
        <v>737.2</v>
      </c>
      <c r="R40" s="21">
        <v>737.2</v>
      </c>
      <c r="S40" s="22">
        <v>1.463598642021879E-2</v>
      </c>
      <c r="T40" s="19">
        <v>4</v>
      </c>
      <c r="U40" s="19"/>
      <c r="V40" s="19" t="s">
        <v>80</v>
      </c>
    </row>
    <row r="41" spans="1:22" x14ac:dyDescent="0.25">
      <c r="A41" s="19" t="s">
        <v>49</v>
      </c>
      <c r="B41" s="19" t="s">
        <v>24</v>
      </c>
      <c r="C41" s="19" t="s">
        <v>50</v>
      </c>
      <c r="D41" s="19" t="s">
        <v>39</v>
      </c>
      <c r="E41" s="19" t="s">
        <v>68</v>
      </c>
      <c r="F41" s="19">
        <v>16</v>
      </c>
      <c r="G41" s="21">
        <v>50032</v>
      </c>
      <c r="H41" s="21">
        <v>3127</v>
      </c>
      <c r="I41" s="19">
        <v>0</v>
      </c>
      <c r="J41" s="21">
        <v>0</v>
      </c>
      <c r="K41" s="21">
        <v>0</v>
      </c>
      <c r="L41" s="19">
        <v>16</v>
      </c>
      <c r="M41" s="21">
        <v>50032</v>
      </c>
      <c r="N41" s="21">
        <v>3092.3</v>
      </c>
      <c r="O41" s="21">
        <v>49476.800000000003</v>
      </c>
      <c r="P41" s="21">
        <v>0</v>
      </c>
      <c r="Q41" s="21">
        <v>-555.20000000000005</v>
      </c>
      <c r="R41" s="21">
        <v>-555.20000000000005</v>
      </c>
      <c r="S41" s="22">
        <v>-1.1096897985289419E-2</v>
      </c>
      <c r="T41" s="19">
        <v>4</v>
      </c>
      <c r="U41" s="19"/>
      <c r="V41" s="19" t="s">
        <v>80</v>
      </c>
    </row>
    <row r="42" spans="1:22" x14ac:dyDescent="0.25">
      <c r="A42" s="19" t="s">
        <v>316</v>
      </c>
      <c r="B42" s="19" t="s">
        <v>28</v>
      </c>
      <c r="C42" s="19" t="s">
        <v>54</v>
      </c>
      <c r="D42" s="19" t="s">
        <v>40</v>
      </c>
      <c r="E42" s="19" t="s">
        <v>98</v>
      </c>
      <c r="F42" s="19">
        <v>1315</v>
      </c>
      <c r="G42" s="21">
        <v>100907.4</v>
      </c>
      <c r="H42" s="21">
        <v>76.739999999999995</v>
      </c>
      <c r="I42" s="19">
        <v>595</v>
      </c>
      <c r="J42" s="21">
        <v>49950.85</v>
      </c>
      <c r="K42" s="21">
        <v>83.95</v>
      </c>
      <c r="L42" s="19">
        <v>720</v>
      </c>
      <c r="M42" s="21">
        <v>55252.800000000003</v>
      </c>
      <c r="N42" s="21">
        <v>78.34</v>
      </c>
      <c r="O42" s="21">
        <v>56404.800000000003</v>
      </c>
      <c r="P42" s="21">
        <v>4290.55</v>
      </c>
      <c r="Q42" s="21">
        <v>1152</v>
      </c>
      <c r="R42" s="21">
        <v>5442.55</v>
      </c>
      <c r="S42" s="22">
        <v>5.393608397401975E-2</v>
      </c>
      <c r="T42" s="19">
        <v>123</v>
      </c>
      <c r="U42" s="19"/>
      <c r="V42" s="19" t="s">
        <v>80</v>
      </c>
    </row>
    <row r="43" spans="1:22" x14ac:dyDescent="0.25">
      <c r="A43" s="19" t="s">
        <v>404</v>
      </c>
      <c r="B43" s="19" t="s">
        <v>28</v>
      </c>
      <c r="C43" s="19" t="s">
        <v>50</v>
      </c>
      <c r="D43" s="19" t="s">
        <v>40</v>
      </c>
      <c r="E43" s="19" t="s">
        <v>68</v>
      </c>
      <c r="F43" s="19">
        <v>19</v>
      </c>
      <c r="G43" s="21">
        <v>50977</v>
      </c>
      <c r="H43" s="21">
        <v>2683</v>
      </c>
      <c r="I43" s="19">
        <v>19</v>
      </c>
      <c r="J43" s="21">
        <v>47612.048300000002</v>
      </c>
      <c r="K43" s="21">
        <v>2505.9</v>
      </c>
      <c r="L43" s="19">
        <v>0</v>
      </c>
      <c r="M43" s="21">
        <v>0</v>
      </c>
      <c r="N43" s="21">
        <v>2422.8000000000002</v>
      </c>
      <c r="O43" s="21">
        <v>0</v>
      </c>
      <c r="P43" s="21">
        <v>-3364.95</v>
      </c>
      <c r="Q43" s="21">
        <v>0</v>
      </c>
      <c r="R43" s="21">
        <v>-3364.95</v>
      </c>
      <c r="S43" s="22">
        <v>-6.6009180610863721E-2</v>
      </c>
      <c r="T43" s="19">
        <v>18</v>
      </c>
      <c r="U43" s="19"/>
      <c r="V43" s="19" t="s">
        <v>80</v>
      </c>
    </row>
    <row r="44" spans="1:22" x14ac:dyDescent="0.25">
      <c r="A44" s="19" t="s">
        <v>81</v>
      </c>
      <c r="B44" s="19" t="s">
        <v>26</v>
      </c>
      <c r="C44" s="19" t="s">
        <v>55</v>
      </c>
      <c r="D44" s="19" t="s">
        <v>39</v>
      </c>
      <c r="E44" s="19" t="s">
        <v>463</v>
      </c>
      <c r="F44" s="19">
        <v>168</v>
      </c>
      <c r="G44" s="21">
        <v>91224</v>
      </c>
      <c r="H44" s="21">
        <v>543</v>
      </c>
      <c r="I44" s="19">
        <v>168</v>
      </c>
      <c r="J44" s="21">
        <v>81102.5</v>
      </c>
      <c r="K44" s="21">
        <v>482.75</v>
      </c>
      <c r="L44" s="19">
        <v>0</v>
      </c>
      <c r="M44" s="21">
        <v>0</v>
      </c>
      <c r="N44" s="21">
        <v>508.4</v>
      </c>
      <c r="O44" s="21">
        <v>0</v>
      </c>
      <c r="P44" s="21">
        <v>-10121.5</v>
      </c>
      <c r="Q44" s="21">
        <v>0</v>
      </c>
      <c r="R44" s="21">
        <v>-10121.5</v>
      </c>
      <c r="S44" s="22">
        <v>-0.1109521617118302</v>
      </c>
      <c r="T44" s="19">
        <v>64</v>
      </c>
      <c r="U44" s="19" t="s">
        <v>82</v>
      </c>
      <c r="V44" s="19" t="s">
        <v>80</v>
      </c>
    </row>
    <row r="45" spans="1:22" x14ac:dyDescent="0.25">
      <c r="A45" s="19" t="s">
        <v>379</v>
      </c>
      <c r="B45" s="19" t="s">
        <v>26</v>
      </c>
      <c r="C45" s="19" t="s">
        <v>50</v>
      </c>
      <c r="D45" s="19" t="s">
        <v>40</v>
      </c>
      <c r="E45" s="19" t="s">
        <v>68</v>
      </c>
      <c r="F45" s="19">
        <v>121</v>
      </c>
      <c r="G45" s="21">
        <v>24998.6</v>
      </c>
      <c r="H45" s="21">
        <v>206.6</v>
      </c>
      <c r="I45" s="19">
        <v>121</v>
      </c>
      <c r="J45" s="21">
        <v>19294.599999999999</v>
      </c>
      <c r="K45" s="21">
        <v>159.46</v>
      </c>
      <c r="L45" s="19">
        <v>0</v>
      </c>
      <c r="M45" s="21">
        <v>0</v>
      </c>
      <c r="N45" s="21">
        <v>145.57</v>
      </c>
      <c r="O45" s="21">
        <v>0</v>
      </c>
      <c r="P45" s="21">
        <v>-5704</v>
      </c>
      <c r="Q45" s="21">
        <v>0</v>
      </c>
      <c r="R45" s="21">
        <v>-5704</v>
      </c>
      <c r="S45" s="22">
        <v>-0.2281727776755498</v>
      </c>
      <c r="T45" s="19">
        <v>59</v>
      </c>
      <c r="U45" s="19"/>
      <c r="V45" s="19" t="s">
        <v>80</v>
      </c>
    </row>
    <row r="46" spans="1:22" x14ac:dyDescent="0.25">
      <c r="A46" s="19" t="s">
        <v>47</v>
      </c>
      <c r="B46" s="19"/>
      <c r="C46" s="19" t="s">
        <v>52</v>
      </c>
      <c r="D46" s="19" t="s">
        <v>40</v>
      </c>
      <c r="E46" s="19" t="s">
        <v>68</v>
      </c>
      <c r="F46" s="19">
        <v>92</v>
      </c>
      <c r="G46" s="21">
        <v>25078.28</v>
      </c>
      <c r="H46" s="21">
        <v>272.58999999999997</v>
      </c>
      <c r="I46" s="19">
        <v>0</v>
      </c>
      <c r="J46" s="21">
        <v>0</v>
      </c>
      <c r="K46" s="21">
        <v>0</v>
      </c>
      <c r="L46" s="19">
        <v>92</v>
      </c>
      <c r="M46" s="21">
        <v>25078.28</v>
      </c>
      <c r="N46" s="21">
        <v>267.61</v>
      </c>
      <c r="O46" s="21">
        <v>24620.12</v>
      </c>
      <c r="P46" s="21">
        <v>0</v>
      </c>
      <c r="Q46" s="21">
        <v>-458.16</v>
      </c>
      <c r="R46" s="21">
        <v>-458.16</v>
      </c>
      <c r="S46" s="22">
        <v>-1.8269195495065851E-2</v>
      </c>
      <c r="T46" s="19">
        <v>71</v>
      </c>
      <c r="U46" s="19"/>
      <c r="V46" s="19" t="s">
        <v>80</v>
      </c>
    </row>
    <row r="47" spans="1:22" x14ac:dyDescent="0.25">
      <c r="A47" s="19" t="s">
        <v>285</v>
      </c>
      <c r="B47" s="19" t="s">
        <v>28</v>
      </c>
      <c r="C47" s="19" t="s">
        <v>50</v>
      </c>
      <c r="D47" s="19" t="s">
        <v>40</v>
      </c>
      <c r="E47" s="19" t="s">
        <v>68</v>
      </c>
      <c r="F47" s="19">
        <v>300</v>
      </c>
      <c r="G47" s="21">
        <v>25347</v>
      </c>
      <c r="H47" s="21">
        <v>84.49</v>
      </c>
      <c r="I47" s="19">
        <v>0</v>
      </c>
      <c r="J47" s="21">
        <v>0</v>
      </c>
      <c r="K47" s="21">
        <v>0</v>
      </c>
      <c r="L47" s="19">
        <v>300</v>
      </c>
      <c r="M47" s="21">
        <v>25347</v>
      </c>
      <c r="N47" s="21">
        <v>89.02</v>
      </c>
      <c r="O47" s="21">
        <v>26706</v>
      </c>
      <c r="P47" s="21">
        <v>0</v>
      </c>
      <c r="Q47" s="21">
        <v>1359</v>
      </c>
      <c r="R47" s="21">
        <v>1359</v>
      </c>
      <c r="S47" s="22">
        <v>5.3615812522191983E-2</v>
      </c>
      <c r="T47" s="19">
        <v>137</v>
      </c>
      <c r="U47" s="19"/>
      <c r="V47" s="19" t="s">
        <v>80</v>
      </c>
    </row>
    <row r="48" spans="1:22" x14ac:dyDescent="0.25">
      <c r="A48" s="19" t="s">
        <v>83</v>
      </c>
      <c r="B48" s="19" t="s">
        <v>24</v>
      </c>
      <c r="C48" s="19" t="s">
        <v>55</v>
      </c>
      <c r="D48" s="19" t="s">
        <v>39</v>
      </c>
      <c r="E48" s="19" t="s">
        <v>463</v>
      </c>
      <c r="F48" s="19">
        <v>60</v>
      </c>
      <c r="G48" s="21">
        <v>93744</v>
      </c>
      <c r="H48" s="21">
        <v>1562.4</v>
      </c>
      <c r="I48" s="19">
        <v>60</v>
      </c>
      <c r="J48" s="21">
        <v>88621.5</v>
      </c>
      <c r="K48" s="21">
        <v>1477.02</v>
      </c>
      <c r="L48" s="19">
        <v>0</v>
      </c>
      <c r="M48" s="21">
        <v>0</v>
      </c>
      <c r="N48" s="21">
        <v>1455.8</v>
      </c>
      <c r="O48" s="21">
        <v>0</v>
      </c>
      <c r="P48" s="21">
        <v>-5122.5</v>
      </c>
      <c r="Q48" s="21">
        <v>0</v>
      </c>
      <c r="R48" s="21">
        <v>-5122.5</v>
      </c>
      <c r="S48" s="22">
        <v>-5.4643497183819757E-2</v>
      </c>
      <c r="T48" s="19">
        <v>24</v>
      </c>
      <c r="U48" s="19" t="s">
        <v>84</v>
      </c>
      <c r="V48" s="19" t="s">
        <v>80</v>
      </c>
    </row>
    <row r="49" spans="1:22" x14ac:dyDescent="0.25">
      <c r="A49" s="19" t="s">
        <v>310</v>
      </c>
      <c r="B49" s="19" t="s">
        <v>24</v>
      </c>
      <c r="C49" s="19" t="s">
        <v>54</v>
      </c>
      <c r="D49" s="19" t="s">
        <v>40</v>
      </c>
      <c r="E49" s="19" t="s">
        <v>96</v>
      </c>
      <c r="F49" s="19">
        <v>200</v>
      </c>
      <c r="G49" s="21">
        <v>25540.1</v>
      </c>
      <c r="H49" s="21">
        <v>127.7</v>
      </c>
      <c r="I49" s="19">
        <v>200</v>
      </c>
      <c r="J49" s="21">
        <v>23912</v>
      </c>
      <c r="K49" s="21">
        <v>119.56</v>
      </c>
      <c r="L49" s="19">
        <v>0</v>
      </c>
      <c r="M49" s="21">
        <v>0</v>
      </c>
      <c r="N49" s="21">
        <v>101.3</v>
      </c>
      <c r="O49" s="21">
        <v>0</v>
      </c>
      <c r="P49" s="21">
        <v>-1628</v>
      </c>
      <c r="Q49" s="21">
        <v>0</v>
      </c>
      <c r="R49" s="21">
        <v>-1628</v>
      </c>
      <c r="S49" s="22">
        <v>-6.3742898422480723E-2</v>
      </c>
      <c r="T49" s="19">
        <v>17</v>
      </c>
      <c r="U49" s="19"/>
      <c r="V49" s="19" t="s">
        <v>80</v>
      </c>
    </row>
    <row r="50" spans="1:22" x14ac:dyDescent="0.25">
      <c r="A50" s="19" t="s">
        <v>413</v>
      </c>
      <c r="B50" s="19" t="s">
        <v>26</v>
      </c>
      <c r="C50" s="19" t="s">
        <v>50</v>
      </c>
      <c r="D50" s="19" t="s">
        <v>40</v>
      </c>
      <c r="E50" s="19" t="s">
        <v>96</v>
      </c>
      <c r="F50" s="19">
        <v>70</v>
      </c>
      <c r="G50" s="21">
        <v>99582.6</v>
      </c>
      <c r="H50" s="21">
        <v>1422.61</v>
      </c>
      <c r="I50" s="19">
        <v>0</v>
      </c>
      <c r="J50" s="21">
        <v>0</v>
      </c>
      <c r="K50" s="21">
        <v>0</v>
      </c>
      <c r="L50" s="19">
        <v>70</v>
      </c>
      <c r="M50" s="21">
        <v>99582.7</v>
      </c>
      <c r="N50" s="21">
        <v>1529.8</v>
      </c>
      <c r="O50" s="21">
        <v>107086</v>
      </c>
      <c r="P50" s="21">
        <v>0</v>
      </c>
      <c r="Q50" s="21">
        <v>7503.3</v>
      </c>
      <c r="R50" s="21">
        <v>7503.3</v>
      </c>
      <c r="S50" s="22">
        <v>7.5347500466949047E-2</v>
      </c>
      <c r="T50" s="19">
        <v>15</v>
      </c>
      <c r="U50" s="19"/>
      <c r="V50" s="19" t="s">
        <v>80</v>
      </c>
    </row>
    <row r="51" spans="1:22" x14ac:dyDescent="0.25">
      <c r="A51" s="19" t="s">
        <v>41</v>
      </c>
      <c r="B51" s="19" t="s">
        <v>24</v>
      </c>
      <c r="C51" s="19" t="s">
        <v>50</v>
      </c>
      <c r="D51" s="19" t="s">
        <v>39</v>
      </c>
      <c r="E51" s="19" t="s">
        <v>64</v>
      </c>
      <c r="F51" s="19">
        <v>50</v>
      </c>
      <c r="G51" s="21">
        <v>386447</v>
      </c>
      <c r="H51" s="21">
        <v>7728.94</v>
      </c>
      <c r="I51" s="19">
        <v>0</v>
      </c>
      <c r="J51" s="21">
        <v>0</v>
      </c>
      <c r="K51" s="21">
        <v>0</v>
      </c>
      <c r="L51" s="19">
        <v>50</v>
      </c>
      <c r="M51" s="21">
        <v>386447</v>
      </c>
      <c r="N51" s="21">
        <v>9162.5</v>
      </c>
      <c r="O51" s="21">
        <v>458125</v>
      </c>
      <c r="P51" s="21">
        <v>0</v>
      </c>
      <c r="Q51" s="21">
        <v>71678</v>
      </c>
      <c r="R51" s="21">
        <v>71678</v>
      </c>
      <c r="S51" s="22">
        <v>0.18547950947995459</v>
      </c>
      <c r="T51" s="19">
        <v>253</v>
      </c>
      <c r="U51" s="19"/>
      <c r="V51" s="19" t="s">
        <v>80</v>
      </c>
    </row>
    <row r="52" spans="1:22" x14ac:dyDescent="0.25">
      <c r="A52" s="19" t="s">
        <v>182</v>
      </c>
      <c r="B52" s="19" t="s">
        <v>28</v>
      </c>
      <c r="C52" s="19" t="s">
        <v>54</v>
      </c>
      <c r="D52" s="19" t="s">
        <v>40</v>
      </c>
      <c r="E52" s="19" t="s">
        <v>463</v>
      </c>
      <c r="F52" s="19">
        <v>188</v>
      </c>
      <c r="G52" s="21">
        <v>99892.650000000009</v>
      </c>
      <c r="H52" s="21">
        <v>531.34</v>
      </c>
      <c r="I52" s="19">
        <v>188</v>
      </c>
      <c r="J52" s="21">
        <v>90619.099999999991</v>
      </c>
      <c r="K52" s="21">
        <v>482.02</v>
      </c>
      <c r="L52" s="19">
        <v>0</v>
      </c>
      <c r="M52" s="21">
        <v>0</v>
      </c>
      <c r="N52" s="21">
        <v>404.5</v>
      </c>
      <c r="O52" s="21">
        <v>0</v>
      </c>
      <c r="P52" s="21">
        <v>-9272.82</v>
      </c>
      <c r="Q52" s="21">
        <v>0</v>
      </c>
      <c r="R52" s="21">
        <v>-9272.82</v>
      </c>
      <c r="S52" s="22">
        <v>-9.2827850697723993E-2</v>
      </c>
      <c r="T52" s="19">
        <v>21</v>
      </c>
      <c r="U52" s="19"/>
      <c r="V52" s="19" t="s">
        <v>80</v>
      </c>
    </row>
    <row r="53" spans="1:22" x14ac:dyDescent="0.25">
      <c r="A53" s="19" t="s">
        <v>185</v>
      </c>
      <c r="B53" s="19" t="s">
        <v>26</v>
      </c>
      <c r="C53" s="19" t="s">
        <v>50</v>
      </c>
      <c r="D53" s="19" t="s">
        <v>40</v>
      </c>
      <c r="E53" s="19" t="s">
        <v>96</v>
      </c>
      <c r="F53" s="19">
        <v>204</v>
      </c>
      <c r="G53" s="21">
        <v>48757.69</v>
      </c>
      <c r="H53" s="21">
        <v>239.01</v>
      </c>
      <c r="I53" s="19">
        <v>220</v>
      </c>
      <c r="J53" s="21">
        <v>54098</v>
      </c>
      <c r="K53" s="21">
        <v>245.9</v>
      </c>
      <c r="L53" s="19">
        <v>-16</v>
      </c>
      <c r="M53" s="21">
        <v>-3824.16</v>
      </c>
      <c r="N53" s="21">
        <v>381.9</v>
      </c>
      <c r="O53" s="21">
        <v>-6110.4</v>
      </c>
      <c r="P53" s="21">
        <v>1515.8</v>
      </c>
      <c r="Q53" s="21">
        <v>-2286.2399999999998</v>
      </c>
      <c r="R53" s="21">
        <v>-770.44</v>
      </c>
      <c r="S53" s="22">
        <v>-1.580140486557095E-2</v>
      </c>
      <c r="T53" s="19">
        <v>225</v>
      </c>
      <c r="U53" s="19"/>
      <c r="V53" s="19" t="s">
        <v>80</v>
      </c>
    </row>
    <row r="54" spans="1:22" x14ac:dyDescent="0.25">
      <c r="A54" s="19" t="s">
        <v>357</v>
      </c>
      <c r="B54" s="19" t="s">
        <v>26</v>
      </c>
      <c r="C54" s="19" t="s">
        <v>50</v>
      </c>
      <c r="D54" s="19" t="s">
        <v>40</v>
      </c>
      <c r="E54" s="19" t="s">
        <v>68</v>
      </c>
      <c r="F54" s="19">
        <v>10</v>
      </c>
      <c r="G54" s="21">
        <v>4835.5</v>
      </c>
      <c r="H54" s="21">
        <v>483.55</v>
      </c>
      <c r="I54" s="19">
        <v>10</v>
      </c>
      <c r="J54" s="21">
        <v>4193</v>
      </c>
      <c r="K54" s="21">
        <v>419.3</v>
      </c>
      <c r="L54" s="19">
        <v>0</v>
      </c>
      <c r="M54" s="21">
        <v>0</v>
      </c>
      <c r="N54" s="21">
        <v>410.1</v>
      </c>
      <c r="O54" s="21">
        <v>0</v>
      </c>
      <c r="P54" s="21">
        <v>-642.5</v>
      </c>
      <c r="Q54" s="21">
        <v>0</v>
      </c>
      <c r="R54" s="21">
        <v>-642.5</v>
      </c>
      <c r="S54" s="22">
        <v>-0.1328714714093682</v>
      </c>
      <c r="T54" s="19">
        <v>15</v>
      </c>
      <c r="U54" s="19"/>
      <c r="V54" s="19" t="s">
        <v>80</v>
      </c>
    </row>
    <row r="55" spans="1:22" x14ac:dyDescent="0.25">
      <c r="A55" s="19" t="s">
        <v>235</v>
      </c>
      <c r="B55" s="19" t="s">
        <v>24</v>
      </c>
      <c r="C55" s="19" t="s">
        <v>54</v>
      </c>
      <c r="D55" s="19" t="s">
        <v>40</v>
      </c>
      <c r="E55" s="19" t="s">
        <v>62</v>
      </c>
      <c r="F55" s="19">
        <v>208</v>
      </c>
      <c r="G55" s="21">
        <v>233369.9</v>
      </c>
      <c r="H55" s="21">
        <v>1121.97</v>
      </c>
      <c r="I55" s="19">
        <v>278</v>
      </c>
      <c r="J55" s="21">
        <v>269743.40000000002</v>
      </c>
      <c r="K55" s="21">
        <v>970.3</v>
      </c>
      <c r="L55" s="19">
        <v>-70</v>
      </c>
      <c r="M55" s="21">
        <v>-78537.899999999994</v>
      </c>
      <c r="N55" s="21">
        <v>948.8</v>
      </c>
      <c r="O55" s="21">
        <v>-66416</v>
      </c>
      <c r="P55" s="21">
        <v>-42164.26</v>
      </c>
      <c r="Q55" s="21">
        <v>12121.9</v>
      </c>
      <c r="R55" s="21">
        <v>-30042.36</v>
      </c>
      <c r="S55" s="22">
        <v>-0.12873279716021649</v>
      </c>
      <c r="T55" s="19">
        <v>197</v>
      </c>
      <c r="U55" s="19"/>
      <c r="V55" s="19" t="s">
        <v>80</v>
      </c>
    </row>
    <row r="56" spans="1:22" x14ac:dyDescent="0.25">
      <c r="A56" s="19" t="s">
        <v>335</v>
      </c>
      <c r="B56" s="19" t="s">
        <v>26</v>
      </c>
      <c r="C56" s="19" t="s">
        <v>50</v>
      </c>
      <c r="D56" s="19" t="s">
        <v>40</v>
      </c>
      <c r="E56" s="19" t="s">
        <v>98</v>
      </c>
      <c r="F56" s="19">
        <v>42</v>
      </c>
      <c r="G56" s="21">
        <v>56862.5</v>
      </c>
      <c r="H56" s="21">
        <v>1353.87</v>
      </c>
      <c r="I56" s="19">
        <v>0</v>
      </c>
      <c r="J56" s="21">
        <v>0</v>
      </c>
      <c r="K56" s="21">
        <v>0</v>
      </c>
      <c r="L56" s="19">
        <v>42</v>
      </c>
      <c r="M56" s="21">
        <v>56862.54</v>
      </c>
      <c r="N56" s="21">
        <v>1561.6</v>
      </c>
      <c r="O56" s="21">
        <v>65587.199999999997</v>
      </c>
      <c r="P56" s="21">
        <v>0</v>
      </c>
      <c r="Q56" s="21">
        <v>8724.66</v>
      </c>
      <c r="R56" s="21">
        <v>8724.66</v>
      </c>
      <c r="S56" s="22">
        <v>0.15343433721697081</v>
      </c>
      <c r="T56" s="19">
        <v>109</v>
      </c>
      <c r="U56" s="19"/>
      <c r="V56" s="19" t="s">
        <v>80</v>
      </c>
    </row>
    <row r="57" spans="1:22" x14ac:dyDescent="0.25">
      <c r="A57" s="19" t="s">
        <v>400</v>
      </c>
      <c r="B57" s="19" t="s">
        <v>24</v>
      </c>
      <c r="C57" s="19" t="s">
        <v>50</v>
      </c>
      <c r="D57" s="19" t="s">
        <v>39</v>
      </c>
      <c r="E57" s="19" t="s">
        <v>68</v>
      </c>
      <c r="F57" s="19">
        <v>2</v>
      </c>
      <c r="G57" s="21">
        <v>26042</v>
      </c>
      <c r="H57" s="21">
        <v>13021</v>
      </c>
      <c r="I57" s="19">
        <v>0</v>
      </c>
      <c r="J57" s="21">
        <v>0</v>
      </c>
      <c r="K57" s="21">
        <v>0</v>
      </c>
      <c r="L57" s="19">
        <v>2</v>
      </c>
      <c r="M57" s="21">
        <v>26042</v>
      </c>
      <c r="N57" s="21">
        <v>18116</v>
      </c>
      <c r="O57" s="21">
        <v>36232</v>
      </c>
      <c r="P57" s="21">
        <v>0</v>
      </c>
      <c r="Q57" s="21">
        <v>10190</v>
      </c>
      <c r="R57" s="21">
        <v>10190</v>
      </c>
      <c r="S57" s="22">
        <v>0.3912909914753091</v>
      </c>
      <c r="T57" s="19">
        <v>60</v>
      </c>
      <c r="U57" s="19"/>
      <c r="V57" s="19" t="s">
        <v>80</v>
      </c>
    </row>
    <row r="58" spans="1:22" x14ac:dyDescent="0.25">
      <c r="A58" s="19" t="s">
        <v>307</v>
      </c>
      <c r="B58" s="19" t="s">
        <v>26</v>
      </c>
      <c r="C58" s="19" t="s">
        <v>54</v>
      </c>
      <c r="D58" s="19" t="s">
        <v>40</v>
      </c>
      <c r="E58" s="19" t="s">
        <v>68</v>
      </c>
      <c r="F58" s="19">
        <v>600</v>
      </c>
      <c r="G58" s="21">
        <v>26682</v>
      </c>
      <c r="H58" s="21">
        <v>44.47</v>
      </c>
      <c r="I58" s="19">
        <v>600</v>
      </c>
      <c r="J58" s="21">
        <v>22532.01</v>
      </c>
      <c r="K58" s="21">
        <v>37.549999999999997</v>
      </c>
      <c r="L58" s="19">
        <v>0</v>
      </c>
      <c r="M58" s="21">
        <v>0</v>
      </c>
      <c r="N58" s="21">
        <v>38.75</v>
      </c>
      <c r="O58" s="21">
        <v>0</v>
      </c>
      <c r="P58" s="21">
        <v>-4149.99</v>
      </c>
      <c r="Q58" s="21">
        <v>0</v>
      </c>
      <c r="R58" s="21">
        <v>-4149.99</v>
      </c>
      <c r="S58" s="22">
        <v>-0.1555351922644479</v>
      </c>
      <c r="T58" s="19">
        <v>14</v>
      </c>
      <c r="U58" s="19"/>
      <c r="V58" s="19" t="s">
        <v>80</v>
      </c>
    </row>
    <row r="59" spans="1:22" x14ac:dyDescent="0.25">
      <c r="A59" s="19" t="s">
        <v>169</v>
      </c>
      <c r="B59" s="19" t="s">
        <v>26</v>
      </c>
      <c r="C59" s="19" t="s">
        <v>55</v>
      </c>
      <c r="D59" s="19" t="s">
        <v>40</v>
      </c>
      <c r="E59" s="19" t="s">
        <v>68</v>
      </c>
      <c r="F59" s="19">
        <v>57</v>
      </c>
      <c r="G59" s="21">
        <v>50160</v>
      </c>
      <c r="H59" s="21">
        <v>880</v>
      </c>
      <c r="I59" s="19">
        <v>57</v>
      </c>
      <c r="J59" s="21">
        <v>44850.6</v>
      </c>
      <c r="K59" s="21">
        <v>786.85</v>
      </c>
      <c r="L59" s="19">
        <v>0</v>
      </c>
      <c r="M59" s="21">
        <v>0</v>
      </c>
      <c r="N59" s="21">
        <v>706.8</v>
      </c>
      <c r="O59" s="21">
        <v>0</v>
      </c>
      <c r="P59" s="21">
        <v>-5309.4</v>
      </c>
      <c r="Q59" s="21">
        <v>0</v>
      </c>
      <c r="R59" s="21">
        <v>-5309.4</v>
      </c>
      <c r="S59" s="22">
        <v>-0.10584928229665071</v>
      </c>
      <c r="T59" s="19">
        <v>9</v>
      </c>
      <c r="U59" s="19"/>
      <c r="V59" s="19" t="s">
        <v>80</v>
      </c>
    </row>
    <row r="60" spans="1:22" x14ac:dyDescent="0.25">
      <c r="A60" s="19" t="s">
        <v>45</v>
      </c>
      <c r="B60" s="19" t="s">
        <v>24</v>
      </c>
      <c r="C60" s="19" t="s">
        <v>55</v>
      </c>
      <c r="D60" s="19" t="s">
        <v>40</v>
      </c>
      <c r="E60" s="19" t="s">
        <v>68</v>
      </c>
      <c r="F60" s="19">
        <v>26</v>
      </c>
      <c r="G60" s="21">
        <v>49379.199999999997</v>
      </c>
      <c r="H60" s="21">
        <v>1899.2</v>
      </c>
      <c r="I60" s="19">
        <v>0</v>
      </c>
      <c r="J60" s="21">
        <v>0</v>
      </c>
      <c r="K60" s="21">
        <v>0</v>
      </c>
      <c r="L60" s="19">
        <v>26</v>
      </c>
      <c r="M60" s="21">
        <v>49379.199999999997</v>
      </c>
      <c r="N60" s="21">
        <v>1882.3</v>
      </c>
      <c r="O60" s="21">
        <v>48939.8</v>
      </c>
      <c r="P60" s="21">
        <v>0</v>
      </c>
      <c r="Q60" s="21">
        <v>-439.4</v>
      </c>
      <c r="R60" s="21">
        <v>-439.4</v>
      </c>
      <c r="S60" s="22">
        <v>-8.8984835720303281E-3</v>
      </c>
      <c r="T60" s="19">
        <v>1</v>
      </c>
      <c r="U60" s="19"/>
      <c r="V60" s="19" t="s">
        <v>80</v>
      </c>
    </row>
    <row r="61" spans="1:22" x14ac:dyDescent="0.25">
      <c r="A61" s="19" t="s">
        <v>134</v>
      </c>
      <c r="B61" s="19" t="s">
        <v>28</v>
      </c>
      <c r="C61" s="19" t="s">
        <v>55</v>
      </c>
      <c r="D61" s="19" t="s">
        <v>39</v>
      </c>
      <c r="E61" s="19" t="s">
        <v>463</v>
      </c>
      <c r="F61" s="19">
        <v>20</v>
      </c>
      <c r="G61" s="21">
        <v>90180</v>
      </c>
      <c r="H61" s="21">
        <v>4509</v>
      </c>
      <c r="I61" s="19">
        <v>20</v>
      </c>
      <c r="J61" s="21">
        <v>83602.900399999999</v>
      </c>
      <c r="K61" s="21">
        <v>4180.1499999999996</v>
      </c>
      <c r="L61" s="19">
        <v>0</v>
      </c>
      <c r="M61" s="21">
        <v>0</v>
      </c>
      <c r="N61" s="21">
        <v>3446.3</v>
      </c>
      <c r="O61" s="21">
        <v>0</v>
      </c>
      <c r="P61" s="21">
        <v>-6577.1</v>
      </c>
      <c r="Q61" s="21">
        <v>0</v>
      </c>
      <c r="R61" s="21">
        <v>-6577.1</v>
      </c>
      <c r="S61" s="22">
        <v>-7.2933022843202494E-2</v>
      </c>
      <c r="T61" s="19">
        <v>25</v>
      </c>
      <c r="U61" s="19"/>
      <c r="V61" s="19" t="s">
        <v>80</v>
      </c>
    </row>
    <row r="62" spans="1:22" x14ac:dyDescent="0.25">
      <c r="A62" s="19" t="s">
        <v>367</v>
      </c>
      <c r="B62" s="19" t="s">
        <v>26</v>
      </c>
      <c r="C62" s="19" t="s">
        <v>50</v>
      </c>
      <c r="D62" s="19" t="s">
        <v>40</v>
      </c>
      <c r="E62" s="19" t="s">
        <v>68</v>
      </c>
      <c r="F62" s="19">
        <v>80</v>
      </c>
      <c r="G62" s="21">
        <v>25175.98</v>
      </c>
      <c r="H62" s="21">
        <v>314.7</v>
      </c>
      <c r="I62" s="19">
        <v>80</v>
      </c>
      <c r="J62" s="21">
        <v>24328</v>
      </c>
      <c r="K62" s="21">
        <v>304.10000000000002</v>
      </c>
      <c r="L62" s="19">
        <v>0</v>
      </c>
      <c r="M62" s="21">
        <v>0</v>
      </c>
      <c r="N62" s="21">
        <v>297.39999999999998</v>
      </c>
      <c r="O62" s="21">
        <v>0</v>
      </c>
      <c r="P62" s="21">
        <v>-848</v>
      </c>
      <c r="Q62" s="21">
        <v>0</v>
      </c>
      <c r="R62" s="21">
        <v>-848</v>
      </c>
      <c r="S62" s="22">
        <v>-3.3682899335001057E-2</v>
      </c>
      <c r="T62" s="19">
        <v>84</v>
      </c>
      <c r="U62" s="19"/>
      <c r="V62" s="19" t="s">
        <v>80</v>
      </c>
    </row>
    <row r="63" spans="1:22" x14ac:dyDescent="0.25">
      <c r="A63" s="19" t="s">
        <v>38</v>
      </c>
      <c r="B63" s="19" t="s">
        <v>26</v>
      </c>
      <c r="C63" s="19" t="s">
        <v>50</v>
      </c>
      <c r="D63" s="19" t="s">
        <v>39</v>
      </c>
      <c r="E63" s="19" t="s">
        <v>69</v>
      </c>
      <c r="F63" s="19">
        <v>296</v>
      </c>
      <c r="G63" s="21">
        <v>274774.75</v>
      </c>
      <c r="H63" s="21">
        <v>928.29</v>
      </c>
      <c r="I63" s="19">
        <v>0</v>
      </c>
      <c r="J63" s="21">
        <v>0</v>
      </c>
      <c r="K63" s="21">
        <v>0</v>
      </c>
      <c r="L63" s="19">
        <v>296</v>
      </c>
      <c r="M63" s="21">
        <v>274773.84000000003</v>
      </c>
      <c r="N63" s="21">
        <v>1256.3</v>
      </c>
      <c r="O63" s="21">
        <v>371864.8</v>
      </c>
      <c r="P63" s="21">
        <v>0</v>
      </c>
      <c r="Q63" s="21">
        <v>97090.96</v>
      </c>
      <c r="R63" s="21">
        <v>97090.96</v>
      </c>
      <c r="S63" s="22">
        <v>0.35334746005591849</v>
      </c>
      <c r="T63" s="19">
        <v>96</v>
      </c>
      <c r="U63" s="19"/>
      <c r="V63" s="19" t="s">
        <v>80</v>
      </c>
    </row>
    <row r="64" spans="1:22" x14ac:dyDescent="0.25">
      <c r="A64" s="19" t="s">
        <v>137</v>
      </c>
      <c r="B64" s="19" t="s">
        <v>24</v>
      </c>
      <c r="C64" s="19" t="s">
        <v>52</v>
      </c>
      <c r="D64" s="19" t="s">
        <v>39</v>
      </c>
      <c r="E64" s="19" t="s">
        <v>463</v>
      </c>
      <c r="F64" s="19">
        <v>25</v>
      </c>
      <c r="G64" s="21">
        <v>91567.5</v>
      </c>
      <c r="H64" s="21">
        <v>3662.7</v>
      </c>
      <c r="I64" s="19">
        <v>25</v>
      </c>
      <c r="J64" s="21">
        <v>84762.5</v>
      </c>
      <c r="K64" s="21">
        <v>3390.5</v>
      </c>
      <c r="L64" s="19">
        <v>0</v>
      </c>
      <c r="M64" s="21">
        <v>0</v>
      </c>
      <c r="N64" s="21">
        <v>4102</v>
      </c>
      <c r="O64" s="21">
        <v>0</v>
      </c>
      <c r="P64" s="21">
        <v>-6805</v>
      </c>
      <c r="Q64" s="21">
        <v>0</v>
      </c>
      <c r="R64" s="21">
        <v>-6805</v>
      </c>
      <c r="S64" s="22">
        <v>-7.431676085947525E-2</v>
      </c>
      <c r="T64" s="19">
        <v>25</v>
      </c>
      <c r="U64" s="19"/>
      <c r="V64" s="19" t="s">
        <v>80</v>
      </c>
    </row>
    <row r="65" spans="1:22" x14ac:dyDescent="0.25">
      <c r="A65" s="19" t="s">
        <v>255</v>
      </c>
      <c r="B65" s="19" t="s">
        <v>26</v>
      </c>
      <c r="C65" s="19" t="s">
        <v>52</v>
      </c>
      <c r="D65" s="19" t="s">
        <v>40</v>
      </c>
      <c r="E65" s="19" t="s">
        <v>96</v>
      </c>
      <c r="F65" s="19">
        <v>22</v>
      </c>
      <c r="G65" s="21">
        <v>101483.5</v>
      </c>
      <c r="H65" s="21">
        <v>4612.8900000000003</v>
      </c>
      <c r="I65" s="19">
        <v>22</v>
      </c>
      <c r="J65" s="21">
        <v>88669.197999999989</v>
      </c>
      <c r="K65" s="21">
        <v>4030.42</v>
      </c>
      <c r="L65" s="19">
        <v>0</v>
      </c>
      <c r="M65" s="21">
        <v>0</v>
      </c>
      <c r="N65" s="21">
        <v>3610.5</v>
      </c>
      <c r="O65" s="21">
        <v>0</v>
      </c>
      <c r="P65" s="21">
        <v>-12814.38</v>
      </c>
      <c r="Q65" s="21">
        <v>0</v>
      </c>
      <c r="R65" s="21">
        <v>-12814.38</v>
      </c>
      <c r="S65" s="22">
        <v>-0.1262705760049663</v>
      </c>
      <c r="T65" s="19">
        <v>60</v>
      </c>
      <c r="U65" s="19"/>
      <c r="V65" s="19" t="s">
        <v>80</v>
      </c>
    </row>
    <row r="66" spans="1:22" x14ac:dyDescent="0.25">
      <c r="A66" s="19" t="s">
        <v>151</v>
      </c>
      <c r="B66" s="19" t="s">
        <v>28</v>
      </c>
      <c r="C66" s="19" t="s">
        <v>52</v>
      </c>
      <c r="D66" s="19" t="s">
        <v>39</v>
      </c>
      <c r="E66" s="19" t="s">
        <v>68</v>
      </c>
      <c r="F66" s="19">
        <v>37</v>
      </c>
      <c r="G66" s="21">
        <v>47700.4</v>
      </c>
      <c r="H66" s="21">
        <v>1289.2</v>
      </c>
      <c r="I66" s="19">
        <v>71</v>
      </c>
      <c r="J66" s="21">
        <v>77517.8</v>
      </c>
      <c r="K66" s="21">
        <v>1091.8</v>
      </c>
      <c r="L66" s="19">
        <v>-34</v>
      </c>
      <c r="M66" s="21">
        <v>-43832.800000000003</v>
      </c>
      <c r="N66" s="21">
        <v>1051.9000000000001</v>
      </c>
      <c r="O66" s="21">
        <v>-35764.6</v>
      </c>
      <c r="P66" s="21">
        <v>-14015.4</v>
      </c>
      <c r="Q66" s="21">
        <v>8068.2</v>
      </c>
      <c r="R66" s="21">
        <v>-5947.2</v>
      </c>
      <c r="S66" s="22">
        <v>-0.124678199763524</v>
      </c>
      <c r="T66" s="19">
        <v>252</v>
      </c>
      <c r="U66" s="19"/>
      <c r="V66" s="19" t="s">
        <v>80</v>
      </c>
    </row>
    <row r="67" spans="1:22" x14ac:dyDescent="0.25">
      <c r="A67" s="19" t="s">
        <v>419</v>
      </c>
      <c r="B67" s="19" t="s">
        <v>26</v>
      </c>
      <c r="C67" s="19" t="s">
        <v>50</v>
      </c>
      <c r="D67" s="19" t="s">
        <v>40</v>
      </c>
      <c r="E67" s="19" t="s">
        <v>463</v>
      </c>
      <c r="F67" s="19">
        <v>10</v>
      </c>
      <c r="G67" s="21">
        <v>100330</v>
      </c>
      <c r="H67" s="21">
        <v>10033</v>
      </c>
      <c r="I67" s="19">
        <v>10</v>
      </c>
      <c r="J67" s="21">
        <v>99010</v>
      </c>
      <c r="K67" s="21">
        <v>9901</v>
      </c>
      <c r="L67" s="19">
        <v>0</v>
      </c>
      <c r="M67" s="21">
        <v>0</v>
      </c>
      <c r="N67" s="21">
        <v>9051</v>
      </c>
      <c r="O67" s="21">
        <v>0</v>
      </c>
      <c r="P67" s="21">
        <v>-1320</v>
      </c>
      <c r="Q67" s="21">
        <v>0</v>
      </c>
      <c r="R67" s="21">
        <v>-1320</v>
      </c>
      <c r="S67" s="22">
        <v>-1.315658327519187E-2</v>
      </c>
      <c r="T67" s="19">
        <v>1</v>
      </c>
      <c r="U67" s="19"/>
      <c r="V67" s="19" t="s">
        <v>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1"/>
  <sheetViews>
    <sheetView workbookViewId="0">
      <selection activeCell="B5" sqref="B5"/>
    </sheetView>
  </sheetViews>
  <sheetFormatPr defaultRowHeight="15" x14ac:dyDescent="0.25"/>
  <cols>
    <col min="1" max="1" width="13.28515625" bestFit="1" customWidth="1"/>
    <col min="2" max="2" width="75.140625" customWidth="1"/>
    <col min="3" max="3" width="18.5703125" customWidth="1"/>
    <col min="4" max="4" width="23.42578125" customWidth="1"/>
    <col min="5" max="5" width="19.85546875" customWidth="1"/>
    <col min="6" max="6" width="17.7109375" customWidth="1"/>
    <col min="7" max="7" width="23.140625" customWidth="1"/>
    <col min="8" max="8" width="19.5703125" customWidth="1"/>
    <col min="9" max="9" width="11.5703125" bestFit="1" customWidth="1"/>
    <col min="10" max="10" width="16" customWidth="1"/>
    <col min="11" max="11" width="15.85546875" customWidth="1"/>
    <col min="12" max="12" width="20.5703125" customWidth="1"/>
  </cols>
  <sheetData>
    <row r="1" spans="1:12" x14ac:dyDescent="0.25">
      <c r="A1" t="s">
        <v>33</v>
      </c>
      <c r="B1" t="s">
        <v>89</v>
      </c>
      <c r="C1" t="s">
        <v>116</v>
      </c>
      <c r="D1" t="s">
        <v>492</v>
      </c>
      <c r="E1" t="s">
        <v>92</v>
      </c>
      <c r="F1" t="s">
        <v>57</v>
      </c>
      <c r="G1" t="s">
        <v>93</v>
      </c>
      <c r="H1" t="s">
        <v>493</v>
      </c>
      <c r="I1" t="s">
        <v>494</v>
      </c>
      <c r="J1" t="s">
        <v>495</v>
      </c>
      <c r="K1" t="s">
        <v>496</v>
      </c>
      <c r="L1" t="s">
        <v>497</v>
      </c>
    </row>
    <row r="2" spans="1:12" x14ac:dyDescent="0.25">
      <c r="A2" s="3" t="s">
        <v>445</v>
      </c>
      <c r="B2" s="3" t="e">
        <v>#VALUE!</v>
      </c>
      <c r="C2">
        <f>Current_Portfolio!F2</f>
        <v>18</v>
      </c>
      <c r="D2" s="1">
        <f>Current_Portfolio!G2</f>
        <v>2730</v>
      </c>
      <c r="E2" s="1">
        <f t="shared" ref="E2:E30" si="0">C2*D2</f>
        <v>49140</v>
      </c>
      <c r="F2" s="1" t="e" vm="1">
        <f t="array" ref="F2">_FV(B2,"Price")</f>
        <v>#VALUE!</v>
      </c>
      <c r="G2" s="1" t="e" vm="2">
        <f t="shared" ref="G2:G30" si="1">C2*F2</f>
        <v>#VALUE!</v>
      </c>
      <c r="H2" s="1" t="e" vm="2">
        <f t="shared" ref="H2:H30" si="2">G2-E2</f>
        <v>#VALUE!</v>
      </c>
      <c r="I2" s="1" t="e" vm="3">
        <f t="array" ref="I2">_FV(B2,"Previous close",TRUE)</f>
        <v>#VALUE!</v>
      </c>
      <c r="J2" s="4" t="e" vm="2">
        <f t="shared" ref="J2:J30" si="3">(F2-I2)/I2</f>
        <v>#VALUE!</v>
      </c>
      <c r="K2" s="1">
        <f>Current_Portfolio!H2</f>
        <v>2457</v>
      </c>
      <c r="L2" s="1" t="e" vm="2">
        <f t="shared" ref="L2:L30" si="4">F2-K2</f>
        <v>#VALUE!</v>
      </c>
    </row>
    <row r="3" spans="1:12" x14ac:dyDescent="0.25">
      <c r="A3" s="3" t="s">
        <v>71</v>
      </c>
      <c r="B3" s="3" t="e">
        <v>#VALUE!</v>
      </c>
      <c r="C3">
        <f>Current_Portfolio!F3</f>
        <v>19</v>
      </c>
      <c r="D3" s="1">
        <f>Current_Portfolio!G3</f>
        <v>2727.2</v>
      </c>
      <c r="E3" s="1">
        <f t="shared" si="0"/>
        <v>51816.799999999996</v>
      </c>
      <c r="F3" s="1" t="e" vm="1">
        <f t="array" ref="F3">_FV(B3,"Price")</f>
        <v>#VALUE!</v>
      </c>
      <c r="G3" s="1" t="e" vm="2">
        <f t="shared" si="1"/>
        <v>#VALUE!</v>
      </c>
      <c r="H3" s="1" t="e" vm="2">
        <f t="shared" si="2"/>
        <v>#VALUE!</v>
      </c>
      <c r="I3" s="1" t="e" vm="3">
        <f t="array" ref="I3">_FV(B3,"Previous close",TRUE)</f>
        <v>#VALUE!</v>
      </c>
      <c r="J3" s="4" t="e" vm="2">
        <f t="shared" si="3"/>
        <v>#VALUE!</v>
      </c>
      <c r="K3" s="1">
        <f>Current_Portfolio!H3</f>
        <v>2454.48</v>
      </c>
      <c r="L3" s="1" t="e" vm="2">
        <f t="shared" si="4"/>
        <v>#VALUE!</v>
      </c>
    </row>
    <row r="4" spans="1:12" x14ac:dyDescent="0.25">
      <c r="A4" s="3" t="s">
        <v>297</v>
      </c>
      <c r="B4" s="3" t="e">
        <v>#VALUE!</v>
      </c>
      <c r="C4">
        <f>Current_Portfolio!F4</f>
        <v>14</v>
      </c>
      <c r="D4" s="1">
        <f>Current_Portfolio!G4</f>
        <v>3134.66</v>
      </c>
      <c r="E4" s="1">
        <f t="shared" si="0"/>
        <v>43885.24</v>
      </c>
      <c r="F4" s="1" t="e" vm="1">
        <f t="array" ref="F4">_FV(B4,"Price")</f>
        <v>#VALUE!</v>
      </c>
      <c r="G4" s="1" t="e" vm="2">
        <f t="shared" si="1"/>
        <v>#VALUE!</v>
      </c>
      <c r="H4" s="1" t="e" vm="2">
        <f t="shared" si="2"/>
        <v>#VALUE!</v>
      </c>
      <c r="I4" s="1" t="e" vm="3">
        <f t="array" ref="I4">_FV(B4,"Previous close",TRUE)</f>
        <v>#VALUE!</v>
      </c>
      <c r="J4" s="4" t="e" vm="2">
        <f t="shared" si="3"/>
        <v>#VALUE!</v>
      </c>
      <c r="K4" s="1">
        <f>Current_Portfolio!H4</f>
        <v>2821.19</v>
      </c>
      <c r="L4" s="1" t="e" vm="2">
        <f t="shared" si="4"/>
        <v>#VALUE!</v>
      </c>
    </row>
    <row r="5" spans="1:12" x14ac:dyDescent="0.25">
      <c r="A5" s="3" t="s">
        <v>53</v>
      </c>
      <c r="B5" s="3" t="e">
        <v>#VALUE!</v>
      </c>
      <c r="C5">
        <f>Current_Portfolio!F5</f>
        <v>96</v>
      </c>
      <c r="D5" s="1">
        <f>Current_Portfolio!G5</f>
        <v>2100.8000000000002</v>
      </c>
      <c r="E5" s="1">
        <f t="shared" si="0"/>
        <v>201676.80000000002</v>
      </c>
      <c r="F5" s="1" t="e" vm="1">
        <f t="array" ref="F5">_FV(B5,"Price")</f>
        <v>#VALUE!</v>
      </c>
      <c r="G5" s="1" t="e" vm="2">
        <f t="shared" si="1"/>
        <v>#VALUE!</v>
      </c>
      <c r="H5" s="1" t="e" vm="2">
        <f t="shared" si="2"/>
        <v>#VALUE!</v>
      </c>
      <c r="I5" s="1" t="e" vm="3">
        <f t="array" ref="I5">_FV(B5,"Previous close",TRUE)</f>
        <v>#VALUE!</v>
      </c>
      <c r="J5" s="4" t="e" vm="2">
        <f t="shared" si="3"/>
        <v>#VALUE!</v>
      </c>
      <c r="K5" s="1">
        <f>Current_Portfolio!H5</f>
        <v>2237.6</v>
      </c>
      <c r="L5" s="1" t="e" vm="2">
        <f t="shared" si="4"/>
        <v>#VALUE!</v>
      </c>
    </row>
    <row r="6" spans="1:12" x14ac:dyDescent="0.25">
      <c r="A6" s="3" t="s">
        <v>416</v>
      </c>
      <c r="B6" s="3" t="e">
        <v>#VALUE!</v>
      </c>
      <c r="C6">
        <f>Current_Portfolio!F6</f>
        <v>171</v>
      </c>
      <c r="D6" s="1">
        <f>Current_Portfolio!G6</f>
        <v>293.85000000000002</v>
      </c>
      <c r="E6" s="1">
        <f t="shared" si="0"/>
        <v>50248.350000000006</v>
      </c>
      <c r="F6" s="1" t="e" vm="1">
        <f t="array" ref="F6">_FV(B6,"Price")</f>
        <v>#VALUE!</v>
      </c>
      <c r="G6" s="1" t="e" vm="2">
        <f t="shared" si="1"/>
        <v>#VALUE!</v>
      </c>
      <c r="H6" s="1" t="e" vm="2">
        <f t="shared" si="2"/>
        <v>#VALUE!</v>
      </c>
      <c r="I6" s="1" t="e" vm="3">
        <f t="array" ref="I6">_FV(B6,"Previous close",TRUE)</f>
        <v>#VALUE!</v>
      </c>
      <c r="J6" s="4" t="e" vm="2">
        <f t="shared" si="3"/>
        <v>#VALUE!</v>
      </c>
      <c r="K6" s="1">
        <f>Current_Portfolio!H6</f>
        <v>264.47000000000003</v>
      </c>
      <c r="L6" s="1" t="e" vm="2">
        <f t="shared" si="4"/>
        <v>#VALUE!</v>
      </c>
    </row>
    <row r="7" spans="1:12" x14ac:dyDescent="0.25">
      <c r="A7" s="3" t="s">
        <v>51</v>
      </c>
      <c r="B7" s="3" t="e">
        <v>#VALUE!</v>
      </c>
      <c r="C7">
        <f>Current_Portfolio!F7</f>
        <v>44</v>
      </c>
      <c r="D7" s="1">
        <f>Current_Portfolio!G7</f>
        <v>1141.55</v>
      </c>
      <c r="E7" s="1">
        <f t="shared" si="0"/>
        <v>50228.2</v>
      </c>
      <c r="F7" s="1" t="e" vm="1">
        <f t="array" ref="F7">_FV(B7,"Price")</f>
        <v>#VALUE!</v>
      </c>
      <c r="G7" s="1" t="e" vm="2">
        <f t="shared" si="1"/>
        <v>#VALUE!</v>
      </c>
      <c r="H7" s="1" t="e" vm="2">
        <f t="shared" si="2"/>
        <v>#VALUE!</v>
      </c>
      <c r="I7" s="1" t="e" vm="3">
        <f t="array" ref="I7">_FV(B7,"Previous close",TRUE)</f>
        <v>#VALUE!</v>
      </c>
      <c r="J7" s="4" t="e" vm="2">
        <f t="shared" si="3"/>
        <v>#VALUE!</v>
      </c>
      <c r="K7" s="1">
        <f>Current_Portfolio!H7</f>
        <v>1027.3900000000001</v>
      </c>
      <c r="L7" s="1" t="e" vm="2">
        <f t="shared" si="4"/>
        <v>#VALUE!</v>
      </c>
    </row>
    <row r="8" spans="1:12" x14ac:dyDescent="0.25">
      <c r="A8" s="3" t="s">
        <v>72</v>
      </c>
      <c r="B8" s="3" t="e">
        <v>#VALUE!</v>
      </c>
      <c r="C8">
        <f>Current_Portfolio!F8</f>
        <v>33</v>
      </c>
      <c r="D8" s="1">
        <f>Current_Portfolio!G8</f>
        <v>1505.6</v>
      </c>
      <c r="E8" s="1">
        <f t="shared" si="0"/>
        <v>49684.799999999996</v>
      </c>
      <c r="F8" s="1" t="e" vm="1">
        <f t="array" ref="F8">_FV(B8,"Price")</f>
        <v>#VALUE!</v>
      </c>
      <c r="G8" s="1" t="e" vm="2">
        <f t="shared" si="1"/>
        <v>#VALUE!</v>
      </c>
      <c r="H8" s="1" t="e" vm="2">
        <f t="shared" si="2"/>
        <v>#VALUE!</v>
      </c>
      <c r="I8" s="1" t="e" vm="3">
        <f t="array" ref="I8">_FV(B8,"Previous close",TRUE)</f>
        <v>#VALUE!</v>
      </c>
      <c r="J8" s="4" t="e" vm="2">
        <f t="shared" si="3"/>
        <v>#VALUE!</v>
      </c>
      <c r="K8" s="1">
        <f>Current_Portfolio!H8</f>
        <v>1355.04</v>
      </c>
      <c r="L8" s="1" t="e" vm="2">
        <f t="shared" si="4"/>
        <v>#VALUE!</v>
      </c>
    </row>
    <row r="9" spans="1:12" x14ac:dyDescent="0.25">
      <c r="A9" s="3" t="s">
        <v>70</v>
      </c>
      <c r="B9" s="3" t="e">
        <v>#VALUE!</v>
      </c>
      <c r="C9">
        <f>Current_Portfolio!F9</f>
        <v>29</v>
      </c>
      <c r="D9" s="1">
        <f>Current_Portfolio!G9</f>
        <v>1713.42</v>
      </c>
      <c r="E9" s="1">
        <f t="shared" si="0"/>
        <v>49689.18</v>
      </c>
      <c r="F9" s="1" t="e" vm="1">
        <f t="array" ref="F9">_FV(B9,"Price")</f>
        <v>#VALUE!</v>
      </c>
      <c r="G9" s="1" t="e" vm="2">
        <f t="shared" si="1"/>
        <v>#VALUE!</v>
      </c>
      <c r="H9" s="1" t="e" vm="2">
        <f t="shared" si="2"/>
        <v>#VALUE!</v>
      </c>
      <c r="I9" s="1" t="e" vm="3">
        <f t="array" ref="I9">_FV(B9,"Previous close",TRUE)</f>
        <v>#VALUE!</v>
      </c>
      <c r="J9" s="4" t="e" vm="2">
        <f t="shared" si="3"/>
        <v>#VALUE!</v>
      </c>
      <c r="K9" s="1">
        <f>Current_Portfolio!H9</f>
        <v>1542.08</v>
      </c>
      <c r="L9" s="1" t="e" vm="2">
        <f t="shared" si="4"/>
        <v>#VALUE!</v>
      </c>
    </row>
    <row r="10" spans="1:12" x14ac:dyDescent="0.25">
      <c r="A10" s="3" t="s">
        <v>100</v>
      </c>
      <c r="B10" s="3" t="e">
        <v>#VALUE!</v>
      </c>
      <c r="C10">
        <f>Current_Portfolio!F10</f>
        <v>18</v>
      </c>
      <c r="D10" s="1">
        <f>Current_Portfolio!G10</f>
        <v>2801.6</v>
      </c>
      <c r="E10" s="1">
        <f t="shared" si="0"/>
        <v>50428.799999999996</v>
      </c>
      <c r="F10" s="1" t="e" vm="1">
        <f t="array" ref="F10">_FV(B10,"Price")</f>
        <v>#VALUE!</v>
      </c>
      <c r="G10" s="1" t="e" vm="2">
        <f t="shared" si="1"/>
        <v>#VALUE!</v>
      </c>
      <c r="H10" s="1" t="e" vm="2">
        <f t="shared" si="2"/>
        <v>#VALUE!</v>
      </c>
      <c r="I10" s="1" t="e" vm="3">
        <f t="array" ref="I10">_FV(B10,"Previous close",TRUE)</f>
        <v>#VALUE!</v>
      </c>
      <c r="J10" s="4" t="e" vm="2">
        <f t="shared" si="3"/>
        <v>#VALUE!</v>
      </c>
      <c r="K10" s="1">
        <f>Current_Portfolio!H10</f>
        <v>2521.44</v>
      </c>
      <c r="L10" s="1" t="e" vm="2">
        <f t="shared" si="4"/>
        <v>#VALUE!</v>
      </c>
    </row>
    <row r="11" spans="1:12" x14ac:dyDescent="0.25">
      <c r="A11" s="3" t="s">
        <v>387</v>
      </c>
      <c r="B11" s="3" t="e">
        <v>#VALUE!</v>
      </c>
      <c r="C11">
        <f>Current_Portfolio!F11</f>
        <v>49</v>
      </c>
      <c r="D11" s="1">
        <f>Current_Portfolio!G11</f>
        <v>1033.1600000000001</v>
      </c>
      <c r="E11" s="1">
        <f t="shared" si="0"/>
        <v>50624.840000000004</v>
      </c>
      <c r="F11" s="1" t="e" vm="1">
        <f t="array" ref="F11">_FV(B11,"Price")</f>
        <v>#VALUE!</v>
      </c>
      <c r="G11" s="1" t="e" vm="2">
        <f t="shared" si="1"/>
        <v>#VALUE!</v>
      </c>
      <c r="H11" s="1" t="e" vm="2">
        <f t="shared" si="2"/>
        <v>#VALUE!</v>
      </c>
      <c r="I11" s="1" t="e" vm="3">
        <f t="array" ref="I11">_FV(B11,"Previous close",TRUE)</f>
        <v>#VALUE!</v>
      </c>
      <c r="J11" s="4" t="e" vm="2">
        <f t="shared" si="3"/>
        <v>#VALUE!</v>
      </c>
      <c r="K11" s="1">
        <f>Current_Portfolio!H11</f>
        <v>929.84</v>
      </c>
      <c r="L11" s="1" t="e" vm="2">
        <f t="shared" si="4"/>
        <v>#VALUE!</v>
      </c>
    </row>
    <row r="12" spans="1:12" x14ac:dyDescent="0.25">
      <c r="A12" s="3" t="s">
        <v>97</v>
      </c>
      <c r="B12" s="3" t="e">
        <v>#VALUE!</v>
      </c>
      <c r="C12">
        <f>Current_Portfolio!F12</f>
        <v>94</v>
      </c>
      <c r="D12" s="1">
        <f>Current_Portfolio!G12</f>
        <v>800.81</v>
      </c>
      <c r="E12" s="1">
        <f t="shared" si="0"/>
        <v>75276.14</v>
      </c>
      <c r="F12" s="1" t="e" vm="1">
        <f t="array" ref="F12">_FV(B12,"Price")</f>
        <v>#VALUE!</v>
      </c>
      <c r="G12" s="1" t="e" vm="2">
        <f t="shared" si="1"/>
        <v>#VALUE!</v>
      </c>
      <c r="H12" s="1" t="e" vm="2">
        <f t="shared" si="2"/>
        <v>#VALUE!</v>
      </c>
      <c r="I12" s="1" t="e" vm="3">
        <f t="array" ref="I12">_FV(B12,"Previous close",TRUE)</f>
        <v>#VALUE!</v>
      </c>
      <c r="J12" s="4" t="e" vm="2">
        <f t="shared" si="3"/>
        <v>#VALUE!</v>
      </c>
      <c r="K12" s="1">
        <f>Current_Portfolio!H12</f>
        <v>720.73</v>
      </c>
      <c r="L12" s="1" t="e" vm="2">
        <f t="shared" si="4"/>
        <v>#VALUE!</v>
      </c>
    </row>
    <row r="13" spans="1:12" x14ac:dyDescent="0.25">
      <c r="A13" s="3" t="s">
        <v>44</v>
      </c>
      <c r="B13" s="3" t="e">
        <v>#VALUE!</v>
      </c>
      <c r="C13">
        <f>Current_Portfolio!F13</f>
        <v>1436</v>
      </c>
      <c r="D13" s="1">
        <f>Current_Portfolio!G13</f>
        <v>91.99</v>
      </c>
      <c r="E13" s="1">
        <f t="shared" si="0"/>
        <v>132097.63999999998</v>
      </c>
      <c r="F13" s="1" t="e" vm="1">
        <f t="array" ref="F13">_FV(B13,"Price")</f>
        <v>#VALUE!</v>
      </c>
      <c r="G13" s="1" t="e" vm="2">
        <f t="shared" si="1"/>
        <v>#VALUE!</v>
      </c>
      <c r="H13" s="1" t="e" vm="2">
        <f t="shared" si="2"/>
        <v>#VALUE!</v>
      </c>
      <c r="I13" s="1" t="e" vm="3">
        <f t="array" ref="I13">_FV(B13,"Previous close",TRUE)</f>
        <v>#VALUE!</v>
      </c>
      <c r="J13" s="4" t="e" vm="2">
        <f t="shared" si="3"/>
        <v>#VALUE!</v>
      </c>
      <c r="K13" s="1">
        <f>Current_Portfolio!H13</f>
        <v>82.79</v>
      </c>
      <c r="L13" s="1" t="e" vm="2">
        <f t="shared" si="4"/>
        <v>#VALUE!</v>
      </c>
    </row>
    <row r="14" spans="1:12" x14ac:dyDescent="0.25">
      <c r="A14" s="3" t="s">
        <v>43</v>
      </c>
      <c r="B14" s="3" t="e">
        <v>#VALUE!</v>
      </c>
      <c r="C14">
        <f>Current_Portfolio!F14</f>
        <v>1172</v>
      </c>
      <c r="D14" s="1">
        <f>Current_Portfolio!G14</f>
        <v>256.22000000000003</v>
      </c>
      <c r="E14" s="1">
        <f t="shared" si="0"/>
        <v>300289.84000000003</v>
      </c>
      <c r="F14" s="1" t="e" vm="1">
        <f t="array" ref="F14">_FV(B14,"Price")</f>
        <v>#VALUE!</v>
      </c>
      <c r="G14" s="1" t="e" vm="2">
        <f t="shared" si="1"/>
        <v>#VALUE!</v>
      </c>
      <c r="H14" s="1" t="e" vm="2">
        <f t="shared" si="2"/>
        <v>#VALUE!</v>
      </c>
      <c r="I14" s="1" t="e" vm="3">
        <f t="array" ref="I14">_FV(B14,"Previous close",TRUE)</f>
        <v>#VALUE!</v>
      </c>
      <c r="J14" s="4" t="e" vm="2">
        <f t="shared" si="3"/>
        <v>#VALUE!</v>
      </c>
      <c r="K14" s="1">
        <f>Current_Portfolio!H14</f>
        <v>263.82</v>
      </c>
      <c r="L14" s="1" t="e" vm="2">
        <f t="shared" si="4"/>
        <v>#VALUE!</v>
      </c>
    </row>
    <row r="15" spans="1:12" x14ac:dyDescent="0.25">
      <c r="A15" s="3" t="s">
        <v>101</v>
      </c>
      <c r="B15" s="3" t="e">
        <v>#VALUE!</v>
      </c>
      <c r="C15">
        <f>Current_Portfolio!F15</f>
        <v>362</v>
      </c>
      <c r="D15" s="1">
        <f>Current_Portfolio!G15</f>
        <v>138.75</v>
      </c>
      <c r="E15" s="1">
        <f t="shared" si="0"/>
        <v>50227.5</v>
      </c>
      <c r="F15" s="1" t="e" vm="1">
        <f t="array" ref="F15">_FV(B15,"Price")</f>
        <v>#VALUE!</v>
      </c>
      <c r="G15" s="1" t="e" vm="2">
        <f t="shared" si="1"/>
        <v>#VALUE!</v>
      </c>
      <c r="H15" s="1" t="e" vm="2">
        <f t="shared" si="2"/>
        <v>#VALUE!</v>
      </c>
      <c r="I15" s="1" t="e" vm="3">
        <f t="array" ref="I15">_FV(B15,"Previous close",TRUE)</f>
        <v>#VALUE!</v>
      </c>
      <c r="J15" s="4" t="e" vm="2">
        <f t="shared" si="3"/>
        <v>#VALUE!</v>
      </c>
      <c r="K15" s="1">
        <f>Current_Portfolio!H15</f>
        <v>124.88</v>
      </c>
      <c r="L15" s="1" t="e" vm="2">
        <f t="shared" si="4"/>
        <v>#VALUE!</v>
      </c>
    </row>
    <row r="16" spans="1:12" x14ac:dyDescent="0.25">
      <c r="A16" s="3" t="s">
        <v>94</v>
      </c>
      <c r="B16" s="3" t="e">
        <v>#VALUE!</v>
      </c>
      <c r="C16">
        <f>Current_Portfolio!F16</f>
        <v>41</v>
      </c>
      <c r="D16" s="1">
        <f>Current_Portfolio!G16</f>
        <v>589.89</v>
      </c>
      <c r="E16" s="1">
        <f t="shared" si="0"/>
        <v>24185.489999999998</v>
      </c>
      <c r="F16" s="1" t="e" vm="1">
        <f t="array" ref="F16">_FV(B16,"Price")</f>
        <v>#VALUE!</v>
      </c>
      <c r="G16" s="1" t="e" vm="2">
        <f t="shared" si="1"/>
        <v>#VALUE!</v>
      </c>
      <c r="H16" s="1" t="e" vm="2">
        <f t="shared" si="2"/>
        <v>#VALUE!</v>
      </c>
      <c r="I16" s="1" t="e" vm="3">
        <f t="array" ref="I16">_FV(B16,"Previous close",TRUE)</f>
        <v>#VALUE!</v>
      </c>
      <c r="J16" s="4" t="e" vm="2">
        <f t="shared" si="3"/>
        <v>#VALUE!</v>
      </c>
      <c r="K16" s="1">
        <f>Current_Portfolio!H16</f>
        <v>530.9</v>
      </c>
      <c r="L16" s="1" t="e" vm="2">
        <f t="shared" si="4"/>
        <v>#VALUE!</v>
      </c>
    </row>
    <row r="17" spans="1:16" x14ac:dyDescent="0.25">
      <c r="A17" s="3" t="s">
        <v>99</v>
      </c>
      <c r="B17" s="3" t="e">
        <v>#VALUE!</v>
      </c>
      <c r="C17">
        <f>Current_Portfolio!F17</f>
        <v>276</v>
      </c>
      <c r="D17" s="1">
        <f>Current_Portfolio!G17</f>
        <v>278.74</v>
      </c>
      <c r="E17" s="1">
        <f t="shared" si="0"/>
        <v>76932.240000000005</v>
      </c>
      <c r="F17" s="1" t="e" vm="1">
        <f t="array" ref="F17">_FV(B17,"Price")</f>
        <v>#VALUE!</v>
      </c>
      <c r="G17" s="1" t="e" vm="2">
        <f t="shared" si="1"/>
        <v>#VALUE!</v>
      </c>
      <c r="H17" s="1" t="e" vm="2">
        <f t="shared" si="2"/>
        <v>#VALUE!</v>
      </c>
      <c r="I17" s="1" t="e" vm="3">
        <f t="array" ref="I17">_FV(B17,"Previous close",TRUE)</f>
        <v>#VALUE!</v>
      </c>
      <c r="J17" s="4" t="e" vm="2">
        <f t="shared" si="3"/>
        <v>#VALUE!</v>
      </c>
      <c r="K17" s="1">
        <f>Current_Portfolio!H17</f>
        <v>250.87</v>
      </c>
      <c r="L17" s="1" t="e" vm="2">
        <f t="shared" si="4"/>
        <v>#VALUE!</v>
      </c>
    </row>
    <row r="18" spans="1:16" x14ac:dyDescent="0.25">
      <c r="A18" s="3" t="s">
        <v>390</v>
      </c>
      <c r="B18" s="3" t="e">
        <v>#VALUE!</v>
      </c>
      <c r="C18">
        <f>Current_Portfolio!F18</f>
        <v>49</v>
      </c>
      <c r="D18" s="1">
        <f>Current_Portfolio!G18</f>
        <v>4088.24</v>
      </c>
      <c r="E18" s="1">
        <f t="shared" si="0"/>
        <v>200323.75999999998</v>
      </c>
      <c r="F18" s="1" t="e" vm="1">
        <f t="array" ref="F18">_FV(B18,"Price")</f>
        <v>#VALUE!</v>
      </c>
      <c r="G18" s="1" t="e" vm="2">
        <f t="shared" si="1"/>
        <v>#VALUE!</v>
      </c>
      <c r="H18" s="1" t="e" vm="2">
        <f t="shared" si="2"/>
        <v>#VALUE!</v>
      </c>
      <c r="I18" s="1" t="e" vm="3">
        <f t="array" ref="I18">_FV(B18,"Previous close",TRUE)</f>
        <v>#VALUE!</v>
      </c>
      <c r="J18" s="4" t="e" vm="2">
        <f t="shared" si="3"/>
        <v>#VALUE!</v>
      </c>
      <c r="K18" s="1">
        <f>Current_Portfolio!H18</f>
        <v>3679.42</v>
      </c>
      <c r="L18" s="1" t="e" vm="2">
        <f t="shared" si="4"/>
        <v>#VALUE!</v>
      </c>
    </row>
    <row r="19" spans="1:16" x14ac:dyDescent="0.25">
      <c r="A19" s="3" t="s">
        <v>42</v>
      </c>
      <c r="B19" s="3" t="e">
        <v>#VALUE!</v>
      </c>
      <c r="C19">
        <f>Current_Portfolio!F19</f>
        <v>253</v>
      </c>
      <c r="D19" s="1">
        <f>Current_Portfolio!G19</f>
        <v>843.31</v>
      </c>
      <c r="E19" s="1">
        <f t="shared" si="0"/>
        <v>213357.43</v>
      </c>
      <c r="F19" s="1" t="e" vm="1">
        <f t="array" ref="F19">_FV(B19,"Price")</f>
        <v>#VALUE!</v>
      </c>
      <c r="G19" s="1" t="e" vm="2">
        <f t="shared" si="1"/>
        <v>#VALUE!</v>
      </c>
      <c r="H19" s="1" t="e" vm="2">
        <f t="shared" si="2"/>
        <v>#VALUE!</v>
      </c>
      <c r="I19" s="1" t="e" vm="3">
        <f t="array" ref="I19">_FV(B19,"Previous close",TRUE)</f>
        <v>#VALUE!</v>
      </c>
      <c r="J19" s="4" t="e" vm="2">
        <f t="shared" si="3"/>
        <v>#VALUE!</v>
      </c>
      <c r="K19" s="1">
        <f>Current_Portfolio!H19</f>
        <v>843.31</v>
      </c>
      <c r="L19" s="1" t="e" vm="2">
        <f t="shared" si="4"/>
        <v>#VALUE!</v>
      </c>
    </row>
    <row r="20" spans="1:16" x14ac:dyDescent="0.25">
      <c r="A20" s="3" t="s">
        <v>440</v>
      </c>
      <c r="B20" s="3" t="e">
        <v>#VALUE!</v>
      </c>
      <c r="C20">
        <f>Current_Portfolio!F20</f>
        <v>38</v>
      </c>
      <c r="D20" s="1">
        <f>Current_Portfolio!G20</f>
        <v>1325.5</v>
      </c>
      <c r="E20" s="1">
        <f t="shared" si="0"/>
        <v>50369</v>
      </c>
      <c r="F20" s="1" t="e" vm="1">
        <f t="array" ref="F20">_FV(B20,"Price")</f>
        <v>#VALUE!</v>
      </c>
      <c r="G20" s="1" t="e" vm="2">
        <f t="shared" si="1"/>
        <v>#VALUE!</v>
      </c>
      <c r="H20" s="1" t="e" vm="2">
        <f t="shared" si="2"/>
        <v>#VALUE!</v>
      </c>
      <c r="I20" s="1" t="e" vm="3">
        <f t="array" ref="I20">_FV(B20,"Previous close",TRUE)</f>
        <v>#VALUE!</v>
      </c>
      <c r="J20" s="4" t="e" vm="2">
        <f t="shared" si="3"/>
        <v>#VALUE!</v>
      </c>
      <c r="K20" s="1">
        <f>Current_Portfolio!H20</f>
        <v>1192.95</v>
      </c>
      <c r="L20" s="1" t="e" vm="2">
        <f t="shared" si="4"/>
        <v>#VALUE!</v>
      </c>
    </row>
    <row r="21" spans="1:16" x14ac:dyDescent="0.25">
      <c r="A21" s="3" t="s">
        <v>49</v>
      </c>
      <c r="B21" s="3" t="e">
        <v>#VALUE!</v>
      </c>
      <c r="C21">
        <f>Current_Portfolio!F21</f>
        <v>16</v>
      </c>
      <c r="D21" s="1">
        <f>Current_Portfolio!G21</f>
        <v>3127</v>
      </c>
      <c r="E21" s="1">
        <f t="shared" si="0"/>
        <v>50032</v>
      </c>
      <c r="F21" s="1" t="e" vm="1">
        <f t="array" ref="F21">_FV(B21,"Price")</f>
        <v>#VALUE!</v>
      </c>
      <c r="G21" s="1" t="e" vm="2">
        <f t="shared" si="1"/>
        <v>#VALUE!</v>
      </c>
      <c r="H21" s="1" t="e" vm="2">
        <f t="shared" si="2"/>
        <v>#VALUE!</v>
      </c>
      <c r="I21" s="1" t="e" vm="3">
        <f t="array" ref="I21">_FV(B21,"Previous close",TRUE)</f>
        <v>#VALUE!</v>
      </c>
      <c r="J21" s="4" t="e" vm="2">
        <f t="shared" si="3"/>
        <v>#VALUE!</v>
      </c>
      <c r="K21" s="1">
        <f>Current_Portfolio!H21</f>
        <v>2814.3</v>
      </c>
      <c r="L21" s="1" t="e" vm="2">
        <f t="shared" si="4"/>
        <v>#VALUE!</v>
      </c>
    </row>
    <row r="22" spans="1:16" x14ac:dyDescent="0.25">
      <c r="A22" s="3" t="s">
        <v>316</v>
      </c>
      <c r="B22" s="3" t="e">
        <v>#VALUE!</v>
      </c>
      <c r="C22">
        <f>Current_Portfolio!F22</f>
        <v>720</v>
      </c>
      <c r="D22" s="1">
        <f>Current_Portfolio!G22</f>
        <v>76.739999999999995</v>
      </c>
      <c r="E22" s="1">
        <f t="shared" si="0"/>
        <v>55252.799999999996</v>
      </c>
      <c r="F22" s="1" t="e" vm="1">
        <f t="array" ref="F22">_FV(B22,"Price")</f>
        <v>#VALUE!</v>
      </c>
      <c r="G22" s="1" t="e" vm="2">
        <f t="shared" si="1"/>
        <v>#VALUE!</v>
      </c>
      <c r="H22" s="1" t="e" vm="2">
        <f t="shared" si="2"/>
        <v>#VALUE!</v>
      </c>
      <c r="I22" s="1" t="e" vm="3">
        <f t="array" ref="I22">_FV(B22,"Previous close",TRUE)</f>
        <v>#VALUE!</v>
      </c>
      <c r="J22" s="4" t="e" vm="2">
        <f t="shared" si="3"/>
        <v>#VALUE!</v>
      </c>
      <c r="K22" s="1">
        <f>Current_Portfolio!H22</f>
        <v>69.069999999999993</v>
      </c>
      <c r="L22" s="1" t="e" vm="2">
        <f t="shared" si="4"/>
        <v>#VALUE!</v>
      </c>
    </row>
    <row r="23" spans="1:16" x14ac:dyDescent="0.25">
      <c r="A23" s="3" t="s">
        <v>47</v>
      </c>
      <c r="B23" s="3" t="e">
        <v>#VALUE!</v>
      </c>
      <c r="C23">
        <f>Current_Portfolio!F23</f>
        <v>92</v>
      </c>
      <c r="D23" s="1">
        <f>Current_Portfolio!G23</f>
        <v>272.58999999999997</v>
      </c>
      <c r="E23" s="1">
        <f t="shared" si="0"/>
        <v>25078.28</v>
      </c>
      <c r="F23" s="1" t="e" vm="1">
        <f t="array" ref="F23">_FV(B23,"Price")</f>
        <v>#VALUE!</v>
      </c>
      <c r="G23" s="1" t="e" vm="2">
        <f t="shared" si="1"/>
        <v>#VALUE!</v>
      </c>
      <c r="H23" s="1" t="e" vm="2">
        <f t="shared" si="2"/>
        <v>#VALUE!</v>
      </c>
      <c r="I23" s="1" t="e" vm="3">
        <f t="array" ref="I23">_FV(B23,"Previous close",TRUE)</f>
        <v>#VALUE!</v>
      </c>
      <c r="J23" s="4" t="e" vm="2">
        <f t="shared" si="3"/>
        <v>#VALUE!</v>
      </c>
      <c r="K23" s="1">
        <f>Current_Portfolio!H23</f>
        <v>245.33</v>
      </c>
      <c r="L23" s="1" t="e" vm="2">
        <f t="shared" si="4"/>
        <v>#VALUE!</v>
      </c>
    </row>
    <row r="24" spans="1:16" x14ac:dyDescent="0.25">
      <c r="A24" s="3" t="s">
        <v>285</v>
      </c>
      <c r="B24" s="3" t="e">
        <v>#VALUE!</v>
      </c>
      <c r="C24">
        <f>Current_Portfolio!F24</f>
        <v>300</v>
      </c>
      <c r="D24" s="1">
        <f>Current_Portfolio!G24</f>
        <v>84.49</v>
      </c>
      <c r="E24" s="1">
        <f t="shared" si="0"/>
        <v>25347</v>
      </c>
      <c r="F24" s="1" t="e" vm="1">
        <f t="array" ref="F24">_FV(B24,"Price")</f>
        <v>#VALUE!</v>
      </c>
      <c r="G24" s="1" t="e" vm="2">
        <f t="shared" si="1"/>
        <v>#VALUE!</v>
      </c>
      <c r="H24" s="1" t="e" vm="2">
        <f t="shared" si="2"/>
        <v>#VALUE!</v>
      </c>
      <c r="I24" s="1" t="e" vm="3">
        <f t="array" ref="I24">_FV(B24,"Previous close",TRUE)</f>
        <v>#VALUE!</v>
      </c>
      <c r="J24" s="4" t="e" vm="2">
        <f t="shared" si="3"/>
        <v>#VALUE!</v>
      </c>
      <c r="K24" s="1">
        <f>Current_Portfolio!H24</f>
        <v>76.040000000000006</v>
      </c>
      <c r="L24" s="1" t="e" vm="2">
        <f t="shared" si="4"/>
        <v>#VALUE!</v>
      </c>
    </row>
    <row r="25" spans="1:16" x14ac:dyDescent="0.25">
      <c r="A25" s="3" t="s">
        <v>413</v>
      </c>
      <c r="B25" s="3" t="e">
        <v>#VALUE!</v>
      </c>
      <c r="C25">
        <f>Current_Portfolio!F25</f>
        <v>70</v>
      </c>
      <c r="D25" s="1">
        <f>Current_Portfolio!G25</f>
        <v>1422.61</v>
      </c>
      <c r="E25" s="1">
        <f t="shared" si="0"/>
        <v>99582.7</v>
      </c>
      <c r="F25" s="1" t="e" vm="1">
        <f t="array" ref="F25">_FV(B25,"Price")</f>
        <v>#VALUE!</v>
      </c>
      <c r="G25" s="1" t="e" vm="2">
        <f t="shared" si="1"/>
        <v>#VALUE!</v>
      </c>
      <c r="H25" s="1" t="e" vm="2">
        <f t="shared" si="2"/>
        <v>#VALUE!</v>
      </c>
      <c r="I25" s="1" t="e" vm="3">
        <f t="array" ref="I25">_FV(B25,"Previous close",TRUE)</f>
        <v>#VALUE!</v>
      </c>
      <c r="J25" s="4" t="e" vm="2">
        <f t="shared" si="3"/>
        <v>#VALUE!</v>
      </c>
      <c r="K25" s="1">
        <f>Current_Portfolio!H25</f>
        <v>1280.3499999999999</v>
      </c>
      <c r="L25" s="1" t="e" vm="2">
        <f t="shared" si="4"/>
        <v>#VALUE!</v>
      </c>
    </row>
    <row r="26" spans="1:16" x14ac:dyDescent="0.25">
      <c r="A26" s="3" t="s">
        <v>41</v>
      </c>
      <c r="B26" s="3" t="e">
        <v>#VALUE!</v>
      </c>
      <c r="C26">
        <f>Current_Portfolio!F26</f>
        <v>50</v>
      </c>
      <c r="D26" s="1">
        <f>Current_Portfolio!G26</f>
        <v>7728.94</v>
      </c>
      <c r="E26" s="1">
        <f t="shared" si="0"/>
        <v>386447</v>
      </c>
      <c r="F26" s="1" t="e" vm="1">
        <f t="array" ref="F26">_FV(B26,"Price")</f>
        <v>#VALUE!</v>
      </c>
      <c r="G26" s="1" t="e" vm="2">
        <f t="shared" si="1"/>
        <v>#VALUE!</v>
      </c>
      <c r="H26" s="1" t="e" vm="2">
        <f t="shared" si="2"/>
        <v>#VALUE!</v>
      </c>
      <c r="I26" s="1" t="e" vm="3">
        <f t="array" ref="I26">_FV(B26,"Previous close",TRUE)</f>
        <v>#VALUE!</v>
      </c>
      <c r="J26" s="4" t="e" vm="2">
        <f t="shared" si="3"/>
        <v>#VALUE!</v>
      </c>
      <c r="K26" s="1">
        <f>Current_Portfolio!H26</f>
        <v>8630.76</v>
      </c>
      <c r="L26" s="1" t="e" vm="2">
        <f t="shared" si="4"/>
        <v>#VALUE!</v>
      </c>
    </row>
    <row r="27" spans="1:16" x14ac:dyDescent="0.25">
      <c r="A27" s="3" t="s">
        <v>335</v>
      </c>
      <c r="B27" s="3" t="e">
        <v>#VALUE!</v>
      </c>
      <c r="C27">
        <f>Current_Portfolio!F27</f>
        <v>42</v>
      </c>
      <c r="D27" s="1">
        <f>Current_Portfolio!G27</f>
        <v>1353.87</v>
      </c>
      <c r="E27" s="1">
        <f t="shared" si="0"/>
        <v>56862.539999999994</v>
      </c>
      <c r="F27" s="1" t="e" vm="1">
        <f t="array" ref="F27">_FV(B27,"Price")</f>
        <v>#VALUE!</v>
      </c>
      <c r="G27" s="1" t="e" vm="2">
        <f t="shared" si="1"/>
        <v>#VALUE!</v>
      </c>
      <c r="H27" s="1" t="e" vm="2">
        <f t="shared" si="2"/>
        <v>#VALUE!</v>
      </c>
      <c r="I27" s="1" t="e" vm="3">
        <f t="array" ref="I27">_FV(B27,"Previous close",TRUE)</f>
        <v>#VALUE!</v>
      </c>
      <c r="J27" s="4" t="e" vm="2">
        <f t="shared" si="3"/>
        <v>#VALUE!</v>
      </c>
      <c r="K27" s="1">
        <f>Current_Portfolio!H27</f>
        <v>1218.48</v>
      </c>
      <c r="L27" s="1" t="e" vm="2">
        <f t="shared" si="4"/>
        <v>#VALUE!</v>
      </c>
    </row>
    <row r="28" spans="1:16" x14ac:dyDescent="0.25">
      <c r="A28" s="3" t="s">
        <v>400</v>
      </c>
      <c r="B28" s="3" t="e">
        <v>#VALUE!</v>
      </c>
      <c r="C28">
        <f>Current_Portfolio!F28</f>
        <v>2</v>
      </c>
      <c r="D28" s="1">
        <f>Current_Portfolio!G28</f>
        <v>13021</v>
      </c>
      <c r="E28" s="1">
        <f t="shared" si="0"/>
        <v>26042</v>
      </c>
      <c r="F28" s="1" t="e" vm="1">
        <f t="array" ref="F28">_FV(B28,"Price")</f>
        <v>#VALUE!</v>
      </c>
      <c r="G28" s="1" t="e" vm="2">
        <f t="shared" si="1"/>
        <v>#VALUE!</v>
      </c>
      <c r="H28" s="1" t="e" vm="2">
        <f t="shared" si="2"/>
        <v>#VALUE!</v>
      </c>
      <c r="I28" s="1" t="e" vm="3">
        <f t="array" ref="I28">_FV(B28,"Previous close",TRUE)</f>
        <v>#VALUE!</v>
      </c>
      <c r="J28" s="4" t="e" vm="2">
        <f t="shared" si="3"/>
        <v>#VALUE!</v>
      </c>
      <c r="K28" s="1">
        <f>Current_Portfolio!H28</f>
        <v>11718.9</v>
      </c>
      <c r="L28" s="1" t="e" vm="2">
        <f t="shared" si="4"/>
        <v>#VALUE!</v>
      </c>
    </row>
    <row r="29" spans="1:16" x14ac:dyDescent="0.25">
      <c r="A29" s="3" t="s">
        <v>45</v>
      </c>
      <c r="B29" s="3" t="e">
        <v>#VALUE!</v>
      </c>
      <c r="C29">
        <f>Current_Portfolio!F29</f>
        <v>26</v>
      </c>
      <c r="D29" s="1">
        <f>Current_Portfolio!G29</f>
        <v>1899.2</v>
      </c>
      <c r="E29" s="1">
        <f t="shared" si="0"/>
        <v>49379.200000000004</v>
      </c>
      <c r="F29" s="1" t="e" vm="1">
        <f t="array" ref="F29">_FV(B29,"Price")</f>
        <v>#VALUE!</v>
      </c>
      <c r="G29" s="1" t="e" vm="2">
        <f t="shared" si="1"/>
        <v>#VALUE!</v>
      </c>
      <c r="H29" s="1" t="e" vm="2">
        <f t="shared" si="2"/>
        <v>#VALUE!</v>
      </c>
      <c r="I29" s="1" t="e" vm="3">
        <f t="array" ref="I29">_FV(B29,"Previous close",TRUE)</f>
        <v>#VALUE!</v>
      </c>
      <c r="J29" s="4" t="e" vm="2">
        <f t="shared" si="3"/>
        <v>#VALUE!</v>
      </c>
      <c r="K29" s="1">
        <f>Current_Portfolio!H29</f>
        <v>1709.28</v>
      </c>
      <c r="L29" s="1" t="e" vm="2">
        <f t="shared" si="4"/>
        <v>#VALUE!</v>
      </c>
    </row>
    <row r="30" spans="1:16" x14ac:dyDescent="0.25">
      <c r="A30" s="3" t="s">
        <v>38</v>
      </c>
      <c r="B30" s="3" t="e">
        <v>#VALUE!</v>
      </c>
      <c r="C30">
        <f>Current_Portfolio!F30</f>
        <v>296</v>
      </c>
      <c r="D30" s="1">
        <f>Current_Portfolio!G30</f>
        <v>928.29</v>
      </c>
      <c r="E30" s="1">
        <f t="shared" si="0"/>
        <v>274773.83999999997</v>
      </c>
      <c r="F30" s="1" t="e" vm="1">
        <f t="array" ref="F30">_FV(B30,"Price")</f>
        <v>#VALUE!</v>
      </c>
      <c r="G30" s="1" t="e" vm="2">
        <f t="shared" si="1"/>
        <v>#VALUE!</v>
      </c>
      <c r="H30" s="1" t="e" vm="2">
        <f t="shared" si="2"/>
        <v>#VALUE!</v>
      </c>
      <c r="I30" s="1" t="e" vm="3">
        <f t="array" ref="I30">_FV(B30,"Previous close",TRUE)</f>
        <v>#VALUE!</v>
      </c>
      <c r="J30" s="4" t="e" vm="2">
        <f t="shared" si="3"/>
        <v>#VALUE!</v>
      </c>
      <c r="K30" s="1">
        <f>Current_Portfolio!H30</f>
        <v>958.06</v>
      </c>
      <c r="L30" s="1" t="e" vm="2">
        <f t="shared" si="4"/>
        <v>#VALUE!</v>
      </c>
      <c r="P30">
        <v>2537538.1800000002</v>
      </c>
    </row>
    <row r="31" spans="1:16" x14ac:dyDescent="0.25">
      <c r="E31" s="1">
        <f>SUM(E2:E30)</f>
        <v>2819279.41</v>
      </c>
      <c r="G31" s="1" t="e" vm="2">
        <f>SUM(G2:G30)</f>
        <v>#VALUE!</v>
      </c>
      <c r="H31" s="1" t="e" vm="2">
        <f>SUM(H2:H30)</f>
        <v>#VALUE!</v>
      </c>
      <c r="I31" s="1"/>
    </row>
  </sheetData>
  <conditionalFormatting sqref="A2:L30">
    <cfRule type="expression" dxfId="0" priority="1">
      <formula>$J2&lt;0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Raw_Tradebook</vt:lpstr>
      <vt:lpstr>Transaction</vt:lpstr>
      <vt:lpstr>Current_Portfolio</vt:lpstr>
      <vt:lpstr>Sheet1</vt:lpstr>
      <vt:lpstr>Overall_Portfolio</vt:lpstr>
      <vt:lpstr>Price_Update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Muralidharan Krishnaraj</cp:lastModifiedBy>
  <dcterms:created xsi:type="dcterms:W3CDTF">2026-03-07T14:21:25Z</dcterms:created>
  <dcterms:modified xsi:type="dcterms:W3CDTF">2026-05-19T14:13:03Z</dcterms:modified>
</cp:coreProperties>
</file>