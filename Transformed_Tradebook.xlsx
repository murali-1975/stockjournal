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25973" documentId="11_5DAE795DF7ACA6846C936AD2A70B710074A8AB33" xr6:coauthVersionLast="47" xr6:coauthVersionMax="47" xr10:uidLastSave="{25B326BF-CA92-4559-A32A-953F0A6BDCAB}"/>
  <bookViews>
    <workbookView xWindow="28680" yWindow="-120" windowWidth="29040" windowHeight="15720" activeTab="3" xr2:uid="{00000000-000D-0000-FFFF-FFFF00000000}"/>
  </bookViews>
  <sheets>
    <sheet name="Dashboard" sheetId="34" r:id="rId1"/>
    <sheet name="Raw_Tradebook" sheetId="2" r:id="rId2"/>
    <sheet name="Transaction" sheetId="3" r:id="rId3"/>
    <sheet name="Current_Portfolio" sheetId="4" r:id="rId4"/>
    <sheet name="Satellite_Watchlist" sheetId="6" r:id="rId5"/>
    <sheet name="Overall_Portfolio" sheetId="7" r:id="rId6"/>
    <sheet name="Price_Update" sheetId="8" r:id="rId7"/>
    <sheet name="Todo " sheetId="30" r:id="rId8"/>
  </sheets>
  <definedNames>
    <definedName name="_xlnm._FilterDatabase" localSheetId="3" hidden="1">Current_Portfolio!$A$1:$Y$30</definedName>
    <definedName name="_xlnm._FilterDatabase" localSheetId="4" hidden="1">Satellite_Watchlist!$A$1:$J$1</definedName>
    <definedName name="SAT_WATCH">Satellite_Watchlist!$B$1:$D$95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70" i="7" l="1"/>
  <c r="N69" i="7"/>
  <c r="N68" i="7"/>
  <c r="N67" i="7"/>
  <c r="O67" i="7" s="1"/>
  <c r="Q67" i="7" s="1"/>
  <c r="R67" i="7" s="1"/>
  <c r="S67" i="7" s="1"/>
  <c r="N64" i="7"/>
  <c r="O64" i="7" s="1"/>
  <c r="Q64" i="7" s="1"/>
  <c r="R64" i="7" s="1"/>
  <c r="S64" i="7" s="1"/>
  <c r="N63" i="7"/>
  <c r="O63" i="7" s="1"/>
  <c r="Q63" i="7" s="1"/>
  <c r="R63" i="7" s="1"/>
  <c r="S63" i="7" s="1"/>
  <c r="N61" i="7"/>
  <c r="O61" i="7" s="1"/>
  <c r="Q61" i="7" s="1"/>
  <c r="R61" i="7" s="1"/>
  <c r="S61" i="7" s="1"/>
  <c r="N60" i="7"/>
  <c r="O60" i="7" s="1"/>
  <c r="Q60" i="7" s="1"/>
  <c r="R60" i="7" s="1"/>
  <c r="S60" i="7" s="1"/>
  <c r="N56" i="7"/>
  <c r="O56" i="7" s="1"/>
  <c r="Q56" i="7" s="1"/>
  <c r="R56" i="7" s="1"/>
  <c r="S56" i="7" s="1"/>
  <c r="N55" i="7"/>
  <c r="O55" i="7" s="1"/>
  <c r="Q55" i="7" s="1"/>
  <c r="R55" i="7" s="1"/>
  <c r="S55" i="7" s="1"/>
  <c r="N54" i="7"/>
  <c r="N53" i="7"/>
  <c r="O53" i="7" s="1"/>
  <c r="Q53" i="7" s="1"/>
  <c r="R53" i="7" s="1"/>
  <c r="S53" i="7" s="1"/>
  <c r="N50" i="7"/>
  <c r="O50" i="7" s="1"/>
  <c r="Q50" i="7" s="1"/>
  <c r="R50" i="7" s="1"/>
  <c r="S50" i="7" s="1"/>
  <c r="N49" i="7"/>
  <c r="O49" i="7" s="1"/>
  <c r="Q49" i="7" s="1"/>
  <c r="R49" i="7" s="1"/>
  <c r="S49" i="7" s="1"/>
  <c r="N46" i="7"/>
  <c r="O46" i="7" s="1"/>
  <c r="Q46" i="7" s="1"/>
  <c r="R46" i="7" s="1"/>
  <c r="S46" i="7" s="1"/>
  <c r="N45" i="7"/>
  <c r="O45" i="7" s="1"/>
  <c r="Q45" i="7" s="1"/>
  <c r="R45" i="7" s="1"/>
  <c r="S45" i="7" s="1"/>
  <c r="N44" i="7"/>
  <c r="N43" i="7"/>
  <c r="O43" i="7" s="1"/>
  <c r="Q43" i="7" s="1"/>
  <c r="R43" i="7" s="1"/>
  <c r="S43" i="7" s="1"/>
  <c r="N42" i="7"/>
  <c r="O42" i="7" s="1"/>
  <c r="Q42" i="7" s="1"/>
  <c r="R42" i="7" s="1"/>
  <c r="S42" i="7" s="1"/>
  <c r="N39" i="7"/>
  <c r="O39" i="7" s="1"/>
  <c r="Q39" i="7" s="1"/>
  <c r="R39" i="7" s="1"/>
  <c r="S39" i="7" s="1"/>
  <c r="N38" i="7"/>
  <c r="O38" i="7" s="1"/>
  <c r="Q38" i="7" s="1"/>
  <c r="R38" i="7" s="1"/>
  <c r="S38" i="7" s="1"/>
  <c r="N37" i="7"/>
  <c r="N36" i="7"/>
  <c r="O36" i="7" s="1"/>
  <c r="Q36" i="7" s="1"/>
  <c r="R36" i="7" s="1"/>
  <c r="S36" i="7" s="1"/>
  <c r="N35" i="7"/>
  <c r="O35" i="7" s="1"/>
  <c r="Q35" i="7" s="1"/>
  <c r="R35" i="7" s="1"/>
  <c r="S35" i="7" s="1"/>
  <c r="N33" i="7"/>
  <c r="O33" i="7" s="1"/>
  <c r="Q33" i="7" s="1"/>
  <c r="R33" i="7" s="1"/>
  <c r="S33" i="7" s="1"/>
  <c r="N30" i="7"/>
  <c r="O30" i="7" s="1"/>
  <c r="Q30" i="7" s="1"/>
  <c r="R30" i="7" s="1"/>
  <c r="S30" i="7" s="1"/>
  <c r="N29" i="7"/>
  <c r="O29" i="7" s="1"/>
  <c r="Q29" i="7" s="1"/>
  <c r="R29" i="7" s="1"/>
  <c r="S29" i="7" s="1"/>
  <c r="N26" i="7"/>
  <c r="O26" i="7" s="1"/>
  <c r="Q26" i="7" s="1"/>
  <c r="R26" i="7" s="1"/>
  <c r="S26" i="7" s="1"/>
  <c r="N25" i="7"/>
  <c r="O25" i="7" s="1"/>
  <c r="Q25" i="7" s="1"/>
  <c r="R25" i="7" s="1"/>
  <c r="S25" i="7" s="1"/>
  <c r="N23" i="7"/>
  <c r="O23" i="7" s="1"/>
  <c r="Q23" i="7" s="1"/>
  <c r="R23" i="7" s="1"/>
  <c r="S23" i="7" s="1"/>
  <c r="N22" i="7"/>
  <c r="O22" i="7" s="1"/>
  <c r="Q22" i="7" s="1"/>
  <c r="R22" i="7" s="1"/>
  <c r="S22" i="7" s="1"/>
  <c r="N19" i="7"/>
  <c r="O19" i="7" s="1"/>
  <c r="Q19" i="7" s="1"/>
  <c r="R19" i="7" s="1"/>
  <c r="S19" i="7" s="1"/>
  <c r="N18" i="7"/>
  <c r="O18" i="7" s="1"/>
  <c r="Q18" i="7" s="1"/>
  <c r="R18" i="7" s="1"/>
  <c r="S18" i="7" s="1"/>
  <c r="N16" i="7"/>
  <c r="O16" i="7" s="1"/>
  <c r="Q16" i="7" s="1"/>
  <c r="R16" i="7" s="1"/>
  <c r="S16" i="7" s="1"/>
  <c r="N15" i="7"/>
  <c r="O15" i="7" s="1"/>
  <c r="Q15" i="7" s="1"/>
  <c r="R15" i="7" s="1"/>
  <c r="S15" i="7" s="1"/>
  <c r="N14" i="7"/>
  <c r="O14" i="7" s="1"/>
  <c r="Q14" i="7" s="1"/>
  <c r="R14" i="7" s="1"/>
  <c r="S14" i="7" s="1"/>
  <c r="N13" i="7"/>
  <c r="N12" i="7"/>
  <c r="O12" i="7" s="1"/>
  <c r="Q12" i="7" s="1"/>
  <c r="R12" i="7" s="1"/>
  <c r="S12" i="7" s="1"/>
  <c r="N10" i="7"/>
  <c r="O10" i="7" s="1"/>
  <c r="Q10" i="7" s="1"/>
  <c r="R10" i="7" s="1"/>
  <c r="S10" i="7" s="1"/>
  <c r="N9" i="7"/>
  <c r="O9" i="7" s="1"/>
  <c r="Q9" i="7" s="1"/>
  <c r="R9" i="7" s="1"/>
  <c r="S9" i="7" s="1"/>
  <c r="J84" i="34"/>
  <c r="J83" i="34"/>
  <c r="J82" i="34"/>
  <c r="J81" i="34"/>
  <c r="J80" i="34"/>
  <c r="J79" i="34"/>
  <c r="J78" i="34"/>
  <c r="J77" i="34"/>
  <c r="J76" i="34"/>
  <c r="J75" i="34"/>
  <c r="G56" i="34"/>
  <c r="D56" i="34"/>
  <c r="G55" i="34"/>
  <c r="D55" i="34"/>
  <c r="G54" i="34"/>
  <c r="D54" i="34"/>
  <c r="G53" i="34"/>
  <c r="D53" i="34"/>
  <c r="G52" i="34"/>
  <c r="D52" i="34"/>
  <c r="G51" i="34"/>
  <c r="D51" i="34"/>
  <c r="G50" i="34"/>
  <c r="D50" i="34"/>
  <c r="J49" i="34"/>
  <c r="G49" i="34"/>
  <c r="D49" i="34"/>
  <c r="J48" i="34"/>
  <c r="G48" i="34"/>
  <c r="D48" i="34"/>
  <c r="J47" i="34"/>
  <c r="G47" i="34"/>
  <c r="D47" i="34"/>
  <c r="K46" i="34"/>
  <c r="J46" i="34"/>
  <c r="C42" i="34"/>
  <c r="C41" i="34"/>
  <c r="K40" i="34"/>
  <c r="L40" i="34" s="1"/>
  <c r="J40" i="34"/>
  <c r="C40" i="34"/>
  <c r="K39" i="34"/>
  <c r="J39" i="34"/>
  <c r="C39" i="34"/>
  <c r="K38" i="34"/>
  <c r="J38" i="34"/>
  <c r="C38" i="34"/>
  <c r="K37" i="34"/>
  <c r="L37" i="34" s="1"/>
  <c r="J37" i="34"/>
  <c r="C37" i="34"/>
  <c r="K36" i="34"/>
  <c r="L36" i="34" s="1"/>
  <c r="J36" i="34"/>
  <c r="C36" i="34"/>
  <c r="C35" i="34"/>
  <c r="C34" i="34"/>
  <c r="C33" i="34"/>
  <c r="J30" i="34"/>
  <c r="J29" i="34"/>
  <c r="J28" i="34"/>
  <c r="C28" i="34"/>
  <c r="J27" i="34"/>
  <c r="C27" i="34"/>
  <c r="J26" i="34"/>
  <c r="J31" i="34" s="1"/>
  <c r="C26" i="34"/>
  <c r="C25" i="34"/>
  <c r="C24" i="34"/>
  <c r="C23" i="34"/>
  <c r="C22" i="34"/>
  <c r="C21" i="34"/>
  <c r="J20" i="34"/>
  <c r="K20" i="34" s="1"/>
  <c r="C20" i="34"/>
  <c r="J19" i="34"/>
  <c r="C19" i="34"/>
  <c r="B14" i="34"/>
  <c r="J13" i="34"/>
  <c r="B13" i="34"/>
  <c r="J12" i="34"/>
  <c r="J11" i="34"/>
  <c r="B11" i="34"/>
  <c r="B8" i="34"/>
  <c r="K6" i="34"/>
  <c r="L6" i="34" s="1"/>
  <c r="E6" i="34"/>
  <c r="E9" i="34" s="1"/>
  <c r="K5" i="34"/>
  <c r="L5" i="34" s="1"/>
  <c r="E5" i="34"/>
  <c r="E8" i="34" s="1"/>
  <c r="B5" i="34"/>
  <c r="B12" i="34" s="1"/>
  <c r="J50" i="34"/>
  <c r="L39" i="34"/>
  <c r="L38" i="34"/>
  <c r="K41" i="34"/>
  <c r="J21" i="34"/>
  <c r="K19" i="34" s="1"/>
  <c r="J14" i="34"/>
  <c r="O70" i="7"/>
  <c r="Q70" i="7" s="1"/>
  <c r="R70" i="7" s="1"/>
  <c r="S70" i="7" s="1"/>
  <c r="O69" i="7"/>
  <c r="Q69" i="7" s="1"/>
  <c r="R69" i="7" s="1"/>
  <c r="S69" i="7" s="1"/>
  <c r="O68" i="7"/>
  <c r="Q68" i="7" s="1"/>
  <c r="R68" i="7" s="1"/>
  <c r="S68" i="7" s="1"/>
  <c r="O54" i="7"/>
  <c r="Q54" i="7" s="1"/>
  <c r="R54" i="7" s="1"/>
  <c r="S54" i="7" s="1"/>
  <c r="O44" i="7"/>
  <c r="Q44" i="7" s="1"/>
  <c r="R44" i="7" s="1"/>
  <c r="S44" i="7" s="1"/>
  <c r="O37" i="7"/>
  <c r="Q37" i="7" s="1"/>
  <c r="R37" i="7" s="1"/>
  <c r="S37" i="7" s="1"/>
  <c r="O13" i="7"/>
  <c r="Q13" i="7" s="1"/>
  <c r="R13" i="7" s="1"/>
  <c r="S13" i="7" s="1"/>
  <c r="I4" i="8" a="1"/>
  <c r="I4" i="8" s="1"/>
  <c r="N12" i="4" s="1"/>
  <c r="I5" i="8" a="1"/>
  <c r="I5" i="8" s="1"/>
  <c r="N13" i="4" s="1"/>
  <c r="I6" i="8" a="1"/>
  <c r="I6" i="8" s="1"/>
  <c r="N3" i="4" s="1"/>
  <c r="I7" i="8" a="1"/>
  <c r="I7" i="8" s="1"/>
  <c r="N14" i="4" s="1"/>
  <c r="I8" i="8" a="1"/>
  <c r="I8" i="8" s="1"/>
  <c r="N15" i="4" s="1"/>
  <c r="I9" i="8" a="1"/>
  <c r="I9" i="8" s="1"/>
  <c r="N16" i="4" s="1"/>
  <c r="I10" i="8" a="1"/>
  <c r="I10" i="8" s="1"/>
  <c r="N17" i="4" s="1"/>
  <c r="I11" i="8" a="1"/>
  <c r="I11" i="8" s="1"/>
  <c r="N4" i="4" s="1"/>
  <c r="I12" i="8" a="1"/>
  <c r="I12" i="8" s="1"/>
  <c r="N5" i="4" s="1"/>
  <c r="I13" i="8" a="1"/>
  <c r="I13" i="8" s="1"/>
  <c r="N18" i="4" s="1"/>
  <c r="I14" i="8" a="1"/>
  <c r="I14" i="8" s="1"/>
  <c r="N19" i="4" s="1"/>
  <c r="I15" i="8" a="1"/>
  <c r="I15" i="8" s="1"/>
  <c r="N6" i="4" s="1"/>
  <c r="I16" i="8" a="1"/>
  <c r="I16" i="8" s="1"/>
  <c r="N20" i="4" s="1"/>
  <c r="I17" i="8" a="1"/>
  <c r="I17" i="8" s="1"/>
  <c r="N21" i="4" s="1"/>
  <c r="I18" i="8" a="1"/>
  <c r="I18" i="8" s="1"/>
  <c r="N7" i="4" s="1"/>
  <c r="I19" i="8" a="1"/>
  <c r="I19" i="8" s="1"/>
  <c r="N22" i="4" s="1"/>
  <c r="I20" i="8" a="1"/>
  <c r="I20" i="8" s="1"/>
  <c r="N23" i="4" s="1"/>
  <c r="I21" i="8" a="1"/>
  <c r="I21" i="8" s="1"/>
  <c r="N8" i="4" s="1"/>
  <c r="I22" i="8" a="1"/>
  <c r="I22" i="8" s="1"/>
  <c r="N24" i="4" s="1"/>
  <c r="I23" i="8" a="1"/>
  <c r="I23" i="8" s="1"/>
  <c r="N25" i="4" s="1"/>
  <c r="I24" i="8" a="1"/>
  <c r="I24" i="8" s="1"/>
  <c r="N26" i="4" s="1"/>
  <c r="I25" i="8" a="1"/>
  <c r="I25" i="8" s="1"/>
  <c r="N9" i="4" s="1"/>
  <c r="I26" i="8" a="1"/>
  <c r="I26" i="8" s="1"/>
  <c r="N27" i="4" s="1"/>
  <c r="I27" i="8" a="1"/>
  <c r="I27" i="8" s="1"/>
  <c r="N28" i="4" s="1"/>
  <c r="I28" i="8" a="1"/>
  <c r="I28" i="8" s="1"/>
  <c r="N10" i="4" s="1"/>
  <c r="I29" i="8" a="1"/>
  <c r="I29" i="8" s="1"/>
  <c r="N29" i="4" s="1"/>
  <c r="I30" i="8" a="1"/>
  <c r="I30" i="8" s="1"/>
  <c r="N30" i="4" s="1"/>
  <c r="I31" i="8" a="1"/>
  <c r="I31" i="8" s="1"/>
  <c r="N11" i="4" s="1"/>
  <c r="I3" i="8" a="1"/>
  <c r="I3" i="8" s="1"/>
  <c r="N2" i="4" s="1"/>
  <c r="F4" i="8" a="1"/>
  <c r="F4" i="8" s="1"/>
  <c r="M12" i="4" s="1"/>
  <c r="K77" i="34" s="1"/>
  <c r="F5" i="8" a="1"/>
  <c r="F5" i="8" s="1"/>
  <c r="M13" i="4" s="1"/>
  <c r="F6" i="8" a="1"/>
  <c r="F6" i="8" s="1"/>
  <c r="N5" i="7" s="1"/>
  <c r="O5" i="7" s="1"/>
  <c r="Q5" i="7" s="1"/>
  <c r="R5" i="7" s="1"/>
  <c r="S5" i="7" s="1"/>
  <c r="F7" i="8" a="1"/>
  <c r="F7" i="8" s="1"/>
  <c r="N6" i="7" s="1"/>
  <c r="O6" i="7" s="1"/>
  <c r="Q6" i="7" s="1"/>
  <c r="R6" i="7" s="1"/>
  <c r="S6" i="7" s="1"/>
  <c r="F8" i="8" a="1"/>
  <c r="F8" i="8" s="1"/>
  <c r="F9" i="8" a="1"/>
  <c r="F9" i="8" s="1"/>
  <c r="M16" i="4" s="1"/>
  <c r="F10" i="8" a="1"/>
  <c r="F10" i="8" s="1"/>
  <c r="M17" i="4" s="1"/>
  <c r="F11" i="8" a="1"/>
  <c r="F11" i="8" s="1"/>
  <c r="N17" i="7" s="1"/>
  <c r="O17" i="7" s="1"/>
  <c r="Q17" i="7" s="1"/>
  <c r="R17" i="7" s="1"/>
  <c r="S17" i="7" s="1"/>
  <c r="F12" i="8" a="1"/>
  <c r="F12" i="8" s="1"/>
  <c r="N20" i="7" s="1"/>
  <c r="O20" i="7" s="1"/>
  <c r="Q20" i="7" s="1"/>
  <c r="R20" i="7" s="1"/>
  <c r="S20" i="7" s="1"/>
  <c r="F13" i="8" a="1"/>
  <c r="F13" i="8" s="1"/>
  <c r="N21" i="7" s="1"/>
  <c r="O21" i="7" s="1"/>
  <c r="Q21" i="7" s="1"/>
  <c r="R21" i="7" s="1"/>
  <c r="S21" i="7" s="1"/>
  <c r="F14" i="8" a="1"/>
  <c r="F14" i="8" s="1"/>
  <c r="M19" i="4" s="1"/>
  <c r="F15" i="8" a="1"/>
  <c r="F15" i="8" s="1"/>
  <c r="N27" i="7" s="1"/>
  <c r="O27" i="7" s="1"/>
  <c r="Q27" i="7" s="1"/>
  <c r="R27" i="7" s="1"/>
  <c r="S27" i="7" s="1"/>
  <c r="F16" i="8" a="1"/>
  <c r="F16" i="8" s="1"/>
  <c r="F17" i="8" a="1"/>
  <c r="F17" i="8" s="1"/>
  <c r="M21" i="4" s="1"/>
  <c r="F18" i="8" a="1"/>
  <c r="F18" i="8" s="1"/>
  <c r="M7" i="4" s="1"/>
  <c r="F19" i="8" a="1"/>
  <c r="F19" i="8" s="1"/>
  <c r="N34" i="7" s="1"/>
  <c r="O34" i="7" s="1"/>
  <c r="Q34" i="7" s="1"/>
  <c r="R34" i="7" s="1"/>
  <c r="S34" i="7" s="1"/>
  <c r="F20" i="8" a="1"/>
  <c r="F20" i="8" s="1"/>
  <c r="M23" i="4" s="1"/>
  <c r="K23" i="4" s="1"/>
  <c r="F21" i="8" a="1"/>
  <c r="F21" i="8" s="1"/>
  <c r="M8" i="4" s="1"/>
  <c r="F22" i="8" a="1"/>
  <c r="F22" i="8" s="1"/>
  <c r="M24" i="4" s="1"/>
  <c r="F23" i="8" a="1"/>
  <c r="F23" i="8" s="1"/>
  <c r="M25" i="4" s="1"/>
  <c r="F24" i="8" a="1"/>
  <c r="F24" i="8" s="1"/>
  <c r="F25" i="8" a="1"/>
  <c r="F25" i="8" s="1"/>
  <c r="M9" i="4" s="1"/>
  <c r="F26" i="8" a="1"/>
  <c r="F26" i="8" s="1"/>
  <c r="M27" i="4" s="1"/>
  <c r="F27" i="8" a="1"/>
  <c r="F27" i="8" s="1"/>
  <c r="M28" i="4" s="1"/>
  <c r="F28" i="8" a="1"/>
  <c r="F28" i="8" s="1"/>
  <c r="N59" i="7" s="1"/>
  <c r="O59" i="7" s="1"/>
  <c r="Q59" i="7" s="1"/>
  <c r="R59" i="7" s="1"/>
  <c r="S59" i="7" s="1"/>
  <c r="F29" i="8" a="1"/>
  <c r="F29" i="8" s="1"/>
  <c r="N62" i="7" s="1"/>
  <c r="O62" i="7" s="1"/>
  <c r="Q62" i="7" s="1"/>
  <c r="R62" i="7" s="1"/>
  <c r="S62" i="7" s="1"/>
  <c r="F30" i="8" a="1"/>
  <c r="F30" i="8" s="1"/>
  <c r="N65" i="7" s="1"/>
  <c r="O65" i="7" s="1"/>
  <c r="Q65" i="7" s="1"/>
  <c r="R65" i="7" s="1"/>
  <c r="S65" i="7" s="1"/>
  <c r="F31" i="8" a="1"/>
  <c r="F31" i="8" s="1"/>
  <c r="N66" i="7" s="1"/>
  <c r="O66" i="7" s="1"/>
  <c r="Q66" i="7" s="1"/>
  <c r="R66" i="7" s="1"/>
  <c r="S66" i="7" s="1"/>
  <c r="F3" i="8" a="1"/>
  <c r="F3" i="8" s="1"/>
  <c r="F186" i="6" a="1"/>
  <c r="F186" i="6" s="1"/>
  <c r="E186" i="6" a="1"/>
  <c r="E186" i="6" s="1"/>
  <c r="F185" i="6" a="1"/>
  <c r="F185" i="6" s="1"/>
  <c r="E185" i="6" a="1"/>
  <c r="E185" i="6" s="1"/>
  <c r="F184" i="6" a="1"/>
  <c r="F184" i="6" s="1"/>
  <c r="E184" i="6" a="1"/>
  <c r="E184" i="6" s="1"/>
  <c r="F183" i="6" a="1"/>
  <c r="F183" i="6" s="1"/>
  <c r="E183" i="6" a="1"/>
  <c r="E183" i="6" s="1"/>
  <c r="F182" i="6" a="1"/>
  <c r="F182" i="6" s="1"/>
  <c r="E182" i="6" a="1"/>
  <c r="E182" i="6" s="1"/>
  <c r="F181" i="6" a="1"/>
  <c r="F181" i="6" s="1"/>
  <c r="E181" i="6" a="1"/>
  <c r="E181" i="6" s="1"/>
  <c r="F180" i="6" a="1"/>
  <c r="F180" i="6" s="1"/>
  <c r="E180" i="6" a="1"/>
  <c r="E180" i="6" s="1"/>
  <c r="F179" i="6" a="1"/>
  <c r="F179" i="6" s="1"/>
  <c r="E179" i="6" a="1"/>
  <c r="E179" i="6" s="1"/>
  <c r="F178" i="6" a="1"/>
  <c r="F178" i="6" s="1"/>
  <c r="E178" i="6" a="1"/>
  <c r="E178" i="6" s="1"/>
  <c r="F177" i="6" a="1"/>
  <c r="F177" i="6" s="1"/>
  <c r="E177" i="6" a="1"/>
  <c r="E177" i="6" s="1"/>
  <c r="F176" i="6" a="1"/>
  <c r="F176" i="6" s="1"/>
  <c r="E176" i="6" a="1"/>
  <c r="E176" i="6" s="1"/>
  <c r="F175" i="6" a="1"/>
  <c r="F175" i="6" s="1"/>
  <c r="E175" i="6" a="1"/>
  <c r="E175" i="6" s="1"/>
  <c r="F174" i="6" a="1"/>
  <c r="F174" i="6" s="1"/>
  <c r="E174" i="6" a="1"/>
  <c r="E174" i="6" s="1"/>
  <c r="F173" i="6" a="1"/>
  <c r="F173" i="6" s="1"/>
  <c r="E173" i="6" a="1"/>
  <c r="E173" i="6" s="1"/>
  <c r="F172" i="6" a="1"/>
  <c r="F172" i="6" s="1"/>
  <c r="E172" i="6" a="1"/>
  <c r="E172" i="6" s="1"/>
  <c r="F171" i="6" a="1"/>
  <c r="F171" i="6" s="1"/>
  <c r="E171" i="6" a="1"/>
  <c r="E171" i="6" s="1"/>
  <c r="F170" i="6" a="1"/>
  <c r="F170" i="6" s="1"/>
  <c r="E170" i="6" a="1"/>
  <c r="E170" i="6" s="1"/>
  <c r="F169" i="6" a="1"/>
  <c r="F169" i="6" s="1"/>
  <c r="E169" i="6" a="1"/>
  <c r="E169" i="6" s="1"/>
  <c r="F168" i="6" a="1"/>
  <c r="F168" i="6" s="1"/>
  <c r="E168" i="6" a="1"/>
  <c r="E168" i="6" s="1"/>
  <c r="F167" i="6" a="1"/>
  <c r="F167" i="6" s="1"/>
  <c r="E167" i="6" a="1"/>
  <c r="E167" i="6" s="1"/>
  <c r="F166" i="6" a="1"/>
  <c r="F166" i="6" s="1"/>
  <c r="E166" i="6" a="1"/>
  <c r="E166" i="6" s="1"/>
  <c r="F165" i="6" a="1"/>
  <c r="F165" i="6" s="1"/>
  <c r="E165" i="6" a="1"/>
  <c r="E165" i="6" s="1"/>
  <c r="F164" i="6" a="1"/>
  <c r="F164" i="6" s="1"/>
  <c r="E164" i="6" a="1"/>
  <c r="E164" i="6" s="1"/>
  <c r="F163" i="6" a="1"/>
  <c r="F163" i="6" s="1"/>
  <c r="E163" i="6" a="1"/>
  <c r="E163" i="6" s="1"/>
  <c r="F162" i="6" a="1"/>
  <c r="F162" i="6" s="1"/>
  <c r="E162" i="6" a="1"/>
  <c r="E162" i="6" s="1"/>
  <c r="F161" i="6" a="1"/>
  <c r="F161" i="6" s="1"/>
  <c r="E161" i="6" a="1"/>
  <c r="E161" i="6" s="1"/>
  <c r="F160" i="6" a="1"/>
  <c r="F160" i="6" s="1"/>
  <c r="E160" i="6" a="1"/>
  <c r="E160" i="6" s="1"/>
  <c r="F159" i="6" a="1"/>
  <c r="F159" i="6" s="1"/>
  <c r="E159" i="6" a="1"/>
  <c r="E159" i="6" s="1"/>
  <c r="F158" i="6" a="1"/>
  <c r="F158" i="6" s="1"/>
  <c r="E158" i="6" a="1"/>
  <c r="E158" i="6" s="1"/>
  <c r="F157" i="6" a="1"/>
  <c r="F157" i="6" s="1"/>
  <c r="E157" i="6" a="1"/>
  <c r="E157" i="6" s="1"/>
  <c r="F156" i="6" a="1"/>
  <c r="F156" i="6" s="1"/>
  <c r="E156" i="6" a="1"/>
  <c r="E156" i="6" s="1"/>
  <c r="F155" i="6" a="1"/>
  <c r="F155" i="6" s="1"/>
  <c r="E155" i="6" a="1"/>
  <c r="E155" i="6" s="1"/>
  <c r="F154" i="6" a="1"/>
  <c r="F154" i="6" s="1"/>
  <c r="E154" i="6" a="1"/>
  <c r="E154" i="6" s="1"/>
  <c r="F153" i="6" a="1"/>
  <c r="F153" i="6" s="1"/>
  <c r="E153" i="6" a="1"/>
  <c r="E153" i="6" s="1"/>
  <c r="F152" i="6" a="1"/>
  <c r="F152" i="6" s="1"/>
  <c r="E152" i="6" a="1"/>
  <c r="E152" i="6" s="1"/>
  <c r="F151" i="6" a="1"/>
  <c r="F151" i="6" s="1"/>
  <c r="E151" i="6" a="1"/>
  <c r="E151" i="6" s="1"/>
  <c r="F150" i="6" a="1"/>
  <c r="F150" i="6" s="1"/>
  <c r="E150" i="6" a="1"/>
  <c r="E150" i="6" s="1"/>
  <c r="F149" i="6" a="1"/>
  <c r="F149" i="6" s="1"/>
  <c r="E149" i="6" a="1"/>
  <c r="E149" i="6" s="1"/>
  <c r="F148" i="6" a="1"/>
  <c r="F148" i="6" s="1"/>
  <c r="E148" i="6" a="1"/>
  <c r="E148" i="6" s="1"/>
  <c r="F147" i="6" a="1"/>
  <c r="F147" i="6" s="1"/>
  <c r="E147" i="6" a="1"/>
  <c r="E147" i="6" s="1"/>
  <c r="F146" i="6" a="1"/>
  <c r="F146" i="6" s="1"/>
  <c r="E146" i="6" a="1"/>
  <c r="E146" i="6" s="1"/>
  <c r="F145" i="6" a="1"/>
  <c r="F145" i="6" s="1"/>
  <c r="E145" i="6" a="1"/>
  <c r="E145" i="6" s="1"/>
  <c r="F144" i="6" a="1"/>
  <c r="F144" i="6" s="1"/>
  <c r="E144" i="6" a="1"/>
  <c r="E144" i="6" s="1"/>
  <c r="F143" i="6" a="1"/>
  <c r="F143" i="6" s="1"/>
  <c r="E143" i="6" a="1"/>
  <c r="E143" i="6" s="1"/>
  <c r="F142" i="6" a="1"/>
  <c r="F142" i="6" s="1"/>
  <c r="E142" i="6" a="1"/>
  <c r="E142" i="6" s="1"/>
  <c r="F141" i="6" a="1"/>
  <c r="F141" i="6" s="1"/>
  <c r="E141" i="6" a="1"/>
  <c r="E141" i="6" s="1"/>
  <c r="F140" i="6" a="1"/>
  <c r="F140" i="6" s="1"/>
  <c r="E140" i="6" a="1"/>
  <c r="E140" i="6" s="1"/>
  <c r="F139" i="6" a="1"/>
  <c r="F139" i="6" s="1"/>
  <c r="E139" i="6" a="1"/>
  <c r="E139" i="6" s="1"/>
  <c r="F138" i="6" a="1"/>
  <c r="F138" i="6" s="1"/>
  <c r="E138" i="6" a="1"/>
  <c r="E138" i="6" s="1"/>
  <c r="F137" i="6" a="1"/>
  <c r="F137" i="6" s="1"/>
  <c r="E137" i="6" a="1"/>
  <c r="E137" i="6" s="1"/>
  <c r="F136" i="6" a="1"/>
  <c r="F136" i="6" s="1"/>
  <c r="E136" i="6" a="1"/>
  <c r="E136" i="6" s="1"/>
  <c r="F135" i="6" a="1"/>
  <c r="F135" i="6" s="1"/>
  <c r="E135" i="6" a="1"/>
  <c r="E135" i="6" s="1"/>
  <c r="F134" i="6" a="1"/>
  <c r="F134" i="6" s="1"/>
  <c r="E134" i="6" a="1"/>
  <c r="E134" i="6" s="1"/>
  <c r="F133" i="6" a="1"/>
  <c r="F133" i="6" s="1"/>
  <c r="E133" i="6" a="1"/>
  <c r="E133" i="6" s="1"/>
  <c r="F132" i="6" a="1"/>
  <c r="F132" i="6" s="1"/>
  <c r="E132" i="6" a="1"/>
  <c r="E132" i="6" s="1"/>
  <c r="F131" i="6" a="1"/>
  <c r="F131" i="6" s="1"/>
  <c r="E131" i="6" a="1"/>
  <c r="E131" i="6" s="1"/>
  <c r="F130" i="6" a="1"/>
  <c r="F130" i="6" s="1"/>
  <c r="E130" i="6" a="1"/>
  <c r="E130" i="6" s="1"/>
  <c r="F129" i="6" a="1"/>
  <c r="F129" i="6" s="1"/>
  <c r="E129" i="6" a="1"/>
  <c r="E129" i="6" s="1"/>
  <c r="F128" i="6" a="1"/>
  <c r="F128" i="6" s="1"/>
  <c r="E128" i="6" a="1"/>
  <c r="E128" i="6" s="1"/>
  <c r="F127" i="6" a="1"/>
  <c r="F127" i="6" s="1"/>
  <c r="E127" i="6" a="1"/>
  <c r="E127" i="6" s="1"/>
  <c r="F126" i="6" a="1"/>
  <c r="F126" i="6" s="1"/>
  <c r="E126" i="6" a="1"/>
  <c r="E126" i="6" s="1"/>
  <c r="F125" i="6" a="1"/>
  <c r="F125" i="6" s="1"/>
  <c r="E125" i="6" a="1"/>
  <c r="E125" i="6" s="1"/>
  <c r="F124" i="6" a="1"/>
  <c r="F124" i="6" s="1"/>
  <c r="E124" i="6" a="1"/>
  <c r="E124" i="6" s="1"/>
  <c r="F123" i="6" a="1"/>
  <c r="F123" i="6" s="1"/>
  <c r="E123" i="6" a="1"/>
  <c r="E123" i="6" s="1"/>
  <c r="F122" i="6" a="1"/>
  <c r="F122" i="6" s="1"/>
  <c r="E122" i="6" a="1"/>
  <c r="E122" i="6" s="1"/>
  <c r="F121" i="6" a="1"/>
  <c r="F121" i="6" s="1"/>
  <c r="E121" i="6" a="1"/>
  <c r="E121" i="6" s="1"/>
  <c r="F120" i="6" a="1"/>
  <c r="F120" i="6" s="1"/>
  <c r="E120" i="6" a="1"/>
  <c r="E120" i="6" s="1"/>
  <c r="F119" i="6" a="1"/>
  <c r="F119" i="6" s="1"/>
  <c r="E119" i="6" a="1"/>
  <c r="E119" i="6" s="1"/>
  <c r="F118" i="6" a="1"/>
  <c r="F118" i="6" s="1"/>
  <c r="E118" i="6" a="1"/>
  <c r="E118" i="6" s="1"/>
  <c r="F117" i="6" a="1"/>
  <c r="F117" i="6" s="1"/>
  <c r="E117" i="6" a="1"/>
  <c r="E117" i="6" s="1"/>
  <c r="F116" i="6" a="1"/>
  <c r="F116" i="6" s="1"/>
  <c r="E116" i="6" a="1"/>
  <c r="E116" i="6" s="1"/>
  <c r="F115" i="6" a="1"/>
  <c r="F115" i="6" s="1"/>
  <c r="E115" i="6" a="1"/>
  <c r="E115" i="6" s="1"/>
  <c r="F114" i="6" a="1"/>
  <c r="F114" i="6" s="1"/>
  <c r="E114" i="6" a="1"/>
  <c r="E114" i="6" s="1"/>
  <c r="F113" i="6" a="1"/>
  <c r="F113" i="6" s="1"/>
  <c r="E113" i="6" a="1"/>
  <c r="E113" i="6" s="1"/>
  <c r="F112" i="6" a="1"/>
  <c r="F112" i="6" s="1"/>
  <c r="E112" i="6" a="1"/>
  <c r="E112" i="6" s="1"/>
  <c r="F111" i="6" a="1"/>
  <c r="F111" i="6" s="1"/>
  <c r="E111" i="6" a="1"/>
  <c r="E111" i="6" s="1"/>
  <c r="F110" i="6" a="1"/>
  <c r="F110" i="6" s="1"/>
  <c r="E110" i="6" a="1"/>
  <c r="E110" i="6" s="1"/>
  <c r="F109" i="6" a="1"/>
  <c r="F109" i="6" s="1"/>
  <c r="E109" i="6" a="1"/>
  <c r="E109" i="6" s="1"/>
  <c r="F108" i="6" a="1"/>
  <c r="F108" i="6" s="1"/>
  <c r="E108" i="6" a="1"/>
  <c r="E108" i="6" s="1"/>
  <c r="F107" i="6" a="1"/>
  <c r="F107" i="6" s="1"/>
  <c r="E107" i="6" a="1"/>
  <c r="E107" i="6" s="1"/>
  <c r="F106" i="6" a="1"/>
  <c r="F106" i="6" s="1"/>
  <c r="E106" i="6" a="1"/>
  <c r="E106" i="6" s="1"/>
  <c r="F105" i="6" a="1"/>
  <c r="F105" i="6" s="1"/>
  <c r="E105" i="6" a="1"/>
  <c r="E105" i="6" s="1"/>
  <c r="F104" i="6" a="1"/>
  <c r="F104" i="6" s="1"/>
  <c r="E104" i="6" a="1"/>
  <c r="E104" i="6" s="1"/>
  <c r="F103" i="6" a="1"/>
  <c r="F103" i="6" s="1"/>
  <c r="E103" i="6" a="1"/>
  <c r="E103" i="6" s="1"/>
  <c r="F102" i="6" a="1"/>
  <c r="F102" i="6" s="1"/>
  <c r="E102" i="6" a="1"/>
  <c r="E102" i="6" s="1"/>
  <c r="F101" i="6" a="1"/>
  <c r="F101" i="6" s="1"/>
  <c r="E101" i="6" a="1"/>
  <c r="E101" i="6" s="1"/>
  <c r="F100" i="6" a="1"/>
  <c r="F100" i="6" s="1"/>
  <c r="E100" i="6" a="1"/>
  <c r="E100" i="6" s="1"/>
  <c r="F99" i="6" a="1"/>
  <c r="F99" i="6" s="1"/>
  <c r="E99" i="6" a="1"/>
  <c r="E99" i="6" s="1"/>
  <c r="F98" i="6" a="1"/>
  <c r="F98" i="6" s="1"/>
  <c r="E98" i="6" a="1"/>
  <c r="E98" i="6" s="1"/>
  <c r="F97" i="6" a="1"/>
  <c r="F97" i="6" s="1"/>
  <c r="E97" i="6" a="1"/>
  <c r="E97" i="6" s="1"/>
  <c r="F96" i="6" a="1"/>
  <c r="F96" i="6" s="1"/>
  <c r="E96" i="6" a="1"/>
  <c r="E96" i="6" s="1"/>
  <c r="F95" i="6" a="1"/>
  <c r="F95" i="6" s="1"/>
  <c r="E95" i="6" a="1"/>
  <c r="E95" i="6" s="1"/>
  <c r="F94" i="6" a="1"/>
  <c r="F94" i="6" s="1"/>
  <c r="E94" i="6" a="1"/>
  <c r="E94" i="6" s="1"/>
  <c r="F93" i="6" a="1"/>
  <c r="F93" i="6" s="1"/>
  <c r="E93" i="6" a="1"/>
  <c r="E93" i="6" s="1"/>
  <c r="F92" i="6" a="1"/>
  <c r="F92" i="6" s="1"/>
  <c r="E92" i="6" a="1"/>
  <c r="E92" i="6" s="1"/>
  <c r="F91" i="6" a="1"/>
  <c r="F91" i="6" s="1"/>
  <c r="E91" i="6" a="1"/>
  <c r="E91" i="6" s="1"/>
  <c r="F90" i="6" a="1"/>
  <c r="F90" i="6" s="1"/>
  <c r="E90" i="6" a="1"/>
  <c r="E90" i="6" s="1"/>
  <c r="F89" i="6" a="1"/>
  <c r="F89" i="6" s="1"/>
  <c r="E89" i="6" a="1"/>
  <c r="E89" i="6" s="1"/>
  <c r="F88" i="6" a="1"/>
  <c r="F88" i="6" s="1"/>
  <c r="E88" i="6" a="1"/>
  <c r="E88" i="6" s="1"/>
  <c r="F87" i="6" a="1"/>
  <c r="F87" i="6" s="1"/>
  <c r="E87" i="6" a="1"/>
  <c r="E87" i="6" s="1"/>
  <c r="F86" i="6" a="1"/>
  <c r="F86" i="6" s="1"/>
  <c r="E86" i="6" a="1"/>
  <c r="E86" i="6" s="1"/>
  <c r="F85" i="6" a="1"/>
  <c r="F85" i="6" s="1"/>
  <c r="E85" i="6" a="1"/>
  <c r="E85" i="6" s="1"/>
  <c r="F84" i="6" a="1"/>
  <c r="F84" i="6" s="1"/>
  <c r="E84" i="6" a="1"/>
  <c r="E84" i="6" s="1"/>
  <c r="F83" i="6" a="1"/>
  <c r="F83" i="6" s="1"/>
  <c r="E83" i="6" a="1"/>
  <c r="E83" i="6" s="1"/>
  <c r="F82" i="6" a="1"/>
  <c r="F82" i="6" s="1"/>
  <c r="E82" i="6" a="1"/>
  <c r="E82" i="6" s="1"/>
  <c r="F81" i="6" a="1"/>
  <c r="F81" i="6" s="1"/>
  <c r="E81" i="6" a="1"/>
  <c r="E81" i="6" s="1"/>
  <c r="F80" i="6" a="1"/>
  <c r="F80" i="6" s="1"/>
  <c r="E80" i="6" a="1"/>
  <c r="E80" i="6" s="1"/>
  <c r="F79" i="6" a="1"/>
  <c r="F79" i="6" s="1"/>
  <c r="E79" i="6" a="1"/>
  <c r="E79" i="6" s="1"/>
  <c r="F78" i="6" a="1"/>
  <c r="F78" i="6" s="1"/>
  <c r="E78" i="6" a="1"/>
  <c r="E78" i="6" s="1"/>
  <c r="F77" i="6" a="1"/>
  <c r="F77" i="6" s="1"/>
  <c r="E77" i="6" a="1"/>
  <c r="E77" i="6" s="1"/>
  <c r="F76" i="6" a="1"/>
  <c r="F76" i="6" s="1"/>
  <c r="E76" i="6" a="1"/>
  <c r="E76" i="6" s="1"/>
  <c r="F75" i="6" a="1"/>
  <c r="F75" i="6" s="1"/>
  <c r="E75" i="6" a="1"/>
  <c r="E75" i="6" s="1"/>
  <c r="F74" i="6" a="1"/>
  <c r="F74" i="6" s="1"/>
  <c r="E74" i="6" a="1"/>
  <c r="E74" i="6" s="1"/>
  <c r="F73" i="6" a="1"/>
  <c r="F73" i="6" s="1"/>
  <c r="E73" i="6" a="1"/>
  <c r="E73" i="6" s="1"/>
  <c r="F72" i="6" a="1"/>
  <c r="F72" i="6" s="1"/>
  <c r="E72" i="6" a="1"/>
  <c r="E72" i="6" s="1"/>
  <c r="F71" i="6" a="1"/>
  <c r="F71" i="6" s="1"/>
  <c r="E71" i="6" a="1"/>
  <c r="E71" i="6" s="1"/>
  <c r="F70" i="6" a="1"/>
  <c r="F70" i="6" s="1"/>
  <c r="E70" i="6" a="1"/>
  <c r="E70" i="6" s="1"/>
  <c r="F69" i="6" a="1"/>
  <c r="F69" i="6" s="1"/>
  <c r="E69" i="6" a="1"/>
  <c r="E69" i="6" s="1"/>
  <c r="F68" i="6" a="1"/>
  <c r="F68" i="6" s="1"/>
  <c r="E68" i="6" a="1"/>
  <c r="E68" i="6" s="1"/>
  <c r="F67" i="6" a="1"/>
  <c r="F67" i="6" s="1"/>
  <c r="E67" i="6" a="1"/>
  <c r="E67" i="6" s="1"/>
  <c r="F66" i="6" a="1"/>
  <c r="F66" i="6" s="1"/>
  <c r="E66" i="6" a="1"/>
  <c r="E66" i="6" s="1"/>
  <c r="F65" i="6" a="1"/>
  <c r="F65" i="6" s="1"/>
  <c r="E65" i="6" a="1"/>
  <c r="E65" i="6" s="1"/>
  <c r="F64" i="6" a="1"/>
  <c r="F64" i="6" s="1"/>
  <c r="E64" i="6" a="1"/>
  <c r="E64" i="6" s="1"/>
  <c r="F63" i="6" a="1"/>
  <c r="F63" i="6" s="1"/>
  <c r="E63" i="6" a="1"/>
  <c r="E63" i="6" s="1"/>
  <c r="F62" i="6" a="1"/>
  <c r="F62" i="6" s="1"/>
  <c r="E62" i="6" a="1"/>
  <c r="E62" i="6" s="1"/>
  <c r="F61" i="6" a="1"/>
  <c r="F61" i="6" s="1"/>
  <c r="E61" i="6" a="1"/>
  <c r="E61" i="6" s="1"/>
  <c r="F60" i="6" a="1"/>
  <c r="F60" i="6" s="1"/>
  <c r="E60" i="6" a="1"/>
  <c r="E60" i="6" s="1"/>
  <c r="F59" i="6" a="1"/>
  <c r="F59" i="6" s="1"/>
  <c r="E59" i="6" a="1"/>
  <c r="E59" i="6" s="1"/>
  <c r="F58" i="6" a="1"/>
  <c r="F58" i="6" s="1"/>
  <c r="E58" i="6" a="1"/>
  <c r="E58" i="6" s="1"/>
  <c r="F57" i="6" a="1"/>
  <c r="F57" i="6" s="1"/>
  <c r="E57" i="6" a="1"/>
  <c r="E57" i="6" s="1"/>
  <c r="F56" i="6" a="1"/>
  <c r="F56" i="6" s="1"/>
  <c r="E56" i="6" a="1"/>
  <c r="E56" i="6" s="1"/>
  <c r="F55" i="6" a="1"/>
  <c r="F55" i="6" s="1"/>
  <c r="E55" i="6" a="1"/>
  <c r="E55" i="6" s="1"/>
  <c r="F54" i="6" a="1"/>
  <c r="F54" i="6" s="1"/>
  <c r="E54" i="6" a="1"/>
  <c r="E54" i="6" s="1"/>
  <c r="F53" i="6" a="1"/>
  <c r="F53" i="6" s="1"/>
  <c r="E53" i="6" a="1"/>
  <c r="E53" i="6" s="1"/>
  <c r="F52" i="6" a="1"/>
  <c r="F52" i="6" s="1"/>
  <c r="E52" i="6" a="1"/>
  <c r="E52" i="6" s="1"/>
  <c r="F51" i="6" a="1"/>
  <c r="F51" i="6" s="1"/>
  <c r="E51" i="6" a="1"/>
  <c r="E51" i="6" s="1"/>
  <c r="F50" i="6" a="1"/>
  <c r="F50" i="6" s="1"/>
  <c r="E50" i="6" a="1"/>
  <c r="E50" i="6" s="1"/>
  <c r="F49" i="6" a="1"/>
  <c r="F49" i="6" s="1"/>
  <c r="E49" i="6" a="1"/>
  <c r="E49" i="6" s="1"/>
  <c r="F48" i="6" a="1"/>
  <c r="F48" i="6" s="1"/>
  <c r="E48" i="6" a="1"/>
  <c r="E48" i="6" s="1"/>
  <c r="F47" i="6" a="1"/>
  <c r="F47" i="6" s="1"/>
  <c r="E47" i="6" a="1"/>
  <c r="E47" i="6" s="1"/>
  <c r="F46" i="6" a="1"/>
  <c r="F46" i="6" s="1"/>
  <c r="E46" i="6" a="1"/>
  <c r="E46" i="6" s="1"/>
  <c r="F45" i="6" a="1"/>
  <c r="F45" i="6" s="1"/>
  <c r="E45" i="6" a="1"/>
  <c r="E45" i="6" s="1"/>
  <c r="F44" i="6" a="1"/>
  <c r="F44" i="6" s="1"/>
  <c r="E44" i="6" a="1"/>
  <c r="E44" i="6" s="1"/>
  <c r="F43" i="6" a="1"/>
  <c r="F43" i="6" s="1"/>
  <c r="E43" i="6" a="1"/>
  <c r="E43" i="6" s="1"/>
  <c r="F42" i="6" a="1"/>
  <c r="F42" i="6" s="1"/>
  <c r="E42" i="6" a="1"/>
  <c r="E42" i="6" s="1"/>
  <c r="F41" i="6" a="1"/>
  <c r="F41" i="6" s="1"/>
  <c r="E41" i="6" a="1"/>
  <c r="E41" i="6" s="1"/>
  <c r="F40" i="6" a="1"/>
  <c r="F40" i="6" s="1"/>
  <c r="E40" i="6" a="1"/>
  <c r="E40" i="6" s="1"/>
  <c r="F39" i="6" a="1"/>
  <c r="F39" i="6" s="1"/>
  <c r="E39" i="6" a="1"/>
  <c r="E39" i="6" s="1"/>
  <c r="F38" i="6" a="1"/>
  <c r="F38" i="6" s="1"/>
  <c r="E38" i="6" a="1"/>
  <c r="E38" i="6" s="1"/>
  <c r="F37" i="6" a="1"/>
  <c r="F37" i="6" s="1"/>
  <c r="E37" i="6" a="1"/>
  <c r="E37" i="6" s="1"/>
  <c r="F36" i="6" a="1"/>
  <c r="F36" i="6" s="1"/>
  <c r="E36" i="6" a="1"/>
  <c r="E36" i="6" s="1"/>
  <c r="F35" i="6" a="1"/>
  <c r="F35" i="6" s="1"/>
  <c r="E35" i="6" a="1"/>
  <c r="E35" i="6" s="1"/>
  <c r="F34" i="6" a="1"/>
  <c r="F34" i="6" s="1"/>
  <c r="E34" i="6" a="1"/>
  <c r="E34" i="6" s="1"/>
  <c r="F33" i="6" a="1"/>
  <c r="F33" i="6" s="1"/>
  <c r="E33" i="6" a="1"/>
  <c r="E33" i="6" s="1"/>
  <c r="F32" i="6" a="1"/>
  <c r="F32" i="6" s="1"/>
  <c r="E32" i="6" a="1"/>
  <c r="E32" i="6" s="1"/>
  <c r="F31" i="6" a="1"/>
  <c r="F31" i="6" s="1"/>
  <c r="E31" i="6" a="1"/>
  <c r="E31" i="6" s="1"/>
  <c r="F30" i="6" a="1"/>
  <c r="F30" i="6" s="1"/>
  <c r="E30" i="6" a="1"/>
  <c r="E30" i="6" s="1"/>
  <c r="F29" i="6" a="1"/>
  <c r="F29" i="6" s="1"/>
  <c r="E29" i="6" a="1"/>
  <c r="E29" i="6" s="1"/>
  <c r="F28" i="6" a="1"/>
  <c r="F28" i="6" s="1"/>
  <c r="E28" i="6" a="1"/>
  <c r="E28" i="6" s="1"/>
  <c r="F27" i="6" a="1"/>
  <c r="F27" i="6" s="1"/>
  <c r="E27" i="6" a="1"/>
  <c r="E27" i="6" s="1"/>
  <c r="F26" i="6" a="1"/>
  <c r="F26" i="6" s="1"/>
  <c r="E26" i="6" a="1"/>
  <c r="E26" i="6" s="1"/>
  <c r="F25" i="6" a="1"/>
  <c r="F25" i="6" s="1"/>
  <c r="E25" i="6" a="1"/>
  <c r="E25" i="6" s="1"/>
  <c r="F24" i="6" a="1"/>
  <c r="F24" i="6" s="1"/>
  <c r="E24" i="6" a="1"/>
  <c r="E24" i="6" s="1"/>
  <c r="F23" i="6" a="1"/>
  <c r="F23" i="6" s="1"/>
  <c r="E23" i="6" a="1"/>
  <c r="E23" i="6" s="1"/>
  <c r="F22" i="6" a="1"/>
  <c r="F22" i="6" s="1"/>
  <c r="E22" i="6" a="1"/>
  <c r="E22" i="6" s="1"/>
  <c r="F21" i="6" a="1"/>
  <c r="F21" i="6" s="1"/>
  <c r="E21" i="6" a="1"/>
  <c r="E21" i="6" s="1"/>
  <c r="F20" i="6" a="1"/>
  <c r="F20" i="6" s="1"/>
  <c r="E20" i="6" a="1"/>
  <c r="E20" i="6" s="1"/>
  <c r="F19" i="6" a="1"/>
  <c r="F19" i="6" s="1"/>
  <c r="E19" i="6" a="1"/>
  <c r="E19" i="6" s="1"/>
  <c r="F18" i="6" a="1"/>
  <c r="F18" i="6" s="1"/>
  <c r="E18" i="6" a="1"/>
  <c r="E18" i="6" s="1"/>
  <c r="F17" i="6" a="1"/>
  <c r="F17" i="6" s="1"/>
  <c r="E17" i="6" a="1"/>
  <c r="E17" i="6" s="1"/>
  <c r="F16" i="6" a="1"/>
  <c r="F16" i="6" s="1"/>
  <c r="E16" i="6" a="1"/>
  <c r="E16" i="6" s="1"/>
  <c r="F15" i="6" a="1"/>
  <c r="F15" i="6" s="1"/>
  <c r="E15" i="6" a="1"/>
  <c r="E15" i="6" s="1"/>
  <c r="F14" i="6" a="1"/>
  <c r="F14" i="6" s="1"/>
  <c r="E14" i="6" a="1"/>
  <c r="E14" i="6" s="1"/>
  <c r="F13" i="6" a="1"/>
  <c r="F13" i="6" s="1"/>
  <c r="E13" i="6" a="1"/>
  <c r="E13" i="6" s="1"/>
  <c r="F12" i="6" a="1"/>
  <c r="F12" i="6" s="1"/>
  <c r="E12" i="6" a="1"/>
  <c r="E12" i="6" s="1"/>
  <c r="F11" i="6" a="1"/>
  <c r="F11" i="6" s="1"/>
  <c r="E11" i="6" a="1"/>
  <c r="E11" i="6" s="1"/>
  <c r="F10" i="6" a="1"/>
  <c r="F10" i="6" s="1"/>
  <c r="E10" i="6" a="1"/>
  <c r="E10" i="6" s="1"/>
  <c r="F9" i="6" a="1"/>
  <c r="F9" i="6" s="1"/>
  <c r="E9" i="6" a="1"/>
  <c r="E9" i="6" s="1"/>
  <c r="F8" i="6" a="1"/>
  <c r="F8" i="6" s="1"/>
  <c r="E8" i="6" a="1"/>
  <c r="E8" i="6" s="1"/>
  <c r="F7" i="6" a="1"/>
  <c r="F7" i="6" s="1"/>
  <c r="E7" i="6" a="1"/>
  <c r="E7" i="6" s="1"/>
  <c r="F6" i="6" a="1"/>
  <c r="F6" i="6" s="1"/>
  <c r="E6" i="6" a="1"/>
  <c r="E6" i="6" s="1"/>
  <c r="F5" i="6" a="1"/>
  <c r="F5" i="6" s="1"/>
  <c r="E5" i="6" a="1"/>
  <c r="E5" i="6" s="1"/>
  <c r="F4" i="6" a="1"/>
  <c r="F4" i="6" s="1"/>
  <c r="E4" i="6" a="1"/>
  <c r="E4" i="6" s="1"/>
  <c r="F3" i="6" a="1"/>
  <c r="F3" i="6" s="1"/>
  <c r="E3" i="6" a="1"/>
  <c r="E3" i="6" s="1"/>
  <c r="F2" i="6" a="1"/>
  <c r="F2" i="6" s="1"/>
  <c r="E2" i="6" a="1"/>
  <c r="E2" i="6" s="1"/>
  <c r="L77" i="34" l="1"/>
  <c r="H19" i="4"/>
  <c r="H17" i="4"/>
  <c r="M3" i="4"/>
  <c r="T3" i="4" s="1"/>
  <c r="U3" i="4" s="1"/>
  <c r="V3" i="4" s="1"/>
  <c r="M4" i="4"/>
  <c r="M5" i="4"/>
  <c r="K5" i="4" s="1"/>
  <c r="J28" i="4"/>
  <c r="T28" i="4"/>
  <c r="U28" i="4" s="1"/>
  <c r="V28" i="4" s="1"/>
  <c r="T27" i="4"/>
  <c r="U27" i="4" s="1"/>
  <c r="V27" i="4" s="1"/>
  <c r="K27" i="4"/>
  <c r="J27" i="4"/>
  <c r="H27" i="4"/>
  <c r="J7" i="4"/>
  <c r="T7" i="4"/>
  <c r="U7" i="4" s="1"/>
  <c r="V7" i="4" s="1"/>
  <c r="K7" i="4"/>
  <c r="J17" i="4"/>
  <c r="T17" i="4"/>
  <c r="U17" i="4" s="1"/>
  <c r="V17" i="4" s="1"/>
  <c r="C54" i="34"/>
  <c r="E54" i="34" s="1"/>
  <c r="F54" i="34" s="1"/>
  <c r="K17" i="4"/>
  <c r="K9" i="4"/>
  <c r="J9" i="4"/>
  <c r="H9" i="4"/>
  <c r="C53" i="34"/>
  <c r="E53" i="34" s="1"/>
  <c r="F53" i="34" s="1"/>
  <c r="J21" i="4"/>
  <c r="H21" i="4"/>
  <c r="T21" i="4"/>
  <c r="U21" i="4" s="1"/>
  <c r="V21" i="4" s="1"/>
  <c r="J16" i="4"/>
  <c r="C48" i="34"/>
  <c r="T16" i="4"/>
  <c r="K16" i="4"/>
  <c r="K21" i="4"/>
  <c r="N2" i="7"/>
  <c r="O2" i="7" s="1"/>
  <c r="Q2" i="7" s="1"/>
  <c r="R2" i="7" s="1"/>
  <c r="S2" i="7" s="1"/>
  <c r="M2" i="4"/>
  <c r="T25" i="4"/>
  <c r="U25" i="4" s="1"/>
  <c r="V25" i="4" s="1"/>
  <c r="K25" i="4"/>
  <c r="J25" i="4"/>
  <c r="C52" i="34"/>
  <c r="E52" i="34" s="1"/>
  <c r="F52" i="34" s="1"/>
  <c r="H25" i="4"/>
  <c r="K84" i="34"/>
  <c r="L84" i="34" s="1"/>
  <c r="N51" i="7"/>
  <c r="O51" i="7" s="1"/>
  <c r="Q51" i="7" s="1"/>
  <c r="R51" i="7" s="1"/>
  <c r="S51" i="7" s="1"/>
  <c r="M26" i="4"/>
  <c r="K81" i="34"/>
  <c r="L81" i="34" s="1"/>
  <c r="T24" i="4"/>
  <c r="U24" i="4" s="1"/>
  <c r="V24" i="4" s="1"/>
  <c r="K24" i="4"/>
  <c r="K80" i="34"/>
  <c r="L80" i="34" s="1"/>
  <c r="J19" i="4"/>
  <c r="T19" i="4"/>
  <c r="K19" i="4"/>
  <c r="H28" i="4"/>
  <c r="K28" i="4"/>
  <c r="N28" i="7"/>
  <c r="O28" i="7" s="1"/>
  <c r="Q28" i="7" s="1"/>
  <c r="R28" i="7" s="1"/>
  <c r="S28" i="7" s="1"/>
  <c r="M20" i="4"/>
  <c r="H20" i="4" s="1"/>
  <c r="M15" i="4"/>
  <c r="H15" i="4" s="1"/>
  <c r="N7" i="7"/>
  <c r="O7" i="7" s="1"/>
  <c r="Q7" i="7" s="1"/>
  <c r="R7" i="7" s="1"/>
  <c r="S7" i="7" s="1"/>
  <c r="T9" i="4"/>
  <c r="K8" i="4"/>
  <c r="T8" i="4"/>
  <c r="K13" i="4"/>
  <c r="C49" i="34"/>
  <c r="E49" i="34" s="1"/>
  <c r="H7" i="4"/>
  <c r="J23" i="4"/>
  <c r="H23" i="4"/>
  <c r="C55" i="34"/>
  <c r="E55" i="34" s="1"/>
  <c r="F55" i="34" s="1"/>
  <c r="K83" i="34"/>
  <c r="L83" i="34" s="1"/>
  <c r="T23" i="4"/>
  <c r="U23" i="4" s="1"/>
  <c r="V23" i="4" s="1"/>
  <c r="T12" i="4"/>
  <c r="U12" i="4" s="1"/>
  <c r="V12" i="4" s="1"/>
  <c r="N31" i="7"/>
  <c r="O31" i="7" s="1"/>
  <c r="Q31" i="7" s="1"/>
  <c r="R31" i="7" s="1"/>
  <c r="S31" i="7" s="1"/>
  <c r="N47" i="7"/>
  <c r="O47" i="7" s="1"/>
  <c r="Q47" i="7" s="1"/>
  <c r="R47" i="7" s="1"/>
  <c r="S47" i="7" s="1"/>
  <c r="M6" i="4"/>
  <c r="M10" i="4"/>
  <c r="M14" i="4"/>
  <c r="M18" i="4"/>
  <c r="M22" i="4"/>
  <c r="M30" i="4"/>
  <c r="N8" i="7"/>
  <c r="O8" i="7" s="1"/>
  <c r="Q8" i="7" s="1"/>
  <c r="R8" i="7" s="1"/>
  <c r="S8" i="7" s="1"/>
  <c r="N24" i="7"/>
  <c r="O24" i="7" s="1"/>
  <c r="Q24" i="7" s="1"/>
  <c r="R24" i="7" s="1"/>
  <c r="S24" i="7" s="1"/>
  <c r="N32" i="7"/>
  <c r="O32" i="7" s="1"/>
  <c r="Q32" i="7" s="1"/>
  <c r="R32" i="7" s="1"/>
  <c r="S32" i="7" s="1"/>
  <c r="N40" i="7"/>
  <c r="O40" i="7" s="1"/>
  <c r="Q40" i="7" s="1"/>
  <c r="R40" i="7" s="1"/>
  <c r="S40" i="7" s="1"/>
  <c r="N48" i="7"/>
  <c r="O48" i="7" s="1"/>
  <c r="Q48" i="7" s="1"/>
  <c r="R48" i="7" s="1"/>
  <c r="S48" i="7" s="1"/>
  <c r="N41" i="7"/>
  <c r="O41" i="7" s="1"/>
  <c r="Q41" i="7" s="1"/>
  <c r="R41" i="7" s="1"/>
  <c r="S41" i="7" s="1"/>
  <c r="N57" i="7"/>
  <c r="O57" i="7" s="1"/>
  <c r="Q57" i="7" s="1"/>
  <c r="R57" i="7" s="1"/>
  <c r="S57" i="7" s="1"/>
  <c r="M11" i="4"/>
  <c r="H11" i="4" s="1"/>
  <c r="N58" i="7"/>
  <c r="O58" i="7" s="1"/>
  <c r="Q58" i="7" s="1"/>
  <c r="R58" i="7" s="1"/>
  <c r="S58" i="7" s="1"/>
  <c r="N3" i="7"/>
  <c r="O3" i="7" s="1"/>
  <c r="Q3" i="7" s="1"/>
  <c r="R3" i="7" s="1"/>
  <c r="S3" i="7" s="1"/>
  <c r="N11" i="7"/>
  <c r="O11" i="7" s="1"/>
  <c r="Q11" i="7" s="1"/>
  <c r="R11" i="7" s="1"/>
  <c r="S11" i="7" s="1"/>
  <c r="N4" i="7"/>
  <c r="O4" i="7" s="1"/>
  <c r="Q4" i="7" s="1"/>
  <c r="R4" i="7" s="1"/>
  <c r="S4" i="7" s="1"/>
  <c r="N52" i="7"/>
  <c r="O52" i="7" s="1"/>
  <c r="Q52" i="7" s="1"/>
  <c r="R52" i="7" s="1"/>
  <c r="S52" i="7" s="1"/>
  <c r="M29" i="4"/>
  <c r="C51" i="34"/>
  <c r="H4" i="4"/>
  <c r="H8" i="4"/>
  <c r="H12" i="4"/>
  <c r="J4" i="4"/>
  <c r="J8" i="4"/>
  <c r="J12" i="4"/>
  <c r="H16" i="4"/>
  <c r="H24" i="4"/>
  <c r="K12" i="4"/>
  <c r="J24" i="4"/>
  <c r="K28" i="34"/>
  <c r="K27" i="34"/>
  <c r="K30" i="34"/>
  <c r="E7" i="34"/>
  <c r="L41" i="34"/>
  <c r="E10" i="34"/>
  <c r="K29" i="34"/>
  <c r="K11" i="34"/>
  <c r="K13" i="34"/>
  <c r="J41" i="34"/>
  <c r="L46" i="34"/>
  <c r="K26" i="34"/>
  <c r="K12" i="34"/>
  <c r="E48" i="34"/>
  <c r="F48" i="34" s="1"/>
  <c r="H13" i="4"/>
  <c r="H14" i="4"/>
  <c r="J13" i="4"/>
  <c r="T13" i="4"/>
  <c r="D23" i="34" l="1"/>
  <c r="E23" i="34" s="1"/>
  <c r="F23" i="34" s="1"/>
  <c r="K3" i="4"/>
  <c r="D42" i="34"/>
  <c r="E42" i="34" s="1"/>
  <c r="F42" i="34" s="1"/>
  <c r="J3" i="4"/>
  <c r="J5" i="4"/>
  <c r="H5" i="4"/>
  <c r="K4" i="4"/>
  <c r="T4" i="4"/>
  <c r="T5" i="4"/>
  <c r="H3" i="4"/>
  <c r="T15" i="4"/>
  <c r="U15" i="4" s="1"/>
  <c r="V15" i="4" s="1"/>
  <c r="C50" i="34"/>
  <c r="E50" i="34" s="1"/>
  <c r="F50" i="34" s="1"/>
  <c r="T29" i="4"/>
  <c r="K29" i="4"/>
  <c r="J29" i="4"/>
  <c r="H29" i="4"/>
  <c r="J26" i="4"/>
  <c r="T26" i="4"/>
  <c r="K26" i="4"/>
  <c r="C47" i="34"/>
  <c r="E47" i="34" s="1"/>
  <c r="F47" i="34" s="1"/>
  <c r="H26" i="4"/>
  <c r="T11" i="4"/>
  <c r="K11" i="4"/>
  <c r="J11" i="4"/>
  <c r="J30" i="4"/>
  <c r="H30" i="4"/>
  <c r="T30" i="4"/>
  <c r="U30" i="4" s="1"/>
  <c r="V30" i="4" s="1"/>
  <c r="C56" i="34"/>
  <c r="K79" i="34"/>
  <c r="L79" i="34" s="1"/>
  <c r="K30" i="4"/>
  <c r="U9" i="4"/>
  <c r="V9" i="4" s="1"/>
  <c r="D34" i="34"/>
  <c r="E34" i="34" s="1"/>
  <c r="F34" i="34" s="1"/>
  <c r="U19" i="4"/>
  <c r="V19" i="4" s="1"/>
  <c r="D20" i="34"/>
  <c r="E20" i="34" s="1"/>
  <c r="F20" i="34" s="1"/>
  <c r="H2" i="4"/>
  <c r="T2" i="4"/>
  <c r="K2" i="4"/>
  <c r="J2" i="4"/>
  <c r="T18" i="4"/>
  <c r="K18" i="4"/>
  <c r="J18" i="4"/>
  <c r="K78" i="34"/>
  <c r="L78" i="34" s="1"/>
  <c r="H18" i="4"/>
  <c r="K15" i="4"/>
  <c r="K75" i="34"/>
  <c r="L75" i="34" s="1"/>
  <c r="J20" i="4"/>
  <c r="T20" i="4"/>
  <c r="U20" i="4" s="1"/>
  <c r="V20" i="4" s="1"/>
  <c r="K20" i="4"/>
  <c r="F49" i="34"/>
  <c r="K82" i="34"/>
  <c r="L82" i="34" s="1"/>
  <c r="T22" i="4"/>
  <c r="H22" i="4"/>
  <c r="K22" i="4"/>
  <c r="J22" i="4"/>
  <c r="K76" i="34"/>
  <c r="L76" i="34" s="1"/>
  <c r="T14" i="4"/>
  <c r="K14" i="4"/>
  <c r="J14" i="4"/>
  <c r="H10" i="4"/>
  <c r="T10" i="4"/>
  <c r="K10" i="4"/>
  <c r="J10" i="4"/>
  <c r="K6" i="4"/>
  <c r="J6" i="4"/>
  <c r="H6" i="4"/>
  <c r="T6" i="4"/>
  <c r="J15" i="4"/>
  <c r="D35" i="34"/>
  <c r="E35" i="34" s="1"/>
  <c r="F35" i="34" s="1"/>
  <c r="D24" i="34"/>
  <c r="E24" i="34" s="1"/>
  <c r="F24" i="34" s="1"/>
  <c r="U8" i="4"/>
  <c r="D41" i="34"/>
  <c r="E41" i="34" s="1"/>
  <c r="F41" i="34" s="1"/>
  <c r="U16" i="4"/>
  <c r="V16" i="4" s="1"/>
  <c r="D27" i="34"/>
  <c r="E27" i="34" s="1"/>
  <c r="F27" i="34" s="1"/>
  <c r="U13" i="4"/>
  <c r="D26" i="34"/>
  <c r="E26" i="34" s="1"/>
  <c r="F26" i="34" s="1"/>
  <c r="E51" i="34"/>
  <c r="F51" i="34" s="1"/>
  <c r="U5" i="4" l="1"/>
  <c r="V5" i="4" s="1"/>
  <c r="D40" i="34"/>
  <c r="E40" i="34" s="1"/>
  <c r="F40" i="34" s="1"/>
  <c r="D37" i="34"/>
  <c r="E37" i="34" s="1"/>
  <c r="F37" i="34" s="1"/>
  <c r="U4" i="4"/>
  <c r="V4" i="4" s="1"/>
  <c r="L12" i="34"/>
  <c r="E56" i="34"/>
  <c r="F56" i="34"/>
  <c r="U29" i="4"/>
  <c r="V29" i="4" s="1"/>
  <c r="D25" i="34"/>
  <c r="E25" i="34" s="1"/>
  <c r="F25" i="34" s="1"/>
  <c r="U22" i="4"/>
  <c r="V22" i="4" s="1"/>
  <c r="D19" i="34"/>
  <c r="E19" i="34" s="1"/>
  <c r="F19" i="34" s="1"/>
  <c r="U6" i="4"/>
  <c r="V6" i="4" s="1"/>
  <c r="D36" i="34"/>
  <c r="E36" i="34" s="1"/>
  <c r="F36" i="34" s="1"/>
  <c r="L13" i="34"/>
  <c r="U26" i="4"/>
  <c r="V26" i="4" s="1"/>
  <c r="D28" i="34"/>
  <c r="E28" i="34" s="1"/>
  <c r="F28" i="34" s="1"/>
  <c r="U14" i="4"/>
  <c r="V14" i="4" s="1"/>
  <c r="D21" i="34"/>
  <c r="E21" i="34" s="1"/>
  <c r="F21" i="34" s="1"/>
  <c r="U18" i="4"/>
  <c r="V18" i="4" s="1"/>
  <c r="D22" i="34"/>
  <c r="E22" i="34" s="1"/>
  <c r="F22" i="34" s="1"/>
  <c r="U11" i="4"/>
  <c r="V11" i="4" s="1"/>
  <c r="D33" i="34"/>
  <c r="E33" i="34" s="1"/>
  <c r="F33" i="34" s="1"/>
  <c r="L14" i="34"/>
  <c r="V8" i="4"/>
  <c r="U10" i="4"/>
  <c r="V10" i="4" s="1"/>
  <c r="D38" i="34"/>
  <c r="E38" i="34" s="1"/>
  <c r="F38" i="34" s="1"/>
  <c r="U2" i="4"/>
  <c r="D39" i="34"/>
  <c r="E39" i="34" s="1"/>
  <c r="F39" i="34" s="1"/>
  <c r="B6" i="34"/>
  <c r="B7" i="34" s="1"/>
  <c r="B9" i="34" s="1"/>
  <c r="B10" i="34" s="1"/>
  <c r="L11" i="34"/>
  <c r="V13" i="4"/>
  <c r="K48" i="34"/>
  <c r="K47" i="34" l="1"/>
  <c r="L47" i="34" s="1"/>
  <c r="V2" i="4"/>
  <c r="K49" i="34"/>
  <c r="L49" i="34" s="1"/>
  <c r="F5" i="34"/>
  <c r="F8" i="34" s="1"/>
  <c r="F6" i="34"/>
  <c r="F7" i="34" s="1"/>
  <c r="L48" i="34"/>
  <c r="F9" i="34" l="1"/>
  <c r="F10" i="34" s="1"/>
  <c r="K50" i="34"/>
  <c r="L50" i="3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52">
    <bk>
      <extLst>
        <ext uri="{3e2802c4-a4d2-4d8b-9148-e3be6c30e623}">
          <xlrd:rvb i="2"/>
        </ext>
      </extLst>
    </bk>
    <bk>
      <extLst>
        <ext uri="{3e2802c4-a4d2-4d8b-9148-e3be6c30e623}">
          <xlrd:rvb i="4"/>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7"/>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8"/>
        </ext>
      </extLst>
    </bk>
    <bk>
      <extLst>
        <ext uri="{3e2802c4-a4d2-4d8b-9148-e3be6c30e623}">
          <xlrd:rvb i="180"/>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69"/>
        </ext>
      </extLst>
    </bk>
    <bk>
      <extLst>
        <ext uri="{3e2802c4-a4d2-4d8b-9148-e3be6c30e623}">
          <xlrd:rvb i="272"/>
        </ext>
      </extLst>
    </bk>
    <bk>
      <extLst>
        <ext uri="{3e2802c4-a4d2-4d8b-9148-e3be6c30e623}">
          <xlrd:rvb i="274"/>
        </ext>
      </extLst>
    </bk>
    <bk>
      <extLst>
        <ext uri="{3e2802c4-a4d2-4d8b-9148-e3be6c30e623}">
          <xlrd:rvb i="277"/>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7"/>
        </ext>
      </extLst>
    </bk>
    <bk>
      <extLst>
        <ext uri="{3e2802c4-a4d2-4d8b-9148-e3be6c30e623}">
          <xlrd:rvb i="300"/>
        </ext>
      </extLst>
    </bk>
    <bk>
      <extLst>
        <ext uri="{3e2802c4-a4d2-4d8b-9148-e3be6c30e623}">
          <xlrd:rvb i="303"/>
        </ext>
      </extLst>
    </bk>
    <bk>
      <extLst>
        <ext uri="{3e2802c4-a4d2-4d8b-9148-e3be6c30e623}">
          <xlrd:rvb i="306"/>
        </ext>
      </extLst>
    </bk>
    <bk>
      <extLst>
        <ext uri="{3e2802c4-a4d2-4d8b-9148-e3be6c30e623}">
          <xlrd:rvb i="309"/>
        </ext>
      </extLst>
    </bk>
    <bk>
      <extLst>
        <ext uri="{3e2802c4-a4d2-4d8b-9148-e3be6c30e623}">
          <xlrd:rvb i="312"/>
        </ext>
      </extLst>
    </bk>
    <bk>
      <extLst>
        <ext uri="{3e2802c4-a4d2-4d8b-9148-e3be6c30e623}">
          <xlrd:rvb i="315"/>
        </ext>
      </extLst>
    </bk>
    <bk>
      <extLst>
        <ext uri="{3e2802c4-a4d2-4d8b-9148-e3be6c30e623}">
          <xlrd:rvb i="318"/>
        </ext>
      </extLst>
    </bk>
    <bk>
      <extLst>
        <ext uri="{3e2802c4-a4d2-4d8b-9148-e3be6c30e623}">
          <xlrd:rvb i="321"/>
        </ext>
      </extLst>
    </bk>
    <bk>
      <extLst>
        <ext uri="{3e2802c4-a4d2-4d8b-9148-e3be6c30e623}">
          <xlrd:rvb i="324"/>
        </ext>
      </extLst>
    </bk>
    <bk>
      <extLst>
        <ext uri="{3e2802c4-a4d2-4d8b-9148-e3be6c30e623}">
          <xlrd:rvb i="327"/>
        </ext>
      </extLst>
    </bk>
    <bk>
      <extLst>
        <ext uri="{3e2802c4-a4d2-4d8b-9148-e3be6c30e623}">
          <xlrd:rvb i="330"/>
        </ext>
      </extLst>
    </bk>
    <bk>
      <extLst>
        <ext uri="{3e2802c4-a4d2-4d8b-9148-e3be6c30e623}">
          <xlrd:rvb i="333"/>
        </ext>
      </extLst>
    </bk>
    <bk>
      <extLst>
        <ext uri="{3e2802c4-a4d2-4d8b-9148-e3be6c30e623}">
          <xlrd:rvb i="336"/>
        </ext>
      </extLst>
    </bk>
    <bk>
      <extLst>
        <ext uri="{3e2802c4-a4d2-4d8b-9148-e3be6c30e623}">
          <xlrd:rvb i="339"/>
        </ext>
      </extLst>
    </bk>
    <bk>
      <extLst>
        <ext uri="{3e2802c4-a4d2-4d8b-9148-e3be6c30e623}">
          <xlrd:rvb i="342"/>
        </ext>
      </extLst>
    </bk>
    <bk>
      <extLst>
        <ext uri="{3e2802c4-a4d2-4d8b-9148-e3be6c30e623}">
          <xlrd:rvb i="345"/>
        </ext>
      </extLst>
    </bk>
    <bk>
      <extLst>
        <ext uri="{3e2802c4-a4d2-4d8b-9148-e3be6c30e623}">
          <xlrd:rvb i="348"/>
        </ext>
      </extLst>
    </bk>
    <bk>
      <extLst>
        <ext uri="{3e2802c4-a4d2-4d8b-9148-e3be6c30e623}">
          <xlrd:rvb i="351"/>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4"/>
        </ext>
      </extLst>
    </bk>
    <bk>
      <extLst>
        <ext uri="{3e2802c4-a4d2-4d8b-9148-e3be6c30e623}">
          <xlrd:rvb i="387"/>
        </ext>
      </extLst>
    </bk>
    <bk>
      <extLst>
        <ext uri="{3e2802c4-a4d2-4d8b-9148-e3be6c30e623}">
          <xlrd:rvb i="389"/>
        </ext>
      </extLst>
    </bk>
    <bk>
      <extLst>
        <ext uri="{3e2802c4-a4d2-4d8b-9148-e3be6c30e623}">
          <xlrd:rvb i="392"/>
        </ext>
      </extLst>
    </bk>
    <bk>
      <extLst>
        <ext uri="{3e2802c4-a4d2-4d8b-9148-e3be6c30e623}">
          <xlrd:rvb i="395"/>
        </ext>
      </extLst>
    </bk>
    <bk>
      <extLst>
        <ext uri="{3e2802c4-a4d2-4d8b-9148-e3be6c30e623}">
          <xlrd:rvb i="398"/>
        </ext>
      </extLst>
    </bk>
    <bk>
      <extLst>
        <ext uri="{3e2802c4-a4d2-4d8b-9148-e3be6c30e623}">
          <xlrd:rvb i="401"/>
        </ext>
      </extLst>
    </bk>
    <bk>
      <extLst>
        <ext uri="{3e2802c4-a4d2-4d8b-9148-e3be6c30e623}">
          <xlrd:rvb i="403"/>
        </ext>
      </extLst>
    </bk>
    <bk>
      <extLst>
        <ext uri="{3e2802c4-a4d2-4d8b-9148-e3be6c30e623}">
          <xlrd:rvb i="406"/>
        </ext>
      </extLst>
    </bk>
    <bk>
      <extLst>
        <ext uri="{3e2802c4-a4d2-4d8b-9148-e3be6c30e623}">
          <xlrd:rvb i="409"/>
        </ext>
      </extLst>
    </bk>
    <bk>
      <extLst>
        <ext uri="{3e2802c4-a4d2-4d8b-9148-e3be6c30e623}">
          <xlrd:rvb i="412"/>
        </ext>
      </extLst>
    </bk>
    <bk>
      <extLst>
        <ext uri="{3e2802c4-a4d2-4d8b-9148-e3be6c30e623}">
          <xlrd:rvb i="415"/>
        </ext>
      </extLst>
    </bk>
    <bk>
      <extLst>
        <ext uri="{3e2802c4-a4d2-4d8b-9148-e3be6c30e623}">
          <xlrd:rvb i="418"/>
        </ext>
      </extLst>
    </bk>
    <bk>
      <extLst>
        <ext uri="{3e2802c4-a4d2-4d8b-9148-e3be6c30e623}">
          <xlrd:rvb i="421"/>
        </ext>
      </extLst>
    </bk>
    <bk>
      <extLst>
        <ext uri="{3e2802c4-a4d2-4d8b-9148-e3be6c30e623}">
          <xlrd:rvb i="424"/>
        </ext>
      </extLst>
    </bk>
    <bk>
      <extLst>
        <ext uri="{3e2802c4-a4d2-4d8b-9148-e3be6c30e623}">
          <xlrd:rvb i="427"/>
        </ext>
      </extLst>
    </bk>
    <bk>
      <extLst>
        <ext uri="{3e2802c4-a4d2-4d8b-9148-e3be6c30e623}">
          <xlrd:rvb i="430"/>
        </ext>
      </extLst>
    </bk>
    <bk>
      <extLst>
        <ext uri="{3e2802c4-a4d2-4d8b-9148-e3be6c30e623}">
          <xlrd:rvb i="433"/>
        </ext>
      </extLst>
    </bk>
    <bk>
      <extLst>
        <ext uri="{3e2802c4-a4d2-4d8b-9148-e3be6c30e623}">
          <xlrd:rvb i="436"/>
        </ext>
      </extLst>
    </bk>
    <bk>
      <extLst>
        <ext uri="{3e2802c4-a4d2-4d8b-9148-e3be6c30e623}">
          <xlrd:rvb i="439"/>
        </ext>
      </extLst>
    </bk>
    <bk>
      <extLst>
        <ext uri="{3e2802c4-a4d2-4d8b-9148-e3be6c30e623}">
          <xlrd:rvb i="442"/>
        </ext>
      </extLst>
    </bk>
    <bk>
      <extLst>
        <ext uri="{3e2802c4-a4d2-4d8b-9148-e3be6c30e623}">
          <xlrd:rvb i="444"/>
        </ext>
      </extLst>
    </bk>
  </futureMetadata>
  <futureMetadata name="XLDAPR" count="1">
    <bk>
      <extLst>
        <ext uri="{bdbb8cdc-fa1e-496e-a857-3c3f30c029c3}">
          <xda:dynamicArrayProperties fDynamic="1" fCollapsed="0"/>
        </ext>
      </extLst>
    </bk>
  </futureMetadata>
  <cellMetadata count="1">
    <bk>
      <rc t="2" v="0"/>
    </bk>
  </cellMetadata>
  <valueMetadata count="152">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valueMetadata>
</metadata>
</file>

<file path=xl/sharedStrings.xml><?xml version="1.0" encoding="utf-8"?>
<sst xmlns="http://schemas.openxmlformats.org/spreadsheetml/2006/main" count="5844" uniqueCount="777">
  <si>
    <t>📊 Portfolio Dashboard</t>
  </si>
  <si>
    <t>🕒 Last Transacted Date: 26 May 2026</t>
  </si>
  <si>
    <t>Portfolio Summary</t>
  </si>
  <si>
    <t>📈 Benchmark Returns (Since Invest Start)</t>
  </si>
  <si>
    <t>Metric</t>
  </si>
  <si>
    <t>Value</t>
  </si>
  <si>
    <t>Index Tracker (ETF)</t>
  </si>
  <si>
    <t>Start Price (₹)</t>
  </si>
  <si>
    <t>LTP (₹)</t>
  </si>
  <si>
    <t>Return %</t>
  </si>
  <si>
    <t>Total Invested Value</t>
  </si>
  <si>
    <t>NIFTY_50</t>
  </si>
  <si>
    <t>Total Current Value</t>
  </si>
  <si>
    <t>CNXMIDCAP</t>
  </si>
  <si>
    <t>Unrealized PnL</t>
  </si>
  <si>
    <t>Realized PnL</t>
  </si>
  <si>
    <t>Combined PnL</t>
  </si>
  <si>
    <t>Allocation by Market Cap</t>
  </si>
  <si>
    <t>Combined PnL %</t>
  </si>
  <si>
    <t>Market Cap</t>
  </si>
  <si>
    <t>Invested (₹)</t>
  </si>
  <si>
    <t>% of Total</t>
  </si>
  <si>
    <t>Returns</t>
  </si>
  <si>
    <t>Core Allocation (%)</t>
  </si>
  <si>
    <t>Small Cap</t>
  </si>
  <si>
    <t>Satellite Allocation (%)</t>
  </si>
  <si>
    <t>Large Cap</t>
  </si>
  <si>
    <t>Active Holdings</t>
  </si>
  <si>
    <t>Mid Cap</t>
  </si>
  <si>
    <t>Total Stocks Traded</t>
  </si>
  <si>
    <t>TOTAL</t>
  </si>
  <si>
    <t>Core &amp; Satellite Distribution</t>
  </si>
  <si>
    <t>Symbol</t>
  </si>
  <si>
    <t>Classification</t>
  </si>
  <si>
    <t>Current (₹)</t>
  </si>
  <si>
    <t>PnL (₹)</t>
  </si>
  <si>
    <t>PnL %</t>
  </si>
  <si>
    <t>TDPOWERSYS</t>
  </si>
  <si>
    <t>Core</t>
  </si>
  <si>
    <t>POLYCAB</t>
  </si>
  <si>
    <t>Satellite</t>
  </si>
  <si>
    <t>HINDALCO</t>
  </si>
  <si>
    <t>CUPID</t>
  </si>
  <si>
    <t>FEDERALBNK</t>
  </si>
  <si>
    <t>AJANTPHARM</t>
  </si>
  <si>
    <t>Allocation by Sector</t>
  </si>
  <si>
    <t>AUROPHARMA</t>
  </si>
  <si>
    <t>Sector</t>
  </si>
  <si>
    <t>SUNPHARMA</t>
  </si>
  <si>
    <t>Industrial</t>
  </si>
  <si>
    <t>POCL</t>
  </si>
  <si>
    <t>Consumption</t>
  </si>
  <si>
    <t>APLAPOLLO</t>
  </si>
  <si>
    <t>Finance</t>
  </si>
  <si>
    <t>Health / Pharma / Chem</t>
  </si>
  <si>
    <t>Tech / Platform / IT</t>
  </si>
  <si>
    <t>⚠️ Stocks Nearest to Stop Loss</t>
  </si>
  <si>
    <t>LTP</t>
  </si>
  <si>
    <t>SL</t>
  </si>
  <si>
    <t>Diff (₹)</t>
  </si>
  <si>
    <t>Diff (%)</t>
  </si>
  <si>
    <t>Tranche</t>
  </si>
  <si>
    <t>Sector Allocation (Core vs Satellite)</t>
  </si>
  <si>
    <t>Core (₹)</t>
  </si>
  <si>
    <t>Satellite (₹)</t>
  </si>
  <si>
    <t>Total (₹)</t>
  </si>
  <si>
    <t>SFL</t>
  </si>
  <si>
    <t>M&amp;M</t>
  </si>
  <si>
    <t>NRBBEARING</t>
  </si>
  <si>
    <t>🔔 Corporate Actions (Splits / Bonus)</t>
  </si>
  <si>
    <t>Split / Bonus Details</t>
  </si>
  <si>
    <t>Adj Required</t>
  </si>
  <si>
    <t>5:1 Split on 2026-03-09</t>
  </si>
  <si>
    <t>No</t>
  </si>
  <si>
    <t>METROPOLIS</t>
  </si>
  <si>
    <t>4:1 Split on 2026-03-20</t>
  </si>
  <si>
    <t>PIDILITIND</t>
  </si>
  <si>
    <t>2:1 Split on 2025-09-23</t>
  </si>
  <si>
    <t>Top 5 Cheat Stocks by Holding Period</t>
  </si>
  <si>
    <t>Stock Name</t>
  </si>
  <si>
    <t>Cheat</t>
  </si>
  <si>
    <t>Holding Period (Days)</t>
  </si>
  <si>
    <t>Invested Value</t>
  </si>
  <si>
    <t>Current Value</t>
  </si>
  <si>
    <t>XIRR</t>
  </si>
  <si>
    <t>Tranche Distribution</t>
  </si>
  <si>
    <t>CGPOWER</t>
  </si>
  <si>
    <t>Cheat 3</t>
  </si>
  <si>
    <t>Count</t>
  </si>
  <si>
    <t>% of Holdings</t>
  </si>
  <si>
    <t>GPIL</t>
  </si>
  <si>
    <t>Cheat 2</t>
  </si>
  <si>
    <t>Cheat 1</t>
  </si>
  <si>
    <t>GAEL</t>
  </si>
  <si>
    <t>NMDC</t>
  </si>
  <si>
    <t>Cheat 4</t>
  </si>
  <si>
    <t>Tranch 1</t>
  </si>
  <si>
    <t>Tranch 2</t>
  </si>
  <si>
    <t>Tranch 3</t>
  </si>
  <si>
    <t>Tranch 4</t>
  </si>
  <si>
    <t>Holding Period Distribution</t>
  </si>
  <si>
    <t>Period</t>
  </si>
  <si>
    <t>0 - 30 days</t>
  </si>
  <si>
    <t>31 - 90 days</t>
  </si>
  <si>
    <t>91 - 180 days</t>
  </si>
  <si>
    <t>180+ days</t>
  </si>
  <si>
    <t>Top 10 Movers (Current Portfolio)</t>
  </si>
  <si>
    <t>Prev Week Close</t>
  </si>
  <si>
    <t>% Change</t>
  </si>
  <si>
    <t>APOLLO</t>
  </si>
  <si>
    <t>ASTRAMICRO</t>
  </si>
  <si>
    <t>ADANIENT</t>
  </si>
  <si>
    <t>TATATECH</t>
  </si>
  <si>
    <t>BALAMINES</t>
  </si>
  <si>
    <t>LAURUSLABS</t>
  </si>
  <si>
    <t>Top 10 Movers (Watchlist Only)</t>
  </si>
  <si>
    <t>Price</t>
  </si>
  <si>
    <t>PREMEXPLN</t>
  </si>
  <si>
    <t>MARKSANS</t>
  </si>
  <si>
    <t>SPARC</t>
  </si>
  <si>
    <t>ADANIPOWER</t>
  </si>
  <si>
    <t>SANDHAR</t>
  </si>
  <si>
    <t>CONFIPET</t>
  </si>
  <si>
    <t>STLTECH</t>
  </si>
  <si>
    <t>ANTELOPUS</t>
  </si>
  <si>
    <t>IDEAFORGE</t>
  </si>
  <si>
    <t>PRECWIRE</t>
  </si>
  <si>
    <t>Unnamed: 0.1</t>
  </si>
  <si>
    <t>ISIN</t>
  </si>
  <si>
    <t>Trade Date</t>
  </si>
  <si>
    <t>Exchange</t>
  </si>
  <si>
    <t>Segment</t>
  </si>
  <si>
    <t>Series</t>
  </si>
  <si>
    <t>Trade Type</t>
  </si>
  <si>
    <t>Auction</t>
  </si>
  <si>
    <t>Quantity</t>
  </si>
  <si>
    <t>Trade ID</t>
  </si>
  <si>
    <t>Order ID</t>
  </si>
  <si>
    <t>Order Execution Time</t>
  </si>
  <si>
    <t>Unnamed: 0</t>
  </si>
  <si>
    <t>INE455K01017</t>
  </si>
  <si>
    <t>2025-09-08</t>
  </si>
  <si>
    <t>NSE</t>
  </si>
  <si>
    <t>EQ</t>
  </si>
  <si>
    <t>buy</t>
  </si>
  <si>
    <t>2025-09-08T13:01:01</t>
  </si>
  <si>
    <t>CIPLA</t>
  </si>
  <si>
    <t>INE059A01026</t>
  </si>
  <si>
    <t>2025-09-08T13:15:31</t>
  </si>
  <si>
    <t>HBLENGINE</t>
  </si>
  <si>
    <t>INE292B01021</t>
  </si>
  <si>
    <t>2025-09-08T13:22:33</t>
  </si>
  <si>
    <t>SUPREMEIND</t>
  </si>
  <si>
    <t>INE195A01028</t>
  </si>
  <si>
    <t>2025-09-08T13:36:34</t>
  </si>
  <si>
    <t>TITAN</t>
  </si>
  <si>
    <t>INE280A01028</t>
  </si>
  <si>
    <t>2025-09-08T13:52:01</t>
  </si>
  <si>
    <t>DMART</t>
  </si>
  <si>
    <t>INE192R01011</t>
  </si>
  <si>
    <t>2025-09-08T13:56:18</t>
  </si>
  <si>
    <t>INE112L01020</t>
  </si>
  <si>
    <t>2025-09-08T14:00:59</t>
  </si>
  <si>
    <t>AVANTEL</t>
  </si>
  <si>
    <t>INE005B01027</t>
  </si>
  <si>
    <t>2025-09-09</t>
  </si>
  <si>
    <t>2025-09-09T11:27:29</t>
  </si>
  <si>
    <t>GMDCLTD</t>
  </si>
  <si>
    <t>INE131A01031</t>
  </si>
  <si>
    <t>2025-09-09T11:27:52</t>
  </si>
  <si>
    <t>UNOMINDA</t>
  </si>
  <si>
    <t>INE405E01023</t>
  </si>
  <si>
    <t>2025-09-09T11:50:25</t>
  </si>
  <si>
    <t>INE318A01026</t>
  </si>
  <si>
    <t>2025-09-09T11:58:50</t>
  </si>
  <si>
    <t>INE067A01029</t>
  </si>
  <si>
    <t>2025-09-15</t>
  </si>
  <si>
    <t>2025-09-15T10:20:52</t>
  </si>
  <si>
    <t>JBMA</t>
  </si>
  <si>
    <t>INE927D01051</t>
  </si>
  <si>
    <t>2025-09-16</t>
  </si>
  <si>
    <t>2025-09-16T15:22:47</t>
  </si>
  <si>
    <t>CANBK</t>
  </si>
  <si>
    <t>INE476A01022</t>
  </si>
  <si>
    <t>2025-09-22</t>
  </si>
  <si>
    <t>2025-09-22T13:57:19</t>
  </si>
  <si>
    <t>2025-09-22T14:09:54</t>
  </si>
  <si>
    <t>2025-09-22T14:14:57</t>
  </si>
  <si>
    <t>SPLPETRO</t>
  </si>
  <si>
    <t>INE663A01033</t>
  </si>
  <si>
    <t>2025-09-29</t>
  </si>
  <si>
    <t>2025-09-29T13:44:57</t>
  </si>
  <si>
    <t>2025-10-03</t>
  </si>
  <si>
    <t>sell</t>
  </si>
  <si>
    <t>2025-10-03T10:11:43</t>
  </si>
  <si>
    <t>2025-10-03T10:12:04</t>
  </si>
  <si>
    <t>2025-10-03T10:12:36</t>
  </si>
  <si>
    <t>2025-10-06</t>
  </si>
  <si>
    <t>2025-10-06T14:28:07</t>
  </si>
  <si>
    <t>BSE</t>
  </si>
  <si>
    <t>A</t>
  </si>
  <si>
    <t>2025-10-06T14:43:43</t>
  </si>
  <si>
    <t>POONAWALLA</t>
  </si>
  <si>
    <t>INE511C01022</t>
  </si>
  <si>
    <t>2025-10-06T14:49:23</t>
  </si>
  <si>
    <t>INE372C01037</t>
  </si>
  <si>
    <t>2025-10-06T14:53:24</t>
  </si>
  <si>
    <t>2025-10-06T14:55:34</t>
  </si>
  <si>
    <t>INE038A01020</t>
  </si>
  <si>
    <t>2025-10-06T15:06:32</t>
  </si>
  <si>
    <t>2025-10-08</t>
  </si>
  <si>
    <t>2025-10-08T13:18:12</t>
  </si>
  <si>
    <t>2025-10-09</t>
  </si>
  <si>
    <t>2025-10-09T11:10:16</t>
  </si>
  <si>
    <t>2025-10-13</t>
  </si>
  <si>
    <t>2025-10-13T14:44:00</t>
  </si>
  <si>
    <t>2025-10-13T15:12:12</t>
  </si>
  <si>
    <t>BAJFINANCE</t>
  </si>
  <si>
    <t>INE296A01032</t>
  </si>
  <si>
    <t>2025-10-16</t>
  </si>
  <si>
    <t>2025-10-16T14:02:53</t>
  </si>
  <si>
    <t>2025-10-16T14:05:36</t>
  </si>
  <si>
    <t>2025-10-17</t>
  </si>
  <si>
    <t>2025-10-17T14:27:40</t>
  </si>
  <si>
    <t>2025-10-17T14:27:54</t>
  </si>
  <si>
    <t>2025-10-20</t>
  </si>
  <si>
    <t>2025-10-20T09:00:03</t>
  </si>
  <si>
    <t>ETERNAL</t>
  </si>
  <si>
    <t>INE758T01015</t>
  </si>
  <si>
    <t>2025-10-21</t>
  </si>
  <si>
    <t>2025-10-21T14:13:25</t>
  </si>
  <si>
    <t>2025-10-21T14:42:11</t>
  </si>
  <si>
    <t>2025-10-24</t>
  </si>
  <si>
    <t>2025-10-24T12:58:42</t>
  </si>
  <si>
    <t>2025-10-27</t>
  </si>
  <si>
    <t>2025-10-27T09:15:24</t>
  </si>
  <si>
    <t>2025-10-27T14:53:01</t>
  </si>
  <si>
    <t>INE177H01039</t>
  </si>
  <si>
    <t>2025-10-27T14:56:38</t>
  </si>
  <si>
    <t>2025-10-31</t>
  </si>
  <si>
    <t>2025-10-31T15:14:31</t>
  </si>
  <si>
    <t>HINDPETRO</t>
  </si>
  <si>
    <t>INE094A01015</t>
  </si>
  <si>
    <t>2025-11-03</t>
  </si>
  <si>
    <t>2025-11-03T14:37:07</t>
  </si>
  <si>
    <t>CHENNPETRO</t>
  </si>
  <si>
    <t>INE178A01016</t>
  </si>
  <si>
    <t>2025-11-03T14:37:50</t>
  </si>
  <si>
    <t>BPCL</t>
  </si>
  <si>
    <t>INE029A01011</t>
  </si>
  <si>
    <t>2025-11-03T14:38:30</t>
  </si>
  <si>
    <t>IOC</t>
  </si>
  <si>
    <t>INE242A01010</t>
  </si>
  <si>
    <t>2025-11-03T14:38:57</t>
  </si>
  <si>
    <t>SBIN</t>
  </si>
  <si>
    <t>INE062A01020</t>
  </si>
  <si>
    <t>2025-11-03T14:39:52</t>
  </si>
  <si>
    <t>BANKBARODA</t>
  </si>
  <si>
    <t>INE028A01039</t>
  </si>
  <si>
    <t>2025-11-03T14:40:15</t>
  </si>
  <si>
    <t>INE171A01029</t>
  </si>
  <si>
    <t>2025-11-03T14:41:00</t>
  </si>
  <si>
    <t>2025-11-10</t>
  </si>
  <si>
    <t>2025-11-10T09:26:54</t>
  </si>
  <si>
    <t>2025-11-11</t>
  </si>
  <si>
    <t>2025-11-11T13:34:21</t>
  </si>
  <si>
    <t>2025-11-11T13:35:27</t>
  </si>
  <si>
    <t>2025-11-13</t>
  </si>
  <si>
    <t>2025-11-13T10:59:29</t>
  </si>
  <si>
    <t>2025-11-14</t>
  </si>
  <si>
    <t>2025-11-14T15:19:43</t>
  </si>
  <si>
    <t>BHARATFORG</t>
  </si>
  <si>
    <t>2025-11-17</t>
  </si>
  <si>
    <t>2025-11-17T11:53:38</t>
  </si>
  <si>
    <t>TVSSRICHAK</t>
  </si>
  <si>
    <t>2025-11-17T12:03:55</t>
  </si>
  <si>
    <t>INE421C01016</t>
  </si>
  <si>
    <t>2025-11-21</t>
  </si>
  <si>
    <t>2025-11-21T14:27:21</t>
  </si>
  <si>
    <t>2025-11-21T14:28:03</t>
  </si>
  <si>
    <t>2025-11-28</t>
  </si>
  <si>
    <t>2025-11-28T14:55:57</t>
  </si>
  <si>
    <t>GMRAIRPORT</t>
  </si>
  <si>
    <t>INE776C01039</t>
  </si>
  <si>
    <t>2025-11-28T14:58:37</t>
  </si>
  <si>
    <t>BSOFT</t>
  </si>
  <si>
    <t>INE836A01035</t>
  </si>
  <si>
    <t>2025-12-08</t>
  </si>
  <si>
    <t>2025-12-08T14:24:37</t>
  </si>
  <si>
    <t>INE118H01025</t>
  </si>
  <si>
    <t>2025-12-08T14:25:48</t>
  </si>
  <si>
    <t>JKTYRE</t>
  </si>
  <si>
    <t>INE573A01042</t>
  </si>
  <si>
    <t>2025-12-22</t>
  </si>
  <si>
    <t>2025-12-22T10:04:41</t>
  </si>
  <si>
    <t>2025-12-22T10:38:47</t>
  </si>
  <si>
    <t>KIRLOSENG</t>
  </si>
  <si>
    <t>INE146L01010</t>
  </si>
  <si>
    <t>2025-12-23</t>
  </si>
  <si>
    <t>2025-12-23T10:32:12</t>
  </si>
  <si>
    <t>2025-12-30</t>
  </si>
  <si>
    <t>2025-12-30T10:09:53</t>
  </si>
  <si>
    <t>2026-01-02</t>
  </si>
  <si>
    <t>2026-01-02T14:57:40</t>
  </si>
  <si>
    <t>INE584A01023</t>
  </si>
  <si>
    <t>2026-01-02T14:58:35</t>
  </si>
  <si>
    <t>INE036B01030</t>
  </si>
  <si>
    <t>2026-01-02T15:08:42</t>
  </si>
  <si>
    <t>INE509F01029</t>
  </si>
  <si>
    <t>2026-01-05</t>
  </si>
  <si>
    <t>2026-01-05T12:26:28</t>
  </si>
  <si>
    <t>2026-01-05T13:16:53</t>
  </si>
  <si>
    <t>2026-01-05T13:37:39</t>
  </si>
  <si>
    <t>2026-01-05T15:02:07</t>
  </si>
  <si>
    <t>2026-01-05T15:03:01</t>
  </si>
  <si>
    <t>INE031B01049</t>
  </si>
  <si>
    <t>2026-01-05T15:04:11</t>
  </si>
  <si>
    <t>2026-01-06</t>
  </si>
  <si>
    <t>2026-01-06T09:20:12</t>
  </si>
  <si>
    <t>2026-01-16</t>
  </si>
  <si>
    <t>2026-01-16T13:10:12</t>
  </si>
  <si>
    <t>2026-01-16T13:52:00</t>
  </si>
  <si>
    <t>B</t>
  </si>
  <si>
    <t>2026-01-16T14:35:07</t>
  </si>
  <si>
    <t>SOUTHBANK</t>
  </si>
  <si>
    <t>INE683A01023</t>
  </si>
  <si>
    <t>2026-01-16T14:45:38</t>
  </si>
  <si>
    <t>PNB</t>
  </si>
  <si>
    <t>INE160A01022</t>
  </si>
  <si>
    <t>2026-01-16T14:47:54</t>
  </si>
  <si>
    <t>BANKINDIA</t>
  </si>
  <si>
    <t>INE084A01016</t>
  </si>
  <si>
    <t>2026-01-16T14:48:01</t>
  </si>
  <si>
    <t>MAHABANK</t>
  </si>
  <si>
    <t>INE457A01014</t>
  </si>
  <si>
    <t>2026-01-16T14:48:13</t>
  </si>
  <si>
    <t>2026-01-16T15:03:27</t>
  </si>
  <si>
    <t>2026-01-16T15:06:29</t>
  </si>
  <si>
    <t>2026-01-16T15:07:23</t>
  </si>
  <si>
    <t>2026-01-19</t>
  </si>
  <si>
    <t>2026-01-19T15:02:09</t>
  </si>
  <si>
    <t>2026-01-19T15:02:46</t>
  </si>
  <si>
    <t>2026-01-19T15:13:22</t>
  </si>
  <si>
    <t>2026-01-27</t>
  </si>
  <si>
    <t>2026-01-27T12:05:51</t>
  </si>
  <si>
    <t>2026-01-27T12:06:38</t>
  </si>
  <si>
    <t>2026-01-30</t>
  </si>
  <si>
    <t>2026-01-30T14:07:47</t>
  </si>
  <si>
    <t>2026-01-30T15:03:50</t>
  </si>
  <si>
    <t>BEL</t>
  </si>
  <si>
    <t>INE263A01024</t>
  </si>
  <si>
    <t>2026-01-30T15:05:10</t>
  </si>
  <si>
    <t>SEAMECLTD</t>
  </si>
  <si>
    <t>INE497B01018</t>
  </si>
  <si>
    <t>2026-01-30T15:11:39</t>
  </si>
  <si>
    <t>2026-01-30T15:15:06</t>
  </si>
  <si>
    <t>2026-01-30T15:17:25</t>
  </si>
  <si>
    <t>2026-02-02</t>
  </si>
  <si>
    <t>2026-02-02T09:16:02</t>
  </si>
  <si>
    <t>2026-02-02T09:20:16</t>
  </si>
  <si>
    <t>2026-02-02T11:20:59</t>
  </si>
  <si>
    <t>2026-02-02T12:07:44</t>
  </si>
  <si>
    <t>2026-02-02T12:08:58</t>
  </si>
  <si>
    <t>INE465A01025</t>
  </si>
  <si>
    <t>2026-02-02T13:47:52</t>
  </si>
  <si>
    <t>2026-02-06</t>
  </si>
  <si>
    <t>2026-02-06T15:05:00</t>
  </si>
  <si>
    <t>INE702C01027</t>
  </si>
  <si>
    <t>2026-02-09</t>
  </si>
  <si>
    <t>2026-02-09T15:07:12</t>
  </si>
  <si>
    <t>INE419M01027</t>
  </si>
  <si>
    <t>2026-02-12</t>
  </si>
  <si>
    <t>2026-02-12T13:37:04</t>
  </si>
  <si>
    <t>2026-02-12T13:37:37</t>
  </si>
  <si>
    <t>RAJRATAN</t>
  </si>
  <si>
    <t>INE451D01029</t>
  </si>
  <si>
    <t>2026-02-12T13:37:49</t>
  </si>
  <si>
    <t>2026-02-12T15:00:09</t>
  </si>
  <si>
    <t>2026-02-13</t>
  </si>
  <si>
    <t>2026-02-13T15:13:06</t>
  </si>
  <si>
    <t>2026-02-20</t>
  </si>
  <si>
    <t>2026-02-20T14:54:17</t>
  </si>
  <si>
    <t>2026-02-20T14:55:29</t>
  </si>
  <si>
    <t>2026-02-20T14:57:35</t>
  </si>
  <si>
    <t>TARIL</t>
  </si>
  <si>
    <t>INE763I01026</t>
  </si>
  <si>
    <t>2026-02-20T15:09:31</t>
  </si>
  <si>
    <t>2026-02-27</t>
  </si>
  <si>
    <t>2026-02-27T14:12:27</t>
  </si>
  <si>
    <t>2026-02-27T14:16:17</t>
  </si>
  <si>
    <t>2026-02-27T14:24:28</t>
  </si>
  <si>
    <t>2026-02-27T15:13:26</t>
  </si>
  <si>
    <t>2026-03-02</t>
  </si>
  <si>
    <t>2026-03-02T09:00:08</t>
  </si>
  <si>
    <t>2026-03-06</t>
  </si>
  <si>
    <t>2026-03-06T15:06:07</t>
  </si>
  <si>
    <t>MRPL</t>
  </si>
  <si>
    <t>INE103A01014</t>
  </si>
  <si>
    <t>2026-03-06T15:29:10</t>
  </si>
  <si>
    <t>2026-03-09</t>
  </si>
  <si>
    <t>2026-03-09T15:08:32</t>
  </si>
  <si>
    <t>NIFTYBEES</t>
  </si>
  <si>
    <t>INF204KB14I2</t>
  </si>
  <si>
    <t>2026-03-09T15:10:00</t>
  </si>
  <si>
    <t>2026-03-09T15:18:40</t>
  </si>
  <si>
    <t>CCL</t>
  </si>
  <si>
    <t>INE421D01022</t>
  </si>
  <si>
    <t>2026-03-09T15:22:29</t>
  </si>
  <si>
    <t>GVT&amp;D</t>
  </si>
  <si>
    <t>INE200A01026</t>
  </si>
  <si>
    <t>2026-03-09T15:26:29</t>
  </si>
  <si>
    <t>2026-03-18</t>
  </si>
  <si>
    <t>2026-03-18T10:02:29</t>
  </si>
  <si>
    <t>2026-03-20</t>
  </si>
  <si>
    <t>2026-03-20T14:34:29</t>
  </si>
  <si>
    <t>2026-03-20T14:37:00</t>
  </si>
  <si>
    <t>2026-03-20T14:37:36</t>
  </si>
  <si>
    <t>2026-03-20T14:44:09</t>
  </si>
  <si>
    <t>SOLARINDS</t>
  </si>
  <si>
    <t>INE343H01029</t>
  </si>
  <si>
    <t>2026-03-20T14:47:54</t>
  </si>
  <si>
    <t>2026-03-20T15:22:03</t>
  </si>
  <si>
    <t>MAZDOCK</t>
  </si>
  <si>
    <t>INE249Z01020</t>
  </si>
  <si>
    <t>2026-04-27</t>
  </si>
  <si>
    <t>2026-04-27T14:56:01</t>
  </si>
  <si>
    <t>INE386C01029</t>
  </si>
  <si>
    <t>2026-04-27T14:56:23</t>
  </si>
  <si>
    <t>2026-05-04</t>
  </si>
  <si>
    <t>2026-05-04T14:57:16</t>
  </si>
  <si>
    <t>2026-05-04T14:58:14</t>
  </si>
  <si>
    <t>INE063E01053</t>
  </si>
  <si>
    <t>2026-05-04T15:00:15</t>
  </si>
  <si>
    <t>INE713T01028</t>
  </si>
  <si>
    <t>2026-05-04T15:00:40</t>
  </si>
  <si>
    <t>VOLTAMP</t>
  </si>
  <si>
    <t>INE540H01012</t>
  </si>
  <si>
    <t>2026-05-05</t>
  </si>
  <si>
    <t>2026-05-05T13:54:18</t>
  </si>
  <si>
    <t>2026-05-06</t>
  </si>
  <si>
    <t>2026-05-06T09:18:16</t>
  </si>
  <si>
    <t>2026-05-06T09:34:29</t>
  </si>
  <si>
    <t>2026-05-06T09:38:07</t>
  </si>
  <si>
    <t>2026-05-08</t>
  </si>
  <si>
    <t>2026-05-08T14:53:19</t>
  </si>
  <si>
    <t>2026-05-08T14:55:01</t>
  </si>
  <si>
    <t>2026-05-08T14:56:21</t>
  </si>
  <si>
    <t>2026-05-06T09:43:13</t>
  </si>
  <si>
    <t>2026-05-15</t>
  </si>
  <si>
    <t>2026-05-15T13:23:52</t>
  </si>
  <si>
    <t>2026-05-15T13:32:35</t>
  </si>
  <si>
    <t>2026-05-15T13:33:48</t>
  </si>
  <si>
    <t>2026-05-15T13:34:47</t>
  </si>
  <si>
    <t>2026-05-15T13:35:53</t>
  </si>
  <si>
    <t>2026-05-15T13:35:59</t>
  </si>
  <si>
    <t>2026-05-15T14:04:50</t>
  </si>
  <si>
    <t>INE947Q01028</t>
  </si>
  <si>
    <t>2026-05-15T15:04:11</t>
  </si>
  <si>
    <t>INE423A01024</t>
  </si>
  <si>
    <t>2026-05-15T15:06:02</t>
  </si>
  <si>
    <t>ACUTAAS</t>
  </si>
  <si>
    <t>INE00FF01025</t>
  </si>
  <si>
    <t>2026-05-15T15:21:39</t>
  </si>
  <si>
    <t>INE101A01026</t>
  </si>
  <si>
    <t>2026-05-15T15:22:04</t>
  </si>
  <si>
    <t>INE406A01037</t>
  </si>
  <si>
    <t>2026-05-18</t>
  </si>
  <si>
    <t>2026-05-18T14:02:54</t>
  </si>
  <si>
    <t>INE050E01027</t>
  </si>
  <si>
    <t>2026-05-18T14:03:13</t>
  </si>
  <si>
    <t>2026-05-18T14:04:56</t>
  </si>
  <si>
    <t>2026-05-18T14:30:58</t>
  </si>
  <si>
    <t>INE044A01036</t>
  </si>
  <si>
    <t>2026-05-18T14:31:39</t>
  </si>
  <si>
    <t>INE142M01025</t>
  </si>
  <si>
    <t>2026-05-19</t>
  </si>
  <si>
    <t>2026-05-19T15:18:13</t>
  </si>
  <si>
    <t>2026-05-20</t>
  </si>
  <si>
    <t>2026-05-20T10:11:52</t>
  </si>
  <si>
    <t>2026-05-20T10:13:15</t>
  </si>
  <si>
    <t>2026-05-20T10:13:22</t>
  </si>
  <si>
    <t>2026-05-22</t>
  </si>
  <si>
    <t>2026-05-22T14:53:53</t>
  </si>
  <si>
    <t>2026-05-22T14:54:36</t>
  </si>
  <si>
    <t>INE916U01025</t>
  </si>
  <si>
    <t>2026-05-22T15:04:15</t>
  </si>
  <si>
    <t>2026-05-22T15:10:58</t>
  </si>
  <si>
    <t>INE349A01021</t>
  </si>
  <si>
    <t>2026-05-22T15:25:21</t>
  </si>
  <si>
    <t>2026-05-25</t>
  </si>
  <si>
    <t>2026-05-25T14:40:02</t>
  </si>
  <si>
    <t>2026-05-26</t>
  </si>
  <si>
    <t>2026-05-26T10:12:23</t>
  </si>
  <si>
    <t>Total_Quantity</t>
  </si>
  <si>
    <t>Average_Price</t>
  </si>
  <si>
    <t>Total_Value</t>
  </si>
  <si>
    <t>Tranches/Cheat</t>
  </si>
  <si>
    <t>N/A</t>
  </si>
  <si>
    <t>Cap</t>
  </si>
  <si>
    <t>TF_Sector</t>
  </si>
  <si>
    <t>TF_Classification</t>
  </si>
  <si>
    <t>Latest_Tranche</t>
  </si>
  <si>
    <t>Current_Quantity</t>
  </si>
  <si>
    <t>Average_Buy_Price</t>
  </si>
  <si>
    <t>LTP_SL_Diff</t>
  </si>
  <si>
    <t>LTP_SL_Diff_Pct</t>
  </si>
  <si>
    <t>Invested_Value</t>
  </si>
  <si>
    <t>Prev_Day_Close</t>
  </si>
  <si>
    <t>Prev_Week_Close</t>
  </si>
  <si>
    <t>EMA9</t>
  </si>
  <si>
    <t>EMA10</t>
  </si>
  <si>
    <t>EMA11</t>
  </si>
  <si>
    <t>EMA21</t>
  </si>
  <si>
    <t>Current_Value</t>
  </si>
  <si>
    <t>Unrealized_PnL</t>
  </si>
  <si>
    <t>Return_Pct</t>
  </si>
  <si>
    <t>Holding_Period</t>
  </si>
  <si>
    <t>Split_Info</t>
  </si>
  <si>
    <t>Adj_Required</t>
  </si>
  <si>
    <t>Date</t>
  </si>
  <si>
    <t>Stock</t>
  </si>
  <si>
    <t>Color</t>
  </si>
  <si>
    <t>Company Name</t>
  </si>
  <si>
    <t xml:space="preserve">Previous Close </t>
  </si>
  <si>
    <t>Previous week Close</t>
  </si>
  <si>
    <t>EMA 9 (weekly)</t>
  </si>
  <si>
    <t>EMA 11 (weekly)</t>
  </si>
  <si>
    <t>EMA 21 (weekly)</t>
  </si>
  <si>
    <t>Colors</t>
  </si>
  <si>
    <t>Occurrences</t>
  </si>
  <si>
    <t>📈 Blue &amp; Green Stocks (24-05-2026) - Higher than Prev Day &amp; Week Close</t>
  </si>
  <si>
    <t>Blue</t>
  </si>
  <si>
    <t>ADANIPORTS</t>
  </si>
  <si>
    <t>Orange</t>
  </si>
  <si>
    <t>Prev Day Close</t>
  </si>
  <si>
    <t>Diff vs Prev Day (%)</t>
  </si>
  <si>
    <t>Diff vs Prev Week (%)</t>
  </si>
  <si>
    <t>Blue, Green</t>
  </si>
  <si>
    <t>HFCL</t>
  </si>
  <si>
    <t>₹ 169.14</t>
  </si>
  <si>
    <t>₹ 161.80</t>
  </si>
  <si>
    <t>₹ 148.21</t>
  </si>
  <si>
    <t>OIL</t>
  </si>
  <si>
    <t>APOLLOPIPE</t>
  </si>
  <si>
    <t>TRITURBINE</t>
  </si>
  <si>
    <t>₹ 716.90</t>
  </si>
  <si>
    <t>₹ 690.45</t>
  </si>
  <si>
    <t>₹ 706.95</t>
  </si>
  <si>
    <t>GRINDWELL</t>
  </si>
  <si>
    <t>Green</t>
  </si>
  <si>
    <t>ZYDUSLIFE</t>
  </si>
  <si>
    <t>₹ 1,088.60</t>
  </si>
  <si>
    <t>₹ 1,079.05</t>
  </si>
  <si>
    <t>₹ 1,038.95</t>
  </si>
  <si>
    <t>ONGC</t>
  </si>
  <si>
    <t>ATHERENERG</t>
  </si>
  <si>
    <t>₹ 735.35</t>
  </si>
  <si>
    <t>₹ 725.55</t>
  </si>
  <si>
    <t>₹ 595.50</t>
  </si>
  <si>
    <t>CARBORUNIV</t>
  </si>
  <si>
    <t>₹ 710.05</t>
  </si>
  <si>
    <t>₹ 691.25</t>
  </si>
  <si>
    <t>₹ 622.50</t>
  </si>
  <si>
    <t>AVANTIFEED</t>
  </si>
  <si>
    <t>Red</t>
  </si>
  <si>
    <t>RATEGAIN</t>
  </si>
  <si>
    <t>₹ 735.50</t>
  </si>
  <si>
    <t>₹ 730.50</t>
  </si>
  <si>
    <t>₹ 714.45</t>
  </si>
  <si>
    <t>HINDCOPPER</t>
  </si>
  <si>
    <t>BAJAJCON</t>
  </si>
  <si>
    <t>Green, Red</t>
  </si>
  <si>
    <t>SUPRIYA</t>
  </si>
  <si>
    <t>₹ 809.40</t>
  </si>
  <si>
    <t>₹ 780.95</t>
  </si>
  <si>
    <t>₹ 774.10</t>
  </si>
  <si>
    <t>AARTIIND</t>
  </si>
  <si>
    <t>₹ 497.20</t>
  </si>
  <si>
    <t>₹ 491.00</t>
  </si>
  <si>
    <t>₹ 476.20</t>
  </si>
  <si>
    <t>BBOX</t>
  </si>
  <si>
    <t>JSWENERGY</t>
  </si>
  <si>
    <t>₹ 603.45</t>
  </si>
  <si>
    <t>₹ 576.00</t>
  </si>
  <si>
    <t>₹ 551.25</t>
  </si>
  <si>
    <t>DEEPAKNTR</t>
  </si>
  <si>
    <t>CAPLIPOINT</t>
  </si>
  <si>
    <t>₹ 2,046.00</t>
  </si>
  <si>
    <t>₹ 2,035.80</t>
  </si>
  <si>
    <t>₹ 2,028.00</t>
  </si>
  <si>
    <t>BIOCON</t>
  </si>
  <si>
    <t>THERMAX</t>
  </si>
  <si>
    <t>₹ 4,545.50</t>
  </si>
  <si>
    <t>₹ 4,435.80</t>
  </si>
  <si>
    <t>₹ 4,454.60</t>
  </si>
  <si>
    <t>KTKBANK</t>
  </si>
  <si>
    <t>₹ 270.85</t>
  </si>
  <si>
    <t>₹ 267.55</t>
  </si>
  <si>
    <t>₹ 264.50</t>
  </si>
  <si>
    <t>CARERATING</t>
  </si>
  <si>
    <t>ADANIENSOL</t>
  </si>
  <si>
    <t>₹ 1,529.80</t>
  </si>
  <si>
    <t>₹ 1,463.30</t>
  </si>
  <si>
    <t>₹ 1,367.90</t>
  </si>
  <si>
    <t>ALKYLAMINE</t>
  </si>
  <si>
    <t>COALINDIA</t>
  </si>
  <si>
    <t>₹ 385.75</t>
  </si>
  <si>
    <t>₹ 384.60</t>
  </si>
  <si>
    <t>₹ 373.90</t>
  </si>
  <si>
    <t>₹ 5,026.70</t>
  </si>
  <si>
    <t>₹ 4,848.30</t>
  </si>
  <si>
    <t>₹ 4,849.50</t>
  </si>
  <si>
    <t>MCLEODRUSS</t>
  </si>
  <si>
    <t>GESHIP</t>
  </si>
  <si>
    <t>₹ 422.30</t>
  </si>
  <si>
    <t>₹ 412.10</t>
  </si>
  <si>
    <t>₹ 355.05</t>
  </si>
  <si>
    <t>NGLFINE</t>
  </si>
  <si>
    <t>₹ 2,843.90</t>
  </si>
  <si>
    <t>₹ 2,819.80</t>
  </si>
  <si>
    <t>₹ 2,735.80</t>
  </si>
  <si>
    <t>GRSE</t>
  </si>
  <si>
    <t>DSSL</t>
  </si>
  <si>
    <t>₹ 1,816.40</t>
  </si>
  <si>
    <t>₹ 1,731.50</t>
  </si>
  <si>
    <t>₹ 1,734.40</t>
  </si>
  <si>
    <t>MENONBE</t>
  </si>
  <si>
    <t>₹ 917.00</t>
  </si>
  <si>
    <t>₹ 879.15</t>
  </si>
  <si>
    <t>₹ 865.70</t>
  </si>
  <si>
    <t>₹ 1,379.00</t>
  </si>
  <si>
    <t>₹ 1,357.00</t>
  </si>
  <si>
    <t>₹ 1,174.90</t>
  </si>
  <si>
    <t>MEDANTA</t>
  </si>
  <si>
    <t>MAYURUNIQ</t>
  </si>
  <si>
    <t>₹ 766.45</t>
  </si>
  <si>
    <t>₹ 746.55</t>
  </si>
  <si>
    <t>₹ 704.90</t>
  </si>
  <si>
    <t>MANKIND</t>
  </si>
  <si>
    <t>MCX</t>
  </si>
  <si>
    <t>ANGELONE</t>
  </si>
  <si>
    <t>₹ 345.90</t>
  </si>
  <si>
    <t>₹ 344.45</t>
  </si>
  <si>
    <t>₹ 339.35</t>
  </si>
  <si>
    <t>IPCALAB</t>
  </si>
  <si>
    <t>MTARTECH</t>
  </si>
  <si>
    <t>NETWEB</t>
  </si>
  <si>
    <t>₹ 3,988.10</t>
  </si>
  <si>
    <t>₹ 3,851.70</t>
  </si>
  <si>
    <t>₹ 3,851.30</t>
  </si>
  <si>
    <t>NLCINDIA</t>
  </si>
  <si>
    <t>NATIONALUM</t>
  </si>
  <si>
    <t>₹ 92.37</t>
  </si>
  <si>
    <t>₹ 90.67</t>
  </si>
  <si>
    <t>₹ 87.85</t>
  </si>
  <si>
    <t>TIPSMUSIC</t>
  </si>
  <si>
    <t>MOLDTKPAC</t>
  </si>
  <si>
    <t>SOLARA</t>
  </si>
  <si>
    <t>ARTEMISMED</t>
  </si>
  <si>
    <t>SAKAR</t>
  </si>
  <si>
    <t>SATIN</t>
  </si>
  <si>
    <t>PRICOLLTD</t>
  </si>
  <si>
    <t>SHAILY</t>
  </si>
  <si>
    <t>ZENTEC</t>
  </si>
  <si>
    <t>SHILPAMED</t>
  </si>
  <si>
    <t>KR</t>
  </si>
  <si>
    <t>Green, Orange</t>
  </si>
  <si>
    <t>SOUTHWEST</t>
  </si>
  <si>
    <t>WHEELS</t>
  </si>
  <si>
    <t>VEDL</t>
  </si>
  <si>
    <t>CUMMINSIND</t>
  </si>
  <si>
    <t>MANINDS</t>
  </si>
  <si>
    <t>VIJAYA</t>
  </si>
  <si>
    <t>RADICO</t>
  </si>
  <si>
    <t>KEI</t>
  </si>
  <si>
    <t>ANANDRATHI</t>
  </si>
  <si>
    <t>KRISHANA</t>
  </si>
  <si>
    <t>ATLANTAELE</t>
  </si>
  <si>
    <t>KRN</t>
  </si>
  <si>
    <t>AZAD</t>
  </si>
  <si>
    <t>SMSPHARMA</t>
  </si>
  <si>
    <t>NAVINFLUOR</t>
  </si>
  <si>
    <t>GRAPHITE</t>
  </si>
  <si>
    <t>ASTERDM</t>
  </si>
  <si>
    <t>GRWRHITECH</t>
  </si>
  <si>
    <t>NYKAA</t>
  </si>
  <si>
    <t>ANURAS</t>
  </si>
  <si>
    <t>HSCL</t>
  </si>
  <si>
    <t>DIACABS</t>
  </si>
  <si>
    <t>KSCL</t>
  </si>
  <si>
    <t>SCHAEFFLER</t>
  </si>
  <si>
    <t>AVALON</t>
  </si>
  <si>
    <t>UNIONBANK</t>
  </si>
  <si>
    <t>COCHINSHIP</t>
  </si>
  <si>
    <t>RRKABEL</t>
  </si>
  <si>
    <t>HDFCBANK</t>
  </si>
  <si>
    <t>CPPLUS</t>
  </si>
  <si>
    <t>NIBE</t>
  </si>
  <si>
    <t>VBL</t>
  </si>
  <si>
    <t>GLAND</t>
  </si>
  <si>
    <t>SANGHVIMOV</t>
  </si>
  <si>
    <t>JINDRILL</t>
  </si>
  <si>
    <t>TIMKEN</t>
  </si>
  <si>
    <t>SUVEN</t>
  </si>
  <si>
    <t>DEEPAKFERT</t>
  </si>
  <si>
    <t>APOLLOHOSP</t>
  </si>
  <si>
    <t>POWERINDIA</t>
  </si>
  <si>
    <t>DATAPATTNS</t>
  </si>
  <si>
    <t>APARINDS</t>
  </si>
  <si>
    <t>SANSERA</t>
  </si>
  <si>
    <t>SAIL</t>
  </si>
  <si>
    <t>GOODLUCK</t>
  </si>
  <si>
    <t>SCHNEIDER</t>
  </si>
  <si>
    <t>BHEL</t>
  </si>
  <si>
    <t>GVPIL</t>
  </si>
  <si>
    <t>GRASIM</t>
  </si>
  <si>
    <t>TALBROAUTO</t>
  </si>
  <si>
    <t>CARYSIL</t>
  </si>
  <si>
    <t>PARAS</t>
  </si>
  <si>
    <t>MFSL</t>
  </si>
  <si>
    <t>BALRAMCHIN</t>
  </si>
  <si>
    <t>PANAMAPET</t>
  </si>
  <si>
    <t>MANALIPETC</t>
  </si>
  <si>
    <t>NARMADA</t>
  </si>
  <si>
    <t>Total_Buy_Quantity</t>
  </si>
  <si>
    <t>Total_Buy_Value</t>
  </si>
  <si>
    <t>Total_Sell_Quantity</t>
  </si>
  <si>
    <t>Total_Sell_Value</t>
  </si>
  <si>
    <t>Average_Sell_Price</t>
  </si>
  <si>
    <t>Realized_PnL</t>
  </si>
  <si>
    <t>Total_PnL</t>
  </si>
  <si>
    <t>Total_PnL_Percentage</t>
  </si>
  <si>
    <t>Buy Price</t>
  </si>
  <si>
    <t>P/L</t>
  </si>
  <si>
    <t>1 Day Change %</t>
  </si>
  <si>
    <t xml:space="preserve">SL Price </t>
  </si>
  <si>
    <t>SL-LTP Diff</t>
  </si>
  <si>
    <t>S.No</t>
  </si>
  <si>
    <t>Details</t>
  </si>
  <si>
    <t>Bug/Change</t>
  </si>
  <si>
    <t>Status</t>
  </si>
  <si>
    <t xml:space="preserve">Bring core - Watchlist </t>
  </si>
  <si>
    <t>Change</t>
  </si>
  <si>
    <t>Not Done</t>
  </si>
  <si>
    <t>Transaction page - Seggregate core and satellite</t>
  </si>
  <si>
    <t xml:space="preserve">Dashboard - Formatting for Core &amp; Satellite % </t>
  </si>
  <si>
    <t>Bug</t>
  </si>
  <si>
    <t xml:space="preserve">Dashboard - Report separately Core &amp; Satellite </t>
  </si>
  <si>
    <t xml:space="preserve">Current_portfoli - Return % &amp; XIRR % format change to % </t>
  </si>
  <si>
    <t xml:space="preserve">Dashboard - No need to have Core stop loss </t>
  </si>
  <si>
    <t xml:space="preserve">Core stocks - SL calculation not required </t>
  </si>
  <si>
    <t>Ridewinners Data - For Friday analysis</t>
  </si>
  <si>
    <t xml:space="preserve">Bring Win - Loss ration in Dashboard </t>
  </si>
  <si>
    <t xml:space="preserve">Bring Risk Reward Ratio in Dashboard </t>
  </si>
  <si>
    <t xml:space="preserve">Journal feature for transaction </t>
  </si>
  <si>
    <t>Current Portfolio - Graphical represenation of stocks trend by introducing a column</t>
  </si>
  <si>
    <t xml:space="preserve">Dashboard - coroproate split - remove realized stock </t>
  </si>
  <si>
    <t>Chron job - to update everything once in a day</t>
  </si>
  <si>
    <t>In tht Dashboard - Top 10 movers from watchlist is not getting dynamic LTP</t>
  </si>
  <si>
    <t>Top 5 cheat stocks holding period , needs to check the days for sold and bougtht again</t>
  </si>
  <si>
    <t>Top 5 Gainers / Bottom 5 Losers (Satellite)</t>
  </si>
  <si>
    <t>Top 5 Gainers / Bottom 5 Losers (Core)</t>
  </si>
  <si>
    <t>PnL Breakdown by Cap</t>
  </si>
  <si>
    <t>Total PnL</t>
  </si>
  <si>
    <t>Previous Day Close</t>
  </si>
  <si>
    <t>Trading Performance</t>
  </si>
  <si>
    <t>Realized (Closed)</t>
  </si>
  <si>
    <t>Unrealized (Open)</t>
  </si>
  <si>
    <t>Winning Trades</t>
  </si>
  <si>
    <t>Losing Trades</t>
  </si>
  <si>
    <t>Win / Loss Ratio</t>
  </si>
  <si>
    <t>Avg Win (₹)</t>
  </si>
  <si>
    <t>Avg Loss (₹)</t>
  </si>
  <si>
    <t>Risk / Reward Ratio</t>
  </si>
  <si>
    <t>Trend</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</si>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</sst>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44D]\ * #,##0.00_ ;_ [$₹-44D]\ * \-#,##0.00_ ;_ [$₹-44D]\ * &quot;-&quot;??_ ;_ @_ "/>
    <numFmt numFmtId="165" formatCode="0.0%"/>
    <numFmt numFmtId="166" formatCode="[$₹-4009]\ #,##0.00"/>
  </numFmts>
  <fonts count="18">
    <font>
      <sz val="11"/>
      <color theme="1"/>
      <name val="Calibri"/>
      <family val="2"/>
      <scheme val="minor"/>
    </font>
    <font>
      <b/>
      <sz val="11"/>
      <name val="Calibri"/>
    </font>
    <font>
      <sz val="11"/>
      <name val="Calibri"/>
    </font>
    <font>
      <sz val="11"/>
      <color rgb="FF1F1F1F"/>
      <name val="Google Sans Text"/>
      <family val="2"/>
      <charset val="1"/>
    </font>
    <font>
      <b/>
      <sz val="11"/>
      <color rgb="FFA93226"/>
      <name val="Calibri"/>
    </font>
    <font>
      <b/>
      <sz val="11"/>
      <color rgb="FF1F4E78"/>
      <name val="Calibri"/>
    </font>
    <font>
      <b/>
      <sz val="11"/>
      <color rgb="FF375623"/>
      <name val="Calibri"/>
    </font>
    <font>
      <b/>
      <sz val="11"/>
      <color rgb="FFC65911"/>
      <name val="Calibri"/>
    </font>
    <font>
      <b/>
      <sz val="11"/>
      <color rgb="FFFFFFFF"/>
      <name val="Calibri"/>
    </font>
    <font>
      <b/>
      <sz val="18"/>
      <color rgb="FF2F5496"/>
      <name val="Calibri"/>
    </font>
    <font>
      <b/>
      <i/>
      <sz val="12"/>
      <color rgb="FF595959"/>
      <name val="Calibri"/>
    </font>
    <font>
      <b/>
      <sz val="12"/>
      <color rgb="FF2F5496"/>
      <name val="Calibri"/>
    </font>
    <font>
      <b/>
      <sz val="11"/>
      <color rgb="FF147A1E"/>
      <name val="Calibri"/>
    </font>
    <font>
      <b/>
      <sz val="11"/>
      <color rgb="FFC00000"/>
      <name val="Calibri"/>
    </font>
    <font>
      <sz val="11"/>
      <color rgb="FF1F1F1F"/>
      <name val="Google Sans Text"/>
      <charset val="1"/>
    </font>
    <font>
      <b/>
      <sz val="11"/>
      <color rgb="FF8B0000"/>
      <name val="Calibri"/>
    </font>
    <font>
      <b/>
      <sz val="11"/>
      <color theme="1"/>
      <name val="Calibri"/>
      <family val="2"/>
      <scheme val="minor"/>
    </font>
    <font>
      <b/>
      <sz val="11"/>
      <color rgb="FFFFFFFF"/>
      <name val="Calibri"/>
      <family val="2"/>
      <scheme val="minor"/>
    </font>
  </fonts>
  <fills count="12">
    <fill>
      <patternFill patternType="none"/>
    </fill>
    <fill>
      <patternFill patternType="gray125"/>
    </fill>
    <fill>
      <patternFill patternType="solid">
        <fgColor rgb="FFFADBD8"/>
        <bgColor rgb="FFFADBD8"/>
      </patternFill>
    </fill>
    <fill>
      <patternFill patternType="solid">
        <fgColor rgb="FFDDEBF7"/>
        <bgColor rgb="FFDDEBF7"/>
      </patternFill>
    </fill>
    <fill>
      <patternFill patternType="solid">
        <fgColor rgb="FFE2EFDA"/>
        <bgColor rgb="FFE2EFDA"/>
      </patternFill>
    </fill>
    <fill>
      <patternFill patternType="solid">
        <fgColor rgb="FFFCE4D6"/>
        <bgColor rgb="FFFCE4D6"/>
      </patternFill>
    </fill>
    <fill>
      <patternFill patternType="solid">
        <fgColor rgb="FF2F5496"/>
        <bgColor rgb="FF2F5496"/>
      </patternFill>
    </fill>
    <fill>
      <patternFill patternType="solid">
        <fgColor rgb="FFFFFF00"/>
        <bgColor indexed="64"/>
      </patternFill>
    </fill>
    <fill>
      <patternFill patternType="solid">
        <fgColor rgb="FF4472C4"/>
        <bgColor indexed="64"/>
      </patternFill>
    </fill>
    <fill>
      <patternFill patternType="solid">
        <fgColor rgb="FFD6DCE4"/>
        <bgColor indexed="64"/>
      </patternFill>
    </fill>
    <fill>
      <patternFill patternType="solid">
        <fgColor rgb="FFBDD7EE"/>
        <bgColor indexed="64"/>
      </patternFill>
    </fill>
    <fill>
      <patternFill patternType="solid">
        <fgColor rgb="FFC6EFCE"/>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1">
    <xf numFmtId="0" fontId="0" fillId="0" borderId="0"/>
  </cellStyleXfs>
  <cellXfs count="63">
    <xf numFmtId="0" fontId="0" fillId="0" borderId="0" xfId="0"/>
    <xf numFmtId="164" fontId="0" fillId="0" borderId="0" xfId="0" applyNumberFormat="1"/>
    <xf numFmtId="165" fontId="0" fillId="0" borderId="0" xfId="0" applyNumberFormat="1"/>
    <xf numFmtId="0" fontId="11" fillId="0" borderId="0" xfId="0" applyFont="1"/>
    <xf numFmtId="0" fontId="1" fillId="0" borderId="2" xfId="0" applyFont="1" applyBorder="1"/>
    <xf numFmtId="166" fontId="0" fillId="0" borderId="2" xfId="0" applyNumberFormat="1" applyBorder="1"/>
    <xf numFmtId="10" fontId="0" fillId="0" borderId="2" xfId="0" applyNumberFormat="1" applyBorder="1"/>
    <xf numFmtId="1" fontId="0" fillId="0" borderId="2" xfId="0" applyNumberFormat="1" applyBorder="1"/>
    <xf numFmtId="166" fontId="1" fillId="0" borderId="2" xfId="0" applyNumberFormat="1" applyFont="1" applyBorder="1"/>
    <xf numFmtId="10" fontId="1" fillId="0" borderId="2" xfId="0" applyNumberFormat="1" applyFont="1" applyBorder="1"/>
    <xf numFmtId="0" fontId="0" fillId="0" borderId="2" xfId="0" applyBorder="1"/>
    <xf numFmtId="0" fontId="2" fillId="0" borderId="2" xfId="0" applyFont="1" applyBorder="1"/>
    <xf numFmtId="1" fontId="2" fillId="0" borderId="2" xfId="0" applyNumberFormat="1" applyFont="1" applyBorder="1"/>
    <xf numFmtId="166" fontId="2" fillId="0" borderId="2" xfId="0" applyNumberFormat="1" applyFont="1" applyBorder="1"/>
    <xf numFmtId="0" fontId="0" fillId="0" borderId="1" xfId="0" applyBorder="1"/>
    <xf numFmtId="1" fontId="0" fillId="0" borderId="1" xfId="0" applyNumberFormat="1" applyBorder="1"/>
    <xf numFmtId="166" fontId="0" fillId="0" borderId="1" xfId="0" applyNumberFormat="1" applyBorder="1"/>
    <xf numFmtId="10" fontId="0" fillId="0" borderId="1" xfId="0" applyNumberFormat="1" applyBorder="1"/>
    <xf numFmtId="14" fontId="0" fillId="0" borderId="1" xfId="0" applyNumberFormat="1" applyBorder="1"/>
    <xf numFmtId="0" fontId="3" fillId="0" borderId="1" xfId="0" applyFont="1" applyBorder="1" applyAlignment="1">
      <alignment readingOrder="1"/>
    </xf>
    <xf numFmtId="164" fontId="0" fillId="0" borderId="1" xfId="0" applyNumberFormat="1" applyBorder="1"/>
    <xf numFmtId="0" fontId="8" fillId="6" borderId="1" xfId="0" applyFont="1" applyFill="1" applyBorder="1" applyAlignment="1">
      <alignment horizontal="center" vertical="center" wrapText="1"/>
    </xf>
    <xf numFmtId="0" fontId="4" fillId="2" borderId="1" xfId="0" applyFont="1" applyFill="1" applyBorder="1"/>
    <xf numFmtId="0" fontId="5" fillId="3" borderId="1" xfId="0" applyFont="1" applyFill="1" applyBorder="1"/>
    <xf numFmtId="0" fontId="6" fillId="4" borderId="1" xfId="0" applyFont="1" applyFill="1" applyBorder="1"/>
    <xf numFmtId="0" fontId="7" fillId="5" borderId="1" xfId="0" applyFont="1" applyFill="1" applyBorder="1"/>
    <xf numFmtId="0" fontId="8" fillId="6" borderId="2" xfId="0" applyFont="1" applyFill="1" applyBorder="1" applyAlignment="1">
      <alignment horizontal="center"/>
    </xf>
    <xf numFmtId="10" fontId="13" fillId="0" borderId="2" xfId="0" applyNumberFormat="1" applyFont="1" applyBorder="1"/>
    <xf numFmtId="10" fontId="12" fillId="0" borderId="2" xfId="0" applyNumberFormat="1" applyFont="1" applyBorder="1"/>
    <xf numFmtId="0" fontId="14" fillId="0" borderId="1" xfId="0" applyFont="1" applyBorder="1" applyAlignment="1">
      <alignment readingOrder="1"/>
    </xf>
    <xf numFmtId="0" fontId="15" fillId="0" borderId="1" xfId="0" applyFont="1" applyBorder="1"/>
    <xf numFmtId="0" fontId="15" fillId="0" borderId="2" xfId="0" applyFont="1" applyBorder="1"/>
    <xf numFmtId="0" fontId="6" fillId="4" borderId="2" xfId="0" applyFont="1" applyFill="1" applyBorder="1"/>
    <xf numFmtId="0" fontId="7" fillId="5" borderId="2" xfId="0" applyFont="1" applyFill="1" applyBorder="1"/>
    <xf numFmtId="0" fontId="5" fillId="3" borderId="2" xfId="0" applyFont="1" applyFill="1" applyBorder="1"/>
    <xf numFmtId="0" fontId="4" fillId="2" borderId="2" xfId="0" applyFont="1" applyFill="1" applyBorder="1"/>
    <xf numFmtId="0" fontId="0" fillId="0" borderId="1" xfId="0" applyBorder="1" applyAlignment="1">
      <alignment wrapText="1"/>
    </xf>
    <xf numFmtId="0" fontId="0" fillId="0" borderId="4" xfId="0" applyBorder="1"/>
    <xf numFmtId="0" fontId="0" fillId="0" borderId="9" xfId="0" applyBorder="1" applyAlignment="1">
      <alignment wrapText="1"/>
    </xf>
    <xf numFmtId="0" fontId="0" fillId="0" borderId="9" xfId="0" applyBorder="1"/>
    <xf numFmtId="0" fontId="0" fillId="0" borderId="10" xfId="0" applyBorder="1"/>
    <xf numFmtId="0" fontId="0" fillId="0" borderId="3" xfId="0" applyBorder="1" applyAlignment="1">
      <alignment horizontal="center"/>
    </xf>
    <xf numFmtId="0" fontId="0" fillId="0" borderId="8" xfId="0" applyBorder="1" applyAlignment="1">
      <alignment horizontal="center"/>
    </xf>
    <xf numFmtId="0" fontId="0" fillId="0" borderId="1" xfId="0" applyBorder="1" applyAlignment="1">
      <alignment horizontal="center"/>
    </xf>
    <xf numFmtId="0" fontId="0" fillId="0" borderId="0" xfId="0" applyAlignment="1">
      <alignment horizontal="center"/>
    </xf>
    <xf numFmtId="0" fontId="16" fillId="7" borderId="5" xfId="0" applyFont="1" applyFill="1" applyBorder="1" applyAlignment="1">
      <alignment horizontal="center"/>
    </xf>
    <xf numFmtId="0" fontId="16" fillId="7" borderId="6" xfId="0" applyFont="1" applyFill="1" applyBorder="1" applyAlignment="1">
      <alignment horizontal="center"/>
    </xf>
    <xf numFmtId="0" fontId="16" fillId="7" borderId="7" xfId="0" applyFont="1" applyFill="1" applyBorder="1" applyAlignment="1">
      <alignment horizontal="center"/>
    </xf>
    <xf numFmtId="0" fontId="17" fillId="8" borderId="2" xfId="0" applyFont="1" applyFill="1" applyBorder="1"/>
    <xf numFmtId="0" fontId="8" fillId="6" borderId="1" xfId="0" applyFont="1" applyFill="1" applyBorder="1" applyAlignment="1">
      <alignment horizontal="right" vertical="center" wrapText="1"/>
    </xf>
    <xf numFmtId="164" fontId="0" fillId="0" borderId="1" xfId="0" applyNumberFormat="1" applyBorder="1" applyAlignment="1">
      <alignment horizontal="right"/>
    </xf>
    <xf numFmtId="0" fontId="0" fillId="0" borderId="0" xfId="0" applyAlignment="1">
      <alignment horizontal="right"/>
    </xf>
    <xf numFmtId="0" fontId="17" fillId="8" borderId="0" xfId="0" applyFont="1" applyFill="1"/>
    <xf numFmtId="0" fontId="16" fillId="9" borderId="2" xfId="0" applyFont="1" applyFill="1" applyBorder="1" applyAlignment="1">
      <alignment horizontal="center"/>
    </xf>
    <xf numFmtId="0" fontId="0" fillId="0" borderId="2" xfId="0" applyBorder="1" applyAlignment="1">
      <alignment horizontal="left"/>
    </xf>
    <xf numFmtId="0" fontId="0" fillId="0" borderId="2" xfId="0" applyBorder="1" applyAlignment="1">
      <alignment horizontal="right"/>
    </xf>
    <xf numFmtId="10" fontId="0" fillId="0" borderId="2" xfId="0" applyNumberFormat="1" applyBorder="1" applyAlignment="1">
      <alignment horizontal="right"/>
    </xf>
    <xf numFmtId="0" fontId="0" fillId="10" borderId="2" xfId="0" applyFill="1" applyBorder="1" applyAlignment="1">
      <alignment horizontal="center"/>
    </xf>
    <xf numFmtId="0" fontId="0" fillId="11" borderId="2" xfId="0" applyFill="1" applyBorder="1" applyAlignment="1">
      <alignment horizontal="center"/>
    </xf>
    <xf numFmtId="2" fontId="0" fillId="0" borderId="2" xfId="0" applyNumberFormat="1" applyBorder="1"/>
    <xf numFmtId="0" fontId="9" fillId="0" borderId="0" xfId="0" applyFont="1" applyAlignment="1">
      <alignment horizontal="center"/>
    </xf>
    <xf numFmtId="0" fontId="0" fillId="0" borderId="0" xfId="0"/>
    <xf numFmtId="0" fontId="10" fillId="0" borderId="0" xfId="0" applyFont="1" applyAlignment="1">
      <alignment horizontal="right"/>
    </xf>
  </cellXfs>
  <cellStyles count="1">
    <cellStyle name="Normal" xfId="0" builtinId="0"/>
  </cellStyles>
  <dxfs count="34">
    <dxf>
      <font>
        <b/>
        <color rgb="FF375623"/>
      </font>
      <fill>
        <patternFill patternType="solid">
          <fgColor rgb="FFE2EFDA"/>
          <bgColor rgb="FFE2EFDA"/>
        </patternFill>
      </fill>
    </dxf>
    <dxf>
      <font>
        <b/>
        <color rgb="FF375623"/>
      </font>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147A1E"/>
        <name val="Calibri"/>
      </font>
    </dxf>
    <dxf>
      <font>
        <b/>
        <color rgb="FFC00000"/>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border diagonalUp="0" diagonalDown="0">
        <left style="thin">
          <color rgb="FF000000"/>
        </left>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border diagonalUp="0" diagonalDown="0">
        <left/>
        <right style="thin">
          <color rgb="FF000000"/>
        </right>
        <top style="thin">
          <color rgb="FF000000"/>
        </top>
        <bottom style="thin">
          <color rgb="FF000000"/>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b/>
      </font>
      <fill>
        <patternFill patternType="solid">
          <fgColor indexed="64"/>
          <bgColor rgb="FFFFFF00"/>
        </patternFill>
      </fill>
      <border diagonalUp="0" diagonalDown="0">
        <left style="thin">
          <color rgb="FF000000"/>
        </left>
        <right style="thin">
          <color rgb="FF000000"/>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microsoft.com/office/2017/06/relationships/rdSupportingPropertyBag" Target="richData/rdsupportingpropertybag.xml"/><Relationship Id="rId2" Type="http://schemas.openxmlformats.org/officeDocument/2006/relationships/worksheet" Target="worksheets/sheet2.xml"/><Relationship Id="rId16" Type="http://schemas.microsoft.com/office/2017/06/relationships/rdSupportingPropertyBagStructure" Target="richData/rdsupportingpropertybagstructure.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ichStyles" Target="richData/richStyles.xml"/><Relationship Id="rId10" Type="http://schemas.openxmlformats.org/officeDocument/2006/relationships/styles" Target="styles.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45">
  <rv s="0">
    <v>https://www.bing.com/financeapi/forcetrigger?t=ahh3oc&amp;q=XNSE%3aBALAMINES&amp;form=skydnc</v>
    <v>Learn more on Bing</v>
  </rv>
  <rv s="1">
    <v>en-IN</v>
    <v>ahh3oc</v>
    <v>268435456</v>
    <v>1</v>
    <v>Powered by Refinitiv</v>
    <v>0</v>
    <v>BALAJI AMINES LIMITED (XNSE:BALAMINES)</v>
    <v>2</v>
    <v>3</v>
    <v>Finance</v>
    <v>4</v>
    <v>1956</v>
    <v>968.1</v>
    <v>1.8895999999999999</v>
    <v>-52.4</v>
    <v>-2.7970999999999999E-2</v>
    <v>INR</v>
    <v>Balaji Amines Limited is an India-based company, which is engaged in the business of manufacturing of specialty chemicals, aliphatic amines and derivatives. The Company’s segments include Amines &amp; Specialty Chemicals and Hotel Division.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(2-P), N-ETHYL-2-PYRROLIDONE, GAMMA-BUTYROLACTONE, ACETONITRILE (ACN) and others. Its derivative products include Di-Methyl Acetamide (DMAC); Di-Methyl Amine Hydrochloride (DMA HCL); Tri-Methyl Amine Hydrochloride (TMA HCL); Di-Ethyl Amine Hydrochloride (DEA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1891.3</v>
    <v>Chemicals</v>
    <v>Stock</v>
    <v>46169.490659722222</v>
    <v>0</v>
    <v>1808</v>
    <v>39717140000</v>
    <v>BALAJI AMINES LIMITED</v>
    <v>BALAJI AMINES LIMITED</v>
    <v>1887.9</v>
    <v>36.11</v>
    <v>1873.4</v>
    <v>1821</v>
    <v>32401000</v>
    <v>BALAMINES</v>
    <v>BALAJI AMINES LIMITED (XNSE:BALAMINES)</v>
    <v>189445</v>
    <v>849280</v>
    <v>1988</v>
  </rv>
  <rv s="2">
    <v>1</v>
  </rv>
  <rv s="3">
    <v>en-IN</v>
    <v>ca9dw7</v>
    <v>268435456</v>
    <v>1</v>
    <v>Powered by Refinitiv</v>
    <v>5</v>
    <v>IDEAFORGE TECHNOLOGY LIMITED (XNSE:IDEAFORGE)</v>
    <v>6</v>
    <v>3</v>
    <v>Finance</v>
    <v>4</v>
    <v>888</v>
    <v>366</v>
    <v>1.482</v>
    <v>-10.1</v>
    <v>-1.1807000000000002E-2</v>
    <v>INR</v>
    <v>ideaForge Technology Limited is an India-based company operating under the unmanned aircraft systems (UAS) market. It is engaged in manufacturing and marketing unmanned aerial vehicles (UAVs) used for security and surveillance. Its UAV product portfolio includes Q6 V2 GEO, NETRA 5, SWITCH V2, ZOLT, LOGISTICS, Early Access Program (EAP), Co-innovate Access Program (CAP), SWITCH, NETRA V4 PRO, Q6 V2, and Q4i. Its UAVs have been designed to be able to handle all terrains and temperature conditions. Its applications include mapping and surveying and security and surveillance operations. Its mapping and surveying applications include land survey, mining area planning and mapping, volumetric estimation, railways, construction and real estate, corridor mapping. SWITCH UAV is a fixed wing and vertical take-off and landing (VTOL) hybrid UAV which is used for long-range, high-altitude last mile surveillance and security operations.</v>
    <v>513</v>
    <v>National Stock Exchange of India</v>
    <v>XNSE</v>
    <v>XNSE</v>
    <v>EL - 146, TTC INDUSTRIAL AREA, ELECTRONIC ZONE,, MIDC, MAHAPE,, THANE,, MAHARASHTRA, 400710 IN</v>
    <v>882</v>
    <v>Aerospace &amp; Defense</v>
    <v>Stock</v>
    <v>46169.490659722222</v>
    <v>822</v>
    <v>20236240000</v>
    <v>IDEAFORGE TECHNOLOGY LIMITED</v>
    <v>IDEAFORGE TECHNOLOGY LIMITED</v>
    <v>842</v>
    <v>0</v>
    <v>855.4</v>
    <v>845.3</v>
    <v>43388900</v>
    <v>IDEAFORGE</v>
    <v>IDEAFORGE TECHNOLOGY LIMITED (XNSE:IDEAFORGE)</v>
    <v>579560</v>
    <v>1263310</v>
    <v>2007</v>
  </rv>
  <rv s="2">
    <v>3</v>
  </rv>
  <rv s="0">
    <v>http://en.wikipedia.org/wiki/Public_domain</v>
    <v>Public domain</v>
  </rv>
  <rv s="0">
    <v>http://en.wikipedia.org/wiki/Oil_India</v>
    <v>Wikipedia</v>
  </rv>
  <rv s="4">
    <v>5</v>
    <v>6</v>
  </rv>
  <rv s="5">
    <v>11</v>
    <v>https://www.bing.com/th?id=AMMS_c95bda5ece615d354bb4f1ba57fc6de6&amp;qlt=95</v>
    <v>7</v>
    <v>0</v>
    <v>https://www.bing.com/images/search?form=xlimg&amp;q=oil+india</v>
    <v>Image of OIL INDIA LIMITED</v>
  </rv>
  <rv s="0">
    <v>https://www.bing.com/financeapi/forcetrigger?t=ahj9cw&amp;q=XNSE%3aOIL&amp;form=skydnc</v>
    <v>Learn more on Bing</v>
  </rv>
  <rv s="6">
    <v>en-IN</v>
    <v>ahj9cw</v>
    <v>268435456</v>
    <v>1</v>
    <v>Powered by Refinitiv</v>
    <v>7</v>
    <v>OIL INDIA LIMITED (XNSE:OIL)</v>
    <v>9</v>
    <v>10</v>
    <v>Finance</v>
    <v>4</v>
    <v>531</v>
    <v>384.6</v>
    <v>0.8155</v>
    <v>-4.0999999999999996</v>
    <v>-8.3320000000000009E-3</v>
    <v>INR</v>
    <v>Oil India Limited is an India-based company engaged in the exploration, development, and production of crude oil, natural gas, liquefied petroleum gas (LPG), and condensate and providing services such as pipeline transportation and generation of renewable energy. Its segments include Crude Oil, Natural Gas, LPG, Pipeline Transportation, and Renewable Energy. Its upstream operations include geosciences, drilling, and production. The midstream operations involve operating and maintaining pipelines to transport hydrocarbons such as crude oil, natural gas, and petroleum products. Its downstream portfolio includes activities in refining and petrochemicals and city gas distribution. It has an installed renewable energy capacity of approximately 188.1 megawatts (MW), comprising 174.1 MW from wind energy projects and 14.0 MW from solar energy projects. Its subsidiaries include Oil India Sweden AB, Oil India International B.V., Oil India International Pte. Ltd., and Numaligarh Refinery Limited.</v>
    <v>6412</v>
    <v>National Stock Exchange of India</v>
    <v>XNSE</v>
    <v>XNSE</v>
    <v>PLOT NO 19 NEAR FILM CITY, SECTOR 16A, UTTAR PRADESH, 201301 IN</v>
    <v>491.3</v>
    <v>8</v>
    <v>Oil &amp; Gas</v>
    <v>Stock</v>
    <v>46169.490671296298</v>
    <v>9</v>
    <v>484.5</v>
    <v>728557600000</v>
    <v>OIL INDIA LIMITED</v>
    <v>OIL INDIA LIMITED</v>
    <v>491.3</v>
    <v>12.09</v>
    <v>492.1</v>
    <v>488</v>
    <v>1626608000</v>
    <v>OIL</v>
    <v>OIL INDIA LIMITED (XNSE:OIL)</v>
    <v>1177761</v>
    <v>4857220</v>
    <v>1959</v>
  </rv>
  <rv s="2">
    <v>10</v>
  </rv>
  <rv s="0">
    <v>https://www.bing.com/financeapi/forcetrigger?t=ahhzcw&amp;q=XNSE%3aGRINDWELL&amp;form=skydnc</v>
    <v>Learn more on Bing</v>
  </rv>
  <rv s="1">
    <v>en-IN</v>
    <v>ahhzcw</v>
    <v>268435456</v>
    <v>1</v>
    <v>Powered by Refinitiv</v>
    <v>0</v>
    <v>GRINDWELL NORTON LIMITED (XNSE:GRINDWELL)</v>
    <v>2</v>
    <v>3</v>
    <v>Finance</v>
    <v>4</v>
    <v>2002.7</v>
    <v>1329</v>
    <v>1.2064999999999999</v>
    <v>-1.1000000000000001</v>
    <v>-5.7490000000000004E-4</v>
    <v>INR</v>
    <v>Grindwell Norton Limited is an India-based company, which is engaged in the manufacturing of abrasives, performance plastics and refractory products. The Company's segments include abrasives, ceramics and plastics, digital services, and others. The abrasives segment markets and manufactures a full range of bonded abrasives, coated abrasives (including non-woven abrasives), thin wheels and super abrasives. Its performance ceramics and refractories business makes ceramic and refractory products for a wide range of industrial applications. The products manufactured include silicon carbide based shaped refractory and ceramic products. Its performance plastics business produces and markets more than 800 standard and custom-made polymer products through three business divisions: engineered components, life sciences and composites. It provides various digital services, such as application development, infrastructure management, and cybersecurity to the Saint-Gobain group globally.</v>
    <v>2429</v>
    <v>National Stock Exchange of India</v>
    <v>XNSE</v>
    <v>XNSE</v>
    <v>5TH LEVEL LEELA BUSINESS PARK ANDHERI-KURLA ROAD, MAROL, ANDHERI EAST, MAHARASHTRA, 400059 IN</v>
    <v>1945</v>
    <v>Machinery, Equipment &amp; Components</v>
    <v>Stock</v>
    <v>46169.490659722222</v>
    <v>12</v>
    <v>1893.2</v>
    <v>174682900000</v>
    <v>GRINDWELL NORTON LIMITED</v>
    <v>GRINDWELL NORTON LIMITED</v>
    <v>1913.4</v>
    <v>51.02</v>
    <v>1913.4</v>
    <v>1912.3</v>
    <v>110720000</v>
    <v>GRINDWELL</v>
    <v>GRINDWELL NORTON LIMITED (XNSE:GRINDWELL)</v>
    <v>26032</v>
    <v>105790</v>
    <v>1950</v>
  </rv>
  <rv s="2">
    <v>13</v>
  </rv>
  <rv s="0">
    <v>https://www.bing.com/financeapi/forcetrigger?t=ahj9zr&amp;q=XNSE%3aONGC&amp;form=skydnc</v>
    <v>Learn more on Bing</v>
  </rv>
  <rv s="1">
    <v>en-IN</v>
    <v>ahj9zr</v>
    <v>268435456</v>
    <v>1</v>
    <v>Powered by Refinitiv</v>
    <v>0</v>
    <v>OIL AND NATURAL GAS CORPORATION LIMITED (XNSE:ONGC)</v>
    <v>2</v>
    <v>3</v>
    <v>Finance</v>
    <v>4</v>
    <v>307.5</v>
    <v>228.61</v>
    <v>0.55310000000000004</v>
    <v>-13.45</v>
    <v>-4.6782999999999998E-2</v>
    <v>INR</v>
    <v>Oil and Natural Gas Corporation Limited is an India-based integrated oil and gas company. The Company is engaged in exploration, development and production of crude oil, natural gas and value-added products in India and acquisition of oil and gas acreages outside India for exploration, development and production, downstream (Refining and marketing of petroleum products), Petrochemicals, Power Generation, liquefied natural gas (LNG) supply, Pipeline Transportation, special economic zone (SEZ) development, Helicopter services, Manufacturing of Ethanol and Sugar, Green and Renewable energy business. Its segments include Exploration and Production, Refining &amp; Marketing, and Petrochemicals. Its geographical segments consist of India, which includes offshore and onshore, and Outside India. Its subsidiaries include ONGC Videsh Limited, ONGC Green Limited, Mangalore Refinery and Petrochemicals Limited, Hindustan Petroleum Corporation Limited, HPCL Biofuels Limited, and among others.</v>
    <v>25319</v>
    <v>National Stock Exchange of India</v>
    <v>XNSE</v>
    <v>XNSE</v>
    <v>Deendayal Urja Bhawan, 5A, Nelson Mandela Marg, Vasant Kunj, NEW DELHI, DELHI, 110070 IN</v>
    <v>284.2</v>
    <v>Oil &amp; Gas</v>
    <v>Stock</v>
    <v>46169.490636574075</v>
    <v>15</v>
    <v>272.45</v>
    <v>3066821000000</v>
    <v>OIL AND NATURAL GAS CORPORATION LIMITED</v>
    <v>OIL AND NATURAL GAS CORPORATION LIMITED</v>
    <v>284.2</v>
    <v>8.73</v>
    <v>287.5</v>
    <v>274.05</v>
    <v>12580280000</v>
    <v>ONGC</v>
    <v>OIL AND NATURAL GAS CORPORATION LIMITED (XNSE:ONGC)</v>
    <v>29178516</v>
    <v>14219740</v>
    <v>1993</v>
  </rv>
  <rv s="2">
    <v>16</v>
  </rv>
  <rv s="0">
    <v>https://www.bing.com/financeapi/forcetrigger?t=ahhbu2&amp;q=XNSE%3aCARBORUNIV&amp;form=skydnc</v>
    <v>Learn more on Bing</v>
  </rv>
  <rv s="1">
    <v>en-IN</v>
    <v>ahhbu2</v>
    <v>268435456</v>
    <v>1</v>
    <v>Powered by Refinitiv</v>
    <v>0</v>
    <v>CARBORUNDUM UNIVERSAL LIMITED (XNSE:CARBORUNIV)</v>
    <v>2</v>
    <v>3</v>
    <v>Finance</v>
    <v>4</v>
    <v>1166.4000000000001</v>
    <v>735.2</v>
    <v>1.1672</v>
    <v>-8.35</v>
    <v>-8.0029999999999997E-3</v>
    <v>INR</v>
    <v>Carborundum Universal Limited is an India-based materials sciences engineering solutions provider. The Company's segments include Abrasives, Ceramics, Electro minerals, Power, IT Services and Others. Abrasive segment comprises bonded, coated, processed cloth, polymers, power tools and coolants. Ceramics segment includes technical ceramics and super-refractory solutions to address wear protection, corrosion resistance, electrical resistance, heat protection and ballistic protection. Electro minerals segment includes deals with the materials-fused alumina’s, its variants, and silicon carbide - used in abrasives and refractories globally. The Company also provides information technology (IT) services, including IT infrastructure facility management services, software application development services and others. The Company serves both retail and industrial customers through multiple channels across India.</v>
    <v>6260</v>
    <v>National Stock Exchange of India</v>
    <v>XNSE</v>
    <v>XNSE</v>
    <v>Parry House, 43 Moore Street, CHENNAI, TAMIL NADU, 600001 IN</v>
    <v>1051</v>
    <v>Construction Materials</v>
    <v>Stock</v>
    <v>46169.490624999999</v>
    <v>18</v>
    <v>1005</v>
    <v>154339000000</v>
    <v>CARBORUNDUM UNIVERSAL LIMITED</v>
    <v>CARBORUNDUM UNIVERSAL LIMITED</v>
    <v>1020.25</v>
    <v>101.2</v>
    <v>1043.3499999999999</v>
    <v>1035</v>
    <v>190493500</v>
    <v>CARBORUNIV</v>
    <v>CARBORUNDUM UNIVERSAL LIMITED (XNSE:CARBORUNIV)</v>
    <v>129301</v>
    <v>465390</v>
    <v>1954</v>
  </rv>
  <rv s="2">
    <v>19</v>
  </rv>
  <rv s="0">
    <v>https://www.bing.com/financeapi/forcetrigger?t=bspynm&amp;q=XNSE%3aAPOLLOPIPE&amp;form=skydnc</v>
    <v>Learn more on Bing</v>
  </rv>
  <rv s="1">
    <v>en-IN</v>
    <v>bspynm</v>
    <v>268435456</v>
    <v>1</v>
    <v>Powered by Refinitiv</v>
    <v>0</v>
    <v>APOLLO PIPES LIMITED (XNSE:APOLLOPIPE)</v>
    <v>2</v>
    <v>3</v>
    <v>Finance</v>
    <v>4</v>
    <v>554</v>
    <v>252.1</v>
    <v>0.753</v>
    <v>-2.1</v>
    <v>-4.0619999999999996E-3</v>
    <v>INR</v>
    <v>Apollo Pipes Limited is an India-based company, which is engaged in the manufacturing and trading of polyvinyl chloride (PVC) pipes and fittings. The Company's product portfolio includes a range of over 2500 stock keeping units (SKUs), including chlorinated polyvinyl chloride (cPVC), unplasticized polyvinyl chloride (uPVC) and high-density polyethylene (HDPE) pipes, water storage tanks, PVC taps, fittings and solvents. Its borewell system products include column pipes and casing pipes. Its bath fitting products include faucets, showers, health faucets, cisterns and accessories. Its agricultural products include agricultural pipes and fittings, HDPE pipes and coils and sprinkler system. The Company caters to various industries, such as agriculture, construction, infrastructure and telecom ducting segments. Its sewerage solution product include SWR-drainage system and underground drainage system. It also offers uPVC and cPVC plumbing system, and kitchen tank.</v>
    <v>627</v>
    <v>National Stock Exchange of India</v>
    <v>XNSE</v>
    <v>XNSE</v>
    <v>37, HARGOBIND ENCLAVE VIKAS MARG, DELHI, DELHI -, DELHI, 110092 IN</v>
    <v>520</v>
    <v>Homebuilding &amp; Construction Supplies</v>
    <v>Stock</v>
    <v>46169.490659722222</v>
    <v>21</v>
    <v>509.4</v>
    <v>12778790000</v>
    <v>APOLLO PIPES LIMITED</v>
    <v>APOLLO PIPES LIMITED</v>
    <v>515.15</v>
    <v>314.39999999999998</v>
    <v>517</v>
    <v>514.9</v>
    <v>43919360</v>
    <v>APOLLOPIPE</v>
    <v>APOLLO PIPES LIMITED (XNSE:APOLLOPIPE)</v>
    <v>101703</v>
    <v>625500</v>
    <v>1985</v>
  </rv>
  <rv s="2">
    <v>22</v>
  </rv>
  <rv s="0">
    <v>https://www.bing.com/financeapi/forcetrigger?t=ahi5f2&amp;q=XNSE%3aHINDCOPPER&amp;form=skydnc</v>
    <v>Learn more on Bing</v>
  </rv>
  <rv s="1">
    <v>en-IN</v>
    <v>ahi5f2</v>
    <v>268435456</v>
    <v>1</v>
    <v>Powered by Refinitiv</v>
    <v>0</v>
    <v>HINDUSTAN COPPER LTD (XNSE:HINDCOPPER)</v>
    <v>2</v>
    <v>3</v>
    <v>Finance</v>
    <v>4</v>
    <v>760.05</v>
    <v>226.7</v>
    <v>1.5143</v>
    <v>-0.65</v>
    <v>-1.1690000000000001E-3</v>
    <v>INR</v>
    <v>Hindustan Copper Limited is an India-based vertically integrated copper-producing company. The Company is engaged in the business of mining and processing of copper ore. The principal activities of the Company are exploration, exploitation, mining of copper and copper ore including beneficiation of minerals, smelting and refining. It has copper mines and concentrator plants in Malanjkhand Copper Project in Madhya Pradesh (MCP), Khetri Copper Complex in Rajasthan (KCC) and Indian Copper Complex, Ghatsila in Jharkhand (ICC). The Company has smelter and refinery plants at ICC and Gujarat Copper Project, Gujarat (GCP) for the production of copper cathode and thereafter conversion of cathode to copper wire rod at Taloja Copper Project, Taloja, Maharashtra (TCP). The Company markets copper cathodes, continuous cast copper rods and by-products, such as anode slime (containing precious metals), copper sulfate and sulfuric acid. Its subsidiary is Chhattisgarh Copper Limited.</v>
    <v>1274</v>
    <v>National Stock Exchange of India</v>
    <v>XNSE</v>
    <v>XNSE</v>
    <v>TAMRA BHAVAN 1, ASHUTOSH CHOWDHURY AVENUE, WEST BENGAL, 700019 IN</v>
    <v>564</v>
    <v>Metals &amp; Mining</v>
    <v>Stock</v>
    <v>46169.490671296298</v>
    <v>24</v>
    <v>554.29999999999995</v>
    <v>521661100000</v>
    <v>HINDUSTAN COPPER LTD</v>
    <v>HINDUSTAN COPPER LTD</v>
    <v>558</v>
    <v>58.59</v>
    <v>556</v>
    <v>555.35</v>
    <v>967024000</v>
    <v>HINDCOPPER</v>
    <v>HINDUSTAN COPPER LTD (XNSE:HINDCOPPER)</v>
    <v>4061276</v>
    <v>8546500</v>
    <v>1967</v>
  </rv>
  <rv s="2">
    <v>25</v>
  </rv>
  <rv s="0">
    <v>https://www.bing.com/financeapi/forcetrigger?t=ayp6zr&amp;q=XNSE%3aAPOLLO&amp;form=skydnc</v>
    <v>Learn more on Bing</v>
  </rv>
  <rv s="1">
    <v>en-IN</v>
    <v>ayp6zr</v>
    <v>268435456</v>
    <v>1</v>
    <v>Powered by Refinitiv</v>
    <v>0</v>
    <v>APOLLO MICRO SYSTEMS LIMITED (XNSE:APOLLO)</v>
    <v>2</v>
    <v>3</v>
    <v>Finance</v>
    <v>4</v>
    <v>433.8</v>
    <v>136.5</v>
    <v>1.2878000000000001</v>
    <v>5.75</v>
    <v>1.3953E-2</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433.8</v>
    <v>Aerospace &amp; Defense</v>
    <v>Stock</v>
    <v>46169.490624999999</v>
    <v>27</v>
    <v>408.05</v>
    <v>88930090000</v>
    <v>APOLLO MICRO SYSTEMS LIMITED</v>
    <v>APOLLO MICRO SYSTEMS LIMITED</v>
    <v>412.9</v>
    <v>126.02</v>
    <v>412.1</v>
    <v>417.85</v>
    <v>357305500</v>
    <v>APOLLO</v>
    <v>APOLLO MICRO SYSTEMS LIMITED (XNSE:APOLLO)</v>
    <v>44512706</v>
    <v>45439230</v>
    <v>1997</v>
  </rv>
  <rv s="2">
    <v>28</v>
  </rv>
  <rv s="0">
    <v>https://www.bing.com/financeapi/forcetrigger?t=ahi4oc&amp;q=XNSE%3aHFCL&amp;form=skydnc</v>
    <v>Learn more on Bing</v>
  </rv>
  <rv s="1">
    <v>en-IN</v>
    <v>ahi4oc</v>
    <v>268435456</v>
    <v>1</v>
    <v>Powered by Refinitiv</v>
    <v>0</v>
    <v>HFCL LIMITED (XNSE:HFCL)</v>
    <v>2</v>
    <v>3</v>
    <v>Finance</v>
    <v>4</v>
    <v>176.44</v>
    <v>59.82</v>
    <v>1.6996</v>
    <v>12.12</v>
    <v>7.4907000000000001E-2</v>
    <v>INR</v>
    <v>HFCL Limited is an India-based global technology company. The Company delivers communication and networking products and solutions globally across the telecom, defense, and railways sectors. Its business segments include manufacturing of telecom products, executing turnkey contracts and providing services relating thereto. It offers a range of products and solutions for the telecom industry, which include open‑standards‑based wired and wireless access solutions are customizable to diverse network needs, enabling seamless end‑to‑end connectivity for small, medium, and large scale deployments, globally scalable. In Defence includes designs and delivers customized products and solutions for defence services, institutions, and projects of national security significance.</v>
    <v>1910</v>
    <v>National Stock Exchange of India</v>
    <v>XNSE</v>
    <v>XNSE</v>
    <v>8, COMMERCIAL COMPLEX MASJID MOTH, GREATER KAILASH-II, DELHI, 110048 IN</v>
    <v>176.44</v>
    <v>Communications &amp; Networking</v>
    <v>Stock</v>
    <v>46169.490671296298</v>
    <v>30</v>
    <v>161.19</v>
    <v>90391200000</v>
    <v>HFCL LIMITED</v>
    <v>HFCL LIMITED</v>
    <v>162.49</v>
    <v>75.959999999999994</v>
    <v>161.80000000000001</v>
    <v>173.92</v>
    <v>1530264000</v>
    <v>HFCL</v>
    <v>HFCL LIMITED (XNSE:HFCL)</v>
    <v>79961509</v>
    <v>58752870</v>
    <v>1987</v>
  </rv>
  <rv s="2">
    <v>31</v>
  </rv>
  <rv s="0">
    <v>https://www.bing.com/financeapi/forcetrigger?t=ahhiur&amp;q=XNSE%3aDEEPAKNTR&amp;form=skydnc</v>
    <v>Learn more on Bing</v>
  </rv>
  <rv s="1">
    <v>en-IN</v>
    <v>ahhiur</v>
    <v>268435456</v>
    <v>1</v>
    <v>Powered by Refinitiv</v>
    <v>0</v>
    <v>DEEPAK NITRITE LIMITED (XNSE:DEEPAKNTR)</v>
    <v>2</v>
    <v>3</v>
    <v>Finance</v>
    <v>4</v>
    <v>2128.9</v>
    <v>1280</v>
    <v>1.7843</v>
    <v>-12.3</v>
    <v>-7.1220000000000007E-3</v>
    <v>INR</v>
    <v>Deepak Nitrite Limited is an India-based company, which is engaged in manufacturing and trading of chemicals. The Company operates through two segments: Advanced Intermediates and Phenolics. Its Advanced Intermediates segment offers Nitrites, Nitro Toluidines, Fuel Additives, Xylidines, Oximes, Cumidines, Speciality Agrochemicals, Optical Brightening Agent (OBA), diamino stilbene disulfonic acid (DASDA), and Benzotrifluoride. Its Phenolics segment offers cumene, phenol, acetone, isopropyl alcohol, and ammonium sulfate (AMS). The Company's products cater to several industries, such as paints, pharma, health care, colorants, rubber chemicals, explosives, dyes, pigments, food colors, pharmaceuticals, refineries, agrochemicals, glass, personal care, paper, detergents, and textiles. Its manufacturing facilities are located at Nandesari and Dahej (Gujarat); Roha and Taloja (Maharashtra); and Hyderabad (Telangana).</v>
    <v>1757</v>
    <v>National Stock Exchange of India</v>
    <v>XNSE</v>
    <v>XNSE</v>
    <v>2nd Floor, Fermenter House,, Atembic City, Atembic Avenue Road,, VADODARA, GUJARAT, 390003 IN</v>
    <v>1740</v>
    <v>Chemicals</v>
    <v>Stock</v>
    <v>46169.490671296298</v>
    <v>33</v>
    <v>1696</v>
    <v>214300800000</v>
    <v>DEEPAK NITRITE LIMITED</v>
    <v>DEEPAK NITRITE LIMITED</v>
    <v>1737</v>
    <v>42.79</v>
    <v>1727.1</v>
    <v>1714.8</v>
    <v>136393000</v>
    <v>DEEPAKNTR</v>
    <v>DEEPAK NITRITE LIMITED (XNSE:DEEPAKNTR)</v>
    <v>142911</v>
    <v>203940</v>
    <v>1970</v>
  </rv>
  <rv s="2">
    <v>34</v>
  </rv>
  <rv s="0">
    <v>https://www.bing.com/financeapi/forcetrigger?t=ahh1k2&amp;q=XNSE%3aAUROPHARMA&amp;form=skydnc</v>
    <v>Learn more on Bing</v>
  </rv>
  <rv s="1">
    <v>en-IN</v>
    <v>ahh1k2</v>
    <v>268435456</v>
    <v>1</v>
    <v>Powered by Refinitiv</v>
    <v>0</v>
    <v>AUROBINDO PHARMA LTD (XNSE:AUROPHARMA)</v>
    <v>2</v>
    <v>3</v>
    <v>Finance</v>
    <v>4</v>
    <v>1550</v>
    <v>1016.1</v>
    <v>0.61060000000000003</v>
    <v>-25.3</v>
    <v>-1.7315000000000001E-2</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1473</v>
    <v>Pharmaceuticals</v>
    <v>Stock</v>
    <v>46169.490624999999</v>
    <v>36</v>
    <v>1428.5</v>
    <v>678202100000</v>
    <v>AUROBINDO PHARMA LTD</v>
    <v>AUROBINDO PHARMA LTD</v>
    <v>1463</v>
    <v>24.22</v>
    <v>1461.2</v>
    <v>1435.9</v>
    <v>575377900</v>
    <v>AUROPHARMA</v>
    <v>AUROBINDO PHARMA LTD (XNSE:AUROPHARMA)</v>
    <v>791921</v>
    <v>1497050</v>
    <v>1986</v>
  </rv>
  <rv s="2">
    <v>37</v>
  </rv>
  <rv s="0">
    <v>https://www.bing.com/financeapi/forcetrigger?t=ahjuw7&amp;q=XNSE%3aSELAN&amp;form=skydnc</v>
    <v>Learn more on Bing</v>
  </rv>
  <rv s="1">
    <v>en-IN</v>
    <v>ahjuw7</v>
    <v>268435456</v>
    <v>1</v>
    <v>Powered by Refinitiv</v>
    <v>0</v>
    <v>ANTELOPUS SELAN ENERGY LIMITED (XNSE:ANTELOPUS)</v>
    <v>2</v>
    <v>3</v>
    <v>Finance</v>
    <v>4</v>
    <v>805</v>
    <v>357</v>
    <v>0.85750000000000004</v>
    <v>-7.6</v>
    <v>-9.9109999999999997E-3</v>
    <v>INR</v>
    <v>Antelopus Selan Energy Limited, formerly Selan Exploration Technology Limited, is an India-based company, which is engaged in the business of oil and gas exploration and production. The Company holds a portfolio of oil and gas fields: Bakrol, Lohar and Karjisan, which are located in Gujarat. It also operates four contract areas: two offshore (one each on the West Coast and East Coast of India) and two onshore (one each in Assam and Andhra Pradesh). The Bakrol field is a productive oil field located in the Cambay Basin, around 16 kilometers (kms) south-east of Ahmedabad city, which covers an area of 36 square kilometers (sq. kms). The Bakrol field's reservoir zones are K-VIII and K-IX of the Kalol formation from the Middle Eocene age. The Lohar field is located approximately 35 kms west-north-west of Ahmedabad city, which covers an area of five sq. kms. The Karjisan field covers an area of around five sq. kms, which is located in Ahmedabad-Mehsana tectonic block of the Cambay Basin.</v>
    <v>78</v>
    <v>National Stock Exchange of India</v>
    <v>XNSE</v>
    <v>XNSE</v>
    <v>8TH FLOOR, IMPERIA MINDSPACE, SECTOR 62, BHONDSI, HARYANA, 122102 IN</v>
    <v>805</v>
    <v>Oil &amp; Gas</v>
    <v>Stock</v>
    <v>46169.490659722222</v>
    <v>39</v>
    <v>752.6</v>
    <v>12932710000</v>
    <v>ANTELOPUS SELAN ENERGY LIMITED</v>
    <v>ANTELOPUS SELAN ENERGY LIMITED</v>
    <v>783.25</v>
    <v>30.1</v>
    <v>766.85</v>
    <v>759.25</v>
    <v>35162360</v>
    <v>ANTELOPUS</v>
    <v>ANTELOPUS SELAN ENERGY LIMITED (XNSE:ANTELOPUS)</v>
    <v>243012</v>
    <v>181600</v>
    <v>1985</v>
  </rv>
  <rv s="2">
    <v>40</v>
  </rv>
  <rv s="0">
    <v>https://www.bing.com/financeapi/forcetrigger?t=ahhbzr&amp;q=XNSE%3aCARERATING&amp;form=skydnc</v>
    <v>Learn more on Bing</v>
  </rv>
  <rv s="1">
    <v>en-IN</v>
    <v>ahhbzr</v>
    <v>268435456</v>
    <v>1</v>
    <v>Powered by Refinitiv</v>
    <v>0</v>
    <v>CARE RATINGS LIMITED (XNSE:CARERATING)</v>
    <v>2</v>
    <v>3</v>
    <v>Finance</v>
    <v>4</v>
    <v>1964</v>
    <v>1392.7</v>
    <v>0.3493</v>
    <v>-14.3</v>
    <v>-8.5470000000000008E-3</v>
    <v>INR</v>
    <v>CARE Ratings Limited is a credit rating company. The Company provides various credit ratings to corporates to raise capital for their various requirements and assists investors to form an informed investment decision based on credit risk and their own risk-return expectations. Its subsidiaries include CARE Ratings (Africa) Private Limited (CRAF), CARE Ratings Nepal Limited (CRNL), CARE ESG Ratings Limited, CARE Analytics and Advisory Private Limited, CARE Ratings South Africa (Pty) Limited and CareEdge Global IFSC Limited. CRNL offers a comprehensive array of rating services tailored to the Nepalese market, and technical support from its parent company. CareEdge Global IFSC Limited offers credit ratings and global-scale ratings for issuers and debt securities. CARE Analytics and Advisory Private Limited which specialises in the advisory, consulting, sustainability, research, and analytics services.</v>
    <v>598</v>
    <v>National Stock Exchange of India</v>
    <v>XNSE</v>
    <v>XNSE</v>
    <v>4th Floor, Godrej Coliseum, Somaiya Hospital Road, Off Eastern Express Highway, Sion (East), MUMBAI, MAHARASHTRA, 400022 IN</v>
    <v>1697.7</v>
    <v>Professional &amp; Commercial Services</v>
    <v>Stock</v>
    <v>46169.490694444445</v>
    <v>42</v>
    <v>1633.5</v>
    <v>48625760000</v>
    <v>CARE RATINGS LIMITED</v>
    <v>CARE RATINGS LIMITED</v>
    <v>1689.8</v>
    <v>29.33</v>
    <v>1673.1</v>
    <v>1658.8</v>
    <v>30049160</v>
    <v>CARERATING</v>
    <v>CARE RATINGS LIMITED (XNSE:CARERATING)</v>
    <v>31674</v>
    <v>119770</v>
    <v>1993</v>
  </rv>
  <rv s="2">
    <v>43</v>
  </rv>
  <rv s="0">
    <v>https://www.bing.com/financeapi/forcetrigger?t=ahgucw&amp;q=XNSE%3aALKYLAMINE&amp;form=skydnc</v>
    <v>Learn more on Bing</v>
  </rv>
  <rv s="1">
    <v>en-IN</v>
    <v>ahgucw</v>
    <v>268435456</v>
    <v>1</v>
    <v>Powered by Refinitiv</v>
    <v>0</v>
    <v>ALKYL AMINES CHEMICALS LIMITED (XNSE:ALKYLAMINE)</v>
    <v>2</v>
    <v>3</v>
    <v>Finance</v>
    <v>4</v>
    <v>2438.8000000000002</v>
    <v>1212</v>
    <v>1.3072999999999999</v>
    <v>-38.5</v>
    <v>-2.2248E-2</v>
    <v>INR</v>
    <v>Alkyl Amines Chemicals Limited is an India-based company, which is engaged in the business of manufacturing and supply of aliphatic amines, amine derivatives and other specialty chemicals. The Company manufactures aliphatic amines, specialty amines and amine derivatives and supply to pharmaceutical, agrochemical, water treatment, rubber chemical to a variety of industries. Its aliphatic amines products include Methylamine, Ethylamine, Isopropylamine, Propylamines, Cyclohexylamines, Butylamines, Ethylhexylamines and Furfurylamine. Its amine derivatives products include Dimethylamine hydrochloride, Triethylamine hydrochloride, Diisopropylethylamine, and Diethyl toluamide. Its specialty chemical products include acetonitrile, 1,8-Diazabicyclo [5.4.0] undec-7-ene (DBU), Diethyleketone or 3-Pentanone, ALCHAN 100, ALCHAN 300, 2-aminoethoxy ethano (DGA), 2-ethoxy ethylamine (EOEA), tempo, free radical, Monomethylamine 30% in MeOH, Tetramethyl ethylenediamine, and Monomethylamine 25% in MeOH.</v>
    <v>643</v>
    <v>National Stock Exchange of India</v>
    <v>XNSE</v>
    <v>XNSE</v>
    <v>NIRMAN VYAPAR KENDRA 401-407PLOT NO 10 SECTOR-17DBC, VASHI NEW MUMBAI, MAHARASHTRA, 400703 IN</v>
    <v>1760</v>
    <v>Chemicals</v>
    <v>Stock</v>
    <v>46169.490636574075</v>
    <v>45</v>
    <v>1682</v>
    <v>82387950000</v>
    <v>ALKYL AMINES CHEMICALS LIMITED</v>
    <v>ALKYL AMINES CHEMICALS LIMITED</v>
    <v>1732</v>
    <v>49.16</v>
    <v>1730.5</v>
    <v>1692</v>
    <v>51144050</v>
    <v>ALKYLAMINE</v>
    <v>ALKYL AMINES CHEMICALS LIMITED (XNSE:ALKYLAMINE)</v>
    <v>64353</v>
    <v>622640</v>
    <v>1979</v>
  </rv>
  <rv s="2">
    <v>46</v>
  </rv>
  <rv s="0">
    <v>https://www.bing.com/financeapi/forcetrigger?t=ahhaur&amp;q=XNSE%3aZYDUSLIFE&amp;form=skydnc</v>
    <v>Learn more on Bing</v>
  </rv>
  <rv s="1">
    <v>en-IN</v>
    <v>ahhaur</v>
    <v>268435456</v>
    <v>1</v>
    <v>Powered by Refinitiv</v>
    <v>0</v>
    <v>ZYDUS LIFESCIENCES LIMITED (XNSE:ZYDUSLIFE)</v>
    <v>2</v>
    <v>3</v>
    <v>Finance</v>
    <v>4</v>
    <v>1093.6500000000001</v>
    <v>835.5</v>
    <v>0.57720000000000005</v>
    <v>6.75</v>
    <v>6.2560000000000003E-3</v>
    <v>INR</v>
    <v>Zydus Lifesciences Limited is an India-based life-sciences company with positions across pharmaceuticals and consumer wellness, supported by a MedTech franchise and a global footprint across United States, India and other international markets. Its pharmaceutical business includes integrated pharmaceutical operations with business encompassing the entire value chain in research, development, production, marketing and distribution of pharmaceutical products. Its product portfolio includes active pharmaceutical ingredients, human formulations, and animal health and veterinary. Its consumer products business includes development, production, marketing and distribution of differentiated health and wellness products. It provides biologicals manufacturing sites offering contract development and manufacturing organization services to biopharmaceutical companies globally. Its focused therapy areas include cardiology, anti-diabetes, super specialty areas of oncology and nephrology, and others.</v>
    <v>27917</v>
    <v>National Stock Exchange of India</v>
    <v>XNSE</v>
    <v>XNSE</v>
    <v>Zydus Corporate Park, Scheme No. 63, Survey No. 536, Near Vaishnodevi Circle, Khoraj (Gandhinagar), Sarkhej-Gandhinagar Highway, AHMEDABAD, GUJARAT, 382481 IN</v>
    <v>1088.9000000000001</v>
    <v>Pharmaceuticals</v>
    <v>Stock</v>
    <v>46169.490648148145</v>
    <v>48</v>
    <v>1074.25</v>
    <v>906314900000</v>
    <v>ZYDUS LIFESCIENCES LIMITED</v>
    <v>ZYDUS LIFESCIENCES LIMITED</v>
    <v>1078.5999999999999</v>
    <v>21.54</v>
    <v>1079.05</v>
    <v>1085.8</v>
    <v>1006234000</v>
    <v>ZYDUSLIFE</v>
    <v>ZYDUS LIFESCIENCES LIMITED (XNSE:ZYDUSLIFE)</v>
    <v>2116567</v>
    <v>3546830</v>
    <v>1995</v>
  </rv>
  <rv s="2">
    <v>49</v>
  </rv>
  <rv s="0">
    <v>https://www.bing.com/financeapi/forcetrigger?t=ahixf2&amp;q=XNSE%3aMCLEODRUSS&amp;form=skydnc</v>
    <v>Learn more on Bing</v>
  </rv>
  <rv s="1">
    <v>en-IN</v>
    <v>ahixf2</v>
    <v>268435456</v>
    <v>1</v>
    <v>Powered by Refinitiv</v>
    <v>0</v>
    <v>MCLEOD RUSSEL INDIA LIMITED (XNSE:MCLEODRUSS)</v>
    <v>2</v>
    <v>3</v>
    <v>Finance</v>
    <v>4</v>
    <v>76.88</v>
    <v>28.5</v>
    <v>1.7637</v>
    <v>1.5</v>
    <v>1.9899E-2</v>
    <v>INR</v>
    <v>McLeod Russel India Limited is an India-based company engaged in the cultivation and manufacturing of tea. The Company’s geographical segments include India, Vietnam, Uganda, the United Kingdom, and Others. Its plantations consist of approximately 33 tea estates located in Assam and West Bengal. The Tea is produced and sold in domestic as well as international markets including the United Kingdom and Europe. Its facility operates over two bulk blending units that can blend both Orthodox and Crushed, torn, and curled (CTC) tea varieties. Its subsidiaries include Borelli Tea Holdings Limited, McLeod Russel Uganda Limited, McLeod Russel Middle East DMCC, UAE, and McLeod Russel Africa Limited.</v>
    <v>46977</v>
    <v>National Stock Exchange of India</v>
    <v>XNSE</v>
    <v>XNSE</v>
    <v>4 MANGOE LANE, SURENDRA MOHAN GHOSH SARANI HARE STREET, KOLKATA, WEST BENGAL, INDIA,, WEST BENGAL, 700001 IN</v>
    <v>76.88</v>
    <v>Food &amp; Tobacco</v>
    <v>Stock</v>
    <v>46169.490648148145</v>
    <v>51</v>
    <v>76.88</v>
    <v>4783028000</v>
    <v>MCLEOD RUSSEL INDIA LIMITED</v>
    <v>MCLEOD RUSSEL INDIA LIMITED</v>
    <v>76.88</v>
    <v>0</v>
    <v>75.38</v>
    <v>76.88</v>
    <v>104455700</v>
    <v>MCLEODRUSS</v>
    <v>MCLEOD RUSSEL INDIA LIMITED (XNSE:MCLEODRUSS)</v>
    <v>120018</v>
    <v>722740</v>
    <v>1998</v>
  </rv>
  <rv s="2">
    <v>52</v>
  </rv>
  <rv s="0">
    <v>https://www.bing.com/financeapi/forcetrigger?t=ahk6a2&amp;q=XNSE%3aSUNPHARMA&amp;form=skydnc</v>
    <v>Learn more on Bing</v>
  </rv>
  <rv s="1">
    <v>en-IN</v>
    <v>ahk6a2</v>
    <v>268435456</v>
    <v>1</v>
    <v>Powered by Refinitiv</v>
    <v>0</v>
    <v>SUN PHARMACEUTICAL INDUSTRIES LIMITED (XNSE:SUNPHARMA)</v>
    <v>2</v>
    <v>3</v>
    <v>Finance</v>
    <v>4</v>
    <v>1916.6</v>
    <v>1548</v>
    <v>0.75039999999999996</v>
    <v>3.5</v>
    <v>1.9009999999999999E-3</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1882</v>
    <v>Pharmaceuticals</v>
    <v>Stock</v>
    <v>46169.490636574075</v>
    <v>54</v>
    <v>1830</v>
    <v>4147730000000</v>
    <v>SUN PHARMACEUTICAL INDUSTRIES LIMITED</v>
    <v>SUN PHARMACEUTICAL INDUSTRIES LIMITED</v>
    <v>1865</v>
    <v>39.85</v>
    <v>1840.8</v>
    <v>1844.3</v>
    <v>2399335000</v>
    <v>SUNPHARMA</v>
    <v>SUN PHARMACEUTICAL INDUSTRIES LIMITED (XNSE:SUNPHARMA)</v>
    <v>1385752</v>
    <v>2479540</v>
    <v>1993</v>
  </rv>
  <rv s="2">
    <v>55</v>
  </rv>
  <rv s="0">
    <v>https://www.bing.com/financeapi/forcetrigger?t=ahgt7w&amp;q=XNSE%3aAJANTPHARM&amp;form=skydnc</v>
    <v>Learn more on Bing</v>
  </rv>
  <rv s="1">
    <v>en-IN</v>
    <v>ahgt7w</v>
    <v>268435456</v>
    <v>1</v>
    <v>Powered by Refinitiv</v>
    <v>0</v>
    <v>AJANTA PHARMA LIMITED (XNSE:AJANTPHARM)</v>
    <v>2</v>
    <v>3</v>
    <v>Finance</v>
    <v>4</v>
    <v>3314.9</v>
    <v>2329.9</v>
    <v>0.62370000000000003</v>
    <v>-76.3</v>
    <v>-2.4636000000000002E-2</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3120</v>
    <v>Pharmaceuticals</v>
    <v>Stock</v>
    <v>46169.490648148145</v>
    <v>57</v>
    <v>3010</v>
    <v>341149200000</v>
    <v>AJANTA PHARMA LIMITED</v>
    <v>AJANTA PHARMA LIMITED</v>
    <v>3100.1</v>
    <v>36.64</v>
    <v>3097.1</v>
    <v>3020.8</v>
    <v>124935600</v>
    <v>AJANTPHARM</v>
    <v>AJANTA PHARMA LIMITED (XNSE:AJANTPHARM)</v>
    <v>154397</v>
    <v>125510</v>
    <v>1979</v>
  </rv>
  <rv s="2">
    <v>58</v>
  </rv>
  <rv s="0">
    <v>https://www.bing.com/financeapi/forcetrigger?t=ahixw7&amp;q=XNSE%3aMENONBE&amp;form=skydnc</v>
    <v>Learn more on Bing</v>
  </rv>
  <rv s="1">
    <v>en-IN</v>
    <v>ahixw7</v>
    <v>268435456</v>
    <v>1</v>
    <v>Powered by Refinitiv</v>
    <v>0</v>
    <v>MENON BEARINGS LIMITED (XNSE:MENONBE)</v>
    <v>2</v>
    <v>3</v>
    <v>Finance</v>
    <v>4</v>
    <v>159.9</v>
    <v>101.5</v>
    <v>0.73260000000000003</v>
    <v>-0.22</v>
    <v>-1.474E-3</v>
    <v>INR</v>
    <v>Menon Bearings Limited is an India-based engine bearings company. The Company is engaged in manufacturing of critical engine components, which are bearings, bushes, thrust washers used in long-haul, heavy-duty diesel engines and multi-axle vehicles at two locations, and manufacturing of aluminum die casting components at another location. It undertakes designing, testing, validation and manufacturing of bearings, bushes and thrust washers for a range of applications, which include automotive engines, compressors, generators, stationary engines, marine engines, earthmovers and tillers (agriculture). Its products include bi-metal engine bearings, bushes &amp; thrust washers for light and heavy automobile engines, two-wheeler engines as well as compressors for refrigerators, air conditioners, and others. Its bearing products include bearings for connecting rods, bearings for crank shafts, flanged bearings, and trimetal bearings.</v>
    <v>203</v>
    <v>National Stock Exchange of India</v>
    <v>XNSE</v>
    <v>XNSE</v>
    <v>G 1 MIDC GOKULSHIRGAON KOLHPUR, MAHARASHTRA, 416234 IN</v>
    <v>152.4</v>
    <v>Automobiles &amp; Auto Parts</v>
    <v>Stock</v>
    <v>46169.490636574075</v>
    <v>60</v>
    <v>148.41</v>
    <v>7107553000</v>
    <v>MENON BEARINGS LIMITED</v>
    <v>MENON BEARINGS LIMITED</v>
    <v>150</v>
    <v>21.88</v>
    <v>149.22999999999999</v>
    <v>149.01</v>
    <v>56040000</v>
    <v>MENONBE</v>
    <v>MENON BEARINGS LIMITED (XNSE:MENONBE)</v>
    <v>109848</v>
    <v>363510</v>
    <v>1991</v>
  </rv>
  <rv s="2">
    <v>61</v>
  </rv>
  <rv s="0">
    <v>https://www.bing.com/financeapi/forcetrigger?t=ahjvmw&amp;q=XNSE%3aSFL&amp;form=skydnc</v>
    <v>Learn more on Bing</v>
  </rv>
  <rv s="1">
    <v>en-IN</v>
    <v>ahjvmw</v>
    <v>268435456</v>
    <v>1</v>
    <v>Powered by Refinitiv</v>
    <v>0</v>
    <v>SHEELA FOAM LIMITED (XNSE:SFL)</v>
    <v>2</v>
    <v>3</v>
    <v>Finance</v>
    <v>4</v>
    <v>769.9</v>
    <v>456.8</v>
    <v>0.7853</v>
    <v>-0.65</v>
    <v>-1.0369999999999999E-3</v>
    <v>INR</v>
    <v>Sheela Foam Limited is an India-based company which manufactures polyurethane (PU) foam and mattresses. The Company offers a wide range of products for home comfort, technical applications and institutional use. Its product portfolio includes Mattresses segmentation, Comfort foam and home care products, Technical foam, and Furniture foam. The Comfort foam and home care products include foam sheets, foam blocks, comfort range accessories, foam cores, furniture cushions, pillows, bedsheets, mattress protectors, and sofa-cum-beds. The Technical foam includes automotive foams, reticulated foams, ultraviolet stable foams, and silentech foams. The Mattresses segmentation includes spring range, technology range, custom cell range, back support range, flexi PUF range, economy range, and online brand. The Furniture foam includes Sleepwell Resitec, Sleepwell Cool Gel, and Primo. The Company’s brands include Sleepwell, Kurlon, FeatherFoam, Interplasp, Joyce, Furlenco, and Starlite.</v>
    <v>2626</v>
    <v>National Stock Exchange of India</v>
    <v>XNSE</v>
    <v>XNSE</v>
    <v>#14 Sector 135, NOIDA, UTTAR PRADESH, 201301 IN</v>
    <v>633.45000000000005</v>
    <v>Household Goods</v>
    <v>Stock</v>
    <v>46169.490671296298</v>
    <v>63</v>
    <v>624.54999999999995</v>
    <v>61927090000</v>
    <v>SHEELA FOAM LIMITED</v>
    <v>SHEELA FOAM LIMITED</v>
    <v>630</v>
    <v>42.66</v>
    <v>626.70000000000005</v>
    <v>626.04999999999995</v>
    <v>109203300</v>
    <v>SFL</v>
    <v>SHEELA FOAM LIMITED (XNSE:SFL)</v>
    <v>163301</v>
    <v>1070110</v>
    <v>1971</v>
  </rv>
  <rv s="2">
    <v>64</v>
  </rv>
  <rv s="3">
    <v>en-IN</v>
    <v>c839hw</v>
    <v>268435456</v>
    <v>1</v>
    <v>Powered by Refinitiv</v>
    <v>5</v>
    <v>GLOBAL HEALTH LIMITED (XNSE:MEDANTA)</v>
    <v>6</v>
    <v>3</v>
    <v>Finance</v>
    <v>4</v>
    <v>1456.5</v>
    <v>956</v>
    <v>0.51659999999999995</v>
    <v>-21</v>
    <v>-1.7090000000000001E-2</v>
    <v>INR</v>
    <v>Global Health Limited (Medanta) is an India-based multi-specialty tertiary care provider in the North and East regions of India. Medanta delivers advanced, end-to-end healthcare in Delhi, Gurugram, Indore, Ranchi, Patna, and Lucknow through its network of approximately five hospitals. Medanta provides healthcare services in over 30 medical specialties and engages over 1,800 doctors. Its specialty treatments are in cardiac care, cancer care, neurosciences, orthopedics, renal care, liver transplants, oncology, bone marrow transplant, obstetrics and gynecology, chest surgery, lung transplant, pediatric care, ENT, head and neck surgery, and others. Its facilities and services include medicine delivery, lab tests &amp; diagnostics, homecare services, health checkups, elder care, air ambulance, among others. Its subsidiaries include Global Health Patliputra Private Limited, Medanta Holdings Private Limited, and GHL Pharma &amp; Diagnostic Private Limited.</v>
    <v>10260</v>
    <v>National Stock Exchange of India</v>
    <v>XNSE</v>
    <v>XNSE</v>
    <v>Medanta-The Medicity, Sector-38, GURGAON, HARYANA, 122001 IN</v>
    <v>1238</v>
    <v>Healthcare Providers &amp; Services</v>
    <v>Stock</v>
    <v>46169.490648148145</v>
    <v>1202.5</v>
    <v>313849100000</v>
    <v>GLOBAL HEALTH LIMITED</v>
    <v>GLOBAL HEALTH LIMITED</v>
    <v>1238</v>
    <v>59.33</v>
    <v>1228.8</v>
    <v>1207.8</v>
    <v>269070700</v>
    <v>MEDANTA</v>
    <v>GLOBAL HEALTH LIMITED (XNSE:MEDANTA)</v>
    <v>149495</v>
    <v>311110</v>
    <v>2004</v>
  </rv>
  <rv s="2">
    <v>66</v>
  </rv>
  <rv s="3">
    <v>en-IN</v>
    <v>c9qntc</v>
    <v>268435456</v>
    <v>1</v>
    <v>Powered by Refinitiv</v>
    <v>5</v>
    <v>MANKIND PHARMA LIMITED (XNSE:MANKIND)</v>
    <v>6</v>
    <v>3</v>
    <v>Finance</v>
    <v>4</v>
    <v>2716.5</v>
    <v>1909.7</v>
    <v>0.48799999999999999</v>
    <v>-3.2</v>
    <v>-1.32E-3</v>
    <v>INR</v>
    <v>Mankind Pharma Limited is an India-based pharmaceutical company. The Company is engaged in developing, manufacturing, and marketing a range of pharmaceutical formulations across various acute and chronic therapeutic areas, as well as several consumer healthcare products. It also offers pet care, crop protection solutions, and veterinary care. It offers healthcare solutions for a range of healthcare needs with a portfolio that includes anti-infectives, cardiovascular, gastrointestinal, anti-diabetic, neuro/central nervous system, vitamins, minerals and nutrients, derma, fertility, and respiratory therapies. Its portfolio of brands includes Nurokind, Telmikind, Manforce (Rx), Gudcef, Moxikind, Amlokind, Glimestar, Asthakind, Codistar, Candiforce, Mahacef, Dydroboon, Cefakind, Zenflox, Monticope, Dynaglipt, Rivotril, and others. Its subsidiaries include Lifestar Pharma Private Limited, Magnet Labs Private Limited, Jaspack Industries Private Limited, and others.</v>
    <v>27000</v>
    <v>National Stock Exchange of India</v>
    <v>XNSE</v>
    <v>XNSE</v>
    <v>262, Okhla Industrial Estate, Phase-III, NEW DELHI, DELHI, 110020 IN</v>
    <v>2438</v>
    <v>Pharmaceuticals</v>
    <v>Stock</v>
    <v>46169.490659722222</v>
    <v>2405.3000000000002</v>
    <v>913909100000</v>
    <v>MANKIND PHARMA LIMITED</v>
    <v>MANKIND PHARMA LIMITED</v>
    <v>2438</v>
    <v>52.29</v>
    <v>2423.6</v>
    <v>2420.4</v>
    <v>412909200</v>
    <v>MANKIND</v>
    <v>MANKIND PHARMA LIMITED (XNSE:MANKIND)</v>
    <v>424138</v>
    <v>1077480</v>
    <v>1991</v>
  </rv>
  <rv s="2">
    <v>68</v>
  </rv>
  <rv s="0">
    <v>https://www.bing.com/financeapi/forcetrigger?t=ahidnm&amp;q=XNSE%3aIPCALAB&amp;form=skydnc</v>
    <v>Learn more on Bing</v>
  </rv>
  <rv s="1">
    <v>en-IN</v>
    <v>ahidnm</v>
    <v>268435456</v>
    <v>1</v>
    <v>Powered by Refinitiv</v>
    <v>0</v>
    <v>IPCA LABORATORIES LIMITED (XNSE:IPCALAB)</v>
    <v>2</v>
    <v>3</v>
    <v>Finance</v>
    <v>4</v>
    <v>1678.3</v>
    <v>1251.5999999999999</v>
    <v>0.45629999999999998</v>
    <v>-5.6</v>
    <v>-3.5490000000000001E-3</v>
    <v>INR</v>
    <v>Ipca Laboratories Limited is an India-based integrated pharmaceutical company. The Company is engaged in manufacturing and marketing over 350 formulations and approximately 80 active pharmaceutical ingredients (APIs) covering various therapeutic segments. It offers APIs, such as Atenolol, Chloroquine Phosphate, Chlorthalidone, Furosemide, Hydroxychloroquine sulfate, Losartan, Metoprolol Succinate, Metoprolol Tartrate, Pyrantel Salts and Propranolol. The Company offers brands, such as Zerodol, Lariago, HCQS, Perinorm, Rapither AB, Tenoric, Lumerax, Etova, Fexova, Malirid, Allsuth, Alwiz, AZR 50mg, Bacilon, Cinkona, Clarbact, Glyree MV, Halotop, Luliz, Ozepam, Pacimol, Pari, Xtor-F, Zabpro, Zilast, Ramcor, Sove, Venpower and Folitrax. The Company’s products are sold in over 100 countries across the globe. The Company has 18 manufacturing units in India manufacturing APIs and formulations. Its subsidiaries include Ipca Pharmaceuticals, Inc. and Ipca Pharma Nigeria Ltd.</v>
    <v>18043</v>
    <v>National Stock Exchange of India</v>
    <v>XNSE</v>
    <v>XNSE</v>
    <v>48, KANDIVLI INDUSTRIAL ESTATE KANDIVLI (W), MAHARASHTRA, 400067 IN</v>
    <v>1592.4</v>
    <v>Pharmaceuticals</v>
    <v>Stock</v>
    <v>46169.490636574075</v>
    <v>70</v>
    <v>1567</v>
    <v>382535200000</v>
    <v>IPCA LABORATORIES LIMITED</v>
    <v>IPCA LABORATORIES LIMITED</v>
    <v>1577</v>
    <v>44</v>
    <v>1578</v>
    <v>1572.4</v>
    <v>253704200</v>
    <v>IPCALAB</v>
    <v>IPCA LABORATORIES LIMITED (XNSE:IPCALAB)</v>
    <v>74100</v>
    <v>364000</v>
    <v>1949</v>
  </rv>
  <rv s="2">
    <v>71</v>
  </rv>
  <rv s="0">
    <v>https://www.bing.com/financeapi/forcetrigger?t=ahj827&amp;q=XNSE%3aNLCINDIA&amp;form=skydnc</v>
    <v>Learn more on Bing</v>
  </rv>
  <rv s="1">
    <v>en-IN</v>
    <v>ahj827</v>
    <v>268435456</v>
    <v>1</v>
    <v>Powered by Refinitiv</v>
    <v>0</v>
    <v>NLC INDIA LIMITED (XNSE:NLCINDIA)</v>
    <v>2</v>
    <v>3</v>
    <v>Finance</v>
    <v>4</v>
    <v>387.8</v>
    <v>220.71</v>
    <v>1.2008000000000001</v>
    <v>6.5</v>
    <v>1.8928E-2</v>
    <v>INR</v>
    <v>NLC India Limited is an India-based company, which is engaged in the business of mining of lignite, coal and generation of power by using lignite as well as renewable energy sources and consultancy. Its segments include Mining and Power generation. The Mining segment includes mining of lignite and coal. The Power generation segment includes generation of power and sale to power utilities across the country. It operates three opencast Lignite Mines at Neyveli in Tamil Nadu and one opencast Lignite Mine at Barsingsar in Rajasthan, with a combined mining capacity of 30.10 million Tons Per Annum (MTPA). It also operates Talabira Open Cast Mine in Odisha, with a mining capacity of 20.00 MTPA. It is operating five lignite based thermal power stations, four at Neyveli, in Tamil Nadu and one at Barsingsar, in Rajasthan with capacity of over 3,640 megawatts. The total combined mining capacity of lignite and coal for the Company is 50.10 MTPA.</v>
    <v>10227</v>
    <v>National Stock Exchange of India</v>
    <v>XNSE</v>
    <v>XNSE</v>
    <v>NO.135, EVR PERIYAR HIGH ROAD KILPAUK, TAMIL NADU, 600010 IN</v>
    <v>355.5</v>
    <v>Electrical Utilities &amp; IPPs</v>
    <v>Stock</v>
    <v>46169.490648148145</v>
    <v>73</v>
    <v>345.1</v>
    <v>354077700000</v>
    <v>NLC INDIA LIMITED</v>
    <v>NLC INDIA LIMITED</v>
    <v>346</v>
    <v>12.93</v>
    <v>343.4</v>
    <v>349.9</v>
    <v>1386637000</v>
    <v>NLCINDIA</v>
    <v>NLC INDIA LIMITED (XNSE:NLCINDIA)</v>
    <v>5932444</v>
    <v>13532540</v>
    <v>1956</v>
  </rv>
  <rv s="2">
    <v>74</v>
  </rv>
  <rv s="0">
    <v>https://www.bing.com/financeapi/forcetrigger?t=ahkdp2&amp;q=XNSE%3aTIPSINDLTD&amp;form=skydnc</v>
    <v>Learn more on Bing</v>
  </rv>
  <rv s="1">
    <v>en-IN</v>
    <v>ahkdp2</v>
    <v>268435456</v>
    <v>1</v>
    <v>Powered by Refinitiv</v>
    <v>0</v>
    <v>TIPS MUSIC LIMITED (XNSE:TIPSMUSIC)</v>
    <v>2</v>
    <v>3</v>
    <v>Finance</v>
    <v>4</v>
    <v>718</v>
    <v>481.15</v>
    <v>1.1617999999999999</v>
    <v>15.45</v>
    <v>2.3582000000000002E-2</v>
    <v>INR</v>
    <v>Tips Music Limited is an India-based music company. The Company is engaged in the business of the creation and acquisition of audiovisual content for music and monetization content libraries digitally in India and overseas through licensing on various platforms. The Company has a diversified music library and has a collection of over 34,000 songs across all genres and major languages. The Company has a presence across global digital platforms such as YouTube, Spotify, Jio Saavn, Apple Music, and Amazon Prime. The Company operates through the Audio / Video Products segment. It has approximately 4,000 plus traditional songs spanning devotional music, folk music, and cultural storytelling.</v>
    <v>59</v>
    <v>National Stock Exchange of India</v>
    <v>XNSE</v>
    <v>XNSE</v>
    <v>2nd Floor, Raheja Chambers, Linking Road, Santacruz West, MUMBAI, MAHARASHTRA, 400054 IN</v>
    <v>676.7</v>
    <v>Media &amp; Publishing</v>
    <v>Stock</v>
    <v>46169.490648148145</v>
    <v>76</v>
    <v>653</v>
    <v>65015150000</v>
    <v>TIPS MUSIC LIMITED</v>
    <v>TIPS MUSIC LIMITED</v>
    <v>654.70000000000005</v>
    <v>38.630000000000003</v>
    <v>655.15</v>
    <v>670.6</v>
    <v>127831600</v>
    <v>TIPSMUSIC</v>
    <v>TIPS MUSIC LIMITED (XNSE:TIPSMUSIC)</v>
    <v>329004</v>
    <v>265670</v>
    <v>1996</v>
  </rv>
  <rv s="2">
    <v>77</v>
  </rv>
  <rv s="0">
    <v>https://www.bing.com/financeapi/forcetrigger?t=ahj177&amp;q=XNSE%3aMOLDTKPAC&amp;form=skydnc</v>
    <v>Learn more on Bing</v>
  </rv>
  <rv s="1">
    <v>en-IN</v>
    <v>ahj177</v>
    <v>268435456</v>
    <v>1</v>
    <v>Powered by Refinitiv</v>
    <v>0</v>
    <v>MOLD-TEK PACKAGING LIMITED (XNSE:MOLDTKPAC)</v>
    <v>2</v>
    <v>3</v>
    <v>Finance</v>
    <v>4</v>
    <v>892.9</v>
    <v>464.9</v>
    <v>0.92830000000000001</v>
    <v>-14.55</v>
    <v>-2.0750000000000001E-2</v>
    <v>INR</v>
    <v>Mold-Tek Packaging Limited is an India-based company which is engaged in rigid plastic packaging. The Company manufactures injection-molded containers for lubes, paints, food, and other products. It operates in the packaging containers segment. Its products include Paint Packaging, Lubricant Packs, Food Containers, Pharma Portfolio, Tablet Containers, Bulk Packaging, and Dispenser pumps &amp; Sanitizer Containers. It offers packaging products In-Mould Labeling (IML), Dry Offset Printing (DOP), Screen Printing (SP) and Heat Transfer Labelling (HTL). The Company also offers shrink sleeves and screen printing. The Company caters to a range of industries, such as paint packaging, lubricants packaging, food packaging, restaurants, and Fast-Moving Consumer Goods (FMCG)-packaging industries. It also offers a range of pharmaceutical packaging products, which include desiccant canisters, tablet containers with child-resistant (CR) and continuous thread (CT) closures, and effervescent tubes.</v>
    <v>834</v>
    <v>National Stock Exchange of India</v>
    <v>XNSE</v>
    <v>XNSE</v>
    <v>8-2-293/82/A/700, GROUND FLOOR, ROAD NO 36, JUBLIEE HILLS, TELANGANA, 500033 IN</v>
    <v>707.5</v>
    <v>Containers &amp; Packaging</v>
    <v>Stock</v>
    <v>46169.490636574075</v>
    <v>79</v>
    <v>683.95</v>
    <v>19241200000</v>
    <v>MOLD-TEK PACKAGING LIMITED</v>
    <v>MOLD-TEK PACKAGING LIMITED</v>
    <v>707.5</v>
    <v>31.97</v>
    <v>701.2</v>
    <v>686.65</v>
    <v>33228910</v>
    <v>MOLDTKPAC</v>
    <v>MOLD-TEK PACKAGING LIMITED (XNSE:MOLDTKPAC)</v>
    <v>63097</v>
    <v>401430</v>
    <v>1997</v>
  </rv>
  <rv s="2">
    <v>80</v>
  </rv>
  <rv s="0">
    <v>https://www.bing.com/financeapi/forcetrigger?t=ahiw77&amp;q=XNSE%3aMARKSANS&amp;form=skydnc</v>
    <v>Learn more on Bing</v>
  </rv>
  <rv s="1">
    <v>en-IN</v>
    <v>ahiw77</v>
    <v>268435456</v>
    <v>1</v>
    <v>Powered by Refinitiv</v>
    <v>0</v>
    <v>MARKSANS PHARMA LIMITED (XNSE:MARKSANS)</v>
    <v>2</v>
    <v>3</v>
    <v>Finance</v>
    <v>4</v>
    <v>270.7</v>
    <v>155</v>
    <v>1.5994999999999999</v>
    <v>-5.52</v>
    <v>-2.1665E-2</v>
    <v>INR</v>
    <v>Marksans Pharma Limited is an India-based company, which is primarily engaged in the business of research, manufacture, marketing and sale of pharmaceutical formulations. It operates under single business segment, namely Pharmaceuticals. It operates two manufacturing facilities in Goa and maintains two research and development centers, located in Goa and in Navi Mumbai. Its product portfolio spreads various therapeutic segments of the cardiovascular system (CVS), central nervous system (CNS), antidiabetic, pain management, cough and cold, gastroenterological, and anti-allergies. Its product portfolio includes tablets (plain, enteric-coated and film-coated), hard capsules, soft gelatin capsules, oral liquids and ointments. Its consumer self-care products include pain management, upper respiratory, digestive health, vitamins, minerals and supplements (VMS) and skin care products. Its prescription - Rx therapeutic segments include CVS, CNS, oncology, anti-diabetics and anti-biotic.</v>
    <v>1349</v>
    <v>National Stock Exchange of India</v>
    <v>XNSE</v>
    <v>XNSE</v>
    <v>11TH FLOOR, GRANDEUR, VEERA DESAI EXTENSION ROAD, OSHIWARA, ANDHERI (W), MAHARASHTRA, 400053 IN</v>
    <v>264.39999999999998</v>
    <v>Pharmaceuticals</v>
    <v>Stock</v>
    <v>46169.490648148145</v>
    <v>82</v>
    <v>247.01</v>
    <v>78646570000</v>
    <v>MARKSANS PHARMA LIMITED</v>
    <v>MARKSANS PHARMA LIMITED</v>
    <v>251.39</v>
    <v>32.020000000000003</v>
    <v>254.79</v>
    <v>249.27</v>
    <v>453163800</v>
    <v>MARKSANS</v>
    <v>MARKSANS PHARMA LIMITED (XNSE:MARKSANS)</v>
    <v>14804312</v>
    <v>5997830</v>
    <v>1992</v>
  </rv>
  <rv s="2">
    <v>83</v>
  </rv>
  <rv s="0">
    <v>https://www.bing.com/financeapi/forcetrigger?t=b1ntur&amp;q=XNSE%3aSOLARA&amp;form=skydnc</v>
    <v>Learn more on Bing</v>
  </rv>
  <rv s="1">
    <v>en-IN</v>
    <v>b1ntur</v>
    <v>268435456</v>
    <v>1</v>
    <v>Powered by Refinitiv</v>
    <v>0</v>
    <v>SOLARA ACTIVE PHARMA SCIENCES LIMITED (XNSE:SOLARA)</v>
    <v>2</v>
    <v>3</v>
    <v>Finance</v>
    <v>4</v>
    <v>734.4</v>
    <v>422</v>
    <v>1.6771</v>
    <v>-12.7</v>
    <v>-2.2738999999999999E-2</v>
    <v>INR</v>
    <v>Solara Active Pharma Sciences Limited is an India-based global, pureplay active pharmaceutical ingredients (API) company. The Company is engaged in the manufacturing and development of APIs and offers contract manufacturing and development services for global companies. Its commercial product category includes Albendazole, Aprepitant (Antiemetic), Colchicine, Citicoline Sodium, Disulfiram, Dolutegravir, Etomidate, Flucytosine, Ibuprofen Arginine, Lurasidone Hydrochloride, Rifaximin, Tioconazole, Zileuton and others. Its research and development (R&amp;D) product category includes Brivaracetam, Flecainide Acetate, Naproxen Base, Obeticholic acid, Patiromer Sorbitex Calcium, Rotigotine, Safinamide, Sapropterin, Sugammadex, Tranexamic Acid, Sucroferric Oxyhydroxide and others. Its business is spread across 70 countries with operations in the key markets of North America, Europe, Japan, South Korea and the Middle East and North Africa. It has one R&amp;D center in Chennai.</v>
    <v>1775</v>
    <v>National Stock Exchange of India</v>
    <v>XNSE</v>
    <v>XNSE</v>
    <v>Second Floor, Admin Block, 27, Vandaloor Kelambakkam Road, Keelakottaiyur Village, Melakottaiyur (PO), CHENNAI, TAMIL NADU, 600127 IN</v>
    <v>566.95000000000005</v>
    <v>Pharmaceuticals</v>
    <v>Stock</v>
    <v>46169.490636574075</v>
    <v>85</v>
    <v>542.35</v>
    <v>25036230000</v>
    <v>SOLARA ACTIVE PHARMA SCIENCES LIMITED</v>
    <v>SOLARA ACTIVE PHARMA SCIENCES LIMITED</v>
    <v>561.95000000000005</v>
    <v>0</v>
    <v>558.5</v>
    <v>545.79999999999995</v>
    <v>48173760</v>
    <v>SOLARA</v>
    <v>SOLARA ACTIVE PHARMA SCIENCES LIMITED (XNSE:SOLARA)</v>
    <v>129824</v>
    <v>589580</v>
    <v>2017</v>
  </rv>
  <rv s="2">
    <v>86</v>
  </rv>
  <rv s="0">
    <v>https://www.bing.com/financeapi/forcetrigger?t=btjqa2&amp;q=XNSE%3aARTEMISMED&amp;form=skydnc</v>
    <v>Learn more on Bing</v>
  </rv>
  <rv s="1">
    <v>en-IN</v>
    <v>btjqa2</v>
    <v>268435456</v>
    <v>1</v>
    <v>Powered by Refinitiv</v>
    <v>0</v>
    <v>ARTEMIS MEDICARE SERVICES LIMITED (XNSE:ARTEMISMED)</v>
    <v>2</v>
    <v>3</v>
    <v>Finance</v>
    <v>4</v>
    <v>297.5</v>
    <v>203.35</v>
    <v>1.9108000000000001</v>
    <v>-6.46</v>
    <v>-2.2776000000000001E-2</v>
    <v>INR</v>
    <v>Artemis Medicare Services Limited is an India-based company. The Company manages and operates a multi-specialty hospital. It specializes in a range of advanced medical and surgical interventions, a mix of inpatient and outpatient services. It offers treatment facilities for various medical conditions under various specialties, which include allergy and immunology, blood (hematology), bones, muscles and joints (orthopedics), brain, spine and nervous system, cancer (oncology), circulatory (vascular), dermatology, digestive (gastroenterology), endocrine, diabetes and cardiology, infectious diseases, sleep apnea, kidneys stone treatment and failure (renal), lung (pulmonary), mouth, teeth and face (oral and maxillofacial), obstetrics and gynecology, psychiatry, arthritis and joint disease, surgery, and urology. It also offers treatment for irregular periods, vertigo, finger joint treatment, and piles. The Company's subsidiary includes Artemis Cardiac Care Private Limited.</v>
    <v>2077</v>
    <v>National Stock Exchange of India</v>
    <v>XNSE</v>
    <v>XNSE</v>
    <v>Artemis Hospitals, Sector 51, GURGAON, HARYANA, 122001 IN</v>
    <v>285.5</v>
    <v>Healthcare Providers &amp; Services</v>
    <v>Stock</v>
    <v>46169.490659722222</v>
    <v>88</v>
    <v>273.85000000000002</v>
    <v>40550140000</v>
    <v>ARTEMIS MEDICARE SERVICES LIMITED</v>
    <v>ARTEMIS MEDICARE SERVICES LIMITED</v>
    <v>285.5</v>
    <v>43.24</v>
    <v>283.63</v>
    <v>277.17</v>
    <v>158306200</v>
    <v>ARTEMISMED</v>
    <v>ARTEMIS MEDICARE SERVICES LIMITED (XNSE:ARTEMISMED)</v>
    <v>162632</v>
    <v>181120</v>
    <v>2004</v>
  </rv>
  <rv s="2">
    <v>89</v>
  </rv>
  <rv s="0">
    <v>https://www.bing.com/financeapi/forcetrigger?t=ahjtzr&amp;q=XNSE%3aSATIN&amp;form=skydnc</v>
    <v>Learn more on Bing</v>
  </rv>
  <rv s="1">
    <v>en-IN</v>
    <v>ahjtzr</v>
    <v>268435456</v>
    <v>1</v>
    <v>Powered by Refinitiv</v>
    <v>0</v>
    <v>SATIN CREDITCARE NETWORK LIMITED (XNSE:SATIN)</v>
    <v>2</v>
    <v>3</v>
    <v>Finance</v>
    <v>4</v>
    <v>245.54</v>
    <v>133.01</v>
    <v>1.1411</v>
    <v>-1.07</v>
    <v>-4.7999999999999996E-3</v>
    <v>INR</v>
    <v>Satin Creditcare Network Limited is a non-deposit accepting non-banking financial company. The Company is engaged in providing micro-finance services to women in the rural areas of India who are enrolled as members and organized as joint liability groups (JLG). Its business is primarily based on the JLG, which allows it to provide collateral-free, microcredit facilities to economically active women in both rural and semi-urban areas. Its products include income generation loan (IGL), Lending to Corporate Institutions &amp; Micro Finance Companies, micro, small and medium enterprise (MSME) Loan, and water, sanitation and hygiene loan (WASH). Its MSME loans are focused on lending to merchants, retailers, service providers, salaried and self-employed professionals, and Agri business. Its loan products cover a range of household appliances, solar, mobile phones, and cycles. The Company's subsidiaries include Satin Housing Finance Limited and Satin Finserv Limited.</v>
    <v>15189</v>
    <v>National Stock Exchange of India</v>
    <v>XNSE</v>
    <v>XNSE</v>
    <v>5TH FLOOR, KUNDAN BHAWAN AZADPUR COMMERCIAL COMPLEX, AZADPUR, DELHI, 110033 IN</v>
    <v>226.74</v>
    <v>Banking Services</v>
    <v>Stock</v>
    <v>46169.490648148145</v>
    <v>91</v>
    <v>219.41</v>
    <v>16601590000</v>
    <v>SATIN CREDITCARE NETWORK LIMITED</v>
    <v>SATIN CREDITCARE NETWORK LIMITED</v>
    <v>222.91</v>
    <v>7.38</v>
    <v>222.91</v>
    <v>221.84</v>
    <v>110086900</v>
    <v>SATIN</v>
    <v>SATIN CREDITCARE NETWORK LIMITED (XNSE:SATIN)</v>
    <v>362074</v>
    <v>816060</v>
    <v>1990</v>
  </rv>
  <rv s="2">
    <v>92</v>
  </rv>
  <rv s="0">
    <v>https://www.bing.com/financeapi/forcetrigger?t=ahjiw7&amp;q=XNSE%3aPRICOLLTD&amp;form=skydnc</v>
    <v>Learn more on Bing</v>
  </rv>
  <rv s="1">
    <v>en-IN</v>
    <v>ahjiw7</v>
    <v>268435456</v>
    <v>1</v>
    <v>Powered by Refinitiv</v>
    <v>0</v>
    <v>PRICOL LIMITED (XNSE:PRICOLLTD)</v>
    <v>2</v>
    <v>3</v>
    <v>Finance</v>
    <v>4</v>
    <v>694.2</v>
    <v>415.1</v>
    <v>0.79</v>
    <v>-3.95</v>
    <v>-7.0260000000000001E-3</v>
    <v>INR</v>
    <v>Pricol Limited is an India-based automotive technology and precision engineered products and solutions company. The Company primarily operates in the automotive segment, which is engaged in manufacturing and trading of automotive components. The Company's operations are classified into three verticals: Driver Information and Connected Vehicle Solution (DICVS); Actuation Control and Fluid Management System (ACFMS), and Precision Products. It offers over 5200 product variants, which are supplied to automotive original equipment manufacturers (OEMs) in two /three-wheelers, passenger vehicles, commercial vehicles and off-highway vehicles across India and in international markets. Its products include Airduct, TFR Type Fuel Level Sensor, Coolant Pump, Oil Pumps, Cabin Tilting System, Disc Brake System, Piece Radiator, Electronic Purge Valve, and E-Cockpit. The Company’s subsidiaries include PT Pricol Surya, Pricol Asia Pte Limited, and Pricol Asia Exim DMCC.</v>
    <v>1825</v>
    <v>National Stock Exchange of India</v>
    <v>XNSE</v>
    <v>XNSE</v>
    <v>109 Race Course, COIMBATORE, TAMIL NADU, 641018 IN</v>
    <v>565.95000000000005</v>
    <v>Automobiles &amp; Auto Parts</v>
    <v>Stock</v>
    <v>46169.490671296298</v>
    <v>94</v>
    <v>555.15</v>
    <v>76206410000</v>
    <v>PRICOL LIMITED</v>
    <v>PRICOL LIMITED</v>
    <v>564</v>
    <v>27.34</v>
    <v>562.20000000000005</v>
    <v>558.25</v>
    <v>121881500</v>
    <v>PRICOLLTD</v>
    <v>PRICOL LIMITED (XNSE:PRICOLLTD)</v>
    <v>296813</v>
    <v>2199890</v>
    <v>2011</v>
  </rv>
  <rv s="2">
    <v>95</v>
  </rv>
  <rv s="0">
    <v>https://www.bing.com/financeapi/forcetrigger?t=ahkpxm&amp;q=XNSE%3aZENTEC&amp;form=skydnc</v>
    <v>Learn more on Bing</v>
  </rv>
  <rv s="1">
    <v>en-IN</v>
    <v>ahkpxm</v>
    <v>268435456</v>
    <v>1</v>
    <v>Powered by Refinitiv</v>
    <v>0</v>
    <v>ZEN TECHNOLOGIES LIMITED (XNSE:ZENTEC)</v>
    <v>2</v>
    <v>3</v>
    <v>Finance</v>
    <v>4</v>
    <v>2268</v>
    <v>1223</v>
    <v>1.6979</v>
    <v>92.7</v>
    <v>5.7835999999999999E-2</v>
    <v>INR</v>
    <v>Zen Technologies Limited is focused on providing defense training and anti-drone solutions and builds training systems for imparting defense training and measuring combat readiness of security forces. It designs, develops and manufactures training simulators, anti-drone systems and operations for para-military forces, armed forces, security forces, police and government departments. Its segment is Defence and Homeland. Its solutions include anti-drone systems, combat training center, live ranges, live simulation and virtual simulation. Its anti-drone system works on drone detection, classification and tracking on passive surveillance, camera sensors and neutralization of the threat through jamming the drone communications. Its live ranges include Air-To-Ground Firing Range Scoring System, Tank Zeroing System, Multi-Functional Target System, and others. The laser instrumented tactical engagement simulator, or Zen TacSim, offers realistic force-on-force mission rehearsal training.</v>
    <v>395</v>
    <v>National Stock Exchange of India</v>
    <v>XNSE</v>
    <v>XNSE</v>
    <v>B-42, INDUSTRIAL ESTATE, SANATHNAGAR, HYDERABAD, TELANGANA, 500018 IN</v>
    <v>1721.7</v>
    <v>Aerospace &amp; Defense</v>
    <v>Stock</v>
    <v>46169.490636574075</v>
    <v>97</v>
    <v>1605.2</v>
    <v>111166200000</v>
    <v>ZEN TECHNOLOGIES LIMITED</v>
    <v>ZEN TECHNOLOGIES LIMITED</v>
    <v>1608.9</v>
    <v>74.48</v>
    <v>1602.8</v>
    <v>1695.5</v>
    <v>89931270</v>
    <v>ZENTEC</v>
    <v>ZEN TECHNOLOGIES LIMITED (XNSE:ZENTEC)</v>
    <v>1971137</v>
    <v>391220</v>
    <v>1993</v>
  </rv>
  <rv s="2">
    <v>98</v>
  </rv>
  <rv s="0">
    <v>https://www.bing.com/financeapi/forcetrigger?t=a1wmu2&amp;q=XNYS%3aKR&amp;form=skydnc</v>
    <v>Learn more on Bing</v>
  </rv>
  <rv s="7">
    <v>en-IN</v>
    <v>a1wmu2</v>
    <v>268435456</v>
    <v>1</v>
    <v>Powered by Refinitiv</v>
    <v>12</v>
    <v>THE KROGER CO. (XNYS:KR)</v>
    <v>2</v>
    <v>13</v>
    <v>Finance</v>
    <v>14</v>
    <v>76.58</v>
    <v>58.6</v>
    <v>0.43640000000000001</v>
    <v>0.14000000000000001</v>
    <v>7.7289999999999998E-4</v>
    <v>2.1689999999999999E-3</v>
    <v>0.05</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403000</v>
    <v>New York Stock Exchange</v>
    <v>XNYS</v>
    <v>XNYS</v>
    <v>1014 Vine St, CINCINNATI, OH, 45201 US</v>
    <v>65.790000000000006</v>
    <v>Food &amp; Drug Retailing</v>
    <v>Stock</v>
    <v>46169.991467500004</v>
    <v>100</v>
    <v>64.64</v>
    <v>39885311683</v>
    <v>THE KROGER CO.</v>
    <v>THE KROGER CO.</v>
    <v>64.78</v>
    <v>41.992899999999999</v>
    <v>64.55</v>
    <v>64.69</v>
    <v>64.739999999999995</v>
    <v>616560700</v>
    <v>KR</v>
    <v>THE KROGER CO. (XNYS:KR)</v>
    <v>5611963</v>
    <v>5214132</v>
    <v>1902</v>
  </rv>
  <rv s="2">
    <v>101</v>
  </rv>
  <rv s="0">
    <v>https://www.bing.com/financeapi/forcetrigger?t=ahkaww&amp;q=XNSE%3aTDPOWERSYS&amp;form=skydnc</v>
    <v>Learn more on Bing</v>
  </rv>
  <rv s="1">
    <v>en-IN</v>
    <v>ahkaww</v>
    <v>268435456</v>
    <v>1</v>
    <v>Powered by Refinitiv</v>
    <v>0</v>
    <v>TD POWER SYSTEMS LIMITED (XNSE:TDPOWERSYS)</v>
    <v>2</v>
    <v>3</v>
    <v>Finance</v>
    <v>4</v>
    <v>1379.6</v>
    <v>453.1</v>
    <v>1.3326</v>
    <v>-35.700000000000003</v>
    <v>-2.6112000000000003E-2</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1379.6</v>
    <v>Machinery, Equipment &amp; Components</v>
    <v>Stock</v>
    <v>46169.490682870368</v>
    <v>103</v>
    <v>1284.5999999999999</v>
    <v>107366500000</v>
    <v>TD POWER SYSTEMS LIMITED</v>
    <v>TD POWER SYSTEMS LIMITED</v>
    <v>1377.4</v>
    <v>89.42</v>
    <v>1367.2</v>
    <v>1331.5</v>
    <v>156228400</v>
    <v>TDPOWERSYS</v>
    <v>TD POWER SYSTEMS LIMITED (XNSE:TDPOWERSYS)</v>
    <v>1509265</v>
    <v>2338450</v>
    <v>1999</v>
  </rv>
  <rv s="2">
    <v>104</v>
  </rv>
  <rv s="0">
    <v>https://www.bing.com/financeapi/forcetrigger?t=c111oc&amp;q=XNSE%3aMTARTECH&amp;form=skydnc</v>
    <v>Learn more on Bing</v>
  </rv>
  <rv s="1">
    <v>en-IN</v>
    <v>c111oc</v>
    <v>268435456</v>
    <v>1</v>
    <v>Powered by Refinitiv</v>
    <v>0</v>
    <v>MTAR TECHNOLOGIES LIMITED (XNSE:MTARTECH)</v>
    <v>2</v>
    <v>3</v>
    <v>Finance</v>
    <v>4</v>
    <v>8449.5</v>
    <v>1390.5</v>
    <v>1.0785</v>
    <v>11.5</v>
    <v>1.4599999999999999E-3</v>
    <v>INR</v>
    <v>MTAR Technologies Limited is a precision engineering company. The Company is engaged in the manufacture of mission-critical precision engineered systems for clean energy, civil nuclear power, fuel cells, hydro wind, space and defense sectors. The Company provides manufacturing solutions such as advanced machining, specialized fabrication, assembly &amp; testing, heat treatment, and special processes such as painting and surface treatment. Its business segments include Civilian Nuclear Power, Space, Defence &amp; Aerospace, Clean Energy, Ball Screws &amp; Roller Screws, and Other Segments-Marine. Its Civilian Nuclear Power segment has a product portfolio, which includes complex assemblies, such as fuel machining heads, drive mechanisms, bridge and column and coolant channel assemblies, and others. Its Space segment provides a range of mission critical assemblies to the Indian Space Research Organisation (ISRO). Its Defence &amp; Aerospace segment offers high-precision machined and fabricated systems.</v>
    <v>1180</v>
    <v>National Stock Exchange of India</v>
    <v>XNSE</v>
    <v>XNSE</v>
    <v>18, Technocrats Industrial Estate, Balanagar, HYDERABAD, TELANGANA, 500037 IN</v>
    <v>7968</v>
    <v>Machinery, Equipment &amp; Components</v>
    <v>Stock</v>
    <v>46169.490636574075</v>
    <v>106</v>
    <v>7761</v>
    <v>81033070000</v>
    <v>MTAR TECHNOLOGIES LIMITED</v>
    <v>MTAR TECHNOLOGIES LIMITED</v>
    <v>7878.5</v>
    <v>257.62</v>
    <v>7878</v>
    <v>7889.5</v>
    <v>30759590</v>
    <v>MTARTECH</v>
    <v>MTAR TECHNOLOGIES LIMITED (XNSE:MTARTECH)</v>
    <v>964951</v>
    <v>3019470</v>
    <v>1999</v>
  </rv>
  <rv s="2">
    <v>107</v>
  </rv>
  <rv s="0">
    <v>https://www.bing.com/financeapi/forcetrigger?t=ahixkr&amp;q=XNSE%3aMCX&amp;form=skydnc</v>
    <v>Learn more on Bing</v>
  </rv>
  <rv s="1">
    <v>en-IN</v>
    <v>ahixkr</v>
    <v>268435456</v>
    <v>1</v>
    <v>Powered by Refinitiv</v>
    <v>0</v>
    <v>MULTI COMMODITY EXCHANGE OF INDIA LIMITED (XNSE:MCX)</v>
    <v>2</v>
    <v>3</v>
    <v>Finance</v>
    <v>4</v>
    <v>3480</v>
    <v>1278.0999999999999</v>
    <v>1.0984</v>
    <v>-148.80000000000001</v>
    <v>-4.4991000000000003E-2</v>
    <v>INR</v>
    <v>Multi Commodity Exchange of India Limited is a commodity derivatives exchange. The Company facilitates online trading of commodity futures and options, data feed subscription and membership. It offers a platform for trading in varied commodity derivative contracts across product segments: bullion, base metals, energy, agricultural commodities and indices. Its flagship index series, MCX iCOMDEX, is a series of real-time commodity futures price indices, which give information on market movements in key segments traded on the exchange. The MCX iCOMDEX series consists of a composite index, apart from two sectoral indices, such as the Base Metal index, and the Bullion index, and four single-commodity indices, such as Gold, Silver, Copper, and Crude Oil. Its subsidiary, Multi Commodity Exchange Clearing Corporation Ltd, provides collateral management and risk management services, along with clearing and settlement of trades executed on the exchange.</v>
    <v>400</v>
    <v>National Stock Exchange of India</v>
    <v>XNSE</v>
    <v>XNSE</v>
    <v>EXCHANGE SQUARE, CHAKALA, SUREN ROAD, ANDHERI (EAST), MAHARASHTRA, 400093 IN</v>
    <v>3322.7</v>
    <v>Investment Banking &amp; Investment Services</v>
    <v>Stock</v>
    <v>46169.490694444445</v>
    <v>109</v>
    <v>3150.8</v>
    <v>583600800000</v>
    <v>MULTI COMMODITY EXCHANGE OF INDIA LIMITED</v>
    <v>MULTI COMMODITY EXCHANGE OF INDIA LIMITED</v>
    <v>3312</v>
    <v>83.45</v>
    <v>3307.3</v>
    <v>3158.5</v>
    <v>254514100</v>
    <v>MCX</v>
    <v>MULTI COMMODITY EXCHANGE OF INDIA LIMITED (XNSE:MCX)</v>
    <v>2992806</v>
    <v>2989820</v>
    <v>2002</v>
  </rv>
  <rv s="2">
    <v>110</v>
  </rv>
  <rv s="0">
    <v>https://www.bing.com/financeapi/forcetrigger?t=ahgsbh&amp;q=XNSE%3aBBOX&amp;form=skydnc</v>
    <v>Learn more on Bing</v>
  </rv>
  <rv s="1">
    <v>en-IN</v>
    <v>ahgsbh</v>
    <v>268435456</v>
    <v>1</v>
    <v>Powered by Refinitiv</v>
    <v>0</v>
    <v>BLACK BOX LIMITED (XNSE:BBOX)</v>
    <v>2</v>
    <v>3</v>
    <v>Finance</v>
    <v>4</v>
    <v>1037.3499999999999</v>
    <v>435.05</v>
    <v>1.3236000000000001</v>
    <v>15.85</v>
    <v>1.6202000000000001E-2</v>
    <v>INR</v>
    <v>Black Box Limited is an information technology (IT) solutions provider delivering technology solutions and consulting services to businesses around the globe. The Company's segments include System integration, Technology product solutions and Others. The System Integration segment includes enterprise networking, data centers, digital workplace, connected buildings and cyber security. The Technology Product Solution segment includes keyboard, video and mouse (KVM); cables, Internet of Things (IoT), and audio video products. The Others segment includes training, consulting and design services. The Company's product brands include Boxilla KVM Manager, DKM 4K Matrix Switches, Emerald 4K KVM over IP, Freedom II KM Switches and MCX AVoIP 10G 4K. The Company's services include professional services, managed services and other services. Its professional services include application development and integration, field and dispatch services, project and deployment, and consulting and design.</v>
    <v>314</v>
    <v>National Stock Exchange of India</v>
    <v>XNSE</v>
    <v>XNSE</v>
    <v>501, 5TH FLOOR, BUILDING NO.9, AIROLI KNOWLEDGE PARK,, MIDC INDUSTRIAL AREA,, AIROLI, THANE, MAHARASHTRA, 400708 IN</v>
    <v>1026.9000000000001</v>
    <v>Software &amp; IT Services</v>
    <v>Stock</v>
    <v>46169.490636574075</v>
    <v>112</v>
    <v>973</v>
    <v>88028660000</v>
    <v>BLACK BOX LIMITED</v>
    <v>BLACK BOX LIMITED</v>
    <v>973</v>
    <v>77.819999999999993</v>
    <v>978.25</v>
    <v>994.1</v>
    <v>177495300</v>
    <v>BBOX</v>
    <v>BLACK BOX LIMITED (XNSE:BBOX)</v>
    <v>1614880</v>
    <v>1512820</v>
    <v>1986</v>
  </rv>
  <rv s="2">
    <v>113</v>
  </rv>
  <rv s="0">
    <v>https://www.bing.com/financeapi/forcetrigger?t=ahko2w&amp;q=XNSE%3aWHEELS&amp;form=skydnc</v>
    <v>Learn more on Bing</v>
  </rv>
  <rv s="1">
    <v>en-IN</v>
    <v>ahko2w</v>
    <v>268435456</v>
    <v>1</v>
    <v>Powered by Refinitiv</v>
    <v>0</v>
    <v>WHEELS INDIA LIMITED (XNSE:WHEELS)</v>
    <v>2</v>
    <v>3</v>
    <v>Finance</v>
    <v>4</v>
    <v>1744</v>
    <v>705.85</v>
    <v>0.81679999999999997</v>
    <v>54</v>
    <v>3.3738999999999998E-2</v>
    <v>INR</v>
    <v>Wheels India Limited is an India-based manufacturer of steel, aluminum and wire wheels. The Company is a supplier of wheels to manufacturers of commercial vehicles, passenger vehicles, agricultural tractors and construction equipment. Its segments include Automotive Components and Industrial Components. Its product categories include wheels, vehicle chassis and suspension, renewable energy components, fabricated and precision products, hydraulic cylinders, railway and aftermarket. Its air suspension systems are designed for commuter and intercity buses, coaches, ICVs, and electric vehicles. Its vehicle chassis and suspension products include FTS 2 ton series, FTS 3 ton series, FLS 4 ton series and others. The Company's renewable energy components include stiffening plate, torque plate, pitch plate, rotor lock disc, seal contact rings, yaw ring / yaw gear and others. It provides hydraulic cylinders for energy equipment and off-road vehicles.</v>
    <v>2593</v>
    <v>National Stock Exchange of India</v>
    <v>XNSE</v>
    <v>XNSE</v>
    <v>PO Box No. 50, MTH Road, Padi, CHENNAI, TAMIL NADU, 600050 IN</v>
    <v>1665</v>
    <v>Automobiles &amp; Auto Parts</v>
    <v>Stock</v>
    <v>46169.490636574075</v>
    <v>115</v>
    <v>1601</v>
    <v>19844490000</v>
    <v>WHEELS INDIA LIMITED</v>
    <v>WHEELS INDIA LIMITED</v>
    <v>1612.9</v>
    <v>26.2</v>
    <v>1600.5</v>
    <v>1654.5</v>
    <v>24433010</v>
    <v>WHEELS</v>
    <v>WHEELS INDIA LIMITED (XNSE:WHEELS)</v>
    <v>87238</v>
    <v>515670</v>
    <v>1960</v>
  </rv>
  <rv s="2">
    <v>116</v>
  </rv>
  <rv s="0">
    <v>https://www.bing.com/financeapi/forcetrigger?t=ahk552&amp;q=XNSE%3aSTLTECH&amp;form=skydnc</v>
    <v>Learn more on Bing</v>
  </rv>
  <rv s="1">
    <v>en-IN</v>
    <v>ahk552</v>
    <v>268435456</v>
    <v>1</v>
    <v>Powered by Refinitiv</v>
    <v>0</v>
    <v>STERLITE TECHNOLOGIES LIMITED (XNSE:STLTECH)</v>
    <v>2</v>
    <v>3</v>
    <v>Finance</v>
    <v>4</v>
    <v>510.65</v>
    <v>69.760000000000005</v>
    <v>0.84419999999999995</v>
    <v>24.3</v>
    <v>4.9964000000000001E-2</v>
    <v>INR</v>
    <v>Sterlite Technologies Limited is a global optical and digital solutions company, which provides advanced offerings to build fifth generation (5G), Rural, Fiber to the X (FTTx), Enterprise and Data Centre networks. The Company's operations primarily relate to the telecom sector, including the manufacturing of telecom products, telecom services and providing digital and technology solutions. Its portfolio includes optical networking business and digital and technology solutions. Its optical networking business is engaged in the design and manufacturing of optical fiber, cables, and optical interconnect products. Its digital and technology solutions is engaged in enabling the digital transformation of telcos and enterprises. Its digital network solutions help telcos, cloud companies, and large enterprises. Its digital services include cloud, cybersecurity, data analytics &amp; artificial intelligence (AI), enterprise software as a service, product engineering, and digital experience.</v>
    <v>1050</v>
    <v>National Stock Exchange of India</v>
    <v>XNSE</v>
    <v>XNSE</v>
    <v>4th Floor Godrej Millennium, Koregaon Road 9, STS 12/1, MAHARASHTRA, 411001 IN</v>
    <v>510.65</v>
    <v>Communications &amp; Networking</v>
    <v>Stock</v>
    <v>46169.490648148145</v>
    <v>118</v>
    <v>510.65</v>
    <v>45349750000</v>
    <v>STERLITE TECHNOLOGIES LIMITED</v>
    <v>STERLITE TECHNOLOGIES LIMITED</v>
    <v>510.65</v>
    <v>426.62</v>
    <v>486.35</v>
    <v>510.65</v>
    <v>488167600</v>
    <v>STLTECH</v>
    <v>STERLITE TECHNOLOGIES LIMITED (XNSE:STLTECH)</v>
    <v>482993</v>
    <v>2909960</v>
    <v>2000</v>
  </rv>
  <rv s="2">
    <v>119</v>
  </rv>
  <rv s="0">
    <v>https://www.bing.com/financeapi/forcetrigger?t=ahhh2w&amp;q=XNSE%3aCUPID&amp;form=skydnc</v>
    <v>Learn more on Bing</v>
  </rv>
  <rv s="1">
    <v>en-IN</v>
    <v>ahhh2w</v>
    <v>268435456</v>
    <v>1</v>
    <v>Powered by Refinitiv</v>
    <v>0</v>
    <v>CUPID LIMITED (XNSE:CUPID)</v>
    <v>2</v>
    <v>3</v>
    <v>Finance</v>
    <v>4</v>
    <v>133.91999999999999</v>
    <v>17.68</v>
    <v>0.46239999999999998</v>
    <v>1.06</v>
    <v>8.2920000000000008E-3</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130.5</v>
    <v>Personal &amp; Household Products &amp; Services</v>
    <v>Stock</v>
    <v>46169.490671296298</v>
    <v>121</v>
    <v>128</v>
    <v>117816800000</v>
    <v>CUPID LIMITED</v>
    <v>CUPID LIMITED</v>
    <v>128.41999999999999</v>
    <v>158.65</v>
    <v>127.84</v>
    <v>128.9</v>
    <v>268467100</v>
    <v>CUPID</v>
    <v>CUPID LIMITED (XNSE:CUPID)</v>
    <v>8569088</v>
    <v>15327940</v>
    <v>1993</v>
  </rv>
  <rv s="2">
    <v>122</v>
  </rv>
  <rv s="0">
    <v>https://www.bing.com/financeapi/forcetrigger?t=ahipz2&amp;q=XNSE%3aLAURUSLABS&amp;form=skydnc</v>
    <v>Learn more on Bing</v>
  </rv>
  <rv s="1">
    <v>en-IN</v>
    <v>ahipz2</v>
    <v>268435456</v>
    <v>1</v>
    <v>Powered by Refinitiv</v>
    <v>0</v>
    <v>LAURUS LABS LIMITED (XNSE:LAURUSLABS)</v>
    <v>2</v>
    <v>3</v>
    <v>Finance</v>
    <v>4</v>
    <v>1391.5</v>
    <v>591.6</v>
    <v>0.94610000000000005</v>
    <v>7.8</v>
    <v>5.6769999999999998E-3</v>
    <v>INR</v>
    <v>Laurus Labs Limited is an India-based company. The Company is a pharmaceutical manufacturing organization. It is engaged in developing and manufacturing active pharmaceutical ingredients (APIs) and intermediates. It supplies anti-retroviral APIs and intermediates. It provides contract and custom manufacturing solutions, allowing client organizations to outsource various stages of the manufacturing process. It is also engaged in development and manufacturing of animal-origin-free recombinant proteins, growth factors, and cell-culture media supplements catering to the needs of stem cells and regenerative medicine, vaccines and biological drugs, cultured meat, and cell-culture media manufacturing. It offers precision fermentation as a contract development and manufacturing organization (CDMO) service. Its service is offered to protein companies and bio-manufacturers operating across healthcare, food, nutrition, personal care, and bio-based materials markets.</v>
    <v>6167</v>
    <v>National Stock Exchange of India</v>
    <v>XNSE</v>
    <v>XNSE</v>
    <v>2nd Floor, Serene Chambers,, Road No. 7, Banjara Hills,, HYDERABAD, TELANGANA, 500034 IN</v>
    <v>1391.5</v>
    <v>Pharmaceuticals</v>
    <v>Stock</v>
    <v>46169.490671296298</v>
    <v>124</v>
    <v>1365.1</v>
    <v>571330300000</v>
    <v>LAURUS LABS LIMITED</v>
    <v>LAURUS LABS LIMITED</v>
    <v>1369.9</v>
    <v>83.42</v>
    <v>1373.9</v>
    <v>1381.7</v>
    <v>539856600</v>
    <v>LAURUSLABS</v>
    <v>LAURUS LABS LIMITED (XNSE:LAURUSLABS)</v>
    <v>1311180</v>
    <v>2083020</v>
    <v>2005</v>
  </rv>
  <rv s="2">
    <v>125</v>
  </rv>
  <rv s="0">
    <v>https://www.bing.com/financeapi/forcetrigger?t=ahimh7&amp;q=XNSE%3aKIRLOSENG&amp;form=skydnc</v>
    <v>Learn more on Bing</v>
  </rv>
  <rv s="1">
    <v>en-IN</v>
    <v>ahimh7</v>
    <v>268435456</v>
    <v>1</v>
    <v>Powered by Refinitiv</v>
    <v>0</v>
    <v>KIRLOSKAR OIL ENGINES LIMITED (XNSE:KIRLOSENG)</v>
    <v>2</v>
    <v>3</v>
    <v>Finance</v>
    <v>4</v>
    <v>1836</v>
    <v>825.6</v>
    <v>1.3533999999999999</v>
    <v>79.2</v>
    <v>4.5235999999999998E-2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1836</v>
    <v>Machinery, Equipment &amp; Components</v>
    <v>Stock</v>
    <v>46169.490671296298</v>
    <v>127</v>
    <v>1745.1</v>
    <v>167243400000</v>
    <v>KIRLOSKAR OIL ENGINES LIMITED</v>
    <v>KIRLOSKAR OIL ENGINES LIMITED</v>
    <v>1745.1</v>
    <v>44.67</v>
    <v>1750.8</v>
    <v>1830</v>
    <v>145379900</v>
    <v>KIRLOSENG</v>
    <v>KIRLOSKAR OIL ENGINES LIMITED (XNSE:KIRLOSENG)</v>
    <v>618271</v>
    <v>517900</v>
    <v>2009</v>
  </rv>
  <rv s="2">
    <v>128</v>
  </rv>
  <rv s="0">
    <v>https://www.bing.com/financeapi/forcetrigger?t=ahha27&amp;q=XNSE%3aBSE&amp;form=skydnc</v>
    <v>Learn more on Bing</v>
  </rv>
  <rv s="1">
    <v>en-IN</v>
    <v>ahha27</v>
    <v>268435456</v>
    <v>1</v>
    <v>Powered by Refinitiv</v>
    <v>0</v>
    <v>BSE Limited (XNSE:BSE)</v>
    <v>2</v>
    <v>3</v>
    <v>Finance</v>
    <v>4</v>
    <v>4446.8</v>
    <v>2021.5</v>
    <v>0.97660000000000002</v>
    <v>-154.9</v>
    <v>-3.5178000000000001E-2</v>
    <v>INR</v>
    <v>BSE Limited is an India-based stock exchange company. The Company provides a platform for trading in equity, debt instruments, derivatives, and mutual funds. It also has a platform for trading in equities of small-and-medium enterprises (SME). The Company operates through a single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E-Agricultural Markets Limited, BSE Administration and Supervision Limited, BSE Institute Limited, among others.</v>
    <v>771</v>
    <v>National Stock Exchange of India</v>
    <v>XNSE</v>
    <v>XNSE</v>
    <v>25TH FLOOR, PJ TOWER DALAL STREET, MUMBAI, MAHARASHTRA, 400001 IN</v>
    <v>4446.8</v>
    <v>Investment Banking &amp; Investment Services</v>
    <v>Stock</v>
    <v>46169.490671296298</v>
    <v>130</v>
    <v>4236.1000000000004</v>
    <v>1153471000000</v>
    <v>BSE Limited</v>
    <v>BSE Limited</v>
    <v>4437</v>
    <v>73</v>
    <v>4403.3</v>
    <v>4248.3999999999996</v>
    <v>407299100</v>
    <v>BSE</v>
    <v>BSE Limited (XNSE:BSE)</v>
    <v>4332377</v>
    <v>4305640</v>
    <v>2005</v>
  </rv>
  <rv s="2">
    <v>131</v>
  </rv>
  <rv s="0">
    <v>https://www.bing.com/financeapi/forcetrigger?t=ahhgz2&amp;q=XNSE%3aCUMMINSIND&amp;form=skydnc</v>
    <v>Learn more on Bing</v>
  </rv>
  <rv s="1">
    <v>en-IN</v>
    <v>ahhgz2</v>
    <v>268435456</v>
    <v>1</v>
    <v>Powered by Refinitiv</v>
    <v>0</v>
    <v>CUMMINS INDIA LIMITED (XNSE:CUMMINSIND)</v>
    <v>2</v>
    <v>3</v>
    <v>Finance</v>
    <v>4</v>
    <v>6099</v>
    <v>2915.6</v>
    <v>1.2302</v>
    <v>609</v>
    <v>0.11239300000000001</v>
    <v>INR</v>
    <v>Cummins India Limited is a manufacturer of diesel and natural gas engines for power generation, industrial and automotive markets. The Company’s business units include engines, power systems, and distribution. Its engine business manufactures engines from 125 to 400 horsepower (HP) for low, medium and heavy-duty on-highway commercial vehicle markets and off-highway commercial equipment industries spanning construction and compressor (49HP to 430HP). Its power systems business designs and manufactures robust engines with a horsepower spectrum ranging from 700 HP to 4500 HP. These engines are tailored for various sectors, including marine, railways, defense, and mining. Its distribution business provides products, packages, services and solutions for the uptime of its equipment. Its digital products include Acumen, Incal and Inline. It serves end users, Original Equipment Manufacturers (OEMs), channel partners, dealers, distributors, and retailers.</v>
    <v>3025</v>
    <v>National Stock Exchange of India</v>
    <v>XNSE</v>
    <v>XNSE</v>
    <v>CUMMINS INDIA OFFICE CAMPUS TOWER A, 5TH FLOOR, SURVEY NO.21,, BALEWADI, MAHARASHTRA, 411045 IN</v>
    <v>6099</v>
    <v>Automobiles &amp; Auto Parts</v>
    <v>Stock</v>
    <v>46169.491180555553</v>
    <v>133</v>
    <v>5402.5</v>
    <v>1102646000000</v>
    <v>CUMMINS INDIA LIMITED</v>
    <v>CUMMINS INDIA LIMITED</v>
    <v>5414</v>
    <v>67</v>
    <v>5418.5</v>
    <v>6027.5</v>
    <v>277200000</v>
    <v>CUMMINSIND</v>
    <v>CUMMINS INDIA LIMITED (XNSE:CUMMINSIND)</v>
    <v>1722262</v>
    <v>355310</v>
    <v>1962</v>
  </rv>
  <rv s="2">
    <v>134</v>
  </rv>
  <rv s="0">
    <v>https://www.bing.com/financeapi/forcetrigger?t=ahgr6h&amp;q=XNSE%3aADANIPORTS&amp;form=skydnc</v>
    <v>Learn more on Bing</v>
  </rv>
  <rv s="1">
    <v>en-IN</v>
    <v>ahgr6h</v>
    <v>268435456</v>
    <v>1</v>
    <v>Powered by Refinitiv</v>
    <v>0</v>
    <v>ADANI PORTS AND SPECIAL ECONOMIC ZONE LIMITED (XNSE:ADANIPORTS)</v>
    <v>2</v>
    <v>3</v>
    <v>Finance</v>
    <v>4</v>
    <v>1842.8</v>
    <v>1290.5</v>
    <v>1.4132</v>
    <v>13.3</v>
    <v>7.3429999999999997E-3</v>
    <v>INR</v>
    <v>Adani Ports and Special Economic Zone Limited is an India-based integrated ports and logistics company. Its segments include port and special economic zone (SEZ) activities, and other. The port and SEZ activities segment, which includes developing, operating and maintaining the port services, port related infrastructure development activities and development of infrastructure in a contiguous special economic zone. The Other Segment mainly includes Aircraft Operating Income, Warehousing and transportation of food grains. Its presence across 13 domestic ports in seven maritime states of Gujarat, Maharashtra, Kerala, Andhra Pradesh, Tamil Nadu, Odisha and others. The ports are equipped to handle diverse cargos, from dry cargo, liquid cargo, and crude to containers. Its ports &amp; terminals include Gangavaram Port, Karaikal Port, Krishnapatnam Port, Mundra Port, Gopalpur Port, and others. It also owns north queensland export terminal (NQXT), a natural deep-water, multi-user export terminal.</v>
    <v>3118</v>
    <v>National Stock Exchange of India</v>
    <v>XNSE</v>
    <v>XNSE</v>
    <v>Adani Corporate House, Shantigram, Near Vaishno Devi Circle, S. G. Highway, Khodiyar, AHMEDABAD, GUJARAT, 382421 IN</v>
    <v>1842.8</v>
    <v>Transport Infrastructure</v>
    <v>Stock</v>
    <v>46169.490659722222</v>
    <v>136</v>
    <v>1809.9</v>
    <v>3291436000000</v>
    <v>ADANI PORTS AND SPECIAL ECONOMIC ZONE LIMITED</v>
    <v>ADANI PORTS AND SPECIAL ECONOMIC ZONE LIMITED</v>
    <v>1810</v>
    <v>31.11</v>
    <v>1811.2</v>
    <v>1824.5</v>
    <v>2303959000</v>
    <v>ADANIPORTS</v>
    <v>ADANI PORTS AND SPECIAL ECONOMIC ZONE LIMITED (XNSE:ADANIPORTS)</v>
    <v>2102406</v>
    <v>2454970</v>
    <v>1998</v>
  </rv>
  <rv s="2">
    <v>137</v>
  </rv>
  <rv s="0">
    <v>https://www.bing.com/financeapi/forcetrigger?t=ahjryc&amp;q=XNSE%3aSAKAR&amp;form=skydnc</v>
    <v>Learn more on Bing</v>
  </rv>
  <rv s="1">
    <v>en-IN</v>
    <v>ahjryc</v>
    <v>268435456</v>
    <v>1</v>
    <v>Powered by Refinitiv</v>
    <v>0</v>
    <v>SAKAR HEALTHCARE LIMITED (XNSE:SAKAR)</v>
    <v>2</v>
    <v>3</v>
    <v>Finance</v>
    <v>4</v>
    <v>837.75</v>
    <v>306.10000000000002</v>
    <v>0.86890000000000001</v>
    <v>1.85</v>
    <v>2.3519999999999999E-3</v>
    <v>INR</v>
    <v>Sakar Healthcare Limited is an India-based pharmaceutical company. The Company is engaged in manufacturing of pharmaceutical products providing liquid orals, cephalosporin tablets, capsules, dry powder syrup, dry powder injections, liquid injectables (SVP) in ampoules and vials &amp; lyophilized injections. The Company's oncology products include oral solid dosage (tablet &amp; capsule), liquid injection, lyophilized injection, active pharmaceutical ingredient (API), CDMO products and CRAMs. It has a presence across the regions of Africa (Anglo &amp; Francophone), SEASIA, CIS, Latin &amp; Central America and in Europe. It operates in over 50 countries globally and has approximately 292 registered products. It exports to Southeast Asia, Asia, Africa-Anglo &amp; Francophone, MENA, America, covering around 38 countries with more than 250 brands registered.</v>
    <v>342</v>
    <v>National Stock Exchange of India</v>
    <v>XNSE</v>
    <v>XNSE</v>
    <v>Block No. 10/13, Village: Changodar Sarkhej-Bavla Highway, Sanand, GUJARAT, 382213 IN</v>
    <v>818</v>
    <v>Pharmaceuticals</v>
    <v>Stock</v>
    <v>46169.490648148145</v>
    <v>139</v>
    <v>775.05</v>
    <v>8347054000</v>
    <v>SAKAR HEALTHCARE LIMITED</v>
    <v>SAKAR HEALTHCARE LIMITED</v>
    <v>793</v>
    <v>57.44</v>
    <v>786.4</v>
    <v>788.25</v>
    <v>21949910</v>
    <v>SAKAR</v>
    <v>SAKAR HEALTHCARE LIMITED (XNSE:SAKAR)</v>
    <v>175851</v>
    <v>424710</v>
    <v>2004</v>
  </rv>
  <rv s="2">
    <v>140</v>
  </rv>
  <rv s="0">
    <v>https://www.bing.com/financeapi/forcetrigger?t=ahivm7&amp;q=XNSE%3aMANINDS&amp;form=skydnc</v>
    <v>Learn more on Bing</v>
  </rv>
  <rv s="1">
    <v>en-IN</v>
    <v>ahivm7</v>
    <v>268435456</v>
    <v>1</v>
    <v>Powered by Refinitiv</v>
    <v>0</v>
    <v>MAN INDUSTRIES (INDIA) LIMITED (XNSE:MANINDS)</v>
    <v>2</v>
    <v>3</v>
    <v>Finance</v>
    <v>4</v>
    <v>606.4</v>
    <v>302.05</v>
    <v>1.9439</v>
    <v>-18.850000000000001</v>
    <v>-3.4431999999999997E-2</v>
    <v>INR</v>
    <v>Man Industries (India) Limited is an India-based company, which is engaged in the business of manufacturing, processing, and trading of submerged arc welded steel pipes and steel products. It specializes in the manufacturing and coating of large-diameter carbon steel pipes, alongside ventures in infrastructure, realty, and trading. The Company’s segments are Manufacturing and trading in Steel Products and Real Estate. The Company’s LSAW pipes are approximately 16 inches to 56 inches in diameter. LSAW pipes have a maximum length of about 12.20 meters. It also provides various options for coating systems, which include external coating system and internal coating system. It offers external coatings and internal linings that protect steel pipes against corrosion and mechanical impact. The Company’s subsidiaries include Merino Shelters Private Limited, Man Stainless Steel Tubes Limited, Man Overseas Metals DMCC, Man International Steel Industrial Company, and Man USA Inc.</v>
    <v>742</v>
    <v>National Stock Exchange of India</v>
    <v>XNSE</v>
    <v>XNSE</v>
    <v>Man House, 101, S.V. Road, Vile Parle (W), MUMBAI, MAHARASHTRA, 400056 IN</v>
    <v>566.79999999999995</v>
    <v>Metals &amp; Mining</v>
    <v>Stock</v>
    <v>46169.490648148145</v>
    <v>142</v>
    <v>526</v>
    <v>25735780000</v>
    <v>MAN INDUSTRIES (INDIA) LIMITED</v>
    <v>MAN INDUSTRIES (INDIA) LIMITED</v>
    <v>548</v>
    <v>20.350000000000001</v>
    <v>547.45000000000005</v>
    <v>528.6</v>
    <v>75009570</v>
    <v>MANINDS</v>
    <v>MAN INDUSTRIES (INDIA) LIMITED (XNSE:MANINDS)</v>
    <v>963862</v>
    <v>1382480</v>
    <v>1988</v>
  </rv>
  <rv s="2">
    <v>143</v>
  </rv>
  <rv s="0">
    <v>https://www.bing.com/financeapi/forcetrigger?t=c3ecr7&amp;q=XNSE%3aVIJAYA&amp;form=skydnc</v>
    <v>Learn more on Bing</v>
  </rv>
  <rv s="1">
    <v>en-IN</v>
    <v>c3ecr7</v>
    <v>268435456</v>
    <v>1</v>
    <v>Powered by Refinitiv</v>
    <v>0</v>
    <v>VIJAYA DIAGNOSTIC CENTRE LIMITED (XNSE:VIJAYA)</v>
    <v>2</v>
    <v>3</v>
    <v>Finance</v>
    <v>4</v>
    <v>1379.3</v>
    <v>848</v>
    <v>0.79169999999999996</v>
    <v>1.8</v>
    <v>1.4289999999999999E-3</v>
    <v>INR</v>
    <v>Vijaya Diagnostic Centre Limited is an India-based company, which is engaged in the business of providing a range of diagnostic services, spanning pathological investigations, basic and high-end radiology, nuclear medicine, and related healthcare services. It operates through the Diagnostic Services segment. It offers laboratory services and radiology services. Its services include clinical pathology, microbiology, hematology, serology, histopathology, cytogenetics, biochemistry, molecular diagnostics, computerized tomography (CT) scan, magnetic resonance imaging (MRI) scan, ultrasound, X-ray, cardiology, gastroenterology, nuclear medicine, and MRI-3T. It operates approximately 160 diagnostic centers in 25 cities spread across India. Its clinical pathology includes liver function test (LFT-A), creatine kinase (CPK) test, and thyroid profile test. It offers various health checkups, which include general wellness, women's care, gynecology packages, and lifestyle.</v>
    <v>2218</v>
    <v>National Stock Exchange of India</v>
    <v>XNSE</v>
    <v>XNSE</v>
    <v>6-3-883/F, Ground Floor, FPA Building,, Near Topaz Building, Punjagutta,, HYDERABAD, TELANGANA, 500082 IN</v>
    <v>1270.2</v>
    <v>Healthcare Providers &amp; Services</v>
    <v>Stock</v>
    <v>46169.490636574075</v>
    <v>145</v>
    <v>1230.5999999999999</v>
    <v>102804100000</v>
    <v>VIJAYA DIAGNOSTIC CENTRE LIMITED</v>
    <v>VIJAYA DIAGNOSTIC CENTRE LIMITED</v>
    <v>1254.2</v>
    <v>74.89</v>
    <v>1259.5999999999999</v>
    <v>1261.4000000000001</v>
    <v>102896700</v>
    <v>VIJAYA</v>
    <v>VIJAYA DIAGNOSTIC CENTRE LIMITED (XNSE:VIJAYA)</v>
    <v>100290</v>
    <v>219660</v>
    <v>2002</v>
  </rv>
  <rv s="2">
    <v>146</v>
  </rv>
  <rv s="0">
    <v>https://www.bing.com/financeapi/forcetrigger?t=c3ecoc&amp;q=XNSE%3aAMIORG&amp;form=skydnc</v>
    <v>Learn more on Bing</v>
  </rv>
  <rv s="1">
    <v>en-IN</v>
    <v>c3ecoc</v>
    <v>268435456</v>
    <v>1</v>
    <v>Powered by Refinitiv</v>
    <v>0</v>
    <v>ACUTAAS CHEMICALS LIMITED (XNSE:ACUTAAS)</v>
    <v>2</v>
    <v>3</v>
    <v>Finance</v>
    <v>4</v>
    <v>3075.3</v>
    <v>1059</v>
    <v>0.41770000000000002</v>
    <v>-34.200000000000003</v>
    <v>-1.1269E-2</v>
    <v>INR</v>
    <v>Acutaas Chemicals Limited, formerly Ami Organics Limited, is a manufacturer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520 plus products, including specialty chemicals, Pharma Intermediates for APIs across 23 key therapeutic areas since inception and NCE across select high-growth high margin chronic therapeutic areas.</v>
    <v>879</v>
    <v>National Stock Exchange of India</v>
    <v>XNSE</v>
    <v>XNSE</v>
    <v>PLOT NO. 440/4, 5 &amp; 6, ROAD NO. 82/A,, GIDC, SACHIN, GUJARAT, 394230 IN</v>
    <v>3075.3</v>
    <v>Chemicals</v>
    <v>Stock</v>
    <v>46169.490636574075</v>
    <v>148</v>
    <v>2989</v>
    <v>137813700000</v>
    <v>ACUTAAS CHEMICALS LIMITED</v>
    <v>ACUTAAS CHEMICALS LIMITED</v>
    <v>3049</v>
    <v>69.75</v>
    <v>3034.8</v>
    <v>3000.6</v>
    <v>81871120</v>
    <v>ACUTAAS</v>
    <v>ACUTAAS CHEMICALS LIMITED (XNSE:ACUTAAS)</v>
    <v>206974</v>
    <v>459180</v>
    <v>2007</v>
  </rv>
  <rv s="2">
    <v>149</v>
  </rv>
  <rv s="0">
    <v>https://www.bing.com/financeapi/forcetrigger?t=ahh6ur&amp;q=XNSE%3aBHARATFORG&amp;form=skydnc</v>
    <v>Learn more on Bing</v>
  </rv>
  <rv s="1">
    <v>en-IN</v>
    <v>ahh6ur</v>
    <v>268435456</v>
    <v>1</v>
    <v>Powered by Refinitiv</v>
    <v>0</v>
    <v>BHARAT FORGE LTD (XNSE:BHARATFORG)</v>
    <v>2</v>
    <v>3</v>
    <v>Finance</v>
    <v>4</v>
    <v>2044</v>
    <v>1100.5</v>
    <v>1.1617</v>
    <v>8.1999999999999993</v>
    <v>4.248E-3</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1961</v>
    <v>Metals &amp; Mining</v>
    <v>Stock</v>
    <v>46169.490624999999</v>
    <v>151</v>
    <v>1916</v>
    <v>698152800000</v>
    <v>BHARAT FORGE LTD</v>
    <v>BHARAT FORGE LTD</v>
    <v>1938.9</v>
    <v>85.49</v>
    <v>1930.4</v>
    <v>1938.6</v>
    <v>478088600</v>
    <v>BHARATFORG</v>
    <v>BHARAT FORGE LTD (XNSE:BHARATFORG)</v>
    <v>561943</v>
    <v>875920</v>
    <v>1961</v>
  </rv>
  <rv s="2">
    <v>152</v>
  </rv>
  <rv s="0">
    <v>https://www.bing.com/financeapi/forcetrigger?t=ahjkrw&amp;q=XNSE%3aRADICO&amp;form=skydnc</v>
    <v>Learn more on Bing</v>
  </rv>
  <rv s="1">
    <v>en-IN</v>
    <v>ahjkrw</v>
    <v>268435456</v>
    <v>1</v>
    <v>Powered by Refinitiv</v>
    <v>0</v>
    <v>RADICO KHAITAN LIMITED (XNSE:RADICO)</v>
    <v>2</v>
    <v>3</v>
    <v>Finance</v>
    <v>4</v>
    <v>3679</v>
    <v>2436.3000000000002</v>
    <v>0.86280000000000001</v>
    <v>-139.1</v>
    <v>-3.8871999999999997E-2</v>
    <v>INR</v>
    <v>Radico Khaitan Limited is an India-based manufacturer of alcohol and alcoholic products. The Company is engaged in the manufacturing and trading of alcoholic products, such as Indian-made foreign liquor (IMFL) and country liquor. The Company operates through Alcohol and Alcoholic Beverages segment. It offers various brands, such as rampur indian single malt whisky, jaisalmer indian craft gin, royal ranthambore heritage collection royal crafted whisky, happiness in a bottle, magic moments dazzle vodka, magic moments verve, magic moments vodka, magic moments vodka cocktails, after dark premium whisky, morpheus blue xo brandy, morpheus xo brandy, 8pm premium black whisky, 8pm whisky, 1965 the spirit of victory premium xxx rum, whytehall premium brandy, old admiral brandy, and contessa rum. It has two distillery campuses located in India. The Company has a total capacity of over 321 million liters and operates 44 bottling units, spread across the country.</v>
    <v>1494</v>
    <v>National Stock Exchange of India</v>
    <v>XNSE</v>
    <v>XNSE</v>
    <v>PLOT NO.J-1, BLOCK B-1 MOHAN CO-OPERATIVE INDUSTRIAL AREA, MATHURA ROAD, DELHI, 110044 IN</v>
    <v>3649</v>
    <v>Beverages</v>
    <v>Stock</v>
    <v>46169.490648148145</v>
    <v>154</v>
    <v>3426.9</v>
    <v>392026800000</v>
    <v>RADICO KHAITAN LIMITED</v>
    <v>RADICO KHAITAN LIMITED</v>
    <v>3604</v>
    <v>79.239999999999995</v>
    <v>3578.4</v>
    <v>3439.3</v>
    <v>133931400</v>
    <v>RADICO</v>
    <v>RADICO KHAITAN LIMITED (XNSE:RADICO)</v>
    <v>463766</v>
    <v>327460</v>
    <v>1983</v>
  </rv>
  <rv s="2">
    <v>155</v>
  </rv>
  <rv s="0">
    <v>https://www.bing.com/financeapi/forcetrigger?t=ahj4jc&amp;q=XNSE%3aNATIONALUM&amp;form=skydnc</v>
    <v>Learn more on Bing</v>
  </rv>
  <rv s="1">
    <v>en-IN</v>
    <v>ahj4jc</v>
    <v>268435456</v>
    <v>1</v>
    <v>Powered by Refinitiv</v>
    <v>0</v>
    <v>NATIONAL ALUMINIUM CO LTD (XNSE:NATIONALUM)</v>
    <v>2</v>
    <v>3</v>
    <v>Finance</v>
    <v>4</v>
    <v>445.15</v>
    <v>176.34</v>
    <v>0.7611</v>
    <v>16.850000000000001</v>
    <v>4.0485E-2</v>
    <v>INR</v>
    <v>National Aluminium Company Limited is an India-based integrated bauxite-alumina-aluminum- power complex. The Company's operations include bauxite mines, alumina refinery, aluminum smelter, captive power plant, port facilities, wind power plants, solar power and Nalco Research &amp; Technology Centre - testing services. Its segments include Chemicals and Aluminum. Chemicals segment includes calcined alumina, alumina hydrate and other related products. The aluminum segment includes aluminum ingots, wire rods, billets, strips, rolled and other related products. It is operating approximately 22.75 lakh MT per annum alumina refinery plant located at Damanjodi in Koraput district of Odisha and 4.60 lakh MT per annum aluminum smelter located at Angul, Odisha. It operates four wind power plants with total capacity of approximately 198.40 megawatts. The Company, through its joint venture company, Khanij Bidesh India Limited, is focused on sourcing battery minerals like lithium and cobalt.</v>
    <v>4803</v>
    <v>National Stock Exchange of India</v>
    <v>XNSE</v>
    <v>XNSE</v>
    <v>Nalco Bhawan, Plot No. P/1, Nayapalli, BHUBANESHWAR, ORISSA, 751013 IN</v>
    <v>437.75</v>
    <v>Metals &amp; Mining</v>
    <v>Stock</v>
    <v>46169.490636574075</v>
    <v>157</v>
    <v>420.25</v>
    <v>656412200000</v>
    <v>NATIONAL ALUMINIUM CO LTD</v>
    <v>NATIONAL ALUMINIUM CO LTD</v>
    <v>421.2</v>
    <v>13.18</v>
    <v>416.2</v>
    <v>433.05</v>
    <v>1836632000</v>
    <v>NATIONALUM</v>
    <v>NATIONAL ALUMINIUM CO LTD (XNSE:NATIONALUM)</v>
    <v>15519448</v>
    <v>7385710</v>
    <v>1981</v>
  </rv>
  <rv s="2">
    <v>158</v>
  </rv>
  <rv s="0">
    <v>https://www.bing.com/financeapi/forcetrigger?t=ahhurw&amp;q=XNSE%3aGESHIP&amp;form=skydnc</v>
    <v>Learn more on Bing</v>
  </rv>
  <rv s="1">
    <v>en-IN</v>
    <v>ahhurw</v>
    <v>268435456</v>
    <v>1</v>
    <v>Powered by Refinitiv</v>
    <v>0</v>
    <v>THE GREAT EASTERN SHIPPING COMPANY LIMITED (XNSE:GESHIP)</v>
    <v>2</v>
    <v>3</v>
    <v>Finance</v>
    <v>4</v>
    <v>1798</v>
    <v>913.1</v>
    <v>1.0065999999999999</v>
    <v>-139.4</v>
    <v>-8.444900000000001E-2</v>
    <v>INR</v>
    <v>The Great Eastern Shipping Company Limited is an India-based company, which operates as a shipping service provider. It is engaged in managing a diverse fleet of crude carriers, product carriers, LPG carriers, and various classes of dry bulk vessels. It operates in two main businesses. The Shipping business is involved in transportation of crude oil, petroleum products, gas and dry bulk commodities. The Offshore business services to the oil companies in carrying out offshore exploration and production activities, through its subsidiary Greatship (India) Limited. Its crude oil carriers include Jag Lok, Jag Lalit, Jag Leena, Jag Lakshya, Jag Leela and Jag Laxmi. Its product carriers include Jag Lokesh, Jag Lara, Jag Aabha, Jag Aanchal, Jag Amisha, and others. Its LPG Carriers Include Jag Vikram, Jag Vishnu, Jag Vasant, and Jag Viraat. Its Dry Bulk Carriers include Jag Anand, Jag Alaia, Jag Aarati, and Jag Aditi. Its fleet includes approximately 28 tankers and 14 dry bulk carriers.</v>
    <v>266</v>
    <v>National Stock Exchange of India</v>
    <v>XNSE</v>
    <v>XNSE</v>
    <v>134/A OCEAN HOUSE DR. ANNIE BESANT ROAD, WORLI, MAHARASHTRA, 400018 IN</v>
    <v>1650</v>
    <v>Oil &amp; Gas Related Equipment and Services</v>
    <v>Stock</v>
    <v>46169.490659722222</v>
    <v>160</v>
    <v>1502</v>
    <v>157943300000</v>
    <v>THE GREAT EASTERN SHIPPING COMPANY LIMITED</v>
    <v>THE GREAT EASTERN SHIPPING COMPANY LIMITED</v>
    <v>1650</v>
    <v>8.01</v>
    <v>1650.7</v>
    <v>1511.3</v>
    <v>142767200</v>
    <v>GESHIP</v>
    <v>THE GREAT EASTERN SHIPPING COMPANY LIMITED (XNSE:GESHIP)</v>
    <v>1842803</v>
    <v>4285440</v>
    <v>1948</v>
  </rv>
  <rv s="2">
    <v>161</v>
  </rv>
  <rv s="3">
    <v>en-IN</v>
    <v>cgof5r</v>
    <v>268435456</v>
    <v>1</v>
    <v>Powered by Refinitiv</v>
    <v>5</v>
    <v>ATHER ENERGY LIMITED (XNSE:ATHERENERG)</v>
    <v>6</v>
    <v>3</v>
    <v>Finance</v>
    <v>4</v>
    <v>989.4</v>
    <v>301</v>
    <v>1.3320000000000001</v>
    <v>4.9000000000000004</v>
    <v>5.1549999999999999E-3</v>
    <v>INR</v>
    <v>Ather Energy Limited is an India-based pure play electric vehicle (EV) company. The Company specializes in Indian electric two-wheeler (E2W) market. The Company sells E2Ws and the associated product ecosystem, comprised of its software, charging infrastructure and smart accessories, all of which are conceptualized and designed by it in India. Its E2W portfolio comprises two product lines: the Ather 450 line, which caters to customers seeking performance scooters, and the Ather Rizta line, which is targeted at customers seeking convenience scooters for their family. The Company’s software, Atherstack, is developed in-house and powers all Ather products. Atherstack offers approximately 69 features related to navigation, analytics, ride assistance, safety and productivity, as well as integration with its charging infrastructure and smart accessories. Upon purchase of an E2W, its customers have the option to purchase advanced Atherstack software features through the Atherstack Pro.</v>
    <v>1617</v>
    <v>National Stock Exchange of India</v>
    <v>XNSE</v>
    <v>XNSE</v>
    <v>3rd Floor Tower D, Ibc Knowledge Park, Bannerghatta Main Road, BANGALORE, KARNATAKA, 560029 IN</v>
    <v>977.5</v>
    <v>Leisure Products</v>
    <v>Stock</v>
    <v>46169.490729166668</v>
    <v>950</v>
    <v>249475900000</v>
    <v>ATHER ENERGY LIMITED</v>
    <v>ATHER ENERGY LIMITED</v>
    <v>955.4</v>
    <v>0</v>
    <v>950.6</v>
    <v>955.5</v>
    <v>382982500</v>
    <v>ATHERENERG</v>
    <v>ATHER ENERGY LIMITED (XNSE:ATHERENERG)</v>
    <v>2225467</v>
    <v>3867780</v>
    <v>2013</v>
  </rv>
  <rv s="2">
    <v>163</v>
  </rv>
  <rv s="0">
    <v>https://www.bing.com/financeapi/forcetrigger?t=ahil6h&amp;q=XNSE%3aKEI&amp;form=skydnc</v>
    <v>Learn more on Bing</v>
  </rv>
  <rv s="1">
    <v>en-IN</v>
    <v>ahil6h</v>
    <v>268435456</v>
    <v>1</v>
    <v>Powered by Refinitiv</v>
    <v>0</v>
    <v>KEI INDUSTRIES LIMITED (XNSE:KEI)</v>
    <v>2</v>
    <v>3</v>
    <v>Finance</v>
    <v>4</v>
    <v>5455</v>
    <v>3416.6</v>
    <v>1.3636999999999999</v>
    <v>140.69999999999999</v>
    <v>2.6520000000000002E-2</v>
    <v>INR</v>
    <v>KEI Industries Limited is a manufacturer of wires and cables. The Company's segments include Cables and Wires, Stainless Steel Wire, and Engineering, Procurement and Construction (EPC) Projects. Cables and Wires segment is engaged in the manufacturing, sale and marketing of all ranges of power cables, such as low tension (LT), high tension (HT) and extra-high voltage (EHV), control and instrumentation cables, specialty cables, elastomeric/rubber cables, flexible and house wires, and winding wires. Stainless Steel Wire segment comprises manufacturing, sale and job work related to stainless steel wire. EPC Projects segment comprises the design, engineering, supply, erection, testing and commissioning of high-voltage and extra-high-voltage underground cabling projects from 33 kilovolts (kV) to 400 kV, substations (AIS &amp; GIS) on a turnkey basis up to 400 KV and conversion of overhead line to underground line for complete town including HT and LT distribution system, among others.</v>
    <v>2050</v>
    <v>National Stock Exchange of India</v>
    <v>XNSE</v>
    <v>XNSE</v>
    <v>D-90 OKHLA INDL AREA, PHASE-I, DELHI, 110020 IN</v>
    <v>5455</v>
    <v>Machinery, Equipment &amp; Components</v>
    <v>Stock</v>
    <v>46169.490659722222</v>
    <v>165</v>
    <v>5306.4</v>
    <v>412115000000</v>
    <v>KEI INDUSTRIES LIMITED</v>
    <v>KEI INDUSTRIES LIMITED</v>
    <v>5320</v>
    <v>55.21</v>
    <v>5305.5</v>
    <v>5446.2</v>
    <v>95600590</v>
    <v>KEI</v>
    <v>KEI INDUSTRIES LIMITED (XNSE:KEI)</v>
    <v>328358</v>
    <v>374390</v>
    <v>1992</v>
  </rv>
  <rv s="2">
    <v>166</v>
  </rv>
  <rv s="0">
    <v>https://www.bing.com/financeapi/forcetrigger?t=c4etk2&amp;q=XNSE%3aANANDRATHI&amp;form=skydnc</v>
    <v>Learn more on Bing</v>
  </rv>
  <rv s="1">
    <v>en-IN</v>
    <v>c4etk2</v>
    <v>268435456</v>
    <v>1</v>
    <v>Powered by Refinitiv</v>
    <v>0</v>
    <v>Anand Rathi Wealth Ltd (XNSE:ANANDRATHI)</v>
    <v>2</v>
    <v>3</v>
    <v>Finance</v>
    <v>4</v>
    <v>3735</v>
    <v>1859.8</v>
    <v>0.13189999999999999</v>
    <v>-20.5</v>
    <v>-5.7150000000000005E-3</v>
    <v>INR</v>
    <v>Anand Rathi Wealth Limited is an India-based wealth solutions provider. The Company is engaged in the business of services for the distribution and sale of financial products. It works with high and ultra-high net worth individuals (HNIs and UHNIs) to facilitate their investments in financial instruments using its solutions. Its flagship Private Wealth (PW) vertical is engaged in providing solutions to its clients by facilitating investments in financial instruments. Its Digital Wealth (DW) vertical focuses on integrating financial technology (fintech) and providing wealth solutions to the mass affluent sector through a physical plus digital (phygital) channel, or a blend of human contact and technology. Omni Financial Advisors (OFA) is a technology platform that is designed specifically for Mutual Fund Distributors (MFDs) and Independent Financial Advisors. It offers business dashboards, online mutual fund transactions, goal planning, and post sales services.</v>
    <v>1256</v>
    <v>National Stock Exchange of India</v>
    <v>XNSE</v>
    <v>XNSE</v>
    <v>Floor No 2nd &amp; 3rd, Block B &amp; C, E, Wing, Trade Link, Kamala Mills Compound,, Senapati Bapat Marg, Lower Parel, MUMBAI, MAHARASHTRA, 400013 IN</v>
    <v>3625</v>
    <v>Investment Banking &amp; Investment Services</v>
    <v>Stock</v>
    <v>46169.490636574075</v>
    <v>168</v>
    <v>3550</v>
    <v>261697600000</v>
    <v>Anand Rathi Wealth Ltd</v>
    <v>Anand Rathi Wealth Ltd</v>
    <v>3600</v>
    <v>75.25</v>
    <v>3587.2</v>
    <v>3566.7</v>
    <v>83020630</v>
    <v>ANANDRATHI</v>
    <v>Anand Rathi Wealth Ltd (XNSE:ANANDRATHI)</v>
    <v>151771</v>
    <v>233610</v>
    <v>1995</v>
  </rv>
  <rv s="2">
    <v>169</v>
  </rv>
  <rv s="0">
    <v>https://www.bing.com/financeapi/forcetrigger?t=ahkjtc&amp;q=XNSE%3aVEDL&amp;form=skydnc</v>
    <v>Learn more on Bing</v>
  </rv>
  <rv s="1">
    <v>en-IN</v>
    <v>ahkjtc</v>
    <v>268435456</v>
    <v>1</v>
    <v>Powered by Refinitiv</v>
    <v>0</v>
    <v>VEDANTA LIMITED (XNSE:VEDL)</v>
    <v>2</v>
    <v>3</v>
    <v>Finance</v>
    <v>4</v>
    <v>357.95</v>
    <v>157.16999999999999</v>
    <v>0.91639999999999999</v>
    <v>9.8000000000000007</v>
    <v>2.8414000000000002E-2</v>
    <v>INR</v>
    <v>Vedanta Limited is an India-based company, which specializes in critical minerals, energy transition metals, power, and technology, with operations spanning India, South Africa, Namibia, Liberia, United Arab Emirates, Saudi Arabia, Korea, Taiwan and Japan. Its segments include Zinc, Lead and Silver - India; Zinc - International; Oil &amp; Gas; Aluminium; Copper; Iron Ore; Power and Others. Zinc, Lead and Silver - India segment consists of mining of ore, manufacturing of zinc and lead ingots and silver, both from own mining and purchased concentrate. Zinc - International segment consists of exploration, mining, treatment and production of zinc, lead, copper and associated mineral concentrates for sale. Oil &amp; Gas segment consists of exploration, development and production of oil and gas. Aluminium segment consists of mining of bauxite and manufacturing of alumina and various aluminum products. Iron ore segment consists of mining of ore and manufacturing of pig iron and metallurgical coke.</v>
    <v>8354</v>
    <v>National Stock Exchange of India</v>
    <v>XNSE</v>
    <v>XNSE</v>
    <v>1st Floor, C wing, Unit 103, Corporate Avenue Atul Projects, Chakala, Andheri (East), MUMBAI, MAHARASHTRA, 400093 IN</v>
    <v>357.95</v>
    <v>Metals &amp; Mining</v>
    <v>Stock</v>
    <v>46169.490636574075</v>
    <v>171</v>
    <v>345.9</v>
    <v>2488569000000</v>
    <v>VEDANTA LIMITED</v>
    <v>VEDANTA LIMITED</v>
    <v>347.4</v>
    <v>17.84</v>
    <v>344.9</v>
    <v>354.7</v>
    <v>3904802000</v>
    <v>VEDL</v>
    <v>VEDANTA LIMITED (XNSE:VEDL)</v>
    <v>26959207</v>
    <v>36348210</v>
    <v>1965</v>
  </rv>
  <rv s="2">
    <v>172</v>
  </rv>
  <rv s="0">
    <v>https://www.bing.com/financeapi/forcetrigger?t=ahiooc&amp;q=XNSE%3aKRISHANA&amp;form=skydnc</v>
    <v>Learn more on Bing</v>
  </rv>
  <rv s="1">
    <v>en-IN</v>
    <v>ahiooc</v>
    <v>268435456</v>
    <v>1</v>
    <v>Powered by Refinitiv</v>
    <v>0</v>
    <v>KRISHANA PHOSCHEM LIMITED (XNSE:KRISHANA)</v>
    <v>2</v>
    <v>3</v>
    <v>Finance</v>
    <v>4</v>
    <v>718.5</v>
    <v>366.2</v>
    <v>1.0528999999999999</v>
    <v>8.6999999999999993</v>
    <v>1.2939000000000001E-2</v>
    <v>INR</v>
    <v>Krishana Phoschem Limited is an India-based company, which is primarily engaged in the business of fertilizer manufacturing and other products that are backward integration. The Company is also engaged in the manufacturing of Beneficiated Rock Phosphate (BRP), Single Super Phosphate (SSP), Sulfuric Acid (SA), Oleum, Coloro Sulphonic Acid &amp; Liquid SO3, Di-ammonium Phosphate (DAP), Nitrogen, Phosphorus and Potassium (NPK) complex fertilizer. The Company’s products category includes bulk products, water soluble fertilizer, secondary nutrients, micro nutrients, and supplement and organic nutrients. Its products include Annadata (Diammonium Phosphate) DAP, Annadata (Diammonium Phosphate) NPK, Annadata Single Super Phosphate (Powder &amp; Granular), Annadata N:P:K (00: 00: 50), Annadata N:P:K (12: 61: 00), Annadata Casma, Annadata creation zinc 5, Annadata Potash, and Annadata Mono Zinc 33. Its manufacturing facilities are located near Meghnagar, Jhabua, Madhya Pradesh.</v>
    <v>267</v>
    <v>National Stock Exchange of India</v>
    <v>XNSE</v>
    <v>XNSE</v>
    <v>Wing A/2, 1st Floor, Ostwal Heights, Urban Forest, Atun, RAJASTHAN, 311802 IN</v>
    <v>700</v>
    <v>Chemicals</v>
    <v>Stock</v>
    <v>46169.490659722222</v>
    <v>174</v>
    <v>666.3</v>
    <v>30851970000</v>
    <v>KRISHANA PHOSCHEM LIMITED</v>
    <v>KRISHANA PHOSCHEM LIMITED</v>
    <v>680.8</v>
    <v>23.07</v>
    <v>672.4</v>
    <v>681.1</v>
    <v>61827600</v>
    <v>KRISHANA</v>
    <v>KRISHANA PHOSCHEM LIMITED (XNSE:KRISHANA)</v>
    <v>365175</v>
    <v>326470</v>
    <v>2004</v>
  </rv>
  <rv s="2">
    <v>175</v>
  </rv>
  <rv s="3">
    <v>en-IN</v>
    <v>ci8lk2</v>
    <v>268435456</v>
    <v>1</v>
    <v>Powered by Refinitiv</v>
    <v>5</v>
    <v>ATLANTA ELECTRICALS LIMITED (XNSE:ATLANTAELE)</v>
    <v>6</v>
    <v>3</v>
    <v>Finance</v>
    <v>4</v>
    <v>1901.8</v>
    <v>707.6</v>
    <v>-2.9430000000000001</v>
    <v>89.4</v>
    <v>4.9974999999999999E-2</v>
    <v>INR</v>
    <v>Atlanta Electricals Limited is an India-based transformer manufacturing company. The Company is focused on power, auto and inverter duty transformers up to and including over 200 Mega Volt-Ampere (MVA) capacity and with 220 kilovolts (kV) voltage. Its products include Auto Transformer, Inverter Duty Transformer, Furnace Transformer, Power Transformer, Generator Transformer, and Special Duty Transformer. Its type of transformer and range of manufacturing include Auto Transformer - ranging from 66 kV to 220 kV; Inverter Duty Transformer - ranging from 0.60 kV to 33 kV; Furnace Transformer - ranging from 0.43 kV to 66 kV; Power Transformer - ranging from 11 kV to 220 kV; Generator Transformer - ranging from 3.30 kV to 220 kV, and Special Duty Transformer - ranging from 0.43 kV to 132 kV. It operates three fully functional manufacturing facilities, two located at Anand, Gujarat and one at Bengaluru, Karnataka spread over 3,21,451.39 square foot.</v>
    <v>311</v>
    <v>National Stock Exchange of India</v>
    <v>XNSE</v>
    <v>XNSE</v>
    <v>Plot No. 1503/4, GIDC Estate, Vithal Udyognagar, ANAND, GUJARAT, 388121 IN</v>
    <v>1878.3</v>
    <v>Machinery, Equipment &amp; Components</v>
    <v>Stock</v>
    <v>46169.490729166668</v>
    <v>1868.9</v>
    <v>63020630000</v>
    <v>ATLANTA ELECTRICALS LIMITED</v>
    <v>ATLANTA ELECTRICALS LIMITED</v>
    <v>1868.9</v>
    <v>25.98</v>
    <v>1788.9</v>
    <v>1878.3</v>
    <v>76896630</v>
    <v>ATLANTAELE</v>
    <v>ATLANTA ELECTRICALS LIMITED (XNSE:ATLANTAELE)</v>
    <v>37456</v>
    <v>154250</v>
    <v>1988</v>
  </rv>
  <rv s="2">
    <v>177</v>
  </rv>
  <rv s="3">
    <v>en-IN</v>
    <v>ces5ec</v>
    <v>268435456</v>
    <v>1</v>
    <v>Powered by Refinitiv</v>
    <v>5</v>
    <v>KRN HEAT EXCHANGER AND REFRIGERATION LIMITED (XNSE:KRN)</v>
    <v>6</v>
    <v>3</v>
    <v>Finance</v>
    <v>4</v>
    <v>1405</v>
    <v>589.79999999999995</v>
    <v>2.137</v>
    <v>36.5</v>
    <v>3.3584999999999997E-2</v>
    <v>INR</v>
    <v>KRN Heat Exchanger &amp; Refrigeration Limited is a manufacturer in the heat ventilation air conditioning and refrigeration (HVAC&amp;R) industry, specialized in fin and tube type heat exchangers. The Company produces a diverse range of heat exchangers, including condenser coils, evaporator units, evaporator coils, fluid and steam coils, and sheet metal parts. These products are customized in various shapes and sizes, with heat exchanger tube diameters ranging from five millimeters (mm) to 15.88mm. Its products are used in various applications, including residential and commercial HVAC systems, precision air conditioning, data center cooling, automotive air conditioning, and defense air conditioning systems. The Company manufactures components for commercial refrigeration, beverage coolers, chest freezers, and vending machines. The Company’s heat exchangers are also used in process cooling applications in civil construction, as well as in white goods such as washing machines and dryers.</v>
    <v>208</v>
    <v>National Stock Exchange of India</v>
    <v>XNSE</v>
    <v>XNSE</v>
    <v>Plot No. F-46,47,48,49, EPIP, RIICO Industrial Area, Neemrana, ALWAR, RAJASTHAN, 301705 IN</v>
    <v>1125.4000000000001</v>
    <v>Machinery, Equipment &amp; Components</v>
    <v>Stock</v>
    <v>46169.490682870368</v>
    <v>1090</v>
    <v>44227530000</v>
    <v>KRN HEAT EXCHANGER AND REFRIGERATION LIMITED</v>
    <v>KRN HEAT EXCHANGER AND REFRIGERATION LIMITED</v>
    <v>1091</v>
    <v>88.36</v>
    <v>1086.8</v>
    <v>1123.3</v>
    <v>62156600</v>
    <v>KRN</v>
    <v>KRN HEAT EXCHANGER AND REFRIGERATION LIMITED (XNSE:KRN)</v>
    <v>164379</v>
    <v>452180</v>
    <v>2017</v>
  </rv>
  <rv s="2">
    <v>179</v>
  </rv>
  <rv s="3">
    <v>en-IN</v>
    <v>cc1w2w</v>
    <v>268435456</v>
    <v>1</v>
    <v>Powered by Refinitiv</v>
    <v>5</v>
    <v>AZAD ENGINEERING LIMITED (XNSE:AZAD)</v>
    <v>6</v>
    <v>3</v>
    <v>Finance</v>
    <v>4</v>
    <v>2350</v>
    <v>1360</v>
    <v>1.706</v>
    <v>-59.7</v>
    <v>-2.8202999999999999E-2</v>
    <v>INR</v>
    <v>Azad Engineering Limited is an India-based company. The Company is engaged in manufacturing product lines in the aerospace and defense, energy and oil and gas industries, highly engineered, complex and mission and life-critical components. The Company’s products include three dimensional (3D) rotating air foil portions of turbine engines and other critical products for defense and civil aircrafts, spaceships, defense missiles, nuclear power, hydrogen, gas power, oil, and thermal power. The Company’s segments include Aerospace, Defense, Oil &amp; Gas, and Energy. In Defense segment the Company manufactures industrial aerospace standard fluid distribution parts, integrated into the aircraft hydraulic systems which spans from nose to tail and left to right ends of the wing of an airplane, for the functioning of all the synchronized hydro pneumatic system. The Oil &amp; Gas segment includes exploration, extraction, refining, and distribution of fossil fuels, primarily oil and natural gas.</v>
    <v>1441</v>
    <v>National Stock Exchange of India</v>
    <v>XNSE</v>
    <v>XNSE</v>
    <v>90/C,90/D, PHASE 1 I.D.A JEEDIMETLA, TELANGANA, 500055 IN</v>
    <v>2130</v>
    <v>Machinery, Equipment &amp; Components</v>
    <v>Stock</v>
    <v>46169.490671296298</v>
    <v>2040</v>
    <v>100999400000</v>
    <v>AZAD ENGINEERING LIMITED</v>
    <v>AZAD ENGINEERING LIMITED</v>
    <v>2116.4</v>
    <v>103.16</v>
    <v>2116.8000000000002</v>
    <v>2057.1</v>
    <v>64581740</v>
    <v>AZAD</v>
    <v>AZAD ENGINEERING LIMITED (XNSE:AZAD)</v>
    <v>387229</v>
    <v>424700</v>
    <v>1983</v>
  </rv>
  <rv s="2">
    <v>181</v>
  </rv>
  <rv s="0">
    <v>https://www.bing.com/financeapi/forcetrigger?t=ahk1gh&amp;q=XNSE%3aSMSPHARMA&amp;form=skydnc</v>
    <v>Learn more on Bing</v>
  </rv>
  <rv s="1">
    <v>en-IN</v>
    <v>ahk1gh</v>
    <v>268435456</v>
    <v>1</v>
    <v>Powered by Refinitiv</v>
    <v>0</v>
    <v>SMS PHARMACEUTICALS LIMITED (XNSE:SMSPHARMA)</v>
    <v>2</v>
    <v>3</v>
    <v>Finance</v>
    <v>4</v>
    <v>447.8</v>
    <v>207.7</v>
    <v>1.1423000000000001</v>
    <v>1.1000000000000001</v>
    <v>2.9239999999999999E-3</v>
    <v>INR</v>
    <v>SMS Pharmaceuticals Limited is an India-based pharmaceutical manufacturing company. The Company is engaged in the business of manufacturing active pharma ingredients and their intermediates. Its product categories include anti-ulcer, anti-inflammatory, anti-migraine, ant-diabetic, anti-coagulant, anti-viral, anti-retroviral, anti-psychotic, and others. The Company products include ranitidine, famotidine, pantoprazole sodium, itraconazole, lanoconazole, luliconazole, ibuprofen, Dex ibuprofen, fenoprofen calcium, sumatriptan, almotriptan, zolmitriptan, rizatriptan, Ele triptan, vildagliptin, sitagliptin, rosiglitazone, empagliflozin, dapagliflozin, tenofovir, dolutegravir, raltegravir, lamivudine, efavirenz, apixaban, rivaroxaban, levetiracetam, perampanel, lamotrigine, penciclovir, valaciclovir, and others. The Company has manufacturing facilities at Bachupally, Hyderabad, Telangana and also at Kandivalasa Village, Poosapatirega Mandal, Vijayanagaram District, Andhra Pradesh.</v>
    <v>1470</v>
    <v>National Stock Exchange of India</v>
    <v>XNSE</v>
    <v>XNSE</v>
    <v>Plot No.72, H. No.8-2-334/3 &amp; 4 Road No.5, Opp. SBI Executive Enclave, Banjara Hills, HYDERABAD, TELANGANA, 500034 IN</v>
    <v>380.75</v>
    <v>Pharmaceuticals</v>
    <v>Stock</v>
    <v>46169.490659722222</v>
    <v>183</v>
    <v>374.2</v>
    <v>31724630000</v>
    <v>SMS PHARMACEUTICALS LIMITED</v>
    <v>SMS PHARMACEUTICALS LIMITED</v>
    <v>378.45</v>
    <v>37.15</v>
    <v>376.25</v>
    <v>377.35</v>
    <v>93652030</v>
    <v>SMSPHARMA</v>
    <v>SMS PHARMACEUTICALS LIMITED (XNSE:SMSPHARMA)</v>
    <v>201661</v>
    <v>474620</v>
    <v>1987</v>
  </rv>
  <rv s="2">
    <v>184</v>
  </rv>
  <rv s="0">
    <v>https://www.bing.com/financeapi/forcetrigger?t=ahj4rw&amp;q=XNSE%3aNAVINFLUOR&amp;form=skydnc</v>
    <v>Learn more on Bing</v>
  </rv>
  <rv s="1">
    <v>en-IN</v>
    <v>ahj4rw</v>
    <v>268435456</v>
    <v>1</v>
    <v>Powered by Refinitiv</v>
    <v>0</v>
    <v>NAVIN FLUORINE INTERNATIONAL LIMITED (XNSE:NAVINFLUOR)</v>
    <v>2</v>
    <v>3</v>
    <v>Finance</v>
    <v>4</v>
    <v>7525</v>
    <v>4225</v>
    <v>0.86580000000000001</v>
    <v>-151.5</v>
    <v>-2.0483999999999999E-2</v>
    <v>INR</v>
    <v>Navin Fluorine International Limited is an India-based company that is primarily focused on fluorine chemistry, which produces refrigeration gases, inorganic fluorides, specialty organofluorines. The Company operates through the chemical business segment. It has two geographical segments based upon the location of its customers, which include within India and outside India. It offers contract research and manufacturing services. It also manufactures anhydrous hydrofluoric and diluted hydrofluoric acid serving diverse sectors, including pharma, solar, electronic, steel, glass and oil and gas industries. The Company's refrigerants are sold under the Mafron brand. Its contract development and manufacturing organisation business vertical offers contract development, scale up and manufacturing services for complex chemical syntheses of fluorinated and non-fluorinated compounds. Its manufacturing facilities are located at Surat in Gujarat and Dewas in Madhya Pradesh.</v>
    <v>1498</v>
    <v>National Stock Exchange of India</v>
    <v>XNSE</v>
    <v>XNSE</v>
    <v>OFFICE NO. 602, NATRAJ BY RUSTOMJEE NEAR WESTERN EXPRESS HIGHWAY, ANDHERI (EAST),, SIR MATHURADAS VASANJI ROAD, MAHARASHTRA, 400069 IN</v>
    <v>7470</v>
    <v>Chemicals</v>
    <v>Stock</v>
    <v>46169.490659722222</v>
    <v>186</v>
    <v>7202.5</v>
    <v>306836900000</v>
    <v>NAVIN FLUORINE INTERNATIONAL LIMITED</v>
    <v>NAVIN FLUORINE INTERNATIONAL LIMITED</v>
    <v>7400</v>
    <v>56.74</v>
    <v>7396</v>
    <v>7244.5</v>
    <v>51291160</v>
    <v>NAVINFLUOR</v>
    <v>NAVIN FLUORINE INTERNATIONAL LIMITED (XNSE:NAVINFLUOR)</v>
    <v>119235</v>
    <v>165170</v>
    <v>1998</v>
  </rv>
  <rv s="2">
    <v>187</v>
  </rv>
  <rv s="0">
    <v>https://www.bing.com/financeapi/forcetrigger?t=ahhyp2&amp;q=XNSE%3aGRAPHITE&amp;form=skydnc</v>
    <v>Learn more on Bing</v>
  </rv>
  <rv s="1">
    <v>en-IN</v>
    <v>ahhyp2</v>
    <v>268435456</v>
    <v>1</v>
    <v>Powered by Refinitiv</v>
    <v>0</v>
    <v>GRAPHITE INDIA LIMITED (XNSE:GRAPHITE)</v>
    <v>2</v>
    <v>3</v>
    <v>Finance</v>
    <v>4</v>
    <v>802.4</v>
    <v>505.8</v>
    <v>1.4073</v>
    <v>-9.15</v>
    <v>-1.2103999999999998E-2</v>
    <v>INR</v>
    <v>Graphite India Limited is engaged in the business of manufacturing graphite electrodes and specialties, calcined petroleum coke, impervious graphite equipment, glass reinforced plastic pipes, steel and generation of renewable energy. It caters to a range of customers, engaged in manufacturing steel, the cutting tool industry, chemicals, fertilizers, polymers, drug intermediaries, metal pressing, effluent treatment, and irrigation. Its segment includes Graphite and Carbon Segment and Others segment. Its Graphite and Carbon Segment, engaged in the production of Graphite Electrodes, Other Miscellaneous Graphite and Carbon Products and related Processing/Service Charges. Its Others segment, engaged in manufacturing/laying of GRP Pipes, and in manufacturing of High-Speed Steel and Alloy Steel and Power Generating Unit for outside sale. Its Coke plant in Barauni, Bihar, is engaged in the manufacturing of Calcined Petroleum Coke, Carbon Paste and Electrically Calcined Anthracite Paste.</v>
    <v>1666</v>
    <v>National Stock Exchange of India</v>
    <v>XNSE</v>
    <v>XNSE</v>
    <v>31, CHOWRINGHEE ROAD, WEST BENGAL, 700016 IN</v>
    <v>772.9</v>
    <v>Machinery, Equipment &amp; Components</v>
    <v>Stock</v>
    <v>46169.490624999999</v>
    <v>189</v>
    <v>745.5</v>
    <v>117088600000</v>
    <v>GRAPHITE INDIA LIMITED</v>
    <v>GRAPHITE INDIA LIMITED</v>
    <v>756</v>
    <v>44.87</v>
    <v>755.95</v>
    <v>746.8</v>
    <v>195375600</v>
    <v>GRAPHITE</v>
    <v>GRAPHITE INDIA LIMITED (XNSE:GRAPHITE)</v>
    <v>832684</v>
    <v>2064370</v>
    <v>1974</v>
  </rv>
  <rv s="2">
    <v>190</v>
  </rv>
  <rv s="0">
    <v>https://www.bing.com/financeapi/forcetrigger?t=az66u2&amp;q=XNSE%3aASTERDM&amp;form=skydnc</v>
    <v>Learn more on Bing</v>
  </rv>
  <rv s="1">
    <v>en-IN</v>
    <v>az66u2</v>
    <v>268435456</v>
    <v>1</v>
    <v>Powered by Refinitiv</v>
    <v>0</v>
    <v>ASTER DM HEALTHCARE LIMITED (XNSE:ASTERDM)</v>
    <v>2</v>
    <v>3</v>
    <v>Finance</v>
    <v>4</v>
    <v>776.55</v>
    <v>519.1</v>
    <v>0.97650000000000003</v>
    <v>-16.350000000000001</v>
    <v>-2.1581000000000003E-2</v>
    <v>INR</v>
    <v>Aster DM Healthcare Limited is an India-based healthcare service provider. The Company is operating in India with a presence across primary, secondary, tertiary, and quaternary healthcare through approximately 19 hospitals with 5,159 beds, 10 clinics, 203 pharmacies (Operated by Alfaone Retail Pharmacies Private Limited under brand license from Aster), and 262 labs and patient experience centers across five states in India. Its center of excellence includes Cardiac Sciences, Neurosciences, Gastro Sciences, Orthopaedics, Multi-Organ Transplant. Its pharmacy offers operating 203 pharmacies across southern India, delivering quality pharmaceutical, nutritional, infant care, lifestyle, and wellness products to communities and expanding healthcare access. Its labs deliver diagnostic services covering Biochemistry, Microbiology, Hematology, Clinical Pathology, Histopathology and Cytogenetics.</v>
    <v>15291</v>
    <v>National Stock Exchange of India</v>
    <v>XNSE</v>
    <v>XNSE</v>
    <v>Awfis, 2nd Floor, Renaissance Centra, 27 &amp; 27/1, Mission Road, Sampangi Rama Nagar, BANGALORE, KARNATAKA, 560027 IN</v>
    <v>760.5</v>
    <v>Healthcare Providers &amp; Services</v>
    <v>Stock</v>
    <v>46169.490624999999</v>
    <v>192</v>
    <v>737.15</v>
    <v>313382100000</v>
    <v>ASTER DM HEALTHCARE LIMITED</v>
    <v>ASTER DM HEALTHCARE LIMITED</v>
    <v>758.1</v>
    <v>100.48</v>
    <v>757.6</v>
    <v>741.25</v>
    <v>516918500</v>
    <v>ASTERDM</v>
    <v>ASTER DM HEALTHCARE LIMITED (XNSE:ASTERDM)</v>
    <v>309927</v>
    <v>517660</v>
    <v>2008</v>
  </rv>
  <rv s="2">
    <v>193</v>
  </rv>
  <rv s="0">
    <v>https://www.bing.com/financeapi/forcetrigger?t=ahj8jc&amp;q=XNSE%3aNRBBEARING&amp;form=skydnc</v>
    <v>Learn more on Bing</v>
  </rv>
  <rv s="1">
    <v>en-IN</v>
    <v>ahj8jc</v>
    <v>268435456</v>
    <v>1</v>
    <v>Powered by Refinitiv</v>
    <v>0</v>
    <v>NRB BEARINGS LIMITED (XNSE:NRBBEARING)</v>
    <v>2</v>
    <v>3</v>
    <v>Finance</v>
    <v>4</v>
    <v>390</v>
    <v>212.55</v>
    <v>1.2306999999999999</v>
    <v>-2.8</v>
    <v>-7.28E-3</v>
    <v>INR</v>
    <v>NRB Bearings Limited is an India-based company, which is engaged in the ball and roller bearings business. The Company's products/services include needle roller bushes and cages, ball and roller bearings, and automobile components. It also manufactures ball bearings, taper roller bearings and all types of thrust bearings. The Company offers a wide range of friction solutions to the automotive sector and mobility sector and produces needle bearings and cylindrical roller bearings. The Company serves the mobility sector, which has Indian original equipment manufacturers (OEMs) and tier I customers. Its product range includes drawn cup needle bearings, polyamide and steel needle bearing cages, full-complement needle bearings, formed strip cages for heavy gearboxes, cylindrical roller bearings, drawn cup cylindrical roller bearings, special ball bearings, tapered and spherical roller bearings, planetary shafts and other special pins, crank pins, thrust bearings, and rocker-arm bearing.</v>
    <v>1316</v>
    <v>National Stock Exchange of India</v>
    <v>XNSE</v>
    <v>XNSE</v>
    <v>DHANNUR 15 SIR P M ROAD, FORT, MAHARASHTRA, 400001 IN</v>
    <v>390</v>
    <v>Machinery, Equipment &amp; Components</v>
    <v>Stock</v>
    <v>46169.490636574075</v>
    <v>195</v>
    <v>378.3</v>
    <v>24700720000</v>
    <v>NRB BEARINGS LIMITED</v>
    <v>NRB BEARINGS LIMITED</v>
    <v>385.05</v>
    <v>26.13</v>
    <v>384.6</v>
    <v>381.8</v>
    <v>96922600</v>
    <v>NRBBEARING</v>
    <v>NRB BEARINGS LIMITED (XNSE:NRBBEARING)</v>
    <v>335672</v>
    <v>987670</v>
    <v>1965</v>
  </rv>
  <rv s="2">
    <v>196</v>
  </rv>
  <rv s="0">
    <v>https://www.bing.com/financeapi/forcetrigger?t=ahk1p2&amp;q=XNSE%3aSOLARINDS&amp;form=skydnc</v>
    <v>Learn more on Bing</v>
  </rv>
  <rv s="1">
    <v>en-IN</v>
    <v>ahk1p2</v>
    <v>268435456</v>
    <v>1</v>
    <v>Powered by Refinitiv</v>
    <v>0</v>
    <v>SOLAR INDUSTRIES INDIA LIMITED (XNSE:SOLARINDS)</v>
    <v>2</v>
    <v>3</v>
    <v>Finance</v>
    <v>4</v>
    <v>18799</v>
    <v>11646</v>
    <v>0.94199999999999995</v>
    <v>174</v>
    <v>9.4160000000000008E-3</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18799</v>
    <v>Chemicals</v>
    <v>Stock</v>
    <v>46169.490659722222</v>
    <v>198</v>
    <v>18424</v>
    <v>1148862000000</v>
    <v>SOLAR INDUSTRIES INDIA LIMITED</v>
    <v>SOLAR INDUSTRIES INDIA LIMITED</v>
    <v>18424</v>
    <v>99.68</v>
    <v>18479</v>
    <v>18653</v>
    <v>90490050</v>
    <v>SOLARINDS</v>
    <v>SOLAR INDUSTRIES INDIA LIMITED (XNSE:SOLARINDS)</v>
    <v>105005</v>
    <v>272930</v>
    <v>1995</v>
  </rv>
  <rv s="2">
    <v>199</v>
  </rv>
  <rv s="0">
    <v>https://www.bing.com/financeapi/forcetrigger?t=c5olz2&amp;q=XNSE%3aSHAILY&amp;form=skydnc</v>
    <v>Learn more on Bing</v>
  </rv>
  <rv s="1">
    <v>en-IN</v>
    <v>c5olz2</v>
    <v>268435456</v>
    <v>1</v>
    <v>Powered by Refinitiv</v>
    <v>0</v>
    <v>SHAILY ENGINEERING PLASTICS LIMITED (XNSE:SHAILY)</v>
    <v>2</v>
    <v>3</v>
    <v>Finance</v>
    <v>4</v>
    <v>2836.9</v>
    <v>1535.9</v>
    <v>0.44140000000000001</v>
    <v>-28.1</v>
    <v>-1.0449E-2</v>
    <v>INR</v>
    <v>Shaily Engineering Plastics Limited is an exporter of engineering plastics components. The Company is engaged in the manufacture and sale of customized components made up of plastic and other materials. It manufactures value-added products from engineering plastics that find application in sectors such as consumer-home furnishings, medical devices, fast-moving consumer goods (FMCG), pharma packaging, automotive, consumer electronics, and others. Its diversified business platform includes Healthcare, Consumer, and Industrial. Its healthcare division has developed a portfolio of medical and drug delivery injectable devices, including pen injectors, auto-injectors, wearable injectors, and other specialty devices. Its consumer division consists of home furnishings, FMCG packaging, light-emitting diode lights, toys and carbon-steel furniture segments. Its industrial division comprises automotive components, appliances and high-performance engineering components.</v>
    <v>839</v>
    <v>National Stock Exchange of India</v>
    <v>XNSE</v>
    <v>XNSE</v>
    <v>SURVEY NO. 364/366 AT &amp; PO. RANIA, TALUKA SAVLI, VADODARA, GUJARAT, 391780 IN</v>
    <v>2726.3</v>
    <v>Chemicals</v>
    <v>Stock</v>
    <v>46169.490648148145</v>
    <v>201</v>
    <v>2650.4</v>
    <v>99768510000</v>
    <v>SHAILY ENGINEERING PLASTICS LIMITED</v>
    <v>SHAILY ENGINEERING PLASTICS LIMITED</v>
    <v>2701</v>
    <v>72.739999999999995</v>
    <v>2689.3</v>
    <v>2661.2</v>
    <v>45995250</v>
    <v>SHAILY</v>
    <v>SHAILY ENGINEERING PLASTICS LIMITED (XNSE:SHAILY)</v>
    <v>91610</v>
    <v>294580</v>
    <v>1980</v>
  </rv>
  <rv s="2">
    <v>202</v>
  </rv>
  <rv s="3">
    <v>en-IN</v>
    <v>c8zrar</v>
    <v>268435456</v>
    <v>1</v>
    <v>Powered by Refinitiv</v>
    <v>5</v>
    <v>PONDY OXIDES AND CHEMICALS LIMITED (XNSE:POCL)</v>
    <v>6</v>
    <v>3</v>
    <v>Finance</v>
    <v>4</v>
    <v>1619</v>
    <v>689</v>
    <v>1.9379999999999999</v>
    <v>-88.8</v>
    <v>-6.3701999999999995E-2</v>
    <v>INR</v>
    <v>Pondy Oxides and Chemicals Limited is an India-based company, which is engaged in producing lead, lead alloys and plastic additives.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Copper, and Others.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1390</v>
    <v>Metals &amp; Mining</v>
    <v>Stock</v>
    <v>46169.490659722222</v>
    <v>1271.2</v>
    <v>42285580000</v>
    <v>PONDY OXIDES AND CHEMICALS LIMITED</v>
    <v>PONDY OXIDES AND CHEMICALS LIMITED</v>
    <v>1390</v>
    <v>36.94</v>
    <v>1394</v>
    <v>1305.2</v>
    <v>30511280</v>
    <v>POCL</v>
    <v>PONDY OXIDES AND CHEMICALS LIMITED (XNSE:POCL)</v>
    <v>1819777</v>
    <v>644010</v>
    <v>1995</v>
  </rv>
  <rv s="2">
    <v>204</v>
  </rv>
  <rv s="0">
    <v>https://www.bing.com/financeapi/forcetrigger?t=ahjwur&amp;q=XNSE%3aSHILPAMED&amp;form=skydnc</v>
    <v>Learn more on Bing</v>
  </rv>
  <rv s="1">
    <v>en-IN</v>
    <v>ahjwur</v>
    <v>268435456</v>
    <v>1</v>
    <v>Powered by Refinitiv</v>
    <v>0</v>
    <v>SHILPA MEDICARE LIMITED (XNSE:SHILPAMED)</v>
    <v>2</v>
    <v>3</v>
    <v>Finance</v>
    <v>4</v>
    <v>529.79999999999995</v>
    <v>259.5</v>
    <v>0.49909999999999999</v>
    <v>-13.05</v>
    <v>-2.5849E-2</v>
    <v>INR</v>
    <v>Shilpa Medicare Limited is an India-based pharmaceutical company. The Company is engaged in the manufacturing of active pharmaceutical ingredients (APIs), formulation and development service. It is engaged in APIs, intermediates, formulations, new drug delivery systems, peptides / biotech products and specialty chemicals, and others. The Company supplies more than 30 oncology APIs including key products such as Capecitabine, Gemcitabine Hydrochloride, Pemetrexed, Axitinib, Erlotinib Hydrochloride and Irinotecan Hydrochloride for various international markets including United States of America, Europe, Japan, South Korea, Russia, Mexico, Brazil, and other emerging markets. Its non-Oncology API products include Ambroxol (Mucolytic agent), Tranexmic Acid and Ursodeoxycholic Acid. Its Injectable Dosage Forms include Myelodysplastic Syndrome, Breast Cancer, Multiple Myeloma, and more. Its Oral Solid Dosage Forms include Psoriasis, Prostate Cancer, Multiple Sclerosis, and others.</v>
    <v>898</v>
    <v>National Stock Exchange of India</v>
    <v>XNSE</v>
    <v>XNSE</v>
    <v>#12-6-214/A1, Hyderabad Road,, RAICHUR, KARNATAKA, 584135 IN</v>
    <v>506.9</v>
    <v>Pharmaceuticals</v>
    <v>Stock</v>
    <v>46169.490671296298</v>
    <v>206</v>
    <v>483.35</v>
    <v>57677080000</v>
    <v>SHILPA MEDICARE LIMITED</v>
    <v>SHILPA MEDICARE LIMITED</v>
    <v>505</v>
    <v>65.13</v>
    <v>504.85</v>
    <v>491.8</v>
    <v>195581800</v>
    <v>SHILPAMED</v>
    <v>SHILPA MEDICARE LIMITED (XNSE:SHILPAMED)</v>
    <v>1055210</v>
    <v>1732760</v>
    <v>1987</v>
  </rv>
  <rv s="2">
    <v>207</v>
  </rv>
  <rv s="0">
    <v>https://www.bing.com/financeapi/forcetrigger?t=ahj852&amp;q=XNSE%3aNMDC&amp;form=skydnc</v>
    <v>Learn more on Bing</v>
  </rv>
  <rv s="1">
    <v>en-IN</v>
    <v>ahj852</v>
    <v>268435456</v>
    <v>1</v>
    <v>Powered by Refinitiv</v>
    <v>0</v>
    <v>NMDC LIMITED (XNSE:NMDC)</v>
    <v>2</v>
    <v>3</v>
    <v>Finance</v>
    <v>4</v>
    <v>94.25</v>
    <v>66.8</v>
    <v>0.79059999999999997</v>
    <v>1.61</v>
    <v>1.7757000000000002E-2</v>
    <v>INR</v>
    <v>NMDC Limited is an India-based producer of iron ore. It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Its segments include Iron Ore, and Pellet, Other Minerals &amp; Services. Its products include Baila ROM, Baila Lump, DR CLO, 10-20 mm Baila, Baila Fine, Doni Lump, Kumaraswamy Lump, Kumaraswamy Lump Ore, Doni Fines, Kumaraswamy Fine, Iron Ore Pellets, and Rough Diamonds. The Company, through its subsidiary, Legacy Iron Ore Limited, carries out exploration in its 21 exploration tenements in Western Australia in iron ore, gold, tungsten and base metals. Its projects include Bailadila Iron Ore Mine, Kirandul Complex (BIOM, KC); Bailadila Iron Ore Mine, Bacheli Complex (BIOM, BC) and others.</v>
    <v>5677</v>
    <v>National Stock Exchange of India</v>
    <v>XNSE</v>
    <v>XNSE</v>
    <v>KHANIJ BHAVAN 10-3-311/A CASTLE HILLS,MASAB TANK, TELANGANA, 500028 IN</v>
    <v>92.78</v>
    <v>Metals &amp; Mining</v>
    <v>Stock</v>
    <v>46169.490659722222</v>
    <v>209</v>
    <v>91.13</v>
    <v>721984100000</v>
    <v>NMDC LIMITED</v>
    <v>NMDC LIMITED</v>
    <v>91.25</v>
    <v>11.55</v>
    <v>90.67</v>
    <v>92.28</v>
    <v>8791817000</v>
    <v>NMDC</v>
    <v>NMDC LIMITED (XNSE:NMDC)</v>
    <v>24144878</v>
    <v>21197300</v>
    <v>1958</v>
  </rv>
  <rv s="2">
    <v>210</v>
  </rv>
  <rv s="0">
    <v>https://www.bing.com/financeapi/forcetrigger?t=c53jr7&amp;q=XNSE%3aGRWRHITECH&amp;form=skydnc</v>
    <v>Learn more on Bing</v>
  </rv>
  <rv s="1">
    <v>en-IN</v>
    <v>c53jr7</v>
    <v>268435456</v>
    <v>1</v>
    <v>Powered by Refinitiv</v>
    <v>0</v>
    <v>GARWARE HI-TECH FILMS LIMITED (XNSE:GRWRHITECH)</v>
    <v>2</v>
    <v>3</v>
    <v>Finance</v>
    <v>4</v>
    <v>5857</v>
    <v>2681</v>
    <v>1.2767999999999999</v>
    <v>-51.3</v>
    <v>-8.849000000000001E-3</v>
    <v>INR</v>
    <v>Garware Hi-Tech Films Limited is an India-based manufacturer of specialized solar control films &amp; paint protection films for the automotive segment, sun control films for architectural applications, and high-end biaxially-oriented polyethylene terephthalate (BOPET) films for industrial applications. The Company offers a wide range of products with diverse end applications, including Solar Control and Paint Protection Films for automotive applications, BOPET Films, Thermal Lamination Films, Low-Oligomer Films, and high shrink films, and others. Its Paint Protection Films are used in automobiles and a variety of other specialty polyester films, such as PET Shrink films used for Label applications, Low Oligomer PET films used for insulation of hermetically sealed compressor motors, electric motor insulation and cable insulation, sequin application films, TV and LCD screen application, Packaging applications, and others.</v>
    <v>947</v>
    <v>National Stock Exchange of India</v>
    <v>XNSE</v>
    <v>XNSE</v>
    <v>NAIGAON, POST WALUJ, MAHARASHTRA, 431133 IN</v>
    <v>5850</v>
    <v>Chemicals</v>
    <v>Stock</v>
    <v>46169.490648148145</v>
    <v>212</v>
    <v>5610</v>
    <v>69866780000</v>
    <v>GARWARE HI-TECH FILMS LIMITED</v>
    <v>GARWARE HI-TECH FILMS LIMITED</v>
    <v>5822</v>
    <v>39.82</v>
    <v>5797.5</v>
    <v>5746.2</v>
    <v>23232390</v>
    <v>GRWRHITECH</v>
    <v>GARWARE HI-TECH FILMS LIMITED (XNSE:GRWRHITECH)</v>
    <v>68877</v>
    <v>109100</v>
    <v>1957</v>
  </rv>
  <rv s="2">
    <v>213</v>
  </rv>
  <rv s="0">
    <v>https://www.bing.com/financeapi/forcetrigger?t=ahhdmw&amp;q=XNSE%3aCGPOWER&amp;form=skydnc</v>
    <v>Learn more on Bing</v>
  </rv>
  <rv s="1">
    <v>en-IN</v>
    <v>ahhdmw</v>
    <v>268435456</v>
    <v>1</v>
    <v>Powered by Refinitiv</v>
    <v>0</v>
    <v>CG POWER AND INDUSTRIAL SOLUTIONS LIMITED (XNSE:CGPOWER)</v>
    <v>2</v>
    <v>3</v>
    <v>Finance</v>
    <v>4</v>
    <v>938</v>
    <v>525.5</v>
    <v>1.2061999999999999</v>
    <v>55.65</v>
    <v>6.3299999999999995E-2</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938</v>
    <v>Machinery, Equipment &amp; Components</v>
    <v>Stock</v>
    <v>46169.490624999999</v>
    <v>215</v>
    <v>882</v>
    <v>915948800000</v>
    <v>CG POWER AND INDUSTRIAL SOLUTIONS LIMITED</v>
    <v>CG POWER AND INDUSTRIAL SOLUTIONS LIMITED</v>
    <v>882.55</v>
    <v>114.21</v>
    <v>879.15</v>
    <v>934.8</v>
    <v>1574957000</v>
    <v>CGPOWER</v>
    <v>CG POWER AND INDUSTRIAL SOLUTIONS LIMITED (XNSE:CGPOWER)</v>
    <v>9258467</v>
    <v>2672950</v>
    <v>1937</v>
  </rv>
  <rv s="2">
    <v>216</v>
  </rv>
  <rv s="0">
    <v>https://www.bing.com/financeapi/forcetrigger?t=c42na2&amp;q=XNSE%3aNYKAA&amp;form=skydnc</v>
    <v>Learn more on Bing</v>
  </rv>
  <rv s="1">
    <v>en-IN</v>
    <v>c42na2</v>
    <v>268435456</v>
    <v>1</v>
    <v>Powered by Refinitiv</v>
    <v>0</v>
    <v>FSN E-COMMERCE VENTURES LIMITED (XNSE:NYKAA)</v>
    <v>2</v>
    <v>3</v>
    <v>Finance</v>
    <v>4</v>
    <v>285.60000000000002</v>
    <v>191.16</v>
    <v>1.3264</v>
    <v>-3.2</v>
    <v>-1.2014E-2</v>
    <v>INR</v>
    <v>FSN E-Commerce Ventures Limited is a consumer technology platform company. It is engaged in the business of manufacturing, selling and distribution of beauty, wellness, fitness, personal care, health care, skin care, hair care products on online platforms or Websites, such as e-commerce, m-commerce, websites, and intranet, as well as through retail outlets, general trade and modern trade. Its segments include Beauty, Fashion, and Others. Beauty segment includes the online beauty platform, beauty-owned brands, physical retail stores, the electronic business-to-business distribution business and Nykaa Man BPC business. Fashion segment includes Nykaa Fashion, Fashion retail, fashion owned brands, LBB (content platform) and Nykaa Man lifestyle business. Others segment includes groups international beauty business. Its business verticals include Nykaa Beauty, Nykaa Fashion and Nykaa Others. Nykaa Beauty includes beauty and personal care. Nykaa Fashion is engaged in apparel and accessories.</v>
    <v>3735</v>
    <v>National Stock Exchange of India</v>
    <v>XNSE</v>
    <v>XNSE</v>
    <v>104 VASAN UDYOG BHAVAN SUN MILL COMPOUND, TULSI PIPE ROAD, LOWER PAREL MUMBAI, MAHARASHTRA, 400013 IN</v>
    <v>267.89999999999998</v>
    <v>Diversified Retail</v>
    <v>Stock</v>
    <v>46169.490636574075</v>
    <v>218</v>
    <v>261</v>
    <v>728798600000</v>
    <v>FSN E-COMMERCE VENTURES LIMITED</v>
    <v>FSN E-COMMERCE VENTURES LIMITED</v>
    <v>265.85000000000002</v>
    <v>386.01</v>
    <v>266.35000000000002</v>
    <v>263.14999999999998</v>
    <v>2863508000</v>
    <v>NYKAA</v>
    <v>FSN E-COMMERCE VENTURES LIMITED (XNSE:NYKAA)</v>
    <v>5470638</v>
    <v>7346080</v>
    <v>2012</v>
  </rv>
  <rv s="2">
    <v>219</v>
  </rv>
  <rv s="0">
    <v>https://www.bing.com/financeapi/forcetrigger?t=ahgzqh&amp;q=XNSE%3aASTRAMICRO&amp;form=skydnc</v>
    <v>Learn more on Bing</v>
  </rv>
  <rv s="1">
    <v>en-IN</v>
    <v>ahgzqh</v>
    <v>268435456</v>
    <v>1</v>
    <v>Powered by Refinitiv</v>
    <v>0</v>
    <v>ASTRA MICROWAVE PRODUCTS LIMITED (XNSE:ASTRAMICRO)</v>
    <v>2</v>
    <v>3</v>
    <v>Finance</v>
    <v>4</v>
    <v>1432</v>
    <v>851</v>
    <v>1.7265999999999999</v>
    <v>40.4</v>
    <v>2.9772E-2</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1432</v>
    <v>Electronic Equipment &amp; Parts</v>
    <v>Stock</v>
    <v>46169.490648148145</v>
    <v>221</v>
    <v>1360.7</v>
    <v>93630020000</v>
    <v>ASTRA MICROWAVE PRODUCTS LIMITED</v>
    <v>ASTRA MICROWAVE PRODUCTS LIMITED</v>
    <v>1374</v>
    <v>80.319999999999993</v>
    <v>1357</v>
    <v>1397.4</v>
    <v>94945010</v>
    <v>ASTRAMICRO</v>
    <v>ASTRA MICROWAVE PRODUCTS LIMITED (XNSE:ASTRAMICRO)</v>
    <v>5233365</v>
    <v>1520420</v>
    <v>1991</v>
  </rv>
  <rv s="2">
    <v>222</v>
  </rv>
  <rv s="0">
    <v>https://www.bing.com/financeapi/forcetrigger?t=c1bvcw&amp;q=XNSE%3aANURAS&amp;form=skydnc</v>
    <v>Learn more on Bing</v>
  </rv>
  <rv s="1">
    <v>en-IN</v>
    <v>c1bvcw</v>
    <v>268435456</v>
    <v>1</v>
    <v>Powered by Refinitiv</v>
    <v>0</v>
    <v>ANUPAM RASAYAN INDIA LIMITED (XNSE:ANURAS)</v>
    <v>2</v>
    <v>3</v>
    <v>Finance</v>
    <v>4</v>
    <v>1415</v>
    <v>946.3</v>
    <v>1.1537999999999999</v>
    <v>-2.2999999999999998</v>
    <v>-1.678E-3</v>
    <v>INR</v>
    <v>Anupam Rasayan India Ltd. is an India-based company, which is engaged in the custom synthesis (CSM) and manufacturing of specialty chemicals. The Company's segments include Life Science related Specialty Chemicals and Other Specialty Chemicals. The Life Science related Specialty Chemicals segment includes agrochemicals (including crop protection), personal care, and pharmaceuticals businesses. Its agrochemicals business includes manufacturing agro intermediates and active ingredients, such as insecticides, fungicides, herbicides and plant growth regulators. Its personal care business manufactures antibacterial and ultraviolet protection intermediates. Its pharmaceuticals business develops intermediates and key starting materials for active pharmaceutical ingredients used in therapeutic segments, including cardiovascular and antidiabetic. The Other Specialty Chemicals segment includes specialty pigments, specialty dyes, and polymer additives. It caters to Indian and global customers.</v>
    <v>2606</v>
    <v>National Stock Exchange of India</v>
    <v>XNSE</v>
    <v>XNSE</v>
    <v>1101 TO1107, 11TH FLOOR, ICON RIO,B/H ICON BUSINESS CENTRE, DUMAS ROAD, PIPLOD, GUJARAT, 395007 IN</v>
    <v>1384.4</v>
    <v>Chemicals</v>
    <v>Stock</v>
    <v>46169.490636574075</v>
    <v>224</v>
    <v>1351.5</v>
    <v>152294900000</v>
    <v>ANUPAM RASAYAN INDIA LIMITED</v>
    <v>ANUPAM RASAYAN INDIA LIMITED</v>
    <v>1382.7</v>
    <v>90.81</v>
    <v>1370.3</v>
    <v>1368</v>
    <v>113848300</v>
    <v>ANURAS</v>
    <v>ANUPAM RASAYAN INDIA LIMITED (XNSE:ANURAS)</v>
    <v>251608</v>
    <v>319670</v>
    <v>2003</v>
  </rv>
  <rv s="2">
    <v>225</v>
  </rv>
  <rv s="0">
    <v>https://www.bing.com/financeapi/forcetrigger?t=ahi7dm&amp;q=XNSE%3aHSCL&amp;form=skydnc</v>
    <v>Learn more on Bing</v>
  </rv>
  <rv s="1">
    <v>en-IN</v>
    <v>ahi7dm</v>
    <v>268435456</v>
    <v>1</v>
    <v>Powered by Refinitiv</v>
    <v>0</v>
    <v>HIMADRI SPECIALITY CHEMICAL LIMITED (XNSE:HSCL)</v>
    <v>2</v>
    <v>3</v>
    <v>Finance</v>
    <v>4</v>
    <v>654.45000000000005</v>
    <v>418.5</v>
    <v>1.7325999999999999</v>
    <v>0.8</v>
    <v>1.3189999999999999E-3</v>
    <v>INR</v>
    <v>Himadri Speciality Chemical Limited is an India-based global specialty chemical company with a focus on research and development (R&amp;D) and sustainability. The Company develops raw materials of lithium-ion battery value chain. It is primarily engaged in the manufacturing of carbon materials and chemicals. Its segments include Carbon materials and chemicals, and Power. Its diverse product portfolio includes specialty carbon black, coal tar pitch, refined naphthalene, advance materials, sulphonated naphthalene formaldehyde (SNF), specialty oils, power and others catering to various industries such as lithium-ion batteries, paints, plastics, tires, aluminum, graphite electrodes, agrochemicals, defense and construction chemicals. Its product offerings include anode materials, silicon-based anode materials, cathode materials, graphene, hybrid polycarboxylate ether, and COLORX. It operates in both domestic and international markets, exporting to approximately 54 countries across the globe.</v>
    <v>1161</v>
    <v>National Stock Exchange of India</v>
    <v>XNSE</v>
    <v>XNSE</v>
    <v>Ruby House, 8, India Exchange Place, 2nd Floor, KOLKATA, WEST BENGAL, 700001 IN</v>
    <v>625</v>
    <v>Chemicals</v>
    <v>Stock</v>
    <v>46169.490659722222</v>
    <v>227</v>
    <v>603.75</v>
    <v>239116800000</v>
    <v>HIMADRI SPECIALITY CHEMICAL LIMITED</v>
    <v>HIMADRI SPECIALITY CHEMICAL LIMITED</v>
    <v>607.9</v>
    <v>40.22</v>
    <v>606.4</v>
    <v>607.20000000000005</v>
    <v>504541600</v>
    <v>HSCL</v>
    <v>HIMADRI SPECIALITY CHEMICAL LIMITED (XNSE:HSCL)</v>
    <v>8455044</v>
    <v>9094840</v>
    <v>1987</v>
  </rv>
  <rv s="2">
    <v>228</v>
  </rv>
  <rv s="0">
    <v>https://www.bing.com/financeapi/forcetrigger?t=ahh7zr&amp;q=XNSE%3aBIOCON&amp;form=skydnc</v>
    <v>Learn more on Bing</v>
  </rv>
  <rv s="1">
    <v>en-IN</v>
    <v>ahh7zr</v>
    <v>268435456</v>
    <v>1</v>
    <v>Powered by Refinitiv</v>
    <v>0</v>
    <v>BIOCON LIMITED (XNSE:BIOCON)</v>
    <v>2</v>
    <v>3</v>
    <v>Finance</v>
    <v>4</v>
    <v>440.4</v>
    <v>327.60000000000002</v>
    <v>0.8</v>
    <v>-3.95</v>
    <v>-9.0569999999999991E-3</v>
    <v>INR</v>
    <v>Biocon Limited is an India-based biopharmaceutical company, engaged in the manufacture of biotechnology products and research services. The Company is in the business of manufacturing active pharmaceutical ingredients (APIs) and formulations, including biosimilar drugs for diabetics, oncology and autoimmune diseases. The Company’s segment includes Generics, Biosimilars, Novel Biologics and Research Services. It focuses on three key therapeutic areas - Oncology, Diabetes, and Immunology. Its APIs portfolio includes cardiovascular, anti-diabetics, immunosuppressants, and specialty molecules. Its products include Tacrolimus, Rosuvastatin, Simvastatin, Atorvastatin, Pravastatin, Fingolimod and others. Its APIs manufacturing facilities with capabilities in microbial fermentation, downstream process, including chromatographic purification, chemical synthesis, peptide synthesis and Highly Potent APIs (HPAPIs). It has over five facilities in Bangalore, Hyderabad and Visakhapatnam in India.</v>
    <v>3442</v>
    <v>National Stock Exchange of India</v>
    <v>XNSE</v>
    <v>XNSE</v>
    <v>20TH KM HOSUR ROAD ELECTRONIC CITY, KARNATAKA, 560100 IN</v>
    <v>438.45</v>
    <v>Biotechnology &amp; Medical Research</v>
    <v>Stock</v>
    <v>46169.490648148145</v>
    <v>230</v>
    <v>430.3</v>
    <v>568465400000</v>
    <v>BIOCON LIMITED</v>
    <v>BIOCON LIMITED</v>
    <v>436.15</v>
    <v>156.33000000000001</v>
    <v>436.15</v>
    <v>432.2</v>
    <v>1619507000</v>
    <v>BIOCON</v>
    <v>BIOCON LIMITED (XNSE:BIOCON)</v>
    <v>2573291</v>
    <v>5548150</v>
    <v>1978</v>
  </rv>
  <rv s="2">
    <v>231</v>
  </rv>
  <rv s="0">
    <v>https://www.bing.com/financeapi/forcetrigger?t=ahhk6h&amp;q=XNSE%3aDIAPOWER&amp;form=skydnc</v>
    <v>Learn more on Bing</v>
  </rv>
  <rv s="1">
    <v>en-IN</v>
    <v>ahhk6h</v>
    <v>268435456</v>
    <v>1</v>
    <v>Powered by Refinitiv</v>
    <v>0</v>
    <v>DIAMOND POWER INFRASTRUCTURE LIMITED (XNSE:DIACABS)</v>
    <v>2</v>
    <v>3</v>
    <v>Finance</v>
    <v>4</v>
    <v>211.2</v>
    <v>97.7</v>
    <v>1.6647000000000001</v>
    <v>-8.4499999999999993</v>
    <v>-4.0890000000000003E-2</v>
    <v>INR</v>
    <v>Diamond Power Infrastructure Limited is an integrated manufacturer of power transmission equipment. The Company is engaged in the manufacturing and sale of conductors, cables, and transmission towers. The Company operates in the Transmission and Distribution of Power (T&amp;D) related business segment. It designs and manufactures a range of power transmission equipment that includes conductors, power cables (HV, LV, and UHV), and transmission towers. The Company’s product portfolio includes power and control cables, MV and EHV cables, conductors, and transmission towers. Its conductor products include EC Grade Aluminum Wire Rods, Aluminum Alloy Wire Rods, All Aluminum Conductors (AAC), All Aluminum Alloy Conductors (AAAC), Aluminum Conductor Steel Reinforced (ACSR), Aluminum Alloy Conductor Steel Reinforced (AACSR), Aluminum Conductor Alloy Reinforced (ACAR), Stay Wire / Galvanized Steel Earth Wire, and others. Its subsidiary is Diamond Power Global Holdings Limited.</v>
    <v>150</v>
    <v>National Stock Exchange of India</v>
    <v>XNSE</v>
    <v>XNSE</v>
    <v>A2 - 12th Floor, "Palladium",, Near Orchid Wood, Opp, Divy Bhaskar, Corporate Road,Makarba, AHMEDABAD, GUJARAT, 380051 IN</v>
    <v>211.2</v>
    <v>Machinery, Equipment &amp; Components</v>
    <v>Stock</v>
    <v>46169.490671296298</v>
    <v>233</v>
    <v>196.18</v>
    <v>69317770000</v>
    <v>DIAMOND POWER INFRASTRUCTURE LIMITED</v>
    <v>DIAMOND POWER INFRASTRUCTURE LIMITED</v>
    <v>208.7</v>
    <v>103.59</v>
    <v>206.65</v>
    <v>198.2</v>
    <v>526971100</v>
    <v>DIACABS</v>
    <v>DIAMOND POWER INFRASTRUCTURE LIMITED (XNSE:DIACABS)</v>
    <v>18541687</v>
    <v>9016170</v>
    <v>1992</v>
  </rv>
  <rv s="2">
    <v>234</v>
  </rv>
  <rv s="0">
    <v>https://www.bing.com/financeapi/forcetrigger?t=ahgr3m&amp;q=XNSE%3aADANIENT&amp;form=skydnc</v>
    <v>Learn more on Bing</v>
  </rv>
  <rv s="1">
    <v>en-IN</v>
    <v>ahgr3m</v>
    <v>268435456</v>
    <v>1</v>
    <v>Powered by Refinitiv</v>
    <v>0</v>
    <v>ADANI ENTERPRISES LIMITED (XNSE:ADANIENT)</v>
    <v>2</v>
    <v>3</v>
    <v>Finance</v>
    <v>4</v>
    <v>3027.5</v>
    <v>1753</v>
    <v>1.4602999999999999</v>
    <v>3.8</v>
    <v>1.2800000000000001E-3</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11571</v>
    <v>National Stock Exchange of India</v>
    <v>XNSE</v>
    <v>XNSE</v>
    <v>Adani House, Shrimali Society, Nr. Mithakhali Circle, Navrangpura, AHMEDABAD, GUJARAT, 380009 IN</v>
    <v>3027.5</v>
    <v>Diversified Industrial Goods Wholesale</v>
    <v>Stock</v>
    <v>46169.490624999999</v>
    <v>236</v>
    <v>2944</v>
    <v>2677113000000</v>
    <v>ADANI ENTERPRISES LIMITED</v>
    <v>ADANI ENTERPRISES LIMITED</v>
    <v>2982</v>
    <v>38.340000000000003</v>
    <v>2969.3</v>
    <v>2973.1</v>
    <v>1440195000</v>
    <v>ADANIENT</v>
    <v>ADANI ENTERPRISES LIMITED (XNSE:ADANIENT)</v>
    <v>3826916</v>
    <v>3662200</v>
    <v>1993</v>
  </rv>
  <rv s="2">
    <v>237</v>
  </rv>
  <rv s="0">
    <v>https://www.bing.com/financeapi/forcetrigger?t=bmzvec&amp;q=XNSE%3aGRSE&amp;form=skydnc</v>
    <v>Learn more on Bing</v>
  </rv>
  <rv s="1">
    <v>en-IN</v>
    <v>bmzvec</v>
    <v>268435456</v>
    <v>1</v>
    <v>Powered by Refinitiv</v>
    <v>0</v>
    <v>GARDEN REACH SHIPBUILDERS &amp; ENGINEERS LIMITED (XNSE:GRSE)</v>
    <v>2</v>
    <v>3</v>
    <v>Finance</v>
    <v>4</v>
    <v>3538.4</v>
    <v>1963.7</v>
    <v>2.0586000000000002</v>
    <v>-11</v>
    <v>-4.1310000000000001E-3</v>
    <v>INR</v>
    <v>Garden Reach Shipbuilders &amp; Engineers Ltd. is an India-based warship building company. The Company is under the administrative control of the Ministry of Defense, primarily catering to the shipbuilding requirements of the Indian Navy and the Indian Coast Guard. The Company's divisions include ship division, engineering division and engine division. It has built over 800 platforms, including 114 warships for Indian Navy, Indian Coast Guard and Govt. of Mauritius and Govt. of Seychelles. It has designed and built warships, such as frigates, anti-submarine warfare corvettes, fleet tanker and landing ship tank (large), among others. Its engineering product includes prefabricated steel bridges of various ranges and types, and various deck machinery items such as anchor capstans, boat davits, and others. The Company is also engaged in engineering activities. It is involved in assembly/testing/overhauling of marine diesel engines and the manufacture of naval surface guns.</v>
    <v>1690</v>
    <v>National Stock Exchange of India</v>
    <v>XNSE</v>
    <v>XNSE</v>
    <v>GRSE Bhavan, 61, Garden Reach Road, KOLKATA, WEST BENGAL, 700024 IN</v>
    <v>2692</v>
    <v>Aerospace &amp; Defense</v>
    <v>Stock</v>
    <v>46169.490636574075</v>
    <v>239</v>
    <v>2629.9</v>
    <v>280583700000</v>
    <v>GARDEN REACH SHIPBUILDERS &amp; ENGINEERS LIMITED</v>
    <v>GARDEN REACH SHIPBUILDERS &amp; ENGINEERS LIMITED</v>
    <v>2662.5</v>
    <v>40.770000000000003</v>
    <v>2662.5</v>
    <v>2651.5</v>
    <v>114552000</v>
    <v>GRSE</v>
    <v>GARDEN REACH SHIPBUILDERS &amp; ENGINEERS LIMITED (XNSE:GRSE)</v>
    <v>637795</v>
    <v>1348690</v>
    <v>1934</v>
  </rv>
  <rv s="2">
    <v>240</v>
  </rv>
  <rv s="0">
    <v>https://www.bing.com/financeapi/forcetrigger?t=ahiou2&amp;q=XNSE%3aKSCL&amp;form=skydnc</v>
    <v>Learn more on Bing</v>
  </rv>
  <rv s="1">
    <v>en-IN</v>
    <v>ahiou2</v>
    <v>268435456</v>
    <v>1</v>
    <v>Powered by Refinitiv</v>
    <v>0</v>
    <v>KAVERI SEED COMPANY LTD. (XNSE:KSCL)</v>
    <v>2</v>
    <v>3</v>
    <v>Finance</v>
    <v>4</v>
    <v>1526.9</v>
    <v>705.1</v>
    <v>0.5726</v>
    <v>-0.5</v>
    <v>-5.5539999999999995E-4</v>
    <v>INR</v>
    <v>Kaveri Seed Company Limited is an India-based agriculture company. The Company is engaged in the research, production, processing and marketing of various hybrid seeds. The Company is engaged in the business of sale of seeds and micronutrients. Its product categories include field crops and vegetables. Its field crops include maize, paddy, cotton, sunflower, mustard, sorghum, pulses, bajra, and wheat. The Company's vegetables include tomatoes, okra, chilies, watermelon, gourds and brinjal. Its cotton products include ATM, Jadoo, Money maker, Jackpot, 3/1, KCH 4011, KCH-4021 and KCH-1603. The Company's maize products include Kaveri 50, KMH 2589 (Drona), Profit, God Father, KMH 5210, and KMH 1311 (Sultan). Its tomato products include KTH-354, KTH-355, and KTH-304. The Company's subsidiaries include Aditya Agri Tech Private Limited, Kaveri Microteck Private Limited, Genome Agritech Private Limited, Genomix Agri Genetics Private Limited and Kaveri Seed Company Bangladesh Private Limited.</v>
    <v>1466</v>
    <v>National Stock Exchange of India</v>
    <v>XNSE</v>
    <v>XNSE</v>
    <v>513B Vth Floor, Minerva Complex, Sarojini Devi, SECUNDERABAD, TELANGANA, 500003 IN</v>
    <v>915.9</v>
    <v>Food &amp; Tobacco</v>
    <v>Stock</v>
    <v>46169.490659722222</v>
    <v>242</v>
    <v>887.1</v>
    <v>45884960000</v>
    <v>KAVERI SEED COMPANY LTD.</v>
    <v>KAVERI SEED COMPANY LTD.</v>
    <v>900.2</v>
    <v>15.25</v>
    <v>900.2</v>
    <v>899.7</v>
    <v>51040870</v>
    <v>KSCL</v>
    <v>KAVERI SEED COMPANY LTD. (XNSE:KSCL)</v>
    <v>132515</v>
    <v>101000</v>
    <v>1986</v>
  </rv>
  <rv s="2">
    <v>243</v>
  </rv>
  <rv s="0">
    <v>https://www.bing.com/financeapi/forcetrigger?t=ahjuc7&amp;q=XNSE%3aSCHAEFFLER&amp;form=skydnc</v>
    <v>Learn more on Bing</v>
  </rv>
  <rv s="1">
    <v>en-IN</v>
    <v>ahjuc7</v>
    <v>268435456</v>
    <v>1</v>
    <v>Powered by Refinitiv</v>
    <v>0</v>
    <v>SCHAEFFLER INDIA LIMITED (XNSE:SCHAEFFLER)</v>
    <v>2</v>
    <v>3</v>
    <v>Finance</v>
    <v>4</v>
    <v>4467.7</v>
    <v>3518.4</v>
    <v>0.75980000000000003</v>
    <v>-38.4</v>
    <v>-9.1509999999999994E-3</v>
    <v>INR</v>
    <v>Schaeffler India Limited is an India-based automotive and industrial component supplier. The Company is engaged in the development, manufacturing and distribution of roller and ball bearings, engine systems and transmission components, chassis applications, clutch systems and related machine building manufacturing activities. Its segments include mobility components and related solutions and Others. Its Mobility components and related solutions include automotive technologies, vehicle lifetime solutions, bearings &amp; industrial solutions and intercompany exports &amp; others. Its Automotive Technologies offer solutions for cars and commercial vehicles, offering hybrid, fully electric, and fuel cell technologies that combat climate change and meet stringent emissions standards. The Company's manufacturing units are located in the State of Gujarat at Vadodara and Savli, in the State of Maharashtra at Talegaon (Pune) and in the State of Tamil Nadu at Hosur.</v>
    <v>3826</v>
    <v>National Stock Exchange of India</v>
    <v>XNSE</v>
    <v>XNSE</v>
    <v>Maneja Vadodara, GUJARAT, 390013 IN</v>
    <v>4246.5</v>
    <v>Machinery, Equipment &amp; Components</v>
    <v>Stock</v>
    <v>46169.490624999999</v>
    <v>245</v>
    <v>4131.3</v>
    <v>592312800000</v>
    <v>SCHAEFFLER INDIA LIMITED</v>
    <v>SCHAEFFLER INDIA LIMITED</v>
    <v>4210</v>
    <v>54.01</v>
    <v>4196.1000000000004</v>
    <v>4157.7</v>
    <v>156303700</v>
    <v>SCHAEFFLER</v>
    <v>SCHAEFFLER INDIA LIMITED (XNSE:SCHAEFFLER)</v>
    <v>25652</v>
    <v>63570</v>
    <v>1962</v>
  </rv>
  <rv s="2">
    <v>246</v>
  </rv>
  <rv s="3">
    <v>en-IN</v>
    <v>c9it27</v>
    <v>268435456</v>
    <v>1</v>
    <v>Powered by Refinitiv</v>
    <v>5</v>
    <v>Avalon Technologies Ltd (XNSE:AVALON)</v>
    <v>6</v>
    <v>3</v>
    <v>Finance</v>
    <v>4</v>
    <v>1558.6</v>
    <v>777.3</v>
    <v>1.4139999999999999</v>
    <v>35.799999999999997</v>
    <v>2.4499E-2</v>
    <v>INR</v>
    <v>Avalon Technologies Limited is an India-based integrated electronic manufacturing services (EMS) company with end-to-end capabilities in delivering box build solutions. It offers a range of capabilities, including printed circuit board (PCB) design and assembly, cable and wire harness manufacturing, sheet metal fabrication, machining, injection molded plastics, and magnetics. The Company offers telecom and fifth generation (5G) solutions such as Remote Radio Heads (RRH), antennas, and Base Band Units (BBU), satellite systems including base station antenna systems, digital antennas and control panels, along with digital infrastructure solutions like fleet management, vehicle tracking, and vision systems. The Company caters to various industries, such as the clean energy sector, railway, automotive, communication, and aerospace. Its manufacturing facilities are located in Chennai and Bangalore, India and in Atlanta and Fremont, the United States.</v>
    <v>1142</v>
    <v>National Stock Exchange of India</v>
    <v>XNSE</v>
    <v>XNSE</v>
    <v>B-7 FIRST MAIN ROAD, MEPZ-SEZ, TAMBARAM, TAMIL NADU, 600045 IN</v>
    <v>1537.1</v>
    <v>Electronic Equipment &amp; Parts</v>
    <v>Stock</v>
    <v>46169.490659722222</v>
    <v>1452.1</v>
    <v>59435520000</v>
    <v>Avalon Technologies Ltd</v>
    <v>Avalon Technologies Ltd</v>
    <v>1460</v>
    <v>86.37</v>
    <v>1461.3</v>
    <v>1497.1</v>
    <v>66766160</v>
    <v>AVALON</v>
    <v>Avalon Technologies Ltd (XNSE:AVALON)</v>
    <v>338216</v>
    <v>958520</v>
    <v>1999</v>
  </rv>
  <rv s="2">
    <v>248</v>
  </rv>
  <rv s="0">
    <v>https://www.bing.com/financeapi/forcetrigger?t=ahherw&amp;q=XNSE%3aCOALINDIA&amp;form=skydnc</v>
    <v>Learn more on Bing</v>
  </rv>
  <rv s="1">
    <v>en-IN</v>
    <v>ahherw</v>
    <v>268435456</v>
    <v>1</v>
    <v>Powered by Refinitiv</v>
    <v>0</v>
    <v>COAL INDIA LTD (XNSE:COALINDIA)</v>
    <v>2</v>
    <v>3</v>
    <v>Finance</v>
    <v>4</v>
    <v>491.25</v>
    <v>368.65</v>
    <v>0.65329999999999999</v>
    <v>4.9000000000000004</v>
    <v>1.0695E-2</v>
    <v>INR</v>
    <v>Coal India Limited is an India-based coal mining company. The Company, along with its subsidiaries, is primarily engaged in the mining and production of coal. It operates approximately 310 working mines, consisting of 129 underground, 168 opencast, and 13 mixed mines. Its products and services include Coking Coal, Semi Coking Coal, Non-Coking Coal, Washed and Beneficiated Coal, Middlings, CIL Coke / LTC Coke, Coal Fines / Coke Fines, and others. Its consumers include power and steel sectors, cement, fertilizers, brick kilns and others. The Company has approximately 21 training institutes and 76 vocational training centers. Its subsidiaries include Eastern Coalfields Limited (ECL), Bharat Coking Coal Limited (BCCL), Central Coalfields Limited (CCL), Western Coalfields Limited (WCL), South Eastern Coalfields Limited (SECL), Northern Coalfields Limited (NCL), Mahanadi Coalfields Limited (MCL), CIL Navikarniya Urja Limited (CNUL), and others.</v>
    <v>220272</v>
    <v>National Stock Exchange of India</v>
    <v>XNSE</v>
    <v>XNSE</v>
    <v>COAL BHAWAN,PREMISES NO-04-MAR, PLOT-AF-III ACTION AREA-1A, NEW TOWN RAJARHAT, WEST BENGAL, 700156 IN</v>
    <v>468.3</v>
    <v>Coal</v>
    <v>Stock</v>
    <v>46169.490671296298</v>
    <v>250</v>
    <v>428.4</v>
    <v>2643194000000</v>
    <v>COAL INDIA LTD</v>
    <v>COAL INDIA LTD</v>
    <v>429</v>
    <v>9.08</v>
    <v>458.15</v>
    <v>463.05</v>
    <v>6162729000</v>
    <v>COALINDIA</v>
    <v>COAL INDIA LTD (XNSE:COALINDIA)</v>
    <v>117042535</v>
    <v>9231280</v>
    <v>1973</v>
  </rv>
  <rv s="2">
    <v>251</v>
  </rv>
  <rv s="0">
    <v>https://www.bing.com/financeapi/forcetrigger?t=ahh27w&amp;q=XNSE%3aAVANTIFEED&amp;form=skydnc</v>
    <v>Learn more on Bing</v>
  </rv>
  <rv s="1">
    <v>en-IN</v>
    <v>ahh27w</v>
    <v>268435456</v>
    <v>1</v>
    <v>Powered by Refinitiv</v>
    <v>0</v>
    <v>AVANTI FEEDS LIMITED (XNSE:AVANTIFEED)</v>
    <v>2</v>
    <v>3</v>
    <v>Finance</v>
    <v>4</v>
    <v>1593.8</v>
    <v>614.25</v>
    <v>0.46710000000000002</v>
    <v>-40.4</v>
    <v>-3.0198999999999997E-2</v>
    <v>INR</v>
    <v>Avanti Feeds Limited is engaged in manufacturing of shrimp feed. The Company operates through three segments: Shrimp Feed, Windmills, and Shrimp Hatchery. The shrimp feed is manufactured and marketed to farmers, which is used in aqua culture to grow shrimp. The shrimps are purchased from the farmers and are further processed and exported to various countries. It has installed over four mills of over 3.2 megawatts capacity at Chitradurga, Karnataka. The power generated from windmills is sold to Bangalore Electricity Supply Company Limited (BESCOM) under a power purchase agreement. It has six shrimp feed manufacturing units and one hatchery. The Company’s products include raw shrimp, cooked shrimp, and value-added shrimp. Its Brand Stand Out in the Market include Head-on, Headless, Easy peel, Raw Peeled &amp; Deveined, Tail-on and others. The Company provides its products to various markets, such as USA, Europe, Japan, South Korea, China, Russia, Canada, and the Middle East.</v>
    <v>1548</v>
    <v>National Stock Exchange of India</v>
    <v>XNSE</v>
    <v>XNSE</v>
    <v>FLAT NO 103, GROUND FLOOR R SQUARE, PANDURANGAPURAM, ANDHRA PRADESH, 530003 IN</v>
    <v>1345.1</v>
    <v>Food &amp; Tobacco</v>
    <v>Stock</v>
    <v>46169.490648148145</v>
    <v>253</v>
    <v>1278.5</v>
    <v>110815400000</v>
    <v>AVANTI FEEDS LIMITED</v>
    <v>AVANTI FEEDS LIMITED</v>
    <v>1335.1</v>
    <v>28.17</v>
    <v>1337.8</v>
    <v>1297.4000000000001</v>
    <v>136245600</v>
    <v>AVANTIFEED</v>
    <v>AVANTI FEEDS LIMITED (XNSE:AVANTIFEED)</v>
    <v>311249</v>
    <v>379450</v>
    <v>1993</v>
  </rv>
  <rv s="2">
    <v>254</v>
  </rv>
  <rv s="0">
    <v>https://www.bing.com/financeapi/forcetrigger?t=ahkhjc&amp;q=XNSE%3aUNIONBANK&amp;form=skydnc</v>
    <v>Learn more on Bing</v>
  </rv>
  <rv s="1">
    <v>en-IN</v>
    <v>ahkhjc</v>
    <v>268435456</v>
    <v>1</v>
    <v>Powered by Refinitiv</v>
    <v>0</v>
    <v>UNION BANK OF INDIA LIMITED (XNSE:UNIONBANK)</v>
    <v>2</v>
    <v>3</v>
    <v>Finance</v>
    <v>4</v>
    <v>205.49</v>
    <v>124.64</v>
    <v>1.1142000000000001</v>
    <v>1.1599999999999999</v>
    <v>6.9230000000000003E-3</v>
    <v>INR</v>
    <v>Union Bank of India Limited is an India-based banking company. The Company’s segments include Treasury Operations, Corporate and Wholesale Banking and Other Banking Operations. The Company offers products in three categories, including personal, corporate loans and international. Its personal products include accounts and deposits, loans, which includes retail, micro, small and medium enterprises (MSME), wealth management, financial schemes and lockers/other services. Its corporate loans include trade finance, working capital, line of credit, project financing, and channel finance. Its international services include non-resident Indian speedy and easy remittances, Internet Banking, international debit/credit cards, home loans, special deposit schemes, and an online donation facility. It provides digital services, such as app banking, Internet banking, automated teller machine banking, self-service banking and immediate payment service (IMPS). It also provides foreign currency loans.</v>
    <v>73945</v>
    <v>National Stock Exchange of India</v>
    <v>XNSE</v>
    <v>XNSE</v>
    <v>UNION BANK BUILDING CENTRAL OFFICE 239 BACKBAY RECLAMATION POST BOX NO.93A NARIMAN POINT, MAHARASHTRA, 400021 IN</v>
    <v>169.4</v>
    <v>Banking Services</v>
    <v>Stock</v>
    <v>46169.490648148145</v>
    <v>256</v>
    <v>167.07</v>
    <v>1268629000000</v>
    <v>UNION BANK OF INDIA LIMITED</v>
    <v>UNION BANK OF INDIA LIMITED</v>
    <v>167.56</v>
    <v>6.58</v>
    <v>167.56</v>
    <v>168.72</v>
    <v>7633605000</v>
    <v>UNIONBANK</v>
    <v>UNION BANK OF INDIA LIMITED (XNSE:UNIONBANK)</v>
    <v>7569728</v>
    <v>11130130</v>
    <v>1919</v>
  </rv>
  <rv s="2">
    <v>257</v>
  </rv>
  <rv s="0">
    <v>https://www.bing.com/financeapi/forcetrigger?t=ahh34c&amp;q=XNSE%3aBAJAJCON&amp;form=skydnc</v>
    <v>Learn more on Bing</v>
  </rv>
  <rv s="1">
    <v>en-IN</v>
    <v>ahh34c</v>
    <v>268435456</v>
    <v>1</v>
    <v>Powered by Refinitiv</v>
    <v>0</v>
    <v>BAJAJ CONSUMER CARE LIMITED (XNSE:BAJAJCON)</v>
    <v>2</v>
    <v>3</v>
    <v>Finance</v>
    <v>4</v>
    <v>581</v>
    <v>168.25</v>
    <v>0.83420000000000005</v>
    <v>5.95</v>
    <v>1.0725E-2</v>
    <v>INR</v>
    <v>Bajaj Consumer Care Limited is an India-based fast-moving consumer goods (FMCG) company. The Company is engaged in the business of cosmetics, toiletries, and other personal care products. It has a presence in both domestic and international markets. It offers products across various segments of personal care, including hair care and skin care. Its range of products includes Bajaj Almond Drops, Bajaj 100% Pure Coconut Oil, Bajaj Amla Aloevera Hair Oil, Bajaj Brahmi Amla Hair Oil, Bajaj Sarson Amla Hair Oil, Natyv Soul, Bajaj 100% Pure, and Bajaj Nomarks Ayurveda. Its Natyv Soul products include Natyv Soul Pure Argan Oil from Morocco, Natyv Soul Hair Oil with Rosehip Oil from Chile, and Natyv Soul Hair Oil with Apple Seed oil from France. The Company's distribution outlets are classified as two parts: general trade, which includes general retail stores and local corner shops, and organized trade, which includes large retail outlets as well as e-commerce.</v>
    <v>503</v>
    <v>National Stock Exchange of India</v>
    <v>XNSE</v>
    <v>XNSE</v>
    <v>OLD STATION ROAD SEVASHRAM CHOURAHA, RAJASTHAN, 313001 IN</v>
    <v>573.25</v>
    <v>Personal &amp; Household Products &amp; Services</v>
    <v>Stock</v>
    <v>46169.490671296298</v>
    <v>259</v>
    <v>555.04999999999995</v>
    <v>37030290000</v>
    <v>BAJAJ CONSUMER CARE LIMITED</v>
    <v>BAJAJ CONSUMER CARE LIMITED</v>
    <v>566</v>
    <v>39.19</v>
    <v>554.79999999999995</v>
    <v>560.75</v>
    <v>130618300</v>
    <v>BAJAJCON</v>
    <v>BAJAJ CONSUMER CARE LIMITED (XNSE:BAJAJCON)</v>
    <v>407973</v>
    <v>927710</v>
    <v>2006</v>
  </rv>
  <rv s="2">
    <v>260</v>
  </rv>
  <rv s="0">
    <v>https://www.bing.com/financeapi/forcetrigger?t=ahheur&amp;q=XNSE%3aCOCHINSHIP&amp;form=skydnc</v>
    <v>Learn more on Bing</v>
  </rv>
  <rv s="1">
    <v>en-IN</v>
    <v>ahheur</v>
    <v>268435456</v>
    <v>1</v>
    <v>Powered by Refinitiv</v>
    <v>0</v>
    <v>COCHIN SHIPYARD LIMITED (XNSE:COCHINSHIP)</v>
    <v>2</v>
    <v>3</v>
    <v>Finance</v>
    <v>4</v>
    <v>2545</v>
    <v>1187</v>
    <v>1.7588999999999999</v>
    <v>-2.2999999999999998</v>
    <v>-1.5070000000000001E-3</v>
    <v>INR</v>
    <v>Cochin Shipyard Limited is an India-based company. The Company is engaged in the construction and maintenance of various types of ships. It caters to both domestic and international markets. It operates in two segments: Shipbuilding and Ship Repair. Its shipbuilding products include defense, such as aircraft carriers, next generation missile vessels, technology demonstration vessels, hydrographic survey vessels, and others; commercial, such as oil tankers, bulk carriers, dredgers, Pax vessels, marine ambulances, and others; and offshore, such as platform supply vessels, anchor handling/tug supply vessels, and multi-purpose vessels. It offers ship repair services such as maintenance and repairs of aircraft carriers and other defense vessels; oil rig upgrades, repair projects, and conversions; and repairs and maintenance of tankers, bulk carriers, and all commercial and specialized vessels. The Company’s subsidiaries are Hooghly Cochin Shipyard Limited and Udupi Cochin Shipyard Limited.</v>
    <v>2140</v>
    <v>National Stock Exchange of India</v>
    <v>XNSE</v>
    <v>XNSE</v>
    <v>ADMINISTRATIVE BUILDING COCHIN SHIPYARD PREMISES, PERUMANOOR, COCHIN, KERALA, 682015 IN</v>
    <v>1553.1</v>
    <v>Machinery, Equipment &amp; Components</v>
    <v>Stock</v>
    <v>46169.490671296298</v>
    <v>262</v>
    <v>1512.1</v>
    <v>407064900000</v>
    <v>COCHIN SHIPYARD LIMITED</v>
    <v>COCHIN SHIPYARD LIMITED</v>
    <v>1527</v>
    <v>56.03</v>
    <v>1526.2</v>
    <v>1523.9</v>
    <v>263080800</v>
    <v>COCHINSHIP</v>
    <v>COCHIN SHIPYARD LIMITED (XNSE:COCHINSHIP)</v>
    <v>1127361</v>
    <v>1471410</v>
    <v>1972</v>
  </rv>
  <rv s="2">
    <v>263</v>
  </rv>
  <rv s="0">
    <v>https://www.bing.com/financeapi/forcetrigger?t=b1ntp2&amp;q=XNSE%3aSOUTHWEST&amp;form=skydnc</v>
    <v>Learn more on Bing</v>
  </rv>
  <rv s="1">
    <v>en-IN</v>
    <v>b1ntp2</v>
    <v>268435456</v>
    <v>1</v>
    <v>Powered by Refinitiv</v>
    <v>0</v>
    <v>SOUTH WEST PINNACLE EXPLORATION LIMITED (XNSE:SOUTHWEST)</v>
    <v>2</v>
    <v>3</v>
    <v>Finance</v>
    <v>4</v>
    <v>273.24</v>
    <v>121</v>
    <v>0.65339999999999998</v>
    <v>15.85</v>
    <v>6.2578999999999996E-2</v>
    <v>INR</v>
    <v>South West Pinnacle Exploration Limited is an India-based exploration services company. The Company is engaged in providing end to end drilling, exploration and allied services to the coal, ferrous, non-ferrous, atomic and base metal mining industries and water and unconventional energy industries. Its segment includes Drilling &amp; Exploration and Coal Mining &amp; Trading. The Company also provides consultancy for geological field services and allied services and has an in-house team of geoscientists for providing integrated exploration services, including geophysical logging, surface geophysical and topographic surveys. Its services include Aquifer Mapping Services, CBM Exploration Services, CBM Production Services, Mining Services, Coal and Mineral Drilling Services, Geological and Geophysical Services, 2D/3D Seismic Exploration and Workover Rig Services. Its Aquifer Mapping is a multi-disciplinary holistic scientific approach for aquifer characterization.</v>
    <v>574</v>
    <v>National Stock Exchange of India</v>
    <v>XNSE</v>
    <v>XNSE</v>
    <v>GROUND FLOOR PLOT NO. 15, SECTOR-44, HARYANA, 122003 IN</v>
    <v>271</v>
    <v>Oil &amp; Gas Related Equipment and Services</v>
    <v>Stock</v>
    <v>46169.490648148145</v>
    <v>265</v>
    <v>254.11</v>
    <v>5328535000</v>
    <v>SOUTH WEST PINNACLE EXPLORATION LIMITED</v>
    <v>SOUTH WEST PINNACLE EXPLORATION LIMITED</v>
    <v>255</v>
    <v>23</v>
    <v>253.28</v>
    <v>269.13</v>
    <v>29830010</v>
    <v>SOUTHWEST</v>
    <v>SOUTH WEST PINNACLE EXPLORATION LIMITED (XNSE:SOUTHWEST)</v>
    <v>575641</v>
    <v>590540</v>
    <v>2006</v>
  </rv>
  <rv s="2">
    <v>266</v>
  </rv>
  <rv s="3">
    <v>en-IN</v>
    <v>cavcsm</v>
    <v>268435456</v>
    <v>1</v>
    <v>Powered by Refinitiv</v>
    <v>5</v>
    <v>R R KABEL LIMITED (XNSE:RRKABEL)</v>
    <v>6</v>
    <v>3</v>
    <v>Finance</v>
    <v>4</v>
    <v>2049</v>
    <v>1165</v>
    <v>1.05</v>
    <v>-26.4</v>
    <v>-1.3351E-2</v>
    <v>INR</v>
    <v>R R Kabel Limited is an India-based consumer electrical company, which is engaged in manufacturing and selling wires and cables, including house wires, industrial wires, power cables and special cables, and fast-moving electric goods (FMEG), including fans, lighting, switches, and appliances. The Company’s segments include Wire and Cable and FMEG. Its Wire and Cable segment is engaged in the manufacture and sale of wires and cables. Its FMEG segment is engaged in the manufacture and sale of fans, light-emitting diode (LED) lighting, switches, switchgear, water heaters, and domestic appliances. It manufactures, markets, and sells fans and lights under the brand RR Signature Fans and Lights. It offers premium electrical products under the RR Signature appliances brand, which include water heater, immersion heater, iron, and air cooler. Its brand, Arraystorm, focuses on the LED lighting business. It owns and operates approximately five integrated manufacturing facilities across India.</v>
    <v>3678</v>
    <v>National Stock Exchange of India</v>
    <v>XNSE</v>
    <v>XNSE</v>
    <v>305/A, WINDSOR PLAZA, R. C. DUTT ROAD, ALKAPURI,, GUJARAT, 390007 IN</v>
    <v>2036</v>
    <v>Machinery, Equipment &amp; Components</v>
    <v>Stock</v>
    <v>46169.490671296298</v>
    <v>1929.9</v>
    <v>169905200000</v>
    <v>R R KABEL LIMITED</v>
    <v>R R KABEL LIMITED</v>
    <v>1988</v>
    <v>45.43</v>
    <v>1977.4</v>
    <v>1951</v>
    <v>113105500</v>
    <v>RRKABEL</v>
    <v>R R KABEL LIMITED (XNSE:RRKABEL)</v>
    <v>854759</v>
    <v>581060</v>
    <v>1995</v>
  </rv>
  <rv s="2">
    <v>268</v>
  </rv>
  <rv s="0">
    <v>https://www.bing.com/financeapi/forcetrigger?t=ahi3jc&amp;q=XNSE%3aHDFCBANK&amp;form=skydnc</v>
    <v>Learn more on Bing</v>
  </rv>
  <rv s="1">
    <v>en-IN</v>
    <v>ahi3jc</v>
    <v>268435456</v>
    <v>1</v>
    <v>Powered by Refinitiv</v>
    <v>0</v>
    <v>HDFC BANK LIMITED (XNSE:HDFCBANK)</v>
    <v>2</v>
    <v>3</v>
    <v>Finance</v>
    <v>4</v>
    <v>1020.5</v>
    <v>726.65</v>
    <v>1.0024</v>
    <v>-20.25</v>
    <v>-2.5998E-2</v>
    <v>INR</v>
    <v>HDFC Bank Limited (the Bank) is an India-based banking company. The Bank, along with its subsidiaries, is engaged in providing a range of banking and financial services, including retail banking, wholesale banking, treasury operations, insurance, asset management, stockbroking and other financial services businesses. Its segment includes treasury, retail banking, wholesale banking, and other banking operations. The treasury segment consists of net interest earnings from the Bank’s investment portfolio, money market borrowing and lending, and gains or losses on investment operations. The retail banking segment consists of digital banking and other retail banking. The wholesale banking segment provides loans, non-fund facilities and transaction services to corporates, emerging corporates, public sector units, government bodies, and others. The other banking operations segment includes parabanking activities such as credit cards, debit cards, third-party product distribution, and others.</v>
    <v>215739</v>
    <v>National Stock Exchange of India</v>
    <v>XNSE</v>
    <v>XNSE</v>
    <v>'Hdfc Bank House', Senapati Bapat Road, Lower Parel (West), Mumbai India, MUMBAI, MAHARASHTRA, 400013 IN</v>
    <v>773.9</v>
    <v>Banking Services</v>
    <v>Stock</v>
    <v>46169.490624999999</v>
    <v>270</v>
    <v>756.9</v>
    <v>14420670000000</v>
    <v>HDFC BANK LIMITED</v>
    <v>HDFC BANK LIMITED</v>
    <v>769.5</v>
    <v>15.74</v>
    <v>778.9</v>
    <v>758.65</v>
    <v>15396220000</v>
    <v>HDFCBANK</v>
    <v>HDFC BANK LIMITED (XNSE:HDFCBANK)</v>
    <v>63680153</v>
    <v>31627530</v>
    <v>1994</v>
  </rv>
  <rv s="2">
    <v>271</v>
  </rv>
  <rv s="3">
    <v>en-IN</v>
    <v>chn55r</v>
    <v>268435456</v>
    <v>1</v>
    <v>Powered by Refinitiv</v>
    <v>5</v>
    <v>ADITYA INFOTECH LIMITED (XNSE:CPPLUS)</v>
    <v>6</v>
    <v>3</v>
    <v>Finance</v>
    <v>4</v>
    <v>2737</v>
    <v>1015</v>
    <v>0.75700000000000001</v>
    <v>-9.1</v>
    <v>-3.4360000000000003E-3</v>
    <v>INR</v>
    <v>Aditya Infotech Limited is an India-based closed-circuit television (CCTV) surveillance company. The Company offers a comprehensive range of advanced video security and surveillance products, technologies and solutions for enterprise and consumer segments under its CP PLUS brand. It also offers solutions and services such as fully integrated security systems and security-as-a-service, directly and through its distribution network, addressing the requirements of end-customers engaged in a range of sectors, such as banking, insurance, real estate, healthcare, industrial, education, hospitality, retail and law enforcement. Its product portfolio, including products that it sources from third parties, deploys a variety of security technologies, such as artificial intelligence (AI) and machine learning to deliver edge-based AI analytics, integrated Internet of Things ecosystem for connected and smart homes, and a number of cloud services. Its brands include CP PLUS, Dahua and OnVigil.</v>
    <v>970</v>
    <v>National Stock Exchange of India</v>
    <v>XNSE</v>
    <v>XNSE</v>
    <v>Khemka Square, A-11 &amp; 12, Sector 4, NOIDA, UTTAR PRADESH, 201301 IN</v>
    <v>2737</v>
    <v>Professional &amp; Commercial Services</v>
    <v>Stock</v>
    <v>46169.490729166668</v>
    <v>2626.5</v>
    <v>166878700000</v>
    <v>ADITYA INFOTECH LIMITED</v>
    <v>ADITYA INFOTECH LIMITED</v>
    <v>2709.1</v>
    <v>119.86</v>
    <v>2648.7</v>
    <v>2639.6</v>
    <v>117850500</v>
    <v>CPPLUS</v>
    <v>ADITYA INFOTECH LIMITED (XNSE:CPPLUS)</v>
    <v>312747</v>
    <v>262050</v>
    <v>1995</v>
  </rv>
  <rv s="2">
    <v>273</v>
  </rv>
  <rv s="0">
    <v>https://www.bing.com/financeapi/forcetrigger?t=ahkf9c&amp;q=XNSE%3aTRITURBINE&amp;form=skydnc</v>
    <v>Learn more on Bing</v>
  </rv>
  <rv s="1">
    <v>en-IN</v>
    <v>ahkf9c</v>
    <v>268435456</v>
    <v>1</v>
    <v>Powered by Refinitiv</v>
    <v>0</v>
    <v>TRIVENI TURBINE LIMITED (XNSE:TRITURBINE)</v>
    <v>2</v>
    <v>3</v>
    <v>Finance</v>
    <v>4</v>
    <v>738</v>
    <v>428.35</v>
    <v>1.5229999999999999</v>
    <v>28.7</v>
    <v>4.1567E-2</v>
    <v>INR</v>
    <v>Triveni Turbine Limited is an India-based industrial steam turbine manufacturer. The Company is primarily engaged in the business of manufacturing and supplying power-generating equipment and solutions. It designs, develops, and delivers advanced technological steam turbine generators (STGs) of up to 100 megawatts electric (Mwe) range for power generation and combined heat and power generation applications across a broad spectrum of industries. It operates through two business segments: Product business and Aftermarket. Its products include API Turbines for Drives and Power Generation, Transcritical CO2 Heat Pump &amp; Chiller, and SMART Turbines for Pressure Reducer DeSuperheater (PRDS). It caters to various industries, including geothermal power plants, independent power plants, industrial captive power plants, oil &amp; gas plants, and utility power plants. Its REFURB (Multi-brand services) includes efficiency enhancements by the complex re-engineering of rotating equipment.</v>
    <v>828</v>
    <v>National Stock Exchange of India</v>
    <v>XNSE</v>
    <v>XNSE</v>
    <v>A-44, HOSIERY COMPLEX PHASE-II EXTENSION, UTTAR PRADESH, 201305 IN</v>
    <v>724.55</v>
    <v>Machinery, Equipment &amp; Components</v>
    <v>Stock</v>
    <v>46169.490682870368</v>
    <v>275</v>
    <v>690.5</v>
    <v>163173200000</v>
    <v>TRIVENI TURBINE LIMITED</v>
    <v>TRIVENI TURBINE LIMITED</v>
    <v>690.5</v>
    <v>62.77</v>
    <v>690.45</v>
    <v>719.15</v>
    <v>317895000</v>
    <v>TRITURBINE</v>
    <v>TRIVENI TURBINE LIMITED (XNSE:TRITURBINE)</v>
    <v>2436940</v>
    <v>7028060</v>
    <v>1995</v>
  </rv>
  <rv s="2">
    <v>276</v>
  </rv>
  <rv s="8">
    <v>en-IN</v>
    <v>cfttvh</v>
    <v>268435456</v>
    <v>1</v>
    <v>Powered by Refinitiv</v>
    <v>15</v>
    <v>NIBE LIMITED (XNSE:NIBE)</v>
    <v>6</v>
    <v>16</v>
    <v>Finance</v>
    <v>4</v>
    <v>2001</v>
    <v>809.6</v>
    <v>0.7</v>
    <v>4.9109999999999996E-4</v>
    <v>INR</v>
    <v>Nibe Limited is a holding company engaged in the fabrication and machining of components used in the defense sector as well as the assembly of components of electronic (E) vehicles. Its defense activities are primarily focused on precision weapons, surveillance communication equipment, protective vehicles, defensive/ deterrence systems, and components. Its Defence Structures division offers tank turrets, modular bridges, VMC and CNC machinery. Its Small Arm division offers advanced small arms and firearms. Its Aeronautics division offers aerial defense capabilities and charter aviation services. Its Electronics division offers precision manufacturing of electrical and electronic assemblies. Its Space division is engaged in satellite manufacturing and Earth observation. Its products include BrahMos Missiles Canister, K9 Vajra Tank-Hull and Turret, Pinaka Launcher System, Universal Vertical Launch Mechanism, Road Mobile Launcher, Ruggedized Ethernet Switch, and Network Switch.</v>
    <v>149</v>
    <v>National Stock Exchange of India</v>
    <v>XNSE</v>
    <v>XNSE</v>
    <v>202, C-Wing, Windfall, Sahar Plaza Complex, J. B. Nagar, Marol, M. V. Road, Andheri (East), MUMBAI, MAHARASHTRA, 400059 IN</v>
    <v>1474</v>
    <v>Aerospace &amp; Defense</v>
    <v>Stock</v>
    <v>46169.490694444445</v>
    <v>1414</v>
    <v>17537840000</v>
    <v>NIBE LIMITED</v>
    <v>NIBE LIMITED</v>
    <v>1426.8</v>
    <v>0</v>
    <v>1425.3</v>
    <v>1426</v>
    <v>14941270</v>
    <v>NIBE</v>
    <v>NIBE LIMITED (XNSE:NIBE)</v>
    <v>207797</v>
    <v>605730</v>
    <v>2005</v>
  </rv>
  <rv s="2">
    <v>278</v>
  </rv>
  <rv s="0">
    <v>https://www.bing.com/financeapi/forcetrigger?t=ahkjqh&amp;q=XNSE%3aVBL&amp;form=skydnc</v>
    <v>Learn more on Bing</v>
  </rv>
  <rv s="1">
    <v>en-IN</v>
    <v>ahkjqh</v>
    <v>268435456</v>
    <v>1</v>
    <v>Powered by Refinitiv</v>
    <v>0</v>
    <v>VARUN BEVERAGES LIMITED (XNSE:VBL)</v>
    <v>2</v>
    <v>3</v>
    <v>Finance</v>
    <v>4</v>
    <v>543.95000000000005</v>
    <v>381</v>
    <v>1.1964999999999999</v>
    <v>3.2</v>
    <v>6.0229999999999997E-3</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India.Its subsidiaries include Varun Beverages (Nepal) Private Limited, The Beverage Company Proprietary Limited, and Varun Beverages Lanka (Private) Limited, and others.</v>
    <v>10654</v>
    <v>National Stock Exchange of India</v>
    <v>XNSE</v>
    <v>XNSE</v>
    <v>F-2/7 PHASE I, OKHLA INDUSTRIAL AREA, DELHI, 110020 IN</v>
    <v>540</v>
    <v>Beverages</v>
    <v>Stock</v>
    <v>46169.490671296298</v>
    <v>280</v>
    <v>530.4</v>
    <v>1695053000000</v>
    <v>VARUN BEVERAGES LIMITED</v>
    <v>VARUN BEVERAGES LIMITED</v>
    <v>532.70000000000005</v>
    <v>56.49</v>
    <v>531.29999999999995</v>
    <v>534.5</v>
    <v>3382296000</v>
    <v>VBL</v>
    <v>VARUN BEVERAGES LIMITED (XNSE:VBL)</v>
    <v>4232992</v>
    <v>6621870</v>
    <v>1995</v>
  </rv>
  <rv s="2">
    <v>281</v>
  </rv>
  <rv s="0">
    <v>https://www.bing.com/financeapi/forcetrigger?t=bwv5yc&amp;q=XNSE%3aGLAND&amp;form=skydnc</v>
    <v>Learn more on Bing</v>
  </rv>
  <rv s="1">
    <v>en-IN</v>
    <v>bwv5yc</v>
    <v>268435456</v>
    <v>1</v>
    <v>Powered by Refinitiv</v>
    <v>0</v>
    <v>GLAND PHARMA LTD (XNSE:GLAND)</v>
    <v>2</v>
    <v>3</v>
    <v>Finance</v>
    <v>4</v>
    <v>2396</v>
    <v>1512.1</v>
    <v>0.27389999999999998</v>
    <v>5.0999999999999996</v>
    <v>2.2100000000000002E-3</v>
    <v>INR</v>
    <v>Gland Pharma Limited is an India-based generic injectables manufacturer. The Company specializes in sterile injectables, oncology, and ophthalmic, with a specific focus on complex injectables, New Chemical Entities (NCE)-1s, First-to-File products, and 505(b)(2) filings. The Company manufactures a range of dosage formulations, including solutions, suspensions, and lyophilized products. Its product portfolio includes delivery methods such as pre-filled syringes, vials, ampoules, bags, and dry powder injections. It also produces generic injectables in liquid, lyophilized, suspension, and pre-filled syringe forms. Its molecules include Enoxaparin Sodium, Cisplatin, Lacosamide, Rocuronium Bromide, Zoledronic Acid, Vancomycin, and others. Its therapeutic products categories include Anti Malarials, Anti-Infectives, Anti-Neoplastics, Gynecological, Hormones, and others. The Company functions primarily on a business-to-business model. Its subsidiary is Gland Pharma International Pte. Ltd.</v>
    <v>4351</v>
    <v>National Stock Exchange of India</v>
    <v>XNSE</v>
    <v>XNSE</v>
    <v>SY.NO.143-148,150 &amp;151, NEAR GANDI MAISAMMA X ROADS, D.P.PALLY,DUNDIGAL, DUNDIGAL, GANDIMAISAMMA(M) MEDCHAL MALKAJGIRI RANGAREDDI, TELANGANA, 500043 IN</v>
    <v>2354.6999999999998</v>
    <v>Pharmaceuticals</v>
    <v>Stock</v>
    <v>46169.490624999999</v>
    <v>283</v>
    <v>2309.1999999999998</v>
    <v>283249300000</v>
    <v>GLAND PHARMA LTD</v>
    <v>GLAND PHARMA LTD</v>
    <v>2324.1</v>
    <v>37.01</v>
    <v>2307.9</v>
    <v>2313</v>
    <v>164756400</v>
    <v>GLAND</v>
    <v>GLAND PHARMA LTD (XNSE:GLAND)</v>
    <v>224401</v>
    <v>1435030</v>
    <v>1978</v>
  </rv>
  <rv s="2">
    <v>284</v>
  </rv>
  <rv s="0">
    <v>https://www.bing.com/financeapi/forcetrigger?t=bqettc&amp;q=XNSE%3aCONFIPET&amp;form=skydnc</v>
    <v>Learn more on Bing</v>
  </rv>
  <rv s="1">
    <v>en-IN</v>
    <v>bqettc</v>
    <v>268435456</v>
    <v>1</v>
    <v>Powered by Refinitiv</v>
    <v>0</v>
    <v>CONFIDENCE PETROLEUM INDIA LIMITED (XNSE:CONFIPET)</v>
    <v>2</v>
    <v>3</v>
    <v>Finance</v>
    <v>4</v>
    <v>67.08</v>
    <v>28.06</v>
    <v>1.0544</v>
    <v>0.11</v>
    <v>1.7280000000000002E-3</v>
    <v>INR</v>
    <v>Confidence Petroleum India Limited is an India-based manufacturer of liquefied petroleum gas (LPG) cylinders. The Company operates through two segments: Cylinder and LPG. The Cylinder segment includes production and marketing operations of LPG/compressed natural gas (CNG) cylinders. The LPG segment includes LPG marketing and bottling business and others. It provides a range of industrial gas cylinders for nitrogen, oxygen, helium, argon, and more. Its LPG retail segment / packed LPG segment offers under the brand GoGas. It offers a range of cylinder sizes from 2 kilograms (kg) to 425 kg. Its subsidiaries include Hemkunt Petroleum Ltd, Taraa Lpg Bottling Pvt Ltd, Agwan Coach Pvt Ltd, Confidence Go Gas Ltd, Keppy Infrastructure Developers Pvt Ltd, Unity Cylinders&amp; Equipment Pvt Ltd, Confidence Technologies Pvt Ltd, Sv Engineering Equipments Pvt Ltd, among others.</v>
    <v>925</v>
    <v>National Stock Exchange of India</v>
    <v>XNSE</v>
    <v>XNSE</v>
    <v>404/405, SATYAM APARTMENT 8 WARDHA ROAD, DHANTOLI, MAHARASHTRA, 440012 IN</v>
    <v>65.510000000000005</v>
    <v>Oil &amp; Gas</v>
    <v>Stock</v>
    <v>46169.490648148145</v>
    <v>286</v>
    <v>62.51</v>
    <v>11289550000</v>
    <v>CONFIDENCE PETROLEUM INDIA LIMITED</v>
    <v>CONFIDENCE PETROLEUM INDIA LIMITED</v>
    <v>63</v>
    <v>24.97</v>
    <v>63.67</v>
    <v>63.78</v>
    <v>332241000</v>
    <v>CONFIPET</v>
    <v>CONFIDENCE PETROLEUM INDIA LIMITED (XNSE:CONFIPET)</v>
    <v>1899437</v>
    <v>4163700</v>
    <v>1994</v>
  </rv>
  <rv s="2">
    <v>287</v>
  </rv>
  <rv s="0">
    <v>https://www.bing.com/financeapi/forcetrigger?t=ahjihw&amp;q=XNSE%3aPREMEXPLN&amp;form=skydnc</v>
    <v>Learn more on Bing</v>
  </rv>
  <rv s="1">
    <v>en-IN</v>
    <v>ahjihw</v>
    <v>268435456</v>
    <v>1</v>
    <v>Powered by Refinitiv</v>
    <v>0</v>
    <v>PREMIER EXPLOSIVES LIMITED (XNSE:PREMEXPLN)</v>
    <v>2</v>
    <v>3</v>
    <v>Finance</v>
    <v>4</v>
    <v>779.5</v>
    <v>378.4</v>
    <v>2.0253000000000001</v>
    <v>-8</v>
    <v>-1.1026000000000001E-2</v>
    <v>INR</v>
    <v>Premier Explosives Limited is an India-based company. The Company is engaged in the manufacture of high energy materials like bulk explosives, packaged explosives, detonators, detonating fuse, solid propellants, pyrogen igniters, and pyro devices having applications in mining, infrastructure, defense, space, homeland security and such other areas. It also operates and maintains solid propellant plants of defense and space establishments. Its geographical segments include India and the Rest of the world. Its capabilities include advanced products, such as solid propellants for missiles and rockets, strap-on motors for satellite launch vehicles, and initiating systems. It also manufactures a diverse range of commercial explosives, such as bulk explosives, packaged explosives, cast booster, emulsion booster, detonators and detonating fuse for mining and infrastructure requirements. It also produces explosive bolts, pyro actuators, smoke markers, cable cutters and many other products.</v>
    <v>838</v>
    <v>National Stock Exchange of India</v>
    <v>XNSE</v>
    <v>XNSE</v>
    <v>PREMIER HOUSE,11, ISHAQ COLONY NEAR AOC CENTRE TRIMULGHERRY,, TELANGANA, 500015 IN</v>
    <v>744</v>
    <v>Chemicals</v>
    <v>Stock</v>
    <v>46169.490671296298</v>
    <v>289</v>
    <v>707.8</v>
    <v>27238110000</v>
    <v>PREMIER EXPLOSIVES LIMITED</v>
    <v>PREMIER EXPLOSIVES LIMITED</v>
    <v>719.8</v>
    <v>90.74</v>
    <v>725.55</v>
    <v>717.55</v>
    <v>53761200</v>
    <v>PREMEXPLN</v>
    <v>PREMIER EXPLOSIVES LIMITED (XNSE:PREMEXPLN)</v>
    <v>1322181</v>
    <v>2449970</v>
    <v>1980</v>
  </rv>
  <rv s="2">
    <v>290</v>
  </rv>
  <rv s="0">
    <v>https://www.bing.com/financeapi/forcetrigger?t=ahjt77&amp;q=XNSE%3aSANGHVIMOV&amp;form=skydnc</v>
    <v>Learn more on Bing</v>
  </rv>
  <rv s="1">
    <v>en-IN</v>
    <v>ahjt77</v>
    <v>268435456</v>
    <v>1</v>
    <v>Powered by Refinitiv</v>
    <v>0</v>
    <v>SANGHVI MOVERS LIMITED (XNSE:SANGHVIMOV)</v>
    <v>2</v>
    <v>3</v>
    <v>Finance</v>
    <v>4</v>
    <v>411.9</v>
    <v>223.8</v>
    <v>1.0967</v>
    <v>-6.75</v>
    <v>-1.7690999999999998E-2</v>
    <v>INR</v>
    <v>Sanghvi Movers Limited is a crane rental company, which is engaged in the business of providing hydraulic and crawler cranes to various industries in the infrastructure sector. Its segments include Crane hiring and other ancillary services, Wind engineering, procurement, and construction (EPC), and Project EPC. Its Crane hiring and other ancillary services segment includes crane rental services including mobilization and demobilization. Its Wind EPC segment includes logistics, interacting, installation and commissioning of wind turbine components. Its Project EPC segment includes complete kiting and rigging for all heavy lifts, foundation preparation alignment, execution &amp; planning of completion of heavy lifts. The Company has a fleet of medium -to large -size hydraulic truck mounted telescopic and lattice boom cranes and crawler cranes with lifting capacity ranging from 20 tons to 1600 tons. It caters various industrial plants, such as power, steel, cement, fertilizers, and others.</v>
    <v>330</v>
    <v>National Stock Exchange of India</v>
    <v>XNSE</v>
    <v>XNSE</v>
    <v>Survey No 92, Tathawade, PUNE, MAHARASHTRA, 411033 IN</v>
    <v>384.3</v>
    <v>Professional &amp; Commercial Services</v>
    <v>Stock</v>
    <v>46169.490659722222</v>
    <v>292</v>
    <v>372.75</v>
    <v>27284430000</v>
    <v>SANGHVI MOVERS LIMITED</v>
    <v>SANGHVI MOVERS LIMITED</v>
    <v>384.3</v>
    <v>17.920000000000002</v>
    <v>381.55</v>
    <v>374.8</v>
    <v>86576000</v>
    <v>SANGHVIMOV</v>
    <v>SANGHVI MOVERS LIMITED (XNSE:SANGHVIMOV)</v>
    <v>239397</v>
    <v>1347800</v>
    <v>1989</v>
  </rv>
  <rv s="2">
    <v>293</v>
  </rv>
  <rv s="0">
    <v>https://www.bing.com/financeapi/forcetrigger?t=azjuur&amp;q=XNSE%3aSANDHAR&amp;form=skydnc</v>
    <v>Learn more on Bing</v>
  </rv>
  <rv s="1">
    <v>en-IN</v>
    <v>azjuur</v>
    <v>268435456</v>
    <v>1</v>
    <v>Powered by Refinitiv</v>
    <v>0</v>
    <v>SANDHAR TECHNOLOGIES LIMITED (XNSE:SANDHAR)</v>
    <v>2</v>
    <v>3</v>
    <v>Finance</v>
    <v>4</v>
    <v>733.9</v>
    <v>405.2</v>
    <v>1.1708000000000001</v>
    <v>19.05</v>
    <v>2.7559E-2</v>
    <v>INR</v>
    <v>Sandhar Technologies Limited is an India-based automotive components and systems supplier. The Company is engaged in the manufacturing and assembling of automotive components, mainly catering to Original Equipment Manufacturers (OEM). It is also engaged in the design and manufacturing of molds, dies and dies parts, machine tools, jigs and fixtures and fabrication and assembly and construction, Agri-farm, and railway products. The Company's product categories include automotive locking and security systems, automotive vision systems, stampings, operators cabins and structural parts, zinc die casting, aluminum die casting, magnesium die casting, automotive optoelectronics, polymers, painting, plating and coating, commercial tooling, helmets, assemblies, and fuel pumps, filters and wiper blades. The Company's products include automotive locks, latches, door handles, switches, passive and remote keyless entry systems, mirrors and various sheet metal components.</v>
    <v>1689</v>
    <v>National Stock Exchange of India</v>
    <v>XNSE</v>
    <v>XNSE</v>
    <v>Plot no 13, Sector 44, GURGAON, HARYANA, 122002 IN</v>
    <v>720</v>
    <v>Automobiles &amp; Auto Parts</v>
    <v>Stock</v>
    <v>46169.490636574075</v>
    <v>295</v>
    <v>688</v>
    <v>33655630000</v>
    <v>SANDHAR TECHNOLOGIES LIMITED</v>
    <v>SANDHAR TECHNOLOGIES LIMITED</v>
    <v>691</v>
    <v>20.95</v>
    <v>691.25</v>
    <v>710.3</v>
    <v>60190710</v>
    <v>SANDHAR</v>
    <v>SANDHAR TECHNOLOGIES LIMITED (XNSE:SANDHAR)</v>
    <v>599249</v>
    <v>2066350</v>
    <v>1987</v>
  </rv>
  <rv s="2">
    <v>296</v>
  </rv>
  <rv s="0">
    <v>https://www.bing.com/financeapi/forcetrigger?t=ahigu2&amp;q=XNSE%3aJINDRILL&amp;form=skydnc</v>
    <v>Learn more on Bing</v>
  </rv>
  <rv s="1">
    <v>en-IN</v>
    <v>ahigu2</v>
    <v>268435456</v>
    <v>1</v>
    <v>Powered by Refinitiv</v>
    <v>0</v>
    <v>JINDAL DRILLING AND INDUSTRIES LIMITED (XNSE:JINDRILL)</v>
    <v>2</v>
    <v>3</v>
    <v>Finance</v>
    <v>4</v>
    <v>759.9</v>
    <v>440.1</v>
    <v>0.74009999999999998</v>
    <v>-7.2</v>
    <v>-1.1592999999999999E-2</v>
    <v>INR</v>
    <v>Jindal Drilling and Industries Limited is an India-based company. The Company is engaged in providing services to entities involved in the exploration of oil and gas. The Company operates through the drilling and related services segment. The Company offers various services, such as offshore drilling, directional/horizontal drilling, measurement while drilling (MWD) services and mud logging services. It offers various types of offshore rigs, such as drilling barges, jack-up rigs, submersible rigs, semi-submersible rigs and drill ships. It provides the retrievable MWD tool, which can be retrieved using a wireline, without having to pull out the complete string, thus saving considerable rig time. The MWD is a technology used to determine the position of a well by measuring real-time parameters, such as direction, inclination and tool face. It operates approximately six Jack-up Rigs, namely Jindal Explorer, Jindal Pioneer, Discovery I, Jindal Star, Virtue I, and Jindal Supreme.</v>
    <v>649</v>
    <v>National Stock Exchange of India</v>
    <v>XNSE</v>
    <v>XNSE</v>
    <v>Jindal Corp Office,, Plot No. 106,, Institutional Sector - 44, GURGAON, HARYANA, 122002 IN</v>
    <v>625.85</v>
    <v>Oil &amp; Gas Related Equipment and Services</v>
    <v>Stock</v>
    <v>46169.490659722222</v>
    <v>298</v>
    <v>610.85</v>
    <v>15096260000</v>
    <v>JINDAL DRILLING AND INDUSTRIES LIMITED</v>
    <v>JINDAL DRILLING AND INDUSTRIES LIMITED</v>
    <v>623.95000000000005</v>
    <v>7.92</v>
    <v>621.04999999999995</v>
    <v>613.85</v>
    <v>28981100</v>
    <v>JINDRILL</v>
    <v>JINDAL DRILLING AND INDUSTRIES LIMITED (XNSE:JINDRILL)</v>
    <v>552059</v>
    <v>10368960</v>
    <v>2004</v>
  </rv>
  <rv s="2">
    <v>299</v>
  </rv>
  <rv s="0">
    <v>https://www.bing.com/financeapi/forcetrigger?t=c4iym7&amp;q=XNSE%3aRATEGAIN&amp;form=skydnc</v>
    <v>Learn more on Bing</v>
  </rv>
  <rv s="1">
    <v>en-IN</v>
    <v>c4iym7</v>
    <v>268435456</v>
    <v>1</v>
    <v>Powered by Refinitiv</v>
    <v>0</v>
    <v>RATEGAIN TRAVEL TECHNOLOGIES LIMITED (XNSE:RATEGAIN)</v>
    <v>2</v>
    <v>3</v>
    <v>Finance</v>
    <v>4</v>
    <v>752</v>
    <v>417.6</v>
    <v>1.5610999999999999</v>
    <v>-1.6</v>
    <v>-2.1900000000000001E-3</v>
    <v>INR</v>
    <v>RateGain Travel Technologies Limited is an India-based information technology company, which is engaged in providing solutions to help clients in the hospitality and travel industry to achieve their business goals. The Company’s offerings include data as a service (DaaS), distribution, and marketing technology (MarTech). DaaS offers solutions to hotels, online travel agents (OTAs), airlines, cruise liners, car rentals, and vacation rentals, and others. The Company provides a software as a service (SaaS) solution for travel and hospitality, helping them accelerate revenue generation through acquisition, retention, and wallet share expansion. The Company’s products include hotel content distribution, drive direct bookings, travel intent for hotels, enterprise connectivity, social media for hotels, enterprise connectivity and others. The Company serves both travel and non-travel customer segments globally. It also offers a digital marketing platform for travel and hospitality brands.</v>
    <v>659</v>
    <v>National Stock Exchange of India</v>
    <v>XNSE</v>
    <v>XNSE</v>
    <v>PRIUS GLOBAL PLOT NO. 2, 3, 4, TOWER A, 4TH FLOOR, SECTOR 125, UTTAR PRADESH, 201301 IN</v>
    <v>752</v>
    <v>Software &amp; IT Services</v>
    <v>Stock</v>
    <v>46169.490636574075</v>
    <v>301</v>
    <v>726.6</v>
    <v>78109270000</v>
    <v>RATEGAIN TRAVEL TECHNOLOGIES LIMITED</v>
    <v>RATEGAIN TRAVEL TECHNOLOGIES LIMITED</v>
    <v>736</v>
    <v>44.35</v>
    <v>730.5</v>
    <v>728.9</v>
    <v>118097800</v>
    <v>RATEGAIN</v>
    <v>RATEGAIN TRAVEL TECHNOLOGIES LIMITED (XNSE:RATEGAIN)</v>
    <v>444818</v>
    <v>1682820</v>
    <v>2012</v>
  </rv>
  <rv s="2">
    <v>302</v>
  </rv>
  <rv s="0">
    <v>https://www.bing.com/financeapi/forcetrigger?t=c4oac7&amp;q=XNSE%3aSUPRIYA&amp;form=skydnc</v>
    <v>Learn more on Bing</v>
  </rv>
  <rv s="1">
    <v>en-IN</v>
    <v>c4oac7</v>
    <v>268435456</v>
    <v>1</v>
    <v>Powered by Refinitiv</v>
    <v>0</v>
    <v>SUPRIYA LIFESCIENCE LIMITED (XNSE:SUPRIYA)</v>
    <v>2</v>
    <v>3</v>
    <v>Finance</v>
    <v>4</v>
    <v>832.4</v>
    <v>545.5</v>
    <v>1.4133</v>
    <v>26.3</v>
    <v>3.3676999999999999E-2</v>
    <v>INR</v>
    <v>Supriya Lifescience Limited is an India-based manufacturer of active pharmaceutical ingredients (APIs). The Company is primarily engaged in the manufacturing of bulk drugs and pharmaceutical chemicals. The Company exports its products in the antihistamine, anesthetics and anti-asthma therapy categories to approximately 86 countries. The Company's product portfolio consists of approximately 38 API products that offer remedies in therapeutic segments, such as antihistamines, analgesics, vitamins, anesthetics and anti-asthmatics, among others. Its products include Chlorphenamine Maleate, Pheniramine Maleate, Brompheniramine Maleate, Dexchlorpheniramine Maleate, Mepyramine / Pyrilamine Maleate, Dexbrompheniramine Maleate, Cetirizine DiHCL, Diphenhydramine HCL, Bisoprolol Fumarate, Nicorandil, Mecobalamin, Hydroxocobalamin Sulfate, Hydroxocobalamin Acetate, and Hydroxocobalamin Hydrochloride, among others. The Company has manufacturing facilities located in Maharashtra.</v>
    <v>515</v>
    <v>National Stock Exchange of India</v>
    <v>XNSE</v>
    <v>XNSE</v>
    <v>207/208, UDYOG BHAVAN, SONAWALA ROAD GOREGAON (EAST), MAHARASHTRA, 400063 IN</v>
    <v>818</v>
    <v>Pharmaceuticals</v>
    <v>Stock</v>
    <v>46169.490636574075</v>
    <v>304</v>
    <v>785</v>
    <v>59444600000</v>
    <v>SUPRIYA LIFESCIENCE LIMITED</v>
    <v>SUPRIYA LIFESCIENCE LIMITED</v>
    <v>789</v>
    <v>33.89</v>
    <v>780.95</v>
    <v>807.25</v>
    <v>80482800</v>
    <v>SUPRIYA</v>
    <v>SUPRIYA LIFESCIENCE LIMITED (XNSE:SUPRIYA)</v>
    <v>532518</v>
    <v>277540</v>
    <v>2008</v>
  </rv>
  <rv s="2">
    <v>305</v>
  </rv>
  <rv s="0">
    <v>https://www.bing.com/financeapi/forcetrigger?t=ahk2lh&amp;q=XNSE%3aSPARC&amp;form=skydnc</v>
    <v>Learn more on Bing</v>
  </rv>
  <rv s="1">
    <v>en-IN</v>
    <v>ahk2lh</v>
    <v>268435456</v>
    <v>1</v>
    <v>Powered by Refinitiv</v>
    <v>0</v>
    <v>SUN PHARMA ADVANCED RESEARCH COMPANY LIMITED (XNSE:SPARC)</v>
    <v>2</v>
    <v>3</v>
    <v>Finance</v>
    <v>4</v>
    <v>248.75</v>
    <v>108</v>
    <v>1.6758999999999999</v>
    <v>-14.22</v>
    <v>-6.0364000000000001E-2</v>
    <v>INR</v>
    <v>Sun Pharma Advanced Research Company Limited is an India-based clinical-stage biopharmaceutical company that focuses on developing therapeutics to improve standards of care for patients worldwide. The Company’s therapeutic focus is in the area of oncology, neurology and immunology. Its lead oncology programs include vodobatinib (SCO-088), a BCR-ABL targeting tyrosine kinase inhibitor for refractory chronic myelogenous leukemia, and an anti-MUC-1 antibody-drug conjugate (ADC) with the potential to treat multiple cancers. The Company’s other programs include Sezaby for the treatment of neonatal seizures, Vodobatinib for the treatment of neurodegenerative disorders (SCC-138), Vibozilimod for the treatment of autoimmune disorders (SCD-044), SCD-153 for the treatment of alopecia areata, SBO-154 for multiple cancer indications and SCO-155 for treatment of cancer. SBO-154 is an anti MUC1 ADC being developed for multiple tumor types expressing MUC1.</v>
    <v>316</v>
    <v>National Stock Exchange of India</v>
    <v>XNSE</v>
    <v>XNSE</v>
    <v>17B Mahal Industrial Estate, Mahakali Caves Road, Andheri (East), MUMBAI, MAHARASHTRA, 400093 IN</v>
    <v>233.5</v>
    <v>Pharmaceuticals</v>
    <v>Stock</v>
    <v>46169.490659722222</v>
    <v>307</v>
    <v>213.01</v>
    <v>44086260000</v>
    <v>SUN PHARMA ADVANCED RESEARCH COMPANY LIMITED</v>
    <v>SUN PHARMA ADVANCED RESEARCH COMPANY LIMITED</v>
    <v>232.16</v>
    <v>4.92</v>
    <v>235.57</v>
    <v>221.35</v>
    <v>324521600</v>
    <v>SPARC</v>
    <v>SUN PHARMA ADVANCED RESEARCH COMPANY LIMITED (XNSE:SPARC)</v>
    <v>10920415</v>
    <v>19378050</v>
    <v>2006</v>
  </rv>
  <rv s="2">
    <v>308</v>
  </rv>
  <rv s="0">
    <v>https://www.bing.com/financeapi/forcetrigger?t=ahgq1h&amp;q=XNSE%3aAARTIIND&amp;form=skydnc</v>
    <v>Learn more on Bing</v>
  </rv>
  <rv s="1">
    <v>en-IN</v>
    <v>ahgq1h</v>
    <v>268435456</v>
    <v>1</v>
    <v>Powered by Refinitiv</v>
    <v>0</v>
    <v>AARTI INDUSTRIES LTD (XNSE:AARTIIND)</v>
    <v>2</v>
    <v>3</v>
    <v>Finance</v>
    <v>4</v>
    <v>523.1</v>
    <v>338.05</v>
    <v>1.5386</v>
    <v>9.75</v>
    <v>1.9857E-2</v>
    <v>INR</v>
    <v>Aarti Industries Limited is an India-based company, which is engaged in manufacturing and dealing in specialty chemicals and intermediates. The Company manufactures Benzene and Toluene-based downstream derivatives and Sulfuric acid products. It specializes in a range of chemical processes, which include Ammonolysis, Chlorination, Diazotization, Halex (Fluorination), Hydrogenation, and Nitration. The Company operates through the Specialty Chemicals segment. Its products category includes basic chemicals, agrochemicals, specialty chemicals, and intermediates. Its specialty chemical intermediates are used in manufacturing agri-products, polymers, additives, dyes and pigments, pharmaceuticals, energy applications, rubber chemicals, and home and personal care (FMCG) chemicals. The Company caters to both domestic and global markets, including the United States of America (USA), Europe, Asia, and others. It operates approximately 16 manufacturing facilities.</v>
    <v>5868</v>
    <v>National Stock Exchange of India</v>
    <v>XNSE</v>
    <v>XNSE</v>
    <v>4th Floor, Tower C, Embassy 247 Park, Gandhi Nagar, Vikhroli West, MUMBAI, MAHARASHTRA, 400083 IN</v>
    <v>501.4</v>
    <v>Chemicals</v>
    <v>Stock</v>
    <v>46169.490624999999</v>
    <v>310</v>
    <v>490</v>
    <v>131621600000</v>
    <v>AARTI INDUSTRIES LTD</v>
    <v>AARTI INDUSTRIES LTD</v>
    <v>491.95</v>
    <v>42.47</v>
    <v>491</v>
    <v>500.75</v>
    <v>362594500</v>
    <v>AARTIIND</v>
    <v>AARTI INDUSTRIES LTD (XNSE:AARTIIND)</v>
    <v>736246</v>
    <v>713820</v>
    <v>1984</v>
  </rv>
  <rv s="2">
    <v>311</v>
  </rv>
  <rv s="0">
    <v>https://www.bing.com/financeapi/forcetrigger?t=ahiimw&amp;q=XNSE%3aJSWENERGY&amp;form=skydnc</v>
    <v>Learn more on Bing</v>
  </rv>
  <rv s="1">
    <v>en-IN</v>
    <v>ahiimw</v>
    <v>268435456</v>
    <v>1</v>
    <v>Powered by Refinitiv</v>
    <v>0</v>
    <v>JSW ENERGY LIMITED (XNSE:JSWENERGY)</v>
    <v>2</v>
    <v>3</v>
    <v>Finance</v>
    <v>4</v>
    <v>608.9</v>
    <v>427.75</v>
    <v>1.4046000000000001</v>
    <v>26.05</v>
    <v>4.5225999999999995E-2</v>
    <v>INR</v>
    <v>JSW Energy Limited is an India-based power company, which is engaged in the business of power generation. The Company operates through two segments: Thermal and Renewables. Its Thermal segment comprises generation of power from coal and other thermal sources (lignite, gas, and oil) from plants owned and related ancillary services. Its Renewables segment comprises generation of power from renewable energy sources such as hydro, wind, solar, and related ancillary services. Its plants are Baspa, Karcham Wangtoo, Barmer, Vijaynagar, Ratnagiri, Jharsuguda, and Akaltara. Baspa Plant is in the higher reaches of the Himalayas and has a generating capacity of over 300 megawatts (MW). The Karcham Wangtoo plant is located on the river Satluj in Kinnaur District of Himachal Pradesh and has a generating capacity of over 1091 MW. Barmer Plant is located close to its fuel source, the lignite mines in Kapurdi, and Jalipa. The Vijayanagar plant consists of two separate business units, BU I and SBU I.</v>
    <v>3129</v>
    <v>National Stock Exchange of India</v>
    <v>XNSE</v>
    <v>XNSE</v>
    <v>JSW CENTRE, BANDRA KURLA COMPLEX BANDRA (EAST), MUMBAI CITY, MUMBAI, MAHARASHTRA, INDIA,, MAHARASHTRA, 400051 IN</v>
    <v>608.9</v>
    <v>Electrical Utilities &amp; IPPs</v>
    <v>Stock</v>
    <v>46169.490671296298</v>
    <v>313</v>
    <v>579.1</v>
    <v>863034400000</v>
    <v>JSW ENERGY LIMITED</v>
    <v>JSW ENERGY LIMITED</v>
    <v>582</v>
    <v>44.89</v>
    <v>576</v>
    <v>602.04999999999995</v>
    <v>1832373000</v>
    <v>JSWENERGY</v>
    <v>JSW ENERGY LIMITED (XNSE:JSWENERGY)</v>
    <v>10917970</v>
    <v>3626800</v>
    <v>1994</v>
  </rv>
  <rv s="2">
    <v>314</v>
  </rv>
  <rv s="0">
    <v>https://www.bing.com/financeapi/forcetrigger?t=ahkdjc&amp;q=XNSE%3aTIMKEN&amp;form=skydnc</v>
    <v>Learn more on Bing</v>
  </rv>
  <rv s="1">
    <v>en-IN</v>
    <v>ahkdjc</v>
    <v>268435456</v>
    <v>1</v>
    <v>Powered by Refinitiv</v>
    <v>0</v>
    <v>TIMKEN INDIA LIMITED (XNSE:TIMKEN)</v>
    <v>2</v>
    <v>3</v>
    <v>Finance</v>
    <v>4</v>
    <v>3775</v>
    <v>2800.5</v>
    <v>0.93669999999999998</v>
    <v>32.1</v>
    <v>8.9049999999999997E-3</v>
    <v>INR</v>
    <v>Timken India Limited is an India-based company, which is engaged in engineered bearings and industrial motion products. The Company is in the manufacture, distribution and sale of anti-friction bearings, primarily tapered roller bearings, other roller bearings, components, accessories, and mechanical power transmission products for a diverse customer base. It also provides maintenance contract and refurbishment services. The Company's manufacturing plants are located at Jamshedpur in Jharkhand &amp; Bharuch in Gujarat and distribution centers are located in various parts of the country. Industrial motion products include augers, automatic lubrication systems, belts, brakes and clutches, chain, couplings &amp; universal joints, gear drives / transmissions, linear motion, lubrication and lubrication systems, Timken maintenance tools, gearboxes overhaul, motor repair services, and up tower wind services. It offers various brands, such as Timken, Beka, Cone Drive, Diamond Drives and others.</v>
    <v>1282</v>
    <v>National Stock Exchange of India</v>
    <v>XNSE</v>
    <v>XNSE</v>
    <v>39-42 ELECTRONIC CITY, PHSE II, HOSUR ROAD,, KARNATAKA, 560100 IN</v>
    <v>3652</v>
    <v>Machinery, Equipment &amp; Components</v>
    <v>Stock</v>
    <v>46169.490659722222</v>
    <v>316</v>
    <v>3606.6</v>
    <v>228665000000</v>
    <v>TIMKEN INDIA LIMITED</v>
    <v>TIMKEN INDIA LIMITED</v>
    <v>3647.2</v>
    <v>66.69</v>
    <v>3604.8</v>
    <v>3636.9</v>
    <v>75218730</v>
    <v>TIMKEN</v>
    <v>TIMKEN INDIA LIMITED (XNSE:TIMKEN)</v>
    <v>18164</v>
    <v>127380</v>
    <v>1996</v>
  </rv>
  <rv s="2">
    <v>317</v>
  </rv>
  <rv s="0">
    <v>https://www.bing.com/financeapi/forcetrigger?t=ahhboc&amp;q=XNSE%3aCAPLIPOINT&amp;form=skydnc</v>
    <v>Learn more on Bing</v>
  </rv>
  <rv s="1">
    <v>en-IN</v>
    <v>ahhboc</v>
    <v>268435456</v>
    <v>1</v>
    <v>Powered by Refinitiv</v>
    <v>0</v>
    <v>CAPLIN POINT LABORATORIES LIMITED (XNSE:CAPLIPOINT)</v>
    <v>2</v>
    <v>3</v>
    <v>Finance</v>
    <v>4</v>
    <v>2395</v>
    <v>1500.3</v>
    <v>0.83840000000000003</v>
    <v>-12.5</v>
    <v>-6.1399999999999996E-3</v>
    <v>INR</v>
    <v>Caplin Point Laboratories Limited is an India-based pharmaceutical company with a business model catering predominantly to emerging markets of Latin America and Africa. The Company has also entered regulated markets such as the United States through its Subsidiary, Caplin Steriles Limited. The Company's operations include research &amp; development and manufacturing of finished formulations, active pharmaceutical ingredients (APIs), clinical research, front-end generic presence in Latin America, brand marketing in Francophone Africa and a USFDA/EU-GMP approved injectable facility. In the Regulated Markets, its products include liquid &amp; lyophilized vials, pre-filled syringes, three-pc ophthalmic droppers and pre-mix bags. In the Emerging Markets, its products include tablets, dry syrups - bottles, soft gels, capsules, suppositories, liquid syrups - bottles, liquid injectables in ampoules &amp; vials, lyophilized vials, prefilled syringes (PFS), and emulsion injection in ampoules &amp; vials.</v>
    <v>990</v>
    <v>National Stock Exchange of India</v>
    <v>XNSE</v>
    <v>XNSE</v>
    <v>ASHVICH TOWERS, 3RD FLOOR, NO.3, DEVELOPED PLOTS, INDUSTRIAL ESTATES,PERUNGUDI, TAMIL NADU, 600096 IN</v>
    <v>2063.6999999999998</v>
    <v>Pharmaceuticals</v>
    <v>Stock</v>
    <v>46169.530219907407</v>
    <v>319</v>
    <v>2014.6</v>
    <v>137740800000</v>
    <v>CAPLIN POINT LABORATORIES LIMITED</v>
    <v>CAPLIN POINT LABORATORIES LIMITED</v>
    <v>2042.3</v>
    <v>24.13</v>
    <v>2035.8</v>
    <v>2023.3</v>
    <v>76011700</v>
    <v>CAPLIPOINT</v>
    <v>CAPLIN POINT LABORATORIES LIMITED (XNSE:CAPLIPOINT)</v>
    <v>72577</v>
    <v>376450</v>
    <v>1990</v>
  </rv>
  <rv s="2">
    <v>320</v>
  </rv>
  <rv s="0">
    <v>https://www.bing.com/financeapi/forcetrigger?t=ahk7qh&amp;q=XNSE%3aSUVEN&amp;form=skydnc</v>
    <v>Learn more on Bing</v>
  </rv>
  <rv s="1">
    <v>en-IN</v>
    <v>ahk7qh</v>
    <v>268435456</v>
    <v>1</v>
    <v>Powered by Refinitiv</v>
    <v>0</v>
    <v>SUVEN LIFE SCIENCES LIMITED (XNSE:SUVEN)</v>
    <v>2</v>
    <v>3</v>
    <v>Finance</v>
    <v>4</v>
    <v>299.99</v>
    <v>124.11</v>
    <v>1.5264</v>
    <v>-6.78</v>
    <v>-2.4750999999999999E-2</v>
    <v>INR</v>
    <v>Suven Life Sciences Limited is an India-based biopharmaceutical company, which is engaged in drug discovery and development of new chemical entities (NCEs) in central nervous system (CNS) disorders targeting unmet medical needs, globally. The Company's lead clinical-stage assets include Masupirdine (Pure 5-HT 6 receptor antagonist), Samelisant (Histamine 3 receptor inverse agonist) and Ropanicant (a4b2 antagonist). Masupirdine is an ongoing phase III study for agitation and aggression in Alzheimer's type dementias in North America and Europe. Samelisant is a study on the treatment of excessive daytime sleepiness (EDS) in adult narcolepsy patients with and without cataplexy. Ropanicant is an ongoing screening for Phase II open label study for moderate to severe major depressive disorder in United States. Its other clinical-stage assets include Usmarapride (5-HT4 receptor agonist), SUVN-I6107 (True muscarinic M1 positive allosteric modulator) and SUVN-D1044 (5-HT4 receptor agonist).</v>
    <v>138</v>
    <v>National Stock Exchange of India</v>
    <v>XNSE</v>
    <v>XNSE</v>
    <v>DOOR NO. 8-2-334, 6TH FLOOR SDE SERENE CHAMBERS ROAD, NO. 5, AVENUE 7, BANJARA HILLS, TELANGANA, 500034 IN</v>
    <v>277.5</v>
    <v>Biotechnology &amp; Medical Research</v>
    <v>Stock</v>
    <v>46169.490648148145</v>
    <v>322</v>
    <v>264.07</v>
    <v>34830850000</v>
    <v>SUVEN LIFE SCIENCES LIMITED</v>
    <v>SUVEN LIFE SCIENCES LIMITED</v>
    <v>273.8</v>
    <v>0</v>
    <v>273.93</v>
    <v>267.14999999999998</v>
    <v>263720600</v>
    <v>SUVEN</v>
    <v>SUVEN LIFE SCIENCES LIMITED (XNSE:SUVEN)</v>
    <v>778676</v>
    <v>4353670</v>
    <v>1989</v>
  </rv>
  <rv s="2">
    <v>323</v>
  </rv>
  <rv s="0">
    <v>https://www.bing.com/financeapi/forcetrigger?t=ahhirw&amp;q=XNSE%3aDEEPAKFERT&amp;form=skydnc</v>
    <v>Learn more on Bing</v>
  </rv>
  <rv s="1">
    <v>en-IN</v>
    <v>ahhirw</v>
    <v>268435456</v>
    <v>1</v>
    <v>Powered by Refinitiv</v>
    <v>0</v>
    <v>DEEPAK FERTILISERS AND PETROCHEMICALS CORPORATION LTD (XNSE:DEEPAKFERT)</v>
    <v>2</v>
    <v>3</v>
    <v>Finance</v>
    <v>4</v>
    <v>1778.6</v>
    <v>866.4</v>
    <v>1.3763000000000001</v>
    <v>-0.4</v>
    <v>-2.7609999999999999E-4</v>
    <v>INR</v>
    <v>Deepak Fertilisers and Petrochemicals Corporation Limited is primarily engaged in the business of the manufacture, trading, and sale of bulk chemicals. It also has operations in value added real estate. It operates through three segments: Chemicals, Bulk Fertilizers, and Realty. Its Chemicals segment offers products, such as ammonia, methanol, dilute nitric acid, concentrated nitric acid, carbon dioxide (CO2), technical ammonium nitrate, iso-propyl alcohol, propane, bulk, and specialty chemicals. Its Bulk Fertilizers segment offers products, such as Nitro Phosphate (NP), Muriate of potash, Diammonium phosphate (DAP), Ammonium Sulphate, Mixtures, Single super phosphate, Sulphur, Micronutrients, Single superphosphate (SSF) and Bio Fertilizers. Its Realty segment includes the real estate business. Its subsidiaries include Mahadhan AgriTech Ltd. (MAL), Platinum Blasting Services (Logistics) Pty Ltd, Performance Chemiserve Limited (PCL), SCM Fertichem Limited (SCMFL), and others.</v>
    <v>1018</v>
    <v>National Stock Exchange of India</v>
    <v>XNSE</v>
    <v>XNSE</v>
    <v>Sai Hira, Survey No. 93, Mundhwa,, PUNE, MAHARASHTRA, 411036 IN</v>
    <v>1466.8</v>
    <v>Chemicals</v>
    <v>Stock</v>
    <v>46169.490624999999</v>
    <v>325</v>
    <v>1439</v>
    <v>154578200000</v>
    <v>DEEPAK FERTILISERS AND PETROCHEMICALS CORPORATION LTD</v>
    <v>DEEPAK FERTILISERS AND PETROCHEMICALS CORPORATION LTD</v>
    <v>1455</v>
    <v>20.9</v>
    <v>1448.7</v>
    <v>1448.3</v>
    <v>126237800</v>
    <v>DEEPAKFERT</v>
    <v>DEEPAK FERTILISERS AND PETROCHEMICALS CORPORATION LTD (XNSE:DEEPAKFERT)</v>
    <v>212341</v>
    <v>642230</v>
    <v>1979</v>
  </rv>
  <rv s="2">
    <v>326</v>
  </rv>
  <rv s="0">
    <v>https://www.bing.com/financeapi/forcetrigger?t=ahkcec&amp;q=XNSE%3aTHERMAX&amp;form=skydnc</v>
    <v>Learn more on Bing</v>
  </rv>
  <rv s="1">
    <v>en-IN</v>
    <v>ahkcec</v>
    <v>268435456</v>
    <v>1</v>
    <v>Powered by Refinitiv</v>
    <v>0</v>
    <v>THERMAX LIMITED. (XNSE:THERMAX)</v>
    <v>2</v>
    <v>3</v>
    <v>Finance</v>
    <v>4</v>
    <v>4880</v>
    <v>2742.7</v>
    <v>0.41830000000000001</v>
    <v>154.80000000000001</v>
    <v>3.4897999999999998E-2</v>
    <v>INR</v>
    <v>Thermax Limited is an India-based energy and environment solutions provider. The Company's segments include Industrial Products, Industrial Infra, Green Solutions and Chemical. Industrial Products segment includes air pollution control, cooling, heating, water and waste solutions, and specialized services. Industrial Infra segment includes boilers and fired heaters, projects and energy solutions, and specialized services. Green Solutions segment includes build-own-operate, energy management solutions, green hydrogen projects and renewable energy (solar/wind). Chemical segment includes construction chemicals, ion exchange resins, oil field chemicals and performance chemicals. Its Thermax EDGE Live is a digital solution that uses AI and machine learning to analyze data from all industrial equipment worldwide and help clients to optimize asset performance in terms of up time and efficiency. It serves various industries, including aviation, construction, biotechnology and chemicals.</v>
    <v>3704</v>
    <v>National Stock Exchange of India</v>
    <v>XNSE</v>
    <v>XNSE</v>
    <v>THERMAX HOUSE, 14, MUMBAI-PUNE ROAD, WAKDEWADI,, MAHARASHTRA, 411003 IN</v>
    <v>4658.3999999999996</v>
    <v>Machinery, Equipment &amp; Components</v>
    <v>Stock</v>
    <v>46169.490636574075</v>
    <v>328</v>
    <v>4423.5</v>
    <v>333912500000</v>
    <v>THERMAX LIMITED.</v>
    <v>THERMAX LIMITED.</v>
    <v>4480</v>
    <v>69.36</v>
    <v>4435.8</v>
    <v>4590.6000000000004</v>
    <v>112648700</v>
    <v>THERMAX</v>
    <v>THERMAX LIMITED. (XNSE:THERMAX)</v>
    <v>616811</v>
    <v>218060</v>
    <v>1980</v>
  </rv>
  <rv s="2">
    <v>329</v>
  </rv>
  <rv s="0">
    <v>https://www.bing.com/financeapi/forcetrigger?t=ahip9c&amp;q=XNSE%3aKTKBANK&amp;form=skydnc</v>
    <v>Learn more on Bing</v>
  </rv>
  <rv s="1">
    <v>en-IN</v>
    <v>ahip9c</v>
    <v>268435456</v>
    <v>1</v>
    <v>Powered by Refinitiv</v>
    <v>0</v>
    <v>THE KARNATAKA BANK LIMITED (XNSE:KTKBANK)</v>
    <v>2</v>
    <v>3</v>
    <v>Finance</v>
    <v>4</v>
    <v>278</v>
    <v>169.12</v>
    <v>0.9748</v>
    <v>4.3</v>
    <v>1.6071999999999999E-2</v>
    <v>INR</v>
    <v>The Karnataka Bank Limited is a banking company, which provides range of banking and financial services involving retail, corporate / wholesale banking, para-banking activities, treasury operations, and foreign exchange business. Its segments: Treasury, Corporate and Wholesale Banking, Retail Banking and Other Banking Operations. The Corporate and Wholesale Banking business encompasses a diverse portfolio tailored to meet the needs of large companies, public enterprises, and private firms. Within the Retail segment, the Company offers an array of credit products, such as home loans, automobile loans, personal loans, education loans, loans against term deposits, loans against securities, gold loans, small business loans and agriculture loans. The Treasury operations encompass a range of activities aimed at managing statutory reserves, liquidity, investments and foreign exchange. It Other Banking Operations includes mutual funds, depository services, priority sector lending, and others.</v>
    <v>8750</v>
    <v>National Stock Exchange of India</v>
    <v>XNSE</v>
    <v>XNSE</v>
    <v>KARNATAKA BANK LTD REGD. AND HEAD OFFICE, P.B.NO.599, MAHAVEERA CIRCLE KANKANADY, MANGALORE, KARNATAKA, 575002 IN</v>
    <v>274</v>
    <v>Banking Services</v>
    <v>Stock</v>
    <v>46169.490648148145</v>
    <v>331</v>
    <v>268.8</v>
    <v>70486410000</v>
    <v>THE KARNATAKA BANK LIMITED</v>
    <v>THE KARNATAKA BANK LIMITED</v>
    <v>269.8</v>
    <v>7.72</v>
    <v>267.55</v>
    <v>271.85000000000002</v>
    <v>378190100</v>
    <v>KTKBANK</v>
    <v>THE KARNATAKA BANK LIMITED (XNSE:KTKBANK)</v>
    <v>2159206</v>
    <v>4173110</v>
    <v>1924</v>
  </rv>
  <rv s="2">
    <v>332</v>
  </rv>
  <rv s="0">
    <v>https://www.bing.com/financeapi/forcetrigger?t=ahgrc7&amp;q=XNSE%3aADANITRANS&amp;form=skydnc</v>
    <v>Learn more on Bing</v>
  </rv>
  <rv s="1">
    <v>en-IN</v>
    <v>ahgrc7</v>
    <v>268435456</v>
    <v>1</v>
    <v>Powered by Refinitiv</v>
    <v>0</v>
    <v>ADANI ENERGY SOLUTIONS LIMITED (XNSE:ADANIENSOL)</v>
    <v>2</v>
    <v>3</v>
    <v>Finance</v>
    <v>4</v>
    <v>1558.8</v>
    <v>744.9</v>
    <v>2.2953000000000001</v>
    <v>76.8</v>
    <v>5.2484000000000003E-2</v>
    <v>INR</v>
    <v>Adani Energy Solutions Limited is an India-based holding company. The Company is a private utility providing end-to-end energy solutions. Its segments include Transmission, GTD Business, Smart Metering, and Trading. The Transmission segment is engaged in providing transmission lines for transmission of power. The GTD Business segment is engaged in the generation, transmission, and distribution (GTD) of power business for Mumbai city (Mumbai GTD Business) and Mundra distribution. The Smart Metering segment focuses on supply, installing and maintaining of a Smart Metering Project on a Design-Build-Finance-Own-Operate-Transfer (DBFOOT) basis. The Trading segment is involved in trading activity of goods. It owns and operates various high voltage AC transmission lines and substations. It also offers cooling solutions and others. The Company has approximately 21,783 circuit kilometers (ckm) of transmission lines and 61,686 mega volt amp (MVA) of transformation capacity.</v>
    <v>4191</v>
    <v>National Stock Exchange of India</v>
    <v>XNSE</v>
    <v>XNSE</v>
    <v>Adani Corporate House, Shantigram, Near Vaishno Devi Circle, S G Highway, S. G. Highway, Khodiyar, AHMEDABAD, GUJARAT, 382421 IN</v>
    <v>1558.8</v>
    <v>Electrical Utilities &amp; IPPs</v>
    <v>Stock</v>
    <v>46169.490648148145</v>
    <v>334</v>
    <v>1475.1</v>
    <v>1120196000000</v>
    <v>ADANI ENERGY SOLUTIONS LIMITED</v>
    <v>ADANI ENERGY SOLUTIONS LIMITED</v>
    <v>1485</v>
    <v>77.02</v>
    <v>1463.3</v>
    <v>1540.1</v>
    <v>1201283000</v>
    <v>ADANIENSOL</v>
    <v>ADANI ENERGY SOLUTIONS LIMITED (XNSE:ADANIENSOL)</v>
    <v>7841736</v>
    <v>3859010</v>
    <v>2013</v>
  </rv>
  <rv s="2">
    <v>335</v>
  </rv>
  <rv s="0">
    <v>https://www.bing.com/financeapi/forcetrigger?t=ahgwsm&amp;q=XNSE%3aAPOLLOHOSP&amp;form=skydnc</v>
    <v>Learn more on Bing</v>
  </rv>
  <rv s="1">
    <v>en-IN</v>
    <v>ahgwsm</v>
    <v>268435456</v>
    <v>1</v>
    <v>Powered by Refinitiv</v>
    <v>0</v>
    <v>APOLLO HOSPITALS ENTERPRISE LIMITED (XNSE:APOLLOHOSP)</v>
    <v>2</v>
    <v>3</v>
    <v>Finance</v>
    <v>4</v>
    <v>8443</v>
    <v>6696.5</v>
    <v>0.75549999999999995</v>
    <v>14</v>
    <v>1.6950000000000001E-3</v>
    <v>INR</v>
    <v>Apollo Hospitals Enterprise Limited is an integrated healthcare company. It is engaged in the business of providing hospital services and selling pharma and wellness products through a network of pharmacies, including the operation of multidisciplinary private hospitals, clinics, diagnostic centers and pharmacies. It is engaged in hospitals and hospitals-based services. The Company's segments include Healthcare Services, Retail Health and Diagnostics, Digital Health and Pharmacy Distribution, and Others. The Retail Health and Diagnostics segment include clinics, diagnostics, Spectra, Cradle, Sugar, Dental and Dialysis business. The Digital Health and Pharmacy Distribution segment is engaged in the business of procurement and distribution of pharmaceuticals, fast-moving consumer goods and private label products business from various services using the digital platform. The Company has approximately 10,100 plus beds across 73 hospitals and 6,600 plus pharmacies.</v>
    <v>42497</v>
    <v>National Stock Exchange of India</v>
    <v>XNSE</v>
    <v>XNSE</v>
    <v>"Ali Towers" Ill Floor, #55, Greams Road, CHENNAI, TAMIL NADU, 600006 IN</v>
    <v>8305</v>
    <v>Healthcare Providers &amp; Services</v>
    <v>Stock</v>
    <v>46169.490624999999</v>
    <v>337</v>
    <v>8170</v>
    <v>1051282000000</v>
    <v>APOLLO HOSPITALS ENTERPRISE LIMITED</v>
    <v>APOLLO HOSPITALS ENTERPRISE LIMITED</v>
    <v>8243</v>
    <v>61.15</v>
    <v>8258.5</v>
    <v>8272.5</v>
    <v>143784700</v>
    <v>APOLLOHOSP</v>
    <v>APOLLO HOSPITALS ENTERPRISE LIMITED (XNSE:APOLLOHOSP)</v>
    <v>293786</v>
    <v>493770</v>
    <v>1979</v>
  </rv>
  <rv s="2">
    <v>338</v>
  </rv>
  <rv s="0">
    <v>https://www.bing.com/financeapi/forcetrigger?t=bu6uk2&amp;q=XNSE%3aPOWERINDIA&amp;form=skydnc</v>
    <v>Learn more on Bing</v>
  </rv>
  <rv s="1">
    <v>en-IN</v>
    <v>bu6uk2</v>
    <v>268435456</v>
    <v>1</v>
    <v>Powered by Refinitiv</v>
    <v>0</v>
    <v>HITACHI ENERGY INDIA LIMITED (XNSE:POWERINDIA)</v>
    <v>2</v>
    <v>3</v>
    <v>Finance</v>
    <v>4</v>
    <v>37695</v>
    <v>16111</v>
    <v>0.87170000000000003</v>
    <v>1555</v>
    <v>4.3200000000000002E-2</v>
    <v>INR</v>
    <v>Hitachi Energy India Limited is an India-based global technology company that operates within the energy sector. The Company is engaged in the business relating to products, projects and services for electricity transmission and related activities. The Company provides products and solutions, including asset &amp; work management, cable accessories, capacitors and filters, communication networks, cooling systems, disconnectors, energy storage, generator circuit-breakers (GCB), semiconductors, substation automation, protection &amp; control, substations &amp; electrification, surge arresters, transformer, insulation and components, and others. It also provides service and consulting, such as install &amp; commission, assess &amp; secure, train &amp; develop, parts &amp; maintain, upgrade, repair &amp; extend, sustain &amp; decarbonize and replace &amp; decommission. Its consulting services provide a comprehensive combination of business, functional, and technical expertise.</v>
    <v>2481</v>
    <v>National Stock Exchange of India</v>
    <v>XNSE</v>
    <v>XNSE</v>
    <v>8TH FLOOR, BRIGADE OPUS 70/401, KODIGEHALLI MAIN ROAD, KARNATAKA, 560092 IN</v>
    <v>37695</v>
    <v>Machinery, Equipment &amp; Components</v>
    <v>Stock</v>
    <v>46169.490671296298</v>
    <v>340</v>
    <v>35985</v>
    <v>762454800000</v>
    <v>HITACHI ENERGY INDIA LIMITED</v>
    <v>HITACHI ENERGY INDIA LIMITED</v>
    <v>36220</v>
    <v>162.41</v>
    <v>35995</v>
    <v>37550</v>
    <v>44572360</v>
    <v>POWERINDIA</v>
    <v>HITACHI ENERGY INDIA LIMITED (XNSE:POWERINDIA)</v>
    <v>284794</v>
    <v>173420</v>
    <v>2019</v>
  </rv>
  <rv s="2">
    <v>341</v>
  </rv>
  <rv s="0">
    <v>https://www.bing.com/financeapi/forcetrigger?t=c4o2nm&amp;q=XNSE%3aDATAPATTNS&amp;form=skydnc</v>
    <v>Learn more on Bing</v>
  </rv>
  <rv s="1">
    <v>en-IN</v>
    <v>c4o2nm</v>
    <v>268435456</v>
    <v>1</v>
    <v>Powered by Refinitiv</v>
    <v>0</v>
    <v>DATA PATTERNS (INDIA) LIMITED (XNSE:DATAPATTNS)</v>
    <v>2</v>
    <v>3</v>
    <v>Finance</v>
    <v>4</v>
    <v>4303</v>
    <v>2131</v>
    <v>1.8229</v>
    <v>37.5</v>
    <v>9.1430000000000001E-3</v>
    <v>INR</v>
    <v>Data Patterns (India) Limited is an India-based company. It is a vertically integrated defense and aerospace electronics solutions provider catering to the indigenously developed defense products industry. The Company operates in a single business segment, namely manufacture, sale and service of defense electronics. It offers Commercial Off-The-Shelf (COTS) boards, ATE and test systems, RF and microwave products, electronic warfare products, rugged displays, radar and radar subsystems, identify friend and Foe products, avionic systems, laser and electro optic systems, space systems, power supply products, naval systems, communication products, and fire control systems, high-speed processors, consoles, and navigation systems, and others. It designs COTS module products that are used in rugged applications and automatic test equipment platforms. It also provides hardware design, product development, FPGA, software, microwave, mechanical product design, manufacturing and other services.</v>
    <v>1545</v>
    <v>National Stock Exchange of India</v>
    <v>XNSE</v>
    <v>XNSE</v>
    <v>Plot.No H9, 4th Main Road, SIPCOT IT Park Off Rajiv Gandhi Salai (OMR), Siruseri, CHENNAI, TAMIL NADU, 603103 IN</v>
    <v>4212</v>
    <v>Aerospace &amp; Defense</v>
    <v>Stock</v>
    <v>46169.490636574075</v>
    <v>343</v>
    <v>4110</v>
    <v>145082500000</v>
    <v>DATA PATTERNS (INDIA) LIMITED</v>
    <v>DATA PATTERNS (INDIA) LIMITED</v>
    <v>4114</v>
    <v>84.62</v>
    <v>4101.7</v>
    <v>4139.2</v>
    <v>55983970</v>
    <v>DATAPATTNS</v>
    <v>DATA PATTERNS (INDIA) LIMITED (XNSE:DATAPATTNS)</v>
    <v>636187</v>
    <v>1236570</v>
    <v>1998</v>
  </rv>
  <rv s="2">
    <v>344</v>
  </rv>
  <rv s="0">
    <v>https://www.bing.com/financeapi/forcetrigger?t=ahgwbh&amp;q=XNSE%3aAPARINDS&amp;form=skydnc</v>
    <v>Learn more on Bing</v>
  </rv>
  <rv s="1">
    <v>en-IN</v>
    <v>ahgwbh</v>
    <v>268435456</v>
    <v>1</v>
    <v>Powered by Refinitiv</v>
    <v>0</v>
    <v>APAR INDUSTRIES LIMITED (XNSE:APARINDS)</v>
    <v>2</v>
    <v>3</v>
    <v>Finance</v>
    <v>4</v>
    <v>13580</v>
    <v>6801</v>
    <v>0.82799999999999996</v>
    <v>890</v>
    <v>7.0996000000000004E-2</v>
    <v>INR</v>
    <v>Apar Industries Limited (Apar) is an India-based manufacturer and supplier of conductors, a variety of cables, specialty oils, polymers, and lubricants. The Company’s segments include Conductor; Transformer &amp; Specialties Oils; Power/Telecom Cables, and others. It provides diverse fields of electrical and metallurgical engineering offering value-added products and services in Power Transmission Conductors, Petroleum Specialty Oils, Power &amp; Telecom Cables, and House wires. The Company's specialty oil business has a range of products, which falls under approximately four categories, such as transformer oils, white oils (liquid paraffins), petroleum jelly, and process oils. Its lubricants serve diverse equipment, including rotating machinery, metalworking and quenching applications. It also provides CTC/PICC conductors, railway overhead conductors, T&amp;D overhead conductors, optical ground wires, aluminum and alloy rods, specialty wires, turnkey solutions, among others.</v>
    <v>2155</v>
    <v>National Stock Exchange of India</v>
    <v>XNSE</v>
    <v>XNSE</v>
    <v>APAR house, Bldg no. 4 &amp; 5, Corporate Park, V.N. Purav marg, Chembur, MUMBAI, MAHARASHTRA, 400071 IN</v>
    <v>13580</v>
    <v>Machinery, Equipment &amp; Components</v>
    <v>Stock</v>
    <v>46169.490648148145</v>
    <v>346</v>
    <v>12545</v>
    <v>307347900000</v>
    <v>APAR INDUSTRIES LIMITED</v>
    <v>APAR INDUSTRIES LIMITED</v>
    <v>12548</v>
    <v>51.73</v>
    <v>12536</v>
    <v>13426</v>
    <v>40168310</v>
    <v>APARINDS</v>
    <v>APAR INDUSTRIES LIMITED (XNSE:APARINDS)</v>
    <v>241856</v>
    <v>77200</v>
    <v>1989</v>
  </rv>
  <rv s="2">
    <v>347</v>
  </rv>
  <rv s="0">
    <v>https://www.bing.com/financeapi/forcetrigger?t=ahjif2&amp;q=XNSE%3aPRECWIRE&amp;form=skydnc</v>
    <v>Learn more on Bing</v>
  </rv>
  <rv s="1">
    <v>en-IN</v>
    <v>ahjif2</v>
    <v>268435456</v>
    <v>1</v>
    <v>Powered by Refinitiv</v>
    <v>0</v>
    <v>PRECISION WIRES INDIA LIMITED (XNSE:PRECWIRE)</v>
    <v>2</v>
    <v>3</v>
    <v>Finance</v>
    <v>4</v>
    <v>467.5</v>
    <v>168.51</v>
    <v>1.4266000000000001</v>
    <v>-12.25</v>
    <v>-2.6802000000000003E-2</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465</v>
    <v>Machinery, Equipment &amp; Components</v>
    <v>Stock</v>
    <v>46169.490636574075</v>
    <v>349</v>
    <v>440</v>
    <v>41484660000</v>
    <v>PRECISION WIRES INDIA LIMITED</v>
    <v>PRECISION WIRES INDIA LIMITED</v>
    <v>454</v>
    <v>63.29</v>
    <v>457.05</v>
    <v>444.8</v>
    <v>182808000</v>
    <v>PRECWIRE</v>
    <v>PRECISION WIRES INDIA LIMITED (XNSE:PRECWIRE)</v>
    <v>630086</v>
    <v>1038780</v>
    <v>1989</v>
  </rv>
  <rv s="2">
    <v>350</v>
  </rv>
  <rv s="0">
    <v>https://www.bing.com/financeapi/forcetrigger?t=c3jhoc&amp;q=XNSE%3aSANSERA&amp;form=skydnc</v>
    <v>Learn more on Bing</v>
  </rv>
  <rv s="1">
    <v>en-IN</v>
    <v>c3jhoc</v>
    <v>268435456</v>
    <v>1</v>
    <v>Powered by Refinitiv</v>
    <v>0</v>
    <v>SANSERA ENGINEERING LIMITED (XNSE:SANSERA)</v>
    <v>2</v>
    <v>3</v>
    <v>Finance</v>
    <v>4</v>
    <v>2992.2</v>
    <v>1216.3</v>
    <v>1.3393999999999999</v>
    <v>61.9</v>
    <v>2.1495E-2</v>
    <v>INR</v>
    <v>Sansera Engineering Limited is an India-based engineering-led integrated manufacturer of complex and critical precision-engineered components such as forged and machined components across the automotive and non-automotive sectors. In the automotive sector, the Company manufactures and supplies a wide range of precision forged and machined components and assemblies, such as connecting rods, rocker arms, crankshafts, gear shifter fork, step holders, aluminum forged parts, generator shafts, a variety of systems including engine, transmission, suspension, chassis, braking systems, and other systems for the two-wheeler, passenger vehicle, and commercial vehicle verticals. In the non-automotive sector, the Company manufactures and supplies a wide range of precision components for the aerospace, off-road, agriculture and other segments, including engineering and capital goods. Its subsidiaries include Fitwel Tools and Forgings Private Limited and Sansera Engineering Limited Mauritius.</v>
    <v>2534</v>
    <v>National Stock Exchange of India</v>
    <v>XNSE</v>
    <v>XNSE</v>
    <v>Plant-7, No.143/A, Jigani Link Road Bommasandra Industrial area, Anekal Taluk, KARNATAKA, 560105 IN</v>
    <v>2992.2</v>
    <v>Automobiles &amp; Auto Parts</v>
    <v>Stock</v>
    <v>46169.490636574075</v>
    <v>352</v>
    <v>2883.4</v>
    <v>113410000000</v>
    <v>SANSERA ENGINEERING LIMITED</v>
    <v>SANSERA ENGINEERING LIMITED</v>
    <v>2899</v>
    <v>55.2</v>
    <v>2879.8</v>
    <v>2941.7</v>
    <v>62332050</v>
    <v>SANSERA</v>
    <v>SANSERA ENGINEERING LIMITED (XNSE:SANSERA)</v>
    <v>326703</v>
    <v>548340</v>
    <v>1981</v>
  </rv>
  <rv s="2">
    <v>353</v>
  </rv>
  <rv s="0">
    <v>https://www.bing.com/financeapi/forcetrigger?t=ahjrvh&amp;q=XNSE%3aSAIL&amp;form=skydnc</v>
    <v>Learn more on Bing</v>
  </rv>
  <rv s="1">
    <v>en-IN</v>
    <v>ahjrvh</v>
    <v>268435456</v>
    <v>1</v>
    <v>Powered by Refinitiv</v>
    <v>0</v>
    <v>STEEL AUTHORITY OF INDIA LIMITED (XNSE:SAIL)</v>
    <v>2</v>
    <v>3</v>
    <v>Finance</v>
    <v>4</v>
    <v>209.7</v>
    <v>118.1</v>
    <v>1.2030000000000001</v>
    <v>2.2200000000000002</v>
    <v>1.0891E-2</v>
    <v>INR</v>
    <v>Steel Authority of India Limited is an India-based company, which is engaged in the steel manufacturing business. The Company is engaged in the manufacturing and sale of iron and steel products. Its business includes integrated steel plants and special steel plants. Its steel plants include Bhilai Steel Plant, Chhattisgarh; Durgapur Steel Plant, West Bengal; Rourkela Steel Plant, Odisha; Bokaro Steel Plant, Jharkhand; IISCO Steel Plant, West Bengal; Alloy Steels Plant, West Bengal; Salem Steel Plant, Tamil Nadu; Visvesvaraya Iron &amp; Steel Plant, Karnataka, and Chandrapur Ferro Alloy Plant, Maharashtra. Its products include Pig Iron, Cold Rolled Products, Pipes, SAIL TMT Bars, Structurals, Galvanished products, Wire rods, PM Plates, Stainless Steel Products, Electrical Steels, Wheels and Axles, SAIL SeQR TMT Bars, Railway Products, Hot Rolled Products, and others. The Company's subsidiaries include SAIL Refractory Company Limited and Chhattisgarh Mega Steel Limited.</v>
    <v>53159</v>
    <v>National Stock Exchange of India</v>
    <v>XNSE</v>
    <v>XNSE</v>
    <v>Ispat Bhawan, Lodi Road, NEW DELHI, DELHI, 110003 IN</v>
    <v>208.45</v>
    <v>Metals &amp; Mining</v>
    <v>Stock</v>
    <v>46169.490636574075</v>
    <v>355</v>
    <v>203.82</v>
    <v>610326400000</v>
    <v>STEEL AUTHORITY OF INDIA LIMITED</v>
    <v>STEEL AUTHORITY OF INDIA LIMITED</v>
    <v>205.99</v>
    <v>24.97</v>
    <v>203.84</v>
    <v>206.06</v>
    <v>4130525000</v>
    <v>SAIL</v>
    <v>STEEL AUTHORITY OF INDIA LIMITED (XNSE:SAIL)</v>
    <v>35333674</v>
    <v>46347320</v>
    <v>1973</v>
  </rv>
  <rv s="2">
    <v>356</v>
  </rv>
  <rv s="0">
    <v>https://www.bing.com/financeapi/forcetrigger?t=ahhyar&amp;q=XNSE%3aGOODLUCK&amp;form=skydnc</v>
    <v>Learn more on Bing</v>
  </rv>
  <rv s="1">
    <v>en-IN</v>
    <v>ahhyar</v>
    <v>268435456</v>
    <v>1</v>
    <v>Powered by Refinitiv</v>
    <v>0</v>
    <v>GOODLUCK INDIA LIMITED (XNSE:GOODLUCK)</v>
    <v>2</v>
    <v>3</v>
    <v>Finance</v>
    <v>4</v>
    <v>1475</v>
    <v>882.8</v>
    <v>1.0891999999999999</v>
    <v>43.5</v>
    <v>3.2515999999999996E-2</v>
    <v>INR</v>
    <v>Goodluck India Limited is engaged in the business of manufacturing and sale of engineering products including heavy engineered structures, transmission and distribution towers, cold drawn welded (CDW) Tubes, precision tubes, pipes, sheets and forged engineering products. It is in the business of manufacturing iron and steel products. Its products include Electric Resistance Welded (ERW) precision and CDW Tubes, Forged Flanges, Custom Forgings, Power and Telecom Towers, Solar Structures, ERW Hot Dip Galvanized Pipes, Black Pipes, Black and GI Hollow Sections, Road Safety Product Galvanized Plain and Corrugated Sheets. Its products are being used by end-customers, such as automobile manufacturers, infrastructure, engineering industries, defense, aerospace, oil and gas industries and others. The Company operates through over six manufacturing facilities. It has a presence in approximately 100 countries across the globe.</v>
    <v>3337</v>
    <v>National Stock Exchange of India</v>
    <v>XNSE</v>
    <v>XNSE</v>
    <v>509, ARUNACHAL BUILDING, BARAKHAMBA ROAD, CONNAUGHT PLACE,, DELHI, 110001 IN</v>
    <v>1393</v>
    <v>Metals &amp; Mining</v>
    <v>Stock</v>
    <v>46169.490636574075</v>
    <v>358</v>
    <v>1345</v>
    <v>38054770000</v>
    <v>GOODLUCK INDIA LIMITED</v>
    <v>GOODLUCK INDIA LIMITED</v>
    <v>1348.5</v>
    <v>26.17</v>
    <v>1337.8</v>
    <v>1381.3</v>
    <v>33238510</v>
    <v>GOODLUCK</v>
    <v>GOODLUCK INDIA LIMITED (XNSE:GOODLUCK)</v>
    <v>225097</v>
    <v>299520</v>
    <v>1986</v>
  </rv>
  <rv s="2">
    <v>359</v>
  </rv>
  <rv s="0">
    <v>https://www.bing.com/financeapi/forcetrigger?t=ahjuhw&amp;q=XNSE%3aSCHNEIDER&amp;form=skydnc</v>
    <v>Learn more on Bing</v>
  </rv>
  <rv s="1">
    <v>en-IN</v>
    <v>ahjuhw</v>
    <v>268435456</v>
    <v>1</v>
    <v>Powered by Refinitiv</v>
    <v>0</v>
    <v>SCHNEIDER ELECTRIC INFRASTRUCTURE LIMITED (XNSE:SCHNEIDER)</v>
    <v>2</v>
    <v>3</v>
    <v>Finance</v>
    <v>4</v>
    <v>1417.8</v>
    <v>571.85</v>
    <v>0.874</v>
    <v>0.8</v>
    <v>5.8109999999999998E-4</v>
    <v>INR</v>
    <v>Schneider Electric Infrastructure Limited is an India-based company engaged in the business of manufacturing, designing, building and servicing technologically advanced products and systems for electricity distribution, including products such as distribution transformers, medium-voltage switchgear, medium and low-voltage protection relays and electricity distribution and automation equipment. Its product categories include transformers, components, ring main units, and automation. The Company offers electricity distribution management systems, power transformers, substation automation systems, including power management systems, controllers, remote terminal units, communication elements, graphical user interfaces, engineering tools, simulation tools, and others. It also provides medium voltage distribution and grid automation products and low voltage products and systems. It offers the EcoStruxure platform, which monitors energy consumption and electrical assets in real time.</v>
    <v>1473</v>
    <v>National Stock Exchange of India</v>
    <v>XNSE</v>
    <v>XNSE</v>
    <v>9th Floor, DLF Building No. 10,, Tower-C, DLF Cyber City, Phase-II,, GURGAON, HARYANA, 122002 IN</v>
    <v>1417.8</v>
    <v>Machinery, Equipment &amp; Components</v>
    <v>Stock</v>
    <v>46169.490694444445</v>
    <v>361</v>
    <v>1361</v>
    <v>150396400000</v>
    <v>SCHNEIDER ELECTRIC INFRASTRUCTURE LIMITED</v>
    <v>SCHNEIDER ELECTRIC INFRASTRUCTURE LIMITED</v>
    <v>1396.9</v>
    <v>134.27000000000001</v>
    <v>1376.8</v>
    <v>1377.6</v>
    <v>239104000</v>
    <v>SCHNEIDER</v>
    <v>SCHNEIDER ELECTRIC INFRASTRUCTURE LIMITED (XNSE:SCHNEIDER)</v>
    <v>314166</v>
    <v>190150</v>
    <v>2011</v>
  </rv>
  <rv s="2">
    <v>362</v>
  </rv>
  <rv s="0">
    <v>https://www.bing.com/financeapi/forcetrigger?t=ahgr9c&amp;q=XNSE%3aADANIPOWER&amp;form=skydnc</v>
    <v>Learn more on Bing</v>
  </rv>
  <rv s="1">
    <v>en-IN</v>
    <v>ahgr9c</v>
    <v>268435456</v>
    <v>1</v>
    <v>Powered by Refinitiv</v>
    <v>0</v>
    <v>ADANI POWER LIMITED (XNSE:ADANIPOWER)</v>
    <v>2</v>
    <v>3</v>
    <v>Finance</v>
    <v>4</v>
    <v>252.65</v>
    <v>105.42</v>
    <v>1.1873</v>
    <v>4.38</v>
    <v>1.7911999999999997E-2</v>
    <v>INR</v>
    <v>Adani Power Limited is an India-based private base load power generation company. The Company has an installed thermal power capacity of approximately 18,150 megawatts (MW) spread over 13 power plants and a 40 MW solar power plant in Gujarat. Its segments include Power Generation and related activities and Trading, Investment and other activities. It sells power generated from its projects under a combination of long-term power purchase agreements (PPAs), supplemental power purchase agreements (SPPAs), medium-term PPA, short-term PPA, and on a merchant basis. Its power plants are located in various locations, including Mundra, Gujarat; Tiroda and Butibori, Maharashtra; Kawai, Rajasthan; Udupi, Karnataka; Raipur, Chhattisgarh; Raigarh, Chhattisgarh; Godda, Jharkhand; Singrauli, Madhya Pradesh (ongoing expansion); Singrauli, Madhya Pradesh, and Bitta, Gujarat. Its Udupi power plant operates as an imported coal-based utility with a capacity of approximately 1.2 gigawatts (GW).</v>
    <v>4176</v>
    <v>National Stock Exchange of India</v>
    <v>XNSE</v>
    <v>XNSE</v>
    <v>Adani Corporate House, Shantigram, Near Vaishno Devi Circle,, S. G. Highway, Khodiyar, AHMEDABAD, GUJARAT, 382421 IN</v>
    <v>252.65</v>
    <v>Electrical Utilities &amp; IPPs</v>
    <v>Stock</v>
    <v>46169.490671296298</v>
    <v>364</v>
    <v>245.5</v>
    <v>2765040000000</v>
    <v>ADANI POWER LIMITED</v>
    <v>ADANI POWER LIMITED</v>
    <v>247.6</v>
    <v>36.92</v>
    <v>244.53</v>
    <v>248.91</v>
    <v>19284700000</v>
    <v>ADANIPOWER</v>
    <v>ADANI POWER LIMITED (XNSE:ADANIPOWER)</v>
    <v>85859567</v>
    <v>45775880</v>
    <v>1996</v>
  </rv>
  <rv s="2">
    <v>365</v>
  </rv>
  <rv s="0">
    <v>https://www.bing.com/financeapi/forcetrigger?t=ahh7cw&amp;q=XNSE%3aBHEL&amp;form=skydnc</v>
    <v>Learn more on Bing</v>
  </rv>
  <rv s="1">
    <v>en-IN</v>
    <v>ahh7cw</v>
    <v>268435456</v>
    <v>1</v>
    <v>Powered by Refinitiv</v>
    <v>0</v>
    <v>BHARAT HEAVY ELECTRICALS LIMITED (XNSE:BHEL)</v>
    <v>2</v>
    <v>3</v>
    <v>Finance</v>
    <v>4</v>
    <v>424.7</v>
    <v>205.12</v>
    <v>1.9058999999999999</v>
    <v>4.5999999999999996</v>
    <v>1.1011E-2</v>
    <v>INR</v>
    <v>Bharat Heavy Electricals Limited is an engineering and manufacturing company. The Company offers comprehensive products, systems, and services in various areas, including power generation (thermal, hydro, gas, nuclear, and solar photovoltaic), transmission, transportation, defense, aerospace, oil and gas, and emerging sectors like battery energy storage systems and electric vehicle chargers. The Company operates through two business segments: Power and Industry. The Power segment comprises thermal, gas, hydro and nuclear power plant businesses, spares and services businesses, apart from new businesses of coal to chemicals, emission control equipment and spares. The Industry segment caters to major equipment supplies and engineering, procurement and construction (EPC) works for a number of industries, including transportation, transmission, defense, aerospace, captive power plants, process industries, renewables, downstream oil &amp; gas, and energy storage, among others.</v>
    <v>41132</v>
    <v>National Stock Exchange of India</v>
    <v>XNSE</v>
    <v>XNSE</v>
    <v>BHEL HOUSE SIRI FORT, DELHI, 110049 IN</v>
    <v>424.7</v>
    <v>Machinery, Equipment &amp; Components</v>
    <v>Stock</v>
    <v>46169.490624999999</v>
    <v>367</v>
    <v>416.5</v>
    <v>924661900000</v>
    <v>BHARAT HEAVY ELECTRICALS LIMITED</v>
    <v>BHARAT HEAVY ELECTRICALS LIMITED</v>
    <v>417.2</v>
    <v>90.82</v>
    <v>417.75</v>
    <v>422.35</v>
    <v>3482063000</v>
    <v>BHEL</v>
    <v>BHARAT HEAVY ELECTRICALS LIMITED (XNSE:BHEL)</v>
    <v>10651428</v>
    <v>12996060</v>
    <v>1964</v>
  </rv>
  <rv s="2">
    <v>368</v>
  </rv>
  <rv s="0">
    <v>https://www.bing.com/financeapi/forcetrigger?t=bprqu2&amp;q=XNSE%3aPOLYCAB&amp;form=skydnc</v>
    <v>Learn more on Bing</v>
  </rv>
  <rv s="1">
    <v>en-IN</v>
    <v>bprqu2</v>
    <v>268435456</v>
    <v>1</v>
    <v>Powered by Refinitiv</v>
    <v>0</v>
    <v>POLYCAB INDIA LIMITED (XNSE:POLYCAB)</v>
    <v>2</v>
    <v>3</v>
    <v>Finance</v>
    <v>4</v>
    <v>9696</v>
    <v>5760</v>
    <v>1.212</v>
    <v>50.5</v>
    <v>5.2529999999999999E-3</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9696</v>
    <v>Machinery, Equipment &amp; Components</v>
    <v>Stock</v>
    <v>46169.490648148145</v>
    <v>370</v>
    <v>9561</v>
    <v>1137384000000</v>
    <v>POLYCAB INDIA LIMITED</v>
    <v>POLYCAB INDIA LIMITED</v>
    <v>9613.5</v>
    <v>53.89</v>
    <v>9613.5</v>
    <v>9664</v>
    <v>150557100</v>
    <v>POLYCAB</v>
    <v>POLYCAB INDIA LIMITED (XNSE:POLYCAB)</v>
    <v>219320</v>
    <v>302420</v>
    <v>1996</v>
  </rv>
  <rv s="2">
    <v>371</v>
  </rv>
  <rv s="0">
    <v>https://www.bing.com/financeapi/forcetrigger?t=ahhup2&amp;q=XNSE%3aGEPIL&amp;form=skydnc</v>
    <v>Learn more on Bing</v>
  </rv>
  <rv s="1">
    <v>en-IN</v>
    <v>ahhup2</v>
    <v>268435456</v>
    <v>1</v>
    <v>Powered by Refinitiv</v>
    <v>0</v>
    <v>GE POWER INDIA LIMITED (XNSE:GVPIL)</v>
    <v>2</v>
    <v>3</v>
    <v>Finance</v>
    <v>4</v>
    <v>837.45</v>
    <v>247.55</v>
    <v>2.0162</v>
    <v>28.55</v>
    <v>3.5795E-2</v>
    <v>INR</v>
    <v>GE Power India Ltd is an India‑based industrial engineering company. The Company provides power generation equipment and infrastructure solutions. It undertakes engineering, procurement, manufacturing, construction, project management and servicing of power plants and related equipment. It offers boilers, mills, steam generators, air quality control systems and automation and control systems, and delivers solutions across steam, hydro and gas power technologies, including emission control and plant services. It operates manufacturing facilities at Durgapur and engineering centers in Noida and supports domestic and international projects. It operates within GE Vernova’s Power segment and serves power generation and industrial sectors.</v>
    <v>1070</v>
    <v>National Stock Exchange of India</v>
    <v>XNSE</v>
    <v>XNSE</v>
    <v>C/O REGUS MAGNUM BUSINESS CENTERS PRIVATE LIMITED 11TH FLOOR, PLATINA, BLOCK G, PLOT C-59 BKC, BANDRA (E), MAHARASHTRA, 400051 IN</v>
    <v>837.45</v>
    <v>Construction &amp; Engineering</v>
    <v>Stock</v>
    <v>46169.490648148145</v>
    <v>373</v>
    <v>804.25</v>
    <v>20467400000</v>
    <v>GE POWER INDIA LIMITED</v>
    <v>GE POWER INDIA LIMITED</v>
    <v>811.65</v>
    <v>17.3</v>
    <v>797.6</v>
    <v>826.15</v>
    <v>67227470</v>
    <v>GVPIL</v>
    <v>GE POWER INDIA LIMITED (XNSE:GVPIL)</v>
    <v>752140</v>
    <v>398730</v>
    <v>1992</v>
  </rv>
  <rv s="2">
    <v>374</v>
  </rv>
  <rv s="0">
    <v>https://www.bing.com/financeapi/forcetrigger?t=ahhuur&amp;q=XNSE%3aGET%26D&amp;form=skydnc</v>
    <v>Learn more on Bing</v>
  </rv>
  <rv s="1">
    <v>en-IN</v>
    <v>ahhuur</v>
    <v>268435456</v>
    <v>1</v>
    <v>Powered by Refinitiv</v>
    <v>0</v>
    <v>GE VERNOVA T&amp;D INDIA LIMITED (XNSE:GVT&amp;D)</v>
    <v>2</v>
    <v>3</v>
    <v>Finance</v>
    <v>4</v>
    <v>5183.5</v>
    <v>2034.8</v>
    <v>1.2386999999999999</v>
    <v>249.4</v>
    <v>5.1441000000000001E-2</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5183.5</v>
    <v>Machinery, Equipment &amp; Components</v>
    <v>Stock</v>
    <v>46169.490659722222</v>
    <v>376</v>
    <v>4849</v>
    <v>699391100000</v>
    <v>GE VERNOVA T&amp;D INDIA LIMITED</v>
    <v>GE VERNOVA T&amp;D INDIA LIMITED</v>
    <v>4869</v>
    <v>100.65</v>
    <v>4848.3</v>
    <v>5097.7</v>
    <v>256046500</v>
    <v>GVT&amp;D</v>
    <v>GE VERNOVA T&amp;D INDIA LIMITED (XNSE:GVT&amp;D)</v>
    <v>1339313</v>
    <v>796400</v>
    <v>1957</v>
  </rv>
  <rv s="2">
    <v>377</v>
  </rv>
  <rv s="0">
    <v>https://www.bing.com/financeapi/forcetrigger?t=c6qgur&amp;q=XNSE%3aNGLFINE&amp;form=skydnc</v>
    <v>Learn more on Bing</v>
  </rv>
  <rv s="1">
    <v>en-IN</v>
    <v>c6qgur</v>
    <v>268435456</v>
    <v>1</v>
    <v>Powered by Refinitiv</v>
    <v>0</v>
    <v>NGL FINE-CHEM LIMITED (XNSE:NGLFINE)</v>
    <v>2</v>
    <v>3</v>
    <v>Finance</v>
    <v>4</v>
    <v>3005</v>
    <v>980</v>
    <v>1.1359999999999999</v>
    <v>-122.2</v>
    <v>-4.3336E-2</v>
    <v>INR</v>
    <v>NGL Fine-Chem Limited is an India-based company, which is a manufacturer of pharmaceuticals and intermediates for use in veterinary and human health. The Company caters to various global companies to custom manufacture pharmaceuticals. Its products include APIs Animal Health, APIs Human Health, Intermediates and Specialty Chemicals and Finished Dosage Form. The APIs Animal Health products include Homidium Chloride, Nitroxynil, Clorsulon, Parvaquone, Buparvaquone, Isometamidium Chloride Hydrochloride, Toldimfos Sodium, Butaphosphan, Imidocarb Dipropionate, Triclabendazole, Rafoxanide, Diminazene Aceturate, S-Methoprene, Carprofen and others. The APIs Human Health products include Nitazoxanide and Atovaquone. The Intermediates and Specialty Chemicals product includes 1,4,7-Trimethyl-1,4,7-Triazacylononane and N-Ethyl Glucamine. The Finished Dosage Form products include Diminazene Aceturate Granules and Homidium Chloride Tablets. It has manufacturing plants located around Mumbai.</v>
    <v>456</v>
    <v>National Stock Exchange of India</v>
    <v>XNSE</v>
    <v>XNSE</v>
    <v>301, E SQUARE, SUBHASH ROAD VILE PARLE ( EAST), MAHARASHTRA, 400057 IN</v>
    <v>2878.4</v>
    <v>Pharmaceuticals</v>
    <v>Stock</v>
    <v>46169.490648148145</v>
    <v>379</v>
    <v>2636</v>
    <v>8873496000</v>
    <v>NGL FINE-CHEM LIMITED</v>
    <v>NGL FINE-CHEM LIMITED</v>
    <v>2819.8</v>
    <v>36.26</v>
    <v>2819.8</v>
    <v>2697.6</v>
    <v>6178020</v>
    <v>NGLFINE</v>
    <v>NGL FINE-CHEM LIMITED (XNSE:NGLFINE)</v>
    <v>13089</v>
    <v>30650</v>
    <v>1981</v>
  </rv>
  <rv s="2">
    <v>380</v>
  </rv>
  <rv s="0">
    <v>https://www.bing.com/financeapi/forcetrigger?t=ahhlvh&amp;q=XNSE%3aDSSL&amp;form=skydnc</v>
    <v>Learn more on Bing</v>
  </rv>
  <rv s="1">
    <v>en-IN</v>
    <v>ahhlvh</v>
    <v>268435456</v>
    <v>1</v>
    <v>Powered by Refinitiv</v>
    <v>0</v>
    <v>DYNACONS SYSTEMS AND SOLUTIONS LIMITED (XNSE:DSSL)</v>
    <v>2</v>
    <v>3</v>
    <v>Finance</v>
    <v>4</v>
    <v>1924.8</v>
    <v>781</v>
    <v>0.35</v>
    <v>72.3</v>
    <v>4.1756000000000001E-2</v>
    <v>INR</v>
    <v>Dynacons Systems and Solutions Limited is an India-based information technology (IT) company. The Company's segments include system integration and technology workforce augmentation services. It undertakes all activities related to IT infrastructure including infrastructure design and consulting services, turnkey systems integration and set up of large network and data center infrastructures including supply of associated equipment and software; hyper converged infrastructure solutions, setup of private and public cloud, software defined network and software defined storage solutions, network infrastructure design and setup for ISPs, VDI Solutions, onsite and remote facilities management of multi- location infrastructure of domestic clients. Its enterprise services offerings include a spectrum of enterprise IT services including infrastructure managed services, break fix services, managed print services, cloud computing and applications development and maintenance.</v>
    <v>1013</v>
    <v>National Stock Exchange of India</v>
    <v>XNSE</v>
    <v>XNSE</v>
    <v>78, RATNA JYOT INDUSTRIAL ESTATE IRLA LANE, VILE PARLE WEST, MAHARASHTRA, 400056 IN</v>
    <v>1846.8</v>
    <v>Software &amp; IT Services</v>
    <v>Stock</v>
    <v>46169.490682870368</v>
    <v>382</v>
    <v>1730</v>
    <v>12967110000</v>
    <v>DYNACONS SYSTEMS AND SOLUTIONS LIMITED</v>
    <v>DYNACONS SYSTEMS AND SOLUTIONS LIMITED</v>
    <v>1731.5</v>
    <v>26.23</v>
    <v>1731.5</v>
    <v>1803.8</v>
    <v>12737080</v>
    <v>DSSL</v>
    <v>DYNACONS SYSTEMS AND SOLUTIONS LIMITED (XNSE:DSSL)</v>
    <v>251578</v>
    <v>310810</v>
    <v>1995</v>
  </rv>
  <rv s="2">
    <v>383</v>
  </rv>
  <rv s="0">
    <v>https://www.bing.com/financeapi/forcetrigger?t=ahiwu2&amp;q=XNSE%3aMAYURUNIQ&amp;form=skydnc</v>
    <v>Learn more on Bing</v>
  </rv>
  <rv s="1">
    <v>en-IN</v>
    <v>ahiwu2</v>
    <v>268435456</v>
    <v>1</v>
    <v>Powered by Refinitiv</v>
    <v>0</v>
    <v>MAYUR UNIQUOTERS LIMITED (XNSE:MAYURUNIQ)</v>
    <v>2</v>
    <v>3</v>
    <v>Finance</v>
    <v>4</v>
    <v>805.75</v>
    <v>471.2</v>
    <v>0.66490000000000005</v>
    <v>31.35</v>
    <v>4.1993000000000003E-2</v>
    <v>INR</v>
    <v>Mayur Uniquoters Limited is an India-based manufacturer of artificial leather. The Company is engaged in the business of manufacturing coated textile fabrics, artificial leather and polyvinyl chloride (PVC) vinyl, which are used in different segments such as footwear, furnishings, automotive original equipment manufacturers, the automotive replacement market and automotive exports. It operates through a single segment: manufacturing and sale of PU/PVC Synthetic Leather. Its products include automotive, footwear, furnishings, and leather goods and garments. It offers a range of leather for the automotive industry, which is used in various parts, including seats, door trims, steering wheel covers, gear boot and knob covers, roof lining, sun visors and hoods. It offers products for various parts of footwear, such as shoe uppers, shoe lining and insoles. These products find application in formal shoes and boots, sports shoes, sandals, slippers as well as high-end women’s footwear.</v>
    <v>401</v>
    <v>National Stock Exchange of India</v>
    <v>XNSE</v>
    <v>XNSE</v>
    <v>JAIPUR-SIKAR ROAD VILLAGE : JAITPURA, TAHSIL : CHOMU DIST., RAJASTHAN, 303704 IN</v>
    <v>805.75</v>
    <v>Textiles &amp; Apparel</v>
    <v>Stock</v>
    <v>46169.490694444445</v>
    <v>385</v>
    <v>745.3</v>
    <v>21150550000</v>
    <v>MAYUR UNIQUOTERS LIMITED</v>
    <v>MAYUR UNIQUOTERS LIMITED</v>
    <v>749.9</v>
    <v>16.920000000000002</v>
    <v>746.55</v>
    <v>777.9</v>
    <v>43452600</v>
    <v>MAYURUNIQ</v>
    <v>MAYUR UNIQUOTERS LIMITED (XNSE:MAYURUNIQ)</v>
    <v>492672</v>
    <v>900780</v>
    <v>1992</v>
  </rv>
  <rv s="2">
    <v>386</v>
  </rv>
  <rv s="9">
    <v>en-IN</v>
    <v>ccbzp2</v>
    <v>268435456</v>
    <v>1</v>
    <v>Powered by Refinitiv</v>
    <v>17</v>
    <v>GRASIM INDUSTRIES LTD (XNSE:GRASIMPP1)</v>
    <v>6</v>
    <v>18</v>
    <v>Finance</v>
    <v>4</v>
    <v>1.0810999999999999</v>
    <v>-4.8499999999999996</v>
    <v>-2.7810000000000001E-3</v>
    <v>INR</v>
    <v>Grasim Industries Limited is an India-based producer of cellulosic fibers, diversified chemicals, fashion yarn and fabrics producer. Its segments include Cellulosic Fibres, Chemicals, Building Material, Financial Service and Others. Its Cellulosic Fibres segment includes cellulosic staple fiber (CSF) and cellulosic fashion yarn (CFY). The Chemical segment includes chlor alkali, specialty chemicals and chlorine derivatives. The Building Material segment includes cement, paints and business to business (B2B) e-commerce businesses. The Others segment includes textiles, insulators and renewable power business. Its chlor-alkali business is engaged in the production of caustic soda, wide array of chlorine derivatives and specialty chemicals like epoxy polymers and curing agents. Its cement products include grey cement, white cement, ready mix concrete and wall putty products. Birla Pivot, the Company's the B2B e-commerce business unit, offers integrated procurement solutions.</v>
    <v>27327</v>
    <v>National Stock Exchange of India</v>
    <v>XNSE</v>
    <v>XNSE</v>
    <v>Aditya Birla Centre, A Wing, 2nd Floor, S. K. Ahire Marg, MUMBAI, MAHARASHTRA, 400030 IN</v>
    <v>1742.45</v>
    <v>Construction Materials</v>
    <v>Stock</v>
    <v>45638.505682870367</v>
    <v>1715.55</v>
    <v>1791501000000</v>
    <v>GRASIM INDUSTRIES LTD</v>
    <v>GRASIM INDUSTRIES LTD</v>
    <v>1726</v>
    <v>0</v>
    <v>1744.1</v>
    <v>1739.25</v>
    <v>678316300</v>
    <v>GRASIMPP1</v>
    <v>GRASIM INDUSTRIES LTD (XNSE:GRASIMPP1)</v>
    <v>8053</v>
    <v>1424450</v>
    <v>1947</v>
  </rv>
  <rv s="2">
    <v>388</v>
  </rv>
  <rv s="0">
    <v>https://www.bing.com/financeapi/forcetrigger?t=bwd9u2&amp;q=XNSE%3aANGELONE&amp;form=skydnc</v>
    <v>Learn more on Bing</v>
  </rv>
  <rv s="1">
    <v>en-IN</v>
    <v>bwd9u2</v>
    <v>268435456</v>
    <v>1</v>
    <v>Powered by Refinitiv</v>
    <v>0</v>
    <v>ANGEL ONE LIMITED (XNSE:ANGELONE)</v>
    <v>2</v>
    <v>3</v>
    <v>Finance</v>
    <v>4</v>
    <v>351</v>
    <v>208.63</v>
    <v>1.1200000000000001</v>
    <v>-7.5</v>
    <v>-2.1774000000000002E-2</v>
    <v>INR</v>
    <v>Angel One Limited is a retail full-service broking house. The Company is engaged in the business of stock, currency, and commodity broking, providing margin trading facilities, depository services and distribution of mutual funds to its clients. The Company operates through the Broking and related services segment. Broking and related services segment is engaged in broking, advisory, third-party product distribution, margin trade facility and other fee-based services. Its digital platforms include Angel One Super App, Angel One Trade, and Smart API. It offers various investment options, such as stocks, mutual funds, upcoming initial public offering (IPO), futures, options, United States stocks, exchange-traded funds (ETF), currencies, commodities, and more. The Company's subsidiaries include Angel Financial Advisors Private Limited, Angel Fincap Private Limited, Angel Securities Limited, Angel DigiTech Services Private Limited, Mimansa Software Systems Private Limited, and others.</v>
    <v>2934</v>
    <v>National Stock Exchange of India</v>
    <v>XNSE</v>
    <v>XNSE</v>
    <v>6TH FLOOR, 601, AKRUTI STAR, MIDC CENTRAL ROAD, ANDHERI EAST,, MAHARASHTRA, 400093 IN</v>
    <v>350.25</v>
    <v>Investment Banking &amp; Investment Services</v>
    <v>Stock</v>
    <v>46169.490624999999</v>
    <v>390</v>
    <v>335.05</v>
    <v>221623800000</v>
    <v>ANGEL ONE LIMITED</v>
    <v>ANGEL ONE LIMITED</v>
    <v>345</v>
    <v>34.15</v>
    <v>344.45</v>
    <v>336.95</v>
    <v>911998800</v>
    <v>ANGELONE</v>
    <v>ANGEL ONE LIMITED (XNSE:ANGELONE)</v>
    <v>6777475</v>
    <v>10071880</v>
    <v>1996</v>
  </rv>
  <rv s="2">
    <v>391</v>
  </rv>
  <rv s="0">
    <v>https://www.bing.com/financeapi/forcetrigger?t=ahk8pr&amp;q=XNSE%3aTALBROAUTO&amp;form=skydnc</v>
    <v>Learn more on Bing</v>
  </rv>
  <rv s="1">
    <v>en-IN</v>
    <v>ahk8pr</v>
    <v>268435456</v>
    <v>1</v>
    <v>Powered by Refinitiv</v>
    <v>0</v>
    <v>TALBROS AUTOMOTIVE COMPONENTS LIMITED (XNSE:TALBROAUTO)</v>
    <v>2</v>
    <v>3</v>
    <v>Finance</v>
    <v>4</v>
    <v>372.8</v>
    <v>219.9</v>
    <v>0.96599999999999997</v>
    <v>-0.4</v>
    <v>-1.147E-3</v>
    <v>INR</v>
    <v>Talbros Automotive Components Limited is an India-based company that is primarily engaged in the manufacturing of automotive components. The Company offers a range of products, including multi-layer steel gasket, exhaust manifold gasket, rubber molded gasket, cylinder head gasket, gasket with electrical controls, edge molded gasket and heat shield. It also offers other products, such as kingpins, gear blanks, housing and yoke shafts, power transmission parts for hybrid and electric drive, and vehicle structural parts. Its auto component has its presence across automobile categories in two-wheelers, passenger vehicles, commercial vehicles and farm equipment. It offers manufacturing capabilities, including three-dimensional (3D) modeling, dies and tool design, and 3D design. Its gasket manufacturing facilities are located in Faridabad, Haryana; Pune, Maharashtra, and Sitarganj, Uttarakhand. Its forging manufacturing facilities are located in Bawal, Haryana.</v>
    <v>580</v>
    <v>National Stock Exchange of India</v>
    <v>XNSE</v>
    <v>XNSE</v>
    <v>14/1, Mathura Road, FARIDABAD, HARYANA, 121003 IN</v>
    <v>357.15</v>
    <v>Automobiles &amp; Auto Parts</v>
    <v>Stock</v>
    <v>46169.490659722222</v>
    <v>393</v>
    <v>345.2</v>
    <v>16438210000</v>
    <v>TALBROS AUTOMOTIVE COMPONENTS LIMITED</v>
    <v>TALBROS AUTOMOTIVE COMPONENTS LIMITED</v>
    <v>345.2</v>
    <v>20.66</v>
    <v>348.6</v>
    <v>348.2</v>
    <v>61728150</v>
    <v>TALBROAUTO</v>
    <v>TALBROS AUTOMOTIVE COMPONENTS LIMITED (XNSE:TALBROAUTO)</v>
    <v>128361</v>
    <v>789830</v>
    <v>1956</v>
  </rv>
  <rv s="2">
    <v>394</v>
  </rv>
  <rv s="0">
    <v>https://www.bing.com/financeapi/forcetrigger?t=bxdqsm&amp;q=XNSE%3aACRYSIL&amp;form=skydnc</v>
    <v>Learn more on Bing</v>
  </rv>
  <rv s="1">
    <v>en-IN</v>
    <v>bxdqsm</v>
    <v>268435456</v>
    <v>1</v>
    <v>Powered by Refinitiv</v>
    <v>0</v>
    <v>CARYSIL LIMITED (XNSE:CARYSIL)</v>
    <v>2</v>
    <v>3</v>
    <v>Finance</v>
    <v>4</v>
    <v>1143.8499999999999</v>
    <v>732.1</v>
    <v>1.3168</v>
    <v>-14.8</v>
    <v>-1.3329000000000001E-2</v>
    <v>INR</v>
    <v>Carysil Limited is an India-based company. The Company is engaged in manufacturing and trading quartz kitchen sinks, stainless steel kitchen sinks, bath products, tiles, kitchen appliances, and accessories. The activities of the Company fall under a single segment of manufacturing and trading of kitchen sinks and other appliances. Its kitchen sinks include Quartz Sinks, Stainless Steel Sinks, Green Sinks, and Sink Accessories. Its kitchen faucets include faucets, and food waste disposers. Its built-in appliances include chimneys, coffee makers, cooking ranges, cooktops, dishwashers, hobs, ice makers, microwaves, wine chillers, and ovens. Its brands include Sternhagen, Tekcarysil, and Carysil. The Company's subsidiaries include Carysil Online Limited, Carysil Steel Limited, Carysil Ceramictech Limited, Carysil Gmbh, Carysil UK Limited, Carysil USA Inc, and others. It serves countries, including the United States, the United Kingdom, Germany, France, China, and others.</v>
    <v>479</v>
    <v>National Stock Exchange of India</v>
    <v>XNSE</v>
    <v>XNSE</v>
    <v>A-702, 7TH FLOOR, KANAKIA WALL STREET ANDHERI- KURLA RD, CITI POINT, ANDHERI KURLA ROAD,, ANDHERI EAST, ANDHERI (E), MAHARASHTRA, 400093 IN</v>
    <v>1121.95</v>
    <v>Homebuilding &amp; Construction Supplies</v>
    <v>Stock</v>
    <v>46169.490636574075</v>
    <v>396</v>
    <v>1089.6500000000001</v>
    <v>22596230000</v>
    <v>CARYSIL LIMITED</v>
    <v>CARYSIL LIMITED</v>
    <v>1099.95</v>
    <v>32.17</v>
    <v>1110.3499999999999</v>
    <v>1095.55</v>
    <v>28442610</v>
    <v>CARYSIL</v>
    <v>CARYSIL LIMITED (XNSE:CARYSIL)</v>
    <v>91151</v>
    <v>317330</v>
    <v>1987</v>
  </rv>
  <rv s="2">
    <v>397</v>
  </rv>
  <rv s="0">
    <v>https://www.bing.com/financeapi/forcetrigger?t=ahjuqh&amp;q=XNSE%3aSEAMECLTD&amp;form=skydnc</v>
    <v>Learn more on Bing</v>
  </rv>
  <rv s="1">
    <v>en-IN</v>
    <v>ahjuqh</v>
    <v>268435456</v>
    <v>1</v>
    <v>Powered by Refinitiv</v>
    <v>0</v>
    <v>SEAMEC LIMITED (XNSE:SEAMECLTD)</v>
    <v>2</v>
    <v>3</v>
    <v>Finance</v>
    <v>4</v>
    <v>1709.2</v>
    <v>752.55</v>
    <v>1.4165000000000001</v>
    <v>38.4</v>
    <v>2.4072E-2</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-901-905, 9TH FLOOR, 215 ATRIUM, ANDHERI KURLA ROAD, ANDHERI EAST, 400093 IN</v>
    <v>1645</v>
    <v>Oil &amp; Gas Related Equipment and Services</v>
    <v>Stock</v>
    <v>46169.490636574075</v>
    <v>399</v>
    <v>1586.9</v>
    <v>26258940000</v>
    <v>SEAMEC LIMITED</v>
    <v>SEAMEC LIMITED</v>
    <v>1614.5</v>
    <v>16.13</v>
    <v>1595.2</v>
    <v>1633.6</v>
    <v>25425000</v>
    <v>SEAMECLTD</v>
    <v>SEAMEC LIMITED (XNSE:SEAMECLTD)</v>
    <v>86814</v>
    <v>276810</v>
    <v>1986</v>
  </rv>
  <rv s="2">
    <v>400</v>
  </rv>
  <rv s="3">
    <v>en-IN</v>
    <v>cafzc7</v>
    <v>268435456</v>
    <v>1</v>
    <v>Powered by Refinitiv</v>
    <v>5</v>
    <v>NETWEB TECHNOLOGIES INDIA LIMITED (XNSE:NETWEB)</v>
    <v>6</v>
    <v>3</v>
    <v>Finance</v>
    <v>4</v>
    <v>4492</v>
    <v>1700.1</v>
    <v>1.353</v>
    <v>220.3</v>
    <v>5.7195999999999997E-2</v>
    <v>INR</v>
    <v>Netweb Technologies India Limited is an India-based company, which is a provider of high-end computing solutions (HCS) with fully integrated design and manufacturing capabilities. The Company's HCS offering comprises high-performance computing (HPC), private cloud and (HCI), artificial intelligence (AI) systems and enterprise workstations, high performance storage (HPS) and data center servers and software and services. Its HPC offerings include HPC clusters, supercomputers with Graphics processing units (GPUs) optimization, HPC on-cloud, symmetric multiprocessing (SMP) solutions. The Company offers a full stack of product and solution suite with comprehensive capabilities in designing, developing, implementing and integrating computing solutions. It offers services in MLOps services, managed services, cloud migration, OpenStack cloud, HPC On Cloud, managed Kubernetes, artificial intelligence (AI) and Machine Learning (ML). Its products and solutions are sold under the Tyrone brand.</v>
    <v>441</v>
    <v>National Stock Exchange of India</v>
    <v>XNSE</v>
    <v>XNSE</v>
    <v>PLOT NO. H-1, POCKET-9 FARIDABAD INDUSTRIAL TOWN (FIT), SECTOR -57, BALLABHGARH, FARIDBAD,, HARYANA, 121004 IN</v>
    <v>4097.7</v>
    <v>Software &amp; IT Services</v>
    <v>Stock</v>
    <v>46169.490671296298</v>
    <v>3854</v>
    <v>185428100000</v>
    <v>NETWEB TECHNOLOGIES INDIA LIMITED</v>
    <v>NETWEB TECHNOLOGIES INDIA LIMITED</v>
    <v>3860</v>
    <v>106.11</v>
    <v>3851.7</v>
    <v>4072</v>
    <v>56940690</v>
    <v>NETWEB</v>
    <v>NETWEB TECHNOLOGIES INDIA LIMITED (XNSE:NETWEB)</v>
    <v>1579910</v>
    <v>936000</v>
    <v>1999</v>
  </rv>
  <rv s="2">
    <v>402</v>
  </rv>
  <rv s="0">
    <v>https://www.bing.com/financeapi/forcetrigger?t=c3ltyc&amp;q=XNSE%3aPARAS&amp;form=skydnc</v>
    <v>Learn more on Bing</v>
  </rv>
  <rv s="1">
    <v>en-IN</v>
    <v>c3ltyc</v>
    <v>268435456</v>
    <v>1</v>
    <v>Powered by Refinitiv</v>
    <v>0</v>
    <v>PARAS DEFENCE AND SPACE TECHNOLOGIES LIMITED (XNSE:PARAS)</v>
    <v>2</v>
    <v>3</v>
    <v>Finance</v>
    <v>4</v>
    <v>942</v>
    <v>580.5</v>
    <v>1.7256</v>
    <v>-11.5</v>
    <v>-1.3401000000000001E-2</v>
    <v>INR</v>
    <v>Paras Defence and Space Technologies Limited is an India-based defense engineering Company. The Company is engaged in offering a range of products and solutions for defense and space application. It operates through two segments: Optics &amp; Optronic Systems and Defense Engineering. Optics &amp; Optronic Systems segment include optical components and sub-systems, such as space optics/gratings/mirrors, infra-red lenses for night vision devices, opto-mechanical assemblies and precision diamond turned components and opto-electronic systems comprising of submarine periscope, hyperspectral camera. Defense Engineering segment include defense electronics compromising of defense automation and control systems, rugged command and control consoles, and avionic suite; heavy engineering comprising of flow formed rockets/ missile motor tubes, electromechanical assemblies, remote controlled border defense system and turnkey projects, and electromagnetic pulse protection solutions.</v>
    <v>537</v>
    <v>National Stock Exchange of India</v>
    <v>XNSE</v>
    <v>XNSE</v>
    <v>D-112, TTC Industrial Area, Nerul, NAVI MUMBAI, MAHARASHTRA, 400706 IN</v>
    <v>879.85</v>
    <v>Aerospace &amp; Defense</v>
    <v>Stock</v>
    <v>46169.490636574075</v>
    <v>404</v>
    <v>832.2</v>
    <v>54670450000</v>
    <v>PARAS DEFENCE AND SPACE TECHNOLOGIES LIMITED</v>
    <v>PARAS DEFENCE AND SPACE TECHNOLOGIES LIMITED</v>
    <v>863</v>
    <v>78.48</v>
    <v>858.15</v>
    <v>846.65</v>
    <v>80587330</v>
    <v>PARAS</v>
    <v>PARAS DEFENCE AND SPACE TECHNOLOGIES LIMITED (XNSE:PARAS)</v>
    <v>1502398</v>
    <v>2279660</v>
    <v>2009</v>
  </rv>
  <rv s="2">
    <v>405</v>
  </rv>
  <rv s="0">
    <v>https://www.bing.com/financeapi/forcetrigger?t=ahiwcw&amp;q=XNSE%3aMASFIN&amp;form=skydnc</v>
    <v>Learn more on Bing</v>
  </rv>
  <rv s="1">
    <v>en-IN</v>
    <v>ahiwcw</v>
    <v>268435456</v>
    <v>1</v>
    <v>Powered by Refinitiv</v>
    <v>0</v>
    <v>MAS FINANCIAL SERVICES LIMITED (XNSE:MASFIN)</v>
    <v>2</v>
    <v>3</v>
    <v>Finance</v>
    <v>4</v>
    <v>358.85</v>
    <v>277.35000000000002</v>
    <v>0.76060000000000005</v>
    <v>9.1999999999999993</v>
    <v>3.0046E-2</v>
    <v>INR</v>
    <v>MAS Financial Services Limited is an India-based Non-Banking Finance Company (NBFC) engaged in providing specialized retail financing services. The Company provides a range of products, which include micro enterprise loans (MEL), small and medium enterprise loans (SME), two-wheeler loans (TW), commercial vehicle loans (CV), used car loan, home loans, tractor loan, and others. The Company provides loans for the purchase of new and old houses, construction of houses on owned plots, home improvement loans and loans for the purchase and construction of commercial property. Its SME loans include machinery loans, industrial shed loan, working capital loan, and loan against property. It also provides salaried personal loans for various purposes, like child education, home renovation, furniture purchase, family occasions, medical purposes, and other personal purposes. It offers housing loans to customers to expand on their homesteads/ renovate part of their abodes.</v>
    <v>1758</v>
    <v>National Stock Exchange of India</v>
    <v>XNSE</v>
    <v>XNSE</v>
    <v>6 NARAYAN CHAMBERS GR FLR B/H PATANG HOTEL, ASHRAM ROAD, GUJARAT, 380009 IN</v>
    <v>318</v>
    <v>Banking Services</v>
    <v>Stock</v>
    <v>46169.490624999999</v>
    <v>407</v>
    <v>304.14999999999998</v>
    <v>56667890000</v>
    <v>MAS FINANCIAL SERVICES LIMITED</v>
    <v>MAS FINANCIAL SERVICES LIMITED</v>
    <v>309.35000000000002</v>
    <v>14.97</v>
    <v>306.2</v>
    <v>315.39999999999998</v>
    <v>181453400</v>
    <v>MASFIN</v>
    <v>MAS FINANCIAL SERVICES LIMITED (XNSE:MASFIN)</v>
    <v>133824</v>
    <v>93590</v>
    <v>1995</v>
  </rv>
  <rv s="2">
    <v>408</v>
  </rv>
  <rv s="0">
    <v>https://www.bing.com/financeapi/forcetrigger?t=ahh49c&amp;q=XNSE%3aBALRAMCHIN&amp;form=skydnc</v>
    <v>Learn more on Bing</v>
  </rv>
  <rv s="1">
    <v>en-IN</v>
    <v>ahh49c</v>
    <v>268435456</v>
    <v>1</v>
    <v>Powered by Refinitiv</v>
    <v>0</v>
    <v>BALRAMPUR CHINI MILLS LTD (XNSE:BALRAMCHIN)</v>
    <v>2</v>
    <v>3</v>
    <v>Finance</v>
    <v>4</v>
    <v>627.79999999999995</v>
    <v>393.55</v>
    <v>0.78259999999999996</v>
    <v>0.55000000000000004</v>
    <v>1.0380000000000001E-3</v>
    <v>INR</v>
    <v>Balrampur Chini Mills Limited is an India-based sugar manufacturing company. The Company is engaged in the manufacturing and sale of sugar. Its allied business activities consist of the manufacturing and sale of ethanol, ethyl alcohol, generation and sale of co-generated power, and manufacturing and sale of agricultural fertilizers. Its segments include Sugar, Distillery, Polylactic Acid, and Others. The Sugar segment is engaged in the sale of sugar and its by-products. The Distillery segment includes the sale of industrial alcohol, which constitutes ethanol sold under contracts with public and private oil marketing companies, and other products to institutional buyers. The Company is also engaged in the manufacturing of polylactic acid (PLA), a biodegradable polymer. The Others segment is principally engaged in the sale of agricultural fertilizers such as granulated potash. Its Agri-inputs products include PAUDH-SHAKTI, JAIV-SHAKI AND DEVDOOT.</v>
    <v>6020</v>
    <v>National Stock Exchange of India</v>
    <v>XNSE</v>
    <v>XNSE</v>
    <v>234/3A A J C BOSE ROAD FMC FORTUNA, 2ND FLOOR, WEST BENGAL, 700020 IN</v>
    <v>537</v>
    <v>Food &amp; Tobacco</v>
    <v>Stock</v>
    <v>46169.490624999999</v>
    <v>410</v>
    <v>525.29999999999995</v>
    <v>85909720000</v>
    <v>BALRAMPUR CHINI MILLS LTD</v>
    <v>BALRAMPUR CHINI MILLS LTD</v>
    <v>531.79999999999995</v>
    <v>28.26</v>
    <v>529.65</v>
    <v>530.20000000000005</v>
    <v>201902400</v>
    <v>BALRAMCHIN</v>
    <v>BALRAMPUR CHINI MILLS LTD (XNSE:BALRAMCHIN)</v>
    <v>545763</v>
    <v>839420</v>
    <v>1975</v>
  </rv>
  <rv s="2">
    <v>411</v>
  </rv>
  <rv s="0">
    <v>https://www.bing.com/financeapi/forcetrigger?t=ahjcar&amp;q=XNSE%3aPANAMAPET&amp;form=skydnc</v>
    <v>Learn more on Bing</v>
  </rv>
  <rv s="1">
    <v>en-IN</v>
    <v>ahjcar</v>
    <v>268435456</v>
    <v>1</v>
    <v>Powered by Refinitiv</v>
    <v>0</v>
    <v>PANAMA PETROCHEM LIMITED (XNSE:PANAMAPET)</v>
    <v>2</v>
    <v>3</v>
    <v>Finance</v>
    <v>4</v>
    <v>396.9</v>
    <v>229</v>
    <v>1.0119</v>
    <v>-10.3</v>
    <v>-2.9382000000000002E-2</v>
    <v>INR</v>
    <v>Panama Petrochem Limited is an India-based company engaged in the manufacture of specialty petroleum products for diverse user industries, such as printing, textiles, rubber, pharmaceuticals, cosmetics, power, and other industrial oil. The Company's diverse range of products includes white oil/Liquid Paraffin Oil, Petroleum Jelly, Transformer Oil, Ink and Coating Oils, Rubber Process Oil, Industrial Oils and Greases, Automotive Oils, Drilling Fluids, Waxes and other. Its wax products include fully Refined Paraffin Wax, Semi-Refined Paraffin Wax, Slack Wax, Micro Wax, and others. Its petroleum jellies products include Pangel SWJ, Pangel WJ, Pangel YJ, and Material Safety Data Sheet (MSDS). Its geographical segments include Domestic and Overseas. It has four manufacturing units in India and are located at Ankleshwar (Gujarat), Daman (Union Territory), Daman (Gujarat) and Taloja (Dist. Raigadh). The Company exports its products to the United States, the United Kingdom, Europe, and others.</v>
    <v>185</v>
    <v>National Stock Exchange of India</v>
    <v>XNSE</v>
    <v>XNSE</v>
    <v>PLOT NO 3303, GIDC ESTATE, GUJARAT, 393002 IN</v>
    <v>355.7</v>
    <v>Chemicals</v>
    <v>Stock</v>
    <v>46169.490682870368</v>
    <v>413</v>
    <v>336</v>
    <v>18002890000</v>
    <v>PANAMA PETROCHEM LIMITED</v>
    <v>PANAMA PETROCHEM LIMITED</v>
    <v>353.75</v>
    <v>11.42</v>
    <v>350.55</v>
    <v>340.25</v>
    <v>60493600</v>
    <v>PANAMAPET</v>
    <v>PANAMA PETROCHEM LIMITED (XNSE:PANAMAPET)</v>
    <v>154925</v>
    <v>154260</v>
    <v>1982</v>
  </rv>
  <rv s="2">
    <v>414</v>
  </rv>
  <rv s="0">
    <v>https://www.bing.com/financeapi/forcetrigger?t=ahiv27&amp;q=XNSE%3aMANALIPETC&amp;form=skydnc</v>
    <v>Learn more on Bing</v>
  </rv>
  <rv s="1">
    <v>en-IN</v>
    <v>ahiv27</v>
    <v>268435456</v>
    <v>1</v>
    <v>Powered by Refinitiv</v>
    <v>0</v>
    <v>Manali Petrochemicals Limited (XNSE:MANALIPETC)</v>
    <v>2</v>
    <v>3</v>
    <v>Finance</v>
    <v>4</v>
    <v>81.099999999999994</v>
    <v>39.130000000000003</v>
    <v>1.4607000000000001</v>
    <v>0.86</v>
    <v>1.4459E-2</v>
    <v>INR</v>
    <v>Manali Petrochemicals Limited is an India-based petrochemical company. The Company is engaged in the manufacture and sale of propylene oxide (PO), propylene glycol (PG) and polyols (PY), which are used as industrial raw materials. It manufactures and supplies polyurethane raw materials and blended systems for various industries, such as appliances, automotive, furniture, footwear, paints, coatings, pharmaceuticals, food and fragrances. Polyols are produced in four grades: Flexible Slabstock, Flexible Cold Cure, Rigid, and Elastomers. They are utilized across various industries, including automotive, refrigeration and temperature control, adhesives, sealants, coatings, furniture, and textiles. PG is used as a drug solubilizer in topical, oral, and injectable medications, a stabilizer for vitamins, and as a water-miscible co-solvent. Its other products include Propylene Glycol Mono Methyl Ether (PGMME), which is used in paints and coatings and electronics industries.</v>
    <v>321</v>
    <v>National Stock Exchange of India</v>
    <v>XNSE</v>
    <v>XNSE</v>
    <v>SPIC HOUSE OLD NO. 97, 88 MOUNT ROAD, GUINDY, TAMIL NADU, 600032 IN</v>
    <v>61.5</v>
    <v>Chemicals</v>
    <v>Stock</v>
    <v>46169.490659722222</v>
    <v>416</v>
    <v>59.93</v>
    <v>10106670000</v>
    <v>Manali Petrochemicals Limited</v>
    <v>Manali Petrochemicals Limited</v>
    <v>60.01</v>
    <v>7.87</v>
    <v>59.48</v>
    <v>60.34</v>
    <v>171999200</v>
    <v>MANALIPETC</v>
    <v>Manali Petrochemicals Limited (XNSE:MANALIPETC)</v>
    <v>374145</v>
    <v>2231590</v>
    <v>1986</v>
  </rv>
  <rv s="2">
    <v>417</v>
  </rv>
  <rv s="0">
    <v>https://www.bing.com/financeapi/forcetrigger?t=azpojc&amp;q=XNSE%3aNARMADA&amp;form=skydnc</v>
    <v>Learn more on Bing</v>
  </rv>
  <rv s="10">
    <v>en-IN</v>
    <v>azpojc</v>
    <v>268435456</v>
    <v>1</v>
    <v>Powered by Refinitiv</v>
    <v>19</v>
    <v>NARMADA AGROBASE LIMITED (XNSE:NARMADA)</v>
    <v>2</v>
    <v>20</v>
    <v>Finance</v>
    <v>4</v>
    <v>38.9</v>
    <v>15.6</v>
    <v>0.25590000000000002</v>
    <v>0.03</v>
    <v>8.1189999999999995E-4</v>
    <v>INR</v>
    <v>Narmada Agrobase Limited is an India-based company, which is engaged in manufacturing and processing of cotton seed meal cake, cattle feeds and soya bean meal. The products manufactured by the Company are used for feeding of cattle. The by-products of its products are used in the textile industry, consumer goods industry and paper industry. It is a manufacturer and exporter of cotton seed meal, guar meal, delinted cotton seed, organic fertilizers and cattle feed under the own brand name of Ladoo, Narmada, Narmada Kala Son, Narmada Super, Super Narmada Churma and Gaay Chhaap. It offers a variety of cattle feeds to enhance milk production, reproductive ability and the overall health of cattle. Its products include cattle feed (mesh), maize meal, cotton seed oil cake, maize oil cake, multi grain meal high protein, compound cattle feed, and others. Its products have several uses, like meal that can be used for fertilizers and animal feed, cotton linters which are by product cotton seed.</v>
    <v>National Stock Exchange of India</v>
    <v>XNSE</v>
    <v>XNSE</v>
    <v>401, Silicon Tower, Above Freezeland Restaurant, Law Garden Navrangpura, AHMEDABAD, GUJARAT, 390009 IN</v>
    <v>37.4</v>
    <v>Food &amp; Tobacco</v>
    <v>Stock</v>
    <v>46169.490648148145</v>
    <v>419</v>
    <v>36.549999999999997</v>
    <v>1029973000</v>
    <v>NARMADA AGROBASE LIMITED</v>
    <v>NARMADA AGROBASE LIMITED</v>
    <v>36.950000000000003</v>
    <v>33.32</v>
    <v>36.950000000000003</v>
    <v>36.979999999999997</v>
    <v>37936400</v>
    <v>NARMADA</v>
    <v>NARMADA AGROBASE LIMITED (XNSE:NARMADA)</v>
    <v>522604</v>
    <v>421340</v>
    <v>2013</v>
  </rv>
  <rv s="2">
    <v>420</v>
  </rv>
  <rv s="0">
    <v>https://www.bing.com/financeapi/forcetrigger?t=ahgwmw&amp;q=XNSE%3aAPLAPOLLO&amp;form=skydnc</v>
    <v>Learn more on Bing</v>
  </rv>
  <rv s="1">
    <v>en-IN</v>
    <v>ahgwmw</v>
    <v>268435456</v>
    <v>1</v>
    <v>Powered by Refinitiv</v>
    <v>0</v>
    <v>APL APOLLO TUBES LIMITED (XNSE:APLAPOLLO)</v>
    <v>2</v>
    <v>3</v>
    <v>Finance</v>
    <v>4</v>
    <v>2301.4</v>
    <v>1492</v>
    <v>0.42330000000000001</v>
    <v>-6.4</v>
    <v>-3.4150000000000001E-3</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1943.4</v>
    <v>Metals &amp; Mining</v>
    <v>Stock</v>
    <v>46169.490682870368</v>
    <v>422</v>
    <v>1854</v>
    <v>528952200000</v>
    <v>APL APOLLO TUBES LIMITED</v>
    <v>APL APOLLO TUBES LIMITED</v>
    <v>1872.1</v>
    <v>43.24</v>
    <v>1874.1</v>
    <v>1867.7</v>
    <v>277658400</v>
    <v>APLAPOLLO</v>
    <v>APL APOLLO TUBES LIMITED (XNSE:APLAPOLLO)</v>
    <v>826764</v>
    <v>496660</v>
    <v>1986</v>
  </rv>
  <rv s="2">
    <v>423</v>
  </rv>
  <rv s="0">
    <v>https://www.bing.com/financeapi/forcetrigger?t=ahhcc7&amp;q=XNSE%3aCCL&amp;form=skydnc</v>
    <v>Learn more on Bing</v>
  </rv>
  <rv s="1">
    <v>en-IN</v>
    <v>ahhcc7</v>
    <v>268435456</v>
    <v>1</v>
    <v>Powered by Refinitiv</v>
    <v>0</v>
    <v>CCL PRODUCTS (INDIA) LIMITED (XNSE:CCL)</v>
    <v>2</v>
    <v>3</v>
    <v>Finance</v>
    <v>4</v>
    <v>1217.5</v>
    <v>779.5</v>
    <v>0.37780000000000002</v>
    <v>7.1</v>
    <v>6.6740000000000002E-3</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1081.9000000000001</v>
    <v>Food &amp; Tobacco</v>
    <v>Stock</v>
    <v>46169.490648148145</v>
    <v>425</v>
    <v>1045.0999999999999</v>
    <v>128820100000</v>
    <v>CCL PRODUCTS (INDIA) LIMITED</v>
    <v>CCL PRODUCTS (INDIA) LIMITED</v>
    <v>1063</v>
    <v>36.5</v>
    <v>1063.9000000000001</v>
    <v>1071</v>
    <v>133198400</v>
    <v>CCL</v>
    <v>CCL PRODUCTS (INDIA) LIMITED (XNSE:CCL)</v>
    <v>191657</v>
    <v>185080</v>
    <v>1961</v>
  </rv>
  <rv s="2">
    <v>426</v>
  </rv>
  <rv s="0">
    <v>https://www.bing.com/financeapi/forcetrigger?t=ahhr77&amp;q=XNSE%3aFEDERALBNK&amp;form=skydnc</v>
    <v>Learn more on Bing</v>
  </rv>
  <rv s="1">
    <v>en-IN</v>
    <v>ahhr77</v>
    <v>268435456</v>
    <v>1</v>
    <v>Powered by Refinitiv</v>
    <v>0</v>
    <v>THE FEDERAL BANK LTD (XNSE:FEDERALBNK)</v>
    <v>2</v>
    <v>3</v>
    <v>Finance</v>
    <v>4</v>
    <v>302</v>
    <v>185.11</v>
    <v>0.89759999999999995</v>
    <v>-1.3</v>
    <v>-4.4800000000000005E-3</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293</v>
    <v>Banking Services</v>
    <v>Stock</v>
    <v>46169.490624999999</v>
    <v>428</v>
    <v>287.85000000000002</v>
    <v>613857500000</v>
    <v>THE FEDERAL BANK LTD</v>
    <v>THE FEDERAL BANK LTD</v>
    <v>289.5</v>
    <v>16.420000000000002</v>
    <v>290.2</v>
    <v>288.89999999999998</v>
    <v>2465410000</v>
    <v>FEDERALBNK</v>
    <v>THE FEDERAL BANK LTD (XNSE:FEDERALBNK)</v>
    <v>3869975</v>
    <v>8453540</v>
    <v>1931</v>
  </rv>
  <rv s="2">
    <v>429</v>
  </rv>
  <rv s="0">
    <v>https://www.bing.com/financeapi/forcetrigger?t=ahhstc&amp;q=XNSE%3aGAEL&amp;form=skydnc</v>
    <v>Learn more on Bing</v>
  </rv>
  <rv s="1">
    <v>en-IN</v>
    <v>ahhstc</v>
    <v>268435456</v>
    <v>1</v>
    <v>Powered by Refinitiv</v>
    <v>0</v>
    <v>GUJARAT AMBUJA EXPORTS LIMITED (XNSE:GAEL)</v>
    <v>2</v>
    <v>3</v>
    <v>Finance</v>
    <v>4</v>
    <v>177.92</v>
    <v>101.2</v>
    <v>0.3206</v>
    <v>-1.97</v>
    <v>-1.2128000000000002E-2</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162.80000000000001</v>
    <v>Food &amp; Tobacco</v>
    <v>Stock</v>
    <v>46169.490648148145</v>
    <v>431</v>
    <v>160</v>
    <v>63328660000</v>
    <v>GUJARAT AMBUJA EXPORTS LIMITED</v>
    <v>GUJARAT AMBUJA EXPORTS LIMITED</v>
    <v>162.25</v>
    <v>24.46</v>
    <v>162.44</v>
    <v>160.47</v>
    <v>458670700</v>
    <v>GAEL</v>
    <v>GUJARAT AMBUJA EXPORTS LIMITED (XNSE:GAEL)</v>
    <v>504942</v>
    <v>858070</v>
    <v>1991</v>
  </rv>
  <rv s="2">
    <v>432</v>
  </rv>
  <rv s="0">
    <v>https://www.bing.com/financeapi/forcetrigger?t=ahhydm&amp;q=XNSE%3aGPIL&amp;form=skydnc</v>
    <v>Learn more on Bing</v>
  </rv>
  <rv s="1">
    <v>en-IN</v>
    <v>ahhydm</v>
    <v>268435456</v>
    <v>1</v>
    <v>Powered by Refinitiv</v>
    <v>0</v>
    <v>GODAWARI POWER AND ISPAT LIMITED (XNSE:GPIL)</v>
    <v>2</v>
    <v>3</v>
    <v>Finance</v>
    <v>4</v>
    <v>320</v>
    <v>175.37</v>
    <v>0.89139999999999997</v>
    <v>-3.6</v>
    <v>-1.2614E-2</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288.89999999999998</v>
    <v>Metals &amp; Mining</v>
    <v>Stock</v>
    <v>46169.490659722222</v>
    <v>434</v>
    <v>280.95</v>
    <v>173966700000</v>
    <v>GODAWARI POWER AND ISPAT LIMITED</v>
    <v>GODAWARI POWER AND ISPAT LIMITED</v>
    <v>286.5</v>
    <v>21.89</v>
    <v>285.39999999999998</v>
    <v>281.8</v>
    <v>672725900</v>
    <v>GPIL</v>
    <v>GODAWARI POWER AND ISPAT LIMITED (XNSE:GPIL)</v>
    <v>1601428</v>
    <v>8163360</v>
    <v>1999</v>
  </rv>
  <rv s="2">
    <v>435</v>
  </rv>
  <rv s="0">
    <v>https://www.bing.com/financeapi/forcetrigger?t=ahi59c&amp;q=XNSE%3aHINDALCO&amp;form=skydnc</v>
    <v>Learn more on Bing</v>
  </rv>
  <rv s="1">
    <v>en-IN</v>
    <v>ahi59c</v>
    <v>268435456</v>
    <v>1</v>
    <v>Powered by Refinitiv</v>
    <v>0</v>
    <v>HINDALCO INDUSTRIES LIMITED (XNSE:HINDALCO)</v>
    <v>2</v>
    <v>3</v>
    <v>Finance</v>
    <v>4</v>
    <v>1154</v>
    <v>618</v>
    <v>1.1801999999999999</v>
    <v>45.9</v>
    <v>4.1584000000000003E-2</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1154</v>
    <v>Metals &amp; Mining</v>
    <v>Stock</v>
    <v>46169.490624999999</v>
    <v>437</v>
    <v>1118.3</v>
    <v>2092750000000</v>
    <v>HINDALCO INDUSTRIES LIMITED</v>
    <v>HINDALCO INDUSTRIES LIMITED</v>
    <v>1118.3</v>
    <v>18.3</v>
    <v>1103.8</v>
    <v>1149.7</v>
    <v>2236153000</v>
    <v>HINDALCO</v>
    <v>HINDALCO INDUSTRIES LIMITED (XNSE:HINDALCO)</v>
    <v>7559470</v>
    <v>5898580</v>
    <v>1958</v>
  </rv>
  <rv s="2">
    <v>438</v>
  </rv>
  <rv s="0">
    <v>https://www.bing.com/financeapi/forcetrigger?t=ahizgh&amp;q=XNSE%3aM%26M&amp;form=skydnc</v>
    <v>Learn more on Bing</v>
  </rv>
  <rv s="1">
    <v>en-IN</v>
    <v>ahizgh</v>
    <v>268435456</v>
    <v>1</v>
    <v>Powered by Refinitiv</v>
    <v>0</v>
    <v>MAHINDRA AND MAHINDRA LIMITED (XNSE:M&amp;M)</v>
    <v>2</v>
    <v>3</v>
    <v>Finance</v>
    <v>4</v>
    <v>3839.9</v>
    <v>2896</v>
    <v>0.95509999999999995</v>
    <v>14.3</v>
    <v>4.6020000000000002E-3</v>
    <v>INR</v>
    <v>Mahindra and Mahindra Limited is engaged in offering farm equipment, electric vehicles, sport utility vehicles (SUVs), information technology (IT), and financial services.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3141.3</v>
    <v>Automobiles &amp; Auto Parts</v>
    <v>Stock</v>
    <v>46169.490636574075</v>
    <v>440</v>
    <v>3104</v>
    <v>4393970000000</v>
    <v>MAHINDRA AND MAHINDRA LIMITED</v>
    <v>MAHINDRA AND MAHINDRA LIMITED</v>
    <v>3110.9</v>
    <v>20.3</v>
    <v>3107.3</v>
    <v>3121.6</v>
    <v>1200762000</v>
    <v>M&amp;M</v>
    <v>MAHINDRA AND MAHINDRA LIMITED (XNSE:M&amp;M)</v>
    <v>1408612</v>
    <v>2300170</v>
    <v>1945</v>
  </rv>
  <rv s="2">
    <v>441</v>
  </rv>
  <rv s="3">
    <v>en-IN</v>
    <v>cbpa27</v>
    <v>268435456</v>
    <v>1</v>
    <v>Powered by Refinitiv</v>
    <v>5</v>
    <v>TATA TECHNOLOGIES LIMITED (XNSE:TATATECH)</v>
    <v>6</v>
    <v>3</v>
    <v>Finance</v>
    <v>4</v>
    <v>793.46</v>
    <v>507.4</v>
    <v>1.147</v>
    <v>13.45</v>
    <v>1.9043000000000001E-2</v>
    <v>INR</v>
    <v>Tata Technologies Limited is an India-based global engineering services company. The Company offers product development and digital solutions, including turnkey solutions, to global original equipment manufacturers (OEMs) and their tier one suppliers. The Company operates through two segments: Services and Technology. Services segment includes outsourced engineering services for manufacturing clients and leveraging digital technology to optimize the way in which a manufacturing company conceives, develops, manufactures and services new products. The Technology Solutions include contains academia upskilling and reskilling solutions and value-added reselling of software applications and solutions. Through its products business, the Company resell third-party software applications, primarily product lifecycle management (PLM) software and solutions and provide value-added services such as consulting, implementation, systems integration and support.</v>
    <v>11921</v>
    <v>National Stock Exchange of India</v>
    <v>XNSE</v>
    <v>XNSE</v>
    <v>Plot No 25, Rajiv Gandhi Infotech Park, Hinjawadi, PUNE, MAHARASHTRA, 411 057 IN</v>
    <v>725.65</v>
    <v>Integrated Hardware &amp; Software</v>
    <v>Stock</v>
    <v>46169.490671296298</v>
    <v>707.1</v>
    <v>267905900000</v>
    <v>TATA TECHNOLOGIES LIMITED</v>
    <v>TATA TECHNOLOGIES LIMITED</v>
    <v>711</v>
    <v>52.47</v>
    <v>706.3</v>
    <v>719.75</v>
    <v>406051800</v>
    <v>TATATECH</v>
    <v>TATA TECHNOLOGIES LIMITED (XNSE:TATATECH)</v>
    <v>2564736</v>
    <v>1595560</v>
    <v>1994</v>
  </rv>
  <rv s="2">
    <v>443</v>
  </rv>
</rvData>
</file>

<file path=xl/richData/rdrichvaluestructure.xml><?xml version="1.0" encoding="utf-8"?>
<rvStructures xmlns="http://schemas.microsoft.com/office/spreadsheetml/2017/richdata" count="11">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7">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LearnMoreOnLink</v>
      <v t="s">ExchangeID</v>
      <v t="s">%ProviderInfo</v>
    </a>
  </spbArrays>
  <spbData count="21">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0">
      <v>2</v>
      <v>Name</v>
      <v>LearnMoreOnLink</v>
    </spb>
    <spb s="7">
      <v>0</v>
      <v>0</v>
    </spb>
    <spb s="8">
      <v>8</v>
      <v>1</v>
      <v>1</v>
      <v>1</v>
      <v>1</v>
    </spb>
    <spb s="9">
      <v>1</v>
      <v>2</v>
      <v>2</v>
      <v>1</v>
      <v>3</v>
      <v>1</v>
      <v>10</v>
      <v>1</v>
      <v>1</v>
      <v>4</v>
      <v>4</v>
      <v>5</v>
      <v>6</v>
      <v>1</v>
      <v>1</v>
      <v>1</v>
      <v>4</v>
      <v>7</v>
      <v>8</v>
      <v>9</v>
      <v>4</v>
    </spb>
    <spb s="10">
      <v>Powered by Refinitiv</v>
    </spb>
    <spb s="0">
      <v>3</v>
      <v>Name</v>
      <v>LearnMoreOnLink</v>
    </spb>
    <spb s="11">
      <v>11</v>
      <v>2</v>
      <v>2</v>
      <v>11</v>
      <v>3</v>
      <v>11</v>
      <v>11</v>
      <v>11</v>
      <v>4</v>
      <v>4</v>
      <v>5</v>
      <v>12</v>
      <v>11</v>
      <v>11</v>
      <v>11</v>
      <v>4</v>
      <v>7</v>
      <v>8</v>
      <v>9</v>
      <v>4</v>
      <v>11</v>
      <v>11</v>
      <v>5</v>
    </spb>
    <spb s="12">
      <v>at close</v>
      <v>from previous close</v>
      <v>from previous close</v>
      <v>Source: Nasdaq</v>
      <v>GMT</v>
      <v>Delayed 15 minutes</v>
      <v>from close</v>
      <v>from close</v>
    </spb>
    <spb s="5">
      <v>4</v>
      <v>Name</v>
    </spb>
    <spb s="13">
      <v>1</v>
      <v>2</v>
      <v>1</v>
      <v>3</v>
      <v>1</v>
      <v>1</v>
      <v>1</v>
      <v>4</v>
      <v>4</v>
      <v>5</v>
      <v>6</v>
      <v>1</v>
      <v>1</v>
      <v>1</v>
      <v>4</v>
      <v>7</v>
      <v>8</v>
      <v>9</v>
      <v>4</v>
    </spb>
    <spb s="5">
      <v>5</v>
      <v>Name</v>
    </spb>
    <spb s="14">
      <v>1</v>
      <v>2</v>
      <v>2</v>
      <v>1</v>
      <v>3</v>
      <v>1</v>
      <v>1</v>
      <v>1</v>
      <v>4</v>
      <v>4</v>
      <v>5</v>
      <v>6</v>
      <v>1</v>
      <v>4</v>
      <v>7</v>
      <v>8</v>
      <v>9</v>
      <v>4</v>
    </spb>
    <spb s="0">
      <v>6</v>
      <v>Name</v>
      <v>LearnMoreOnLink</v>
    </spb>
    <spb s="15">
      <v>1</v>
      <v>2</v>
      <v>2</v>
      <v>1</v>
      <v>3</v>
      <v>1</v>
      <v>1</v>
      <v>1</v>
      <v>4</v>
      <v>5</v>
      <v>6</v>
      <v>1</v>
      <v>1</v>
      <v>1</v>
      <v>4</v>
      <v>7</v>
      <v>8</v>
      <v>9</v>
      <v>4</v>
    </spb>
  </spbData>
</supportingPropertyBags>
</file>

<file path=xl/richData/rdsupportingpropertybagstructure.xml><?xml version="1.0" encoding="utf-8"?>
<spbStructures xmlns="http://schemas.microsoft.com/office/spreadsheetml/2017/richdata2" count="1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Sty dxfid="1">
      <rpv i="0">_([$$-en-US]* #,##0.00_);_([$$-en-US]* (#,##0.00);_([$$-en-US]* "-"??_);_(@_)</rpv>
    </rSty>
    <rSty dxfid="1">
      <rpv i="0">_([$$-en-US]* #,##0_);_([$$-en-US]* (#,##0);_([$$-en-US]*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3C0E9A-4FEA-4B79-B63C-D66EA8A1F287}" name="Table1" displayName="Table1" ref="A1:D13" totalsRowShown="0" headerRowDxfId="33" headerRowBorderDxfId="32" tableBorderDxfId="31" totalsRowBorderDxfId="30">
  <autoFilter ref="A1:D13" xr:uid="{473C0E9A-4FEA-4B79-B63C-D66EA8A1F287}"/>
  <tableColumns count="4">
    <tableColumn id="1" xr3:uid="{BA0820A7-1F4A-4623-BA14-356231A85A8B}" name="S.No" dataDxfId="29"/>
    <tableColumn id="2" xr3:uid="{E7AFBAF3-6622-465B-AECB-84338222E510}" name="Details" dataDxfId="28"/>
    <tableColumn id="3" xr3:uid="{B4317BD9-8435-495D-8A49-F14D7B335CA1}" name="Bug/Change" dataDxfId="27"/>
    <tableColumn id="4" xr3:uid="{05D073D9-28B5-4EEE-95B6-F36F8C5E8524}" name="Status" dataDxfId="26"/>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39CB1E-11D0-4CA6-9313-E50104355A35}">
  <dimension ref="A1:L98"/>
  <sheetViews>
    <sheetView workbookViewId="0">
      <selection sqref="A1:G1"/>
    </sheetView>
  </sheetViews>
  <sheetFormatPr defaultRowHeight="15"/>
  <cols>
    <col min="1" max="1" width="24" customWidth="1"/>
    <col min="2" max="3" width="18" customWidth="1"/>
    <col min="4" max="4" width="24" customWidth="1"/>
    <col min="5" max="7" width="18" customWidth="1"/>
    <col min="8" max="8" width="4" customWidth="1"/>
    <col min="9" max="9" width="24" customWidth="1"/>
    <col min="10" max="12" width="18" customWidth="1"/>
  </cols>
  <sheetData>
    <row r="1" spans="1:12" ht="23.25">
      <c r="A1" s="60" t="s">
        <v>0</v>
      </c>
      <c r="B1" s="61"/>
      <c r="C1" s="61"/>
      <c r="D1" s="61"/>
      <c r="E1" s="61"/>
      <c r="F1" s="61"/>
      <c r="G1" s="61"/>
      <c r="I1" s="62" t="s">
        <v>1</v>
      </c>
      <c r="J1" s="61"/>
      <c r="K1" s="61"/>
      <c r="L1" s="61"/>
    </row>
    <row r="3" spans="1:12" ht="15.75">
      <c r="A3" s="3" t="s">
        <v>2</v>
      </c>
      <c r="D3" s="3" t="s">
        <v>765</v>
      </c>
      <c r="I3" s="3" t="s">
        <v>3</v>
      </c>
    </row>
    <row r="4" spans="1:12">
      <c r="A4" s="26" t="s">
        <v>4</v>
      </c>
      <c r="B4" s="26" t="s">
        <v>5</v>
      </c>
      <c r="D4" s="26" t="s">
        <v>4</v>
      </c>
      <c r="E4" s="26" t="s">
        <v>766</v>
      </c>
      <c r="F4" s="26" t="s">
        <v>767</v>
      </c>
      <c r="I4" s="26" t="s">
        <v>6</v>
      </c>
      <c r="J4" s="26" t="s">
        <v>7</v>
      </c>
      <c r="K4" s="26" t="s">
        <v>8</v>
      </c>
      <c r="L4" s="26" t="s">
        <v>9</v>
      </c>
    </row>
    <row r="5" spans="1:12">
      <c r="A5" s="4" t="s">
        <v>10</v>
      </c>
      <c r="B5" s="5">
        <f>SUM(Current_Portfolio!$L$2:$L$1000)</f>
        <v>3036634.8300000005</v>
      </c>
      <c r="D5" s="4" t="s">
        <v>768</v>
      </c>
      <c r="E5" s="7">
        <f>COUNTIF(Overall_Portfolio!$P$2:$P$1000, "&gt;0")</f>
        <v>5</v>
      </c>
      <c r="F5" s="7">
        <f ca="1">COUNTIF(Current_Portfolio!$U$2:$U$1000, "&gt;0")</f>
        <v>22</v>
      </c>
      <c r="I5" s="4" t="s">
        <v>11</v>
      </c>
      <c r="J5" s="5">
        <v>24625.05</v>
      </c>
      <c r="K5" s="5">
        <f>IFERROR(INDEX(Price_Update!$F:$F, MATCH(I5, Price_Update!$A:$A, 0)), 23907.15)</f>
        <v>23907.15</v>
      </c>
      <c r="L5" s="6">
        <f>(K5-J5)/J5</f>
        <v>-2.9153240297989155E-2</v>
      </c>
    </row>
    <row r="6" spans="1:12">
      <c r="A6" s="4" t="s">
        <v>12</v>
      </c>
      <c r="B6" s="5">
        <f ca="1">SUM(Current_Portfolio!$T$2:$T$1000)</f>
        <v>3573963.2900000005</v>
      </c>
      <c r="D6" s="4" t="s">
        <v>769</v>
      </c>
      <c r="E6" s="7">
        <f>COUNTIF(Overall_Portfolio!$P$2:$P$1000, "&lt;0")</f>
        <v>38</v>
      </c>
      <c r="F6" s="7">
        <f ca="1">COUNTIF(Current_Portfolio!$U$2:$U$1000, "&lt;0")</f>
        <v>7</v>
      </c>
      <c r="I6" s="4" t="s">
        <v>13</v>
      </c>
      <c r="J6" s="5">
        <v>16033.55</v>
      </c>
      <c r="K6" s="5">
        <f>IFERROR(INDEX(Price_Update!$F:$F, MATCH(I6, Price_Update!$A:$A, 0)), 17754.95)</f>
        <v>17754.95</v>
      </c>
      <c r="L6" s="6">
        <f>(K6-J6)/J6</f>
        <v>0.10736237452092653</v>
      </c>
    </row>
    <row r="7" spans="1:12">
      <c r="A7" s="4" t="s">
        <v>14</v>
      </c>
      <c r="B7" s="5">
        <f ca="1">B6-B5</f>
        <v>537328.46</v>
      </c>
      <c r="D7" s="4" t="s">
        <v>770</v>
      </c>
      <c r="E7" s="59">
        <f>IF(E6&gt;0, E5/E6, IF(E5&gt;0, "No Loss", 0))</f>
        <v>0.13157894736842105</v>
      </c>
      <c r="F7" s="59">
        <f ca="1">IF(F6&gt;0, F5/F6, IF(F5&gt;0, "No Loss", 0))</f>
        <v>3.1428571428571428</v>
      </c>
    </row>
    <row r="8" spans="1:12">
      <c r="A8" s="4" t="s">
        <v>15</v>
      </c>
      <c r="B8" s="5">
        <f>SUM(Overall_Portfolio!$P$2:$P$1000)</f>
        <v>-356012.80000000005</v>
      </c>
      <c r="D8" s="4" t="s">
        <v>771</v>
      </c>
      <c r="E8" s="5">
        <f>IF(E5&gt;0, SUMIF(Overall_Portfolio!$P$2:$P$1000, "&gt;0")/E5, 0)</f>
        <v>4397.3619999999992</v>
      </c>
      <c r="F8" s="5">
        <f ca="1">IF(F5&gt;0, SUMIF(Current_Portfolio!$U$2:$U$1000, "&gt;0")/F5, 0)</f>
        <v>26084.486363636363</v>
      </c>
    </row>
    <row r="9" spans="1:12" ht="15.75">
      <c r="A9" s="4" t="s">
        <v>16</v>
      </c>
      <c r="B9" s="5">
        <f ca="1">B7+B8</f>
        <v>181315.65999999992</v>
      </c>
      <c r="D9" s="4" t="s">
        <v>772</v>
      </c>
      <c r="E9" s="5">
        <f>IF(E6&gt;0, SUMIF(Overall_Portfolio!$P$2:$P$1000, "&lt;0")/E6, 0)</f>
        <v>-9947.3581578947396</v>
      </c>
      <c r="F9" s="5">
        <f ca="1">IF(F6&gt;0, SUMIF(Current_Portfolio!$U$2:$U$1000, "&lt;0")/F6, 0)</f>
        <v>-5218.6057142857098</v>
      </c>
      <c r="I9" s="3" t="s">
        <v>17</v>
      </c>
    </row>
    <row r="10" spans="1:12">
      <c r="A10" s="4" t="s">
        <v>18</v>
      </c>
      <c r="B10" s="6">
        <f ca="1">IF(B5&gt;0, B9/B5, 0)</f>
        <v>5.9709405361724012E-2</v>
      </c>
      <c r="D10" s="4" t="s">
        <v>773</v>
      </c>
      <c r="E10" s="59">
        <f>IF(E9&lt;0, ABS(E8/E9), 0)</f>
        <v>0.44206330265790467</v>
      </c>
      <c r="F10" s="59">
        <f ca="1">IF(F9&lt;0, ABS(F8/F9), 0)</f>
        <v>4.9983631245087548</v>
      </c>
      <c r="I10" s="26" t="s">
        <v>19</v>
      </c>
      <c r="J10" s="26" t="s">
        <v>20</v>
      </c>
      <c r="K10" s="26" t="s">
        <v>21</v>
      </c>
      <c r="L10" s="26" t="s">
        <v>22</v>
      </c>
    </row>
    <row r="11" spans="1:12">
      <c r="A11" s="4" t="s">
        <v>23</v>
      </c>
      <c r="B11" s="6">
        <f>IF(B5&gt;0, SUMIF(Current_Portfolio!$D$2:$D$1000, "Core", Current_Portfolio!$L$2:$L$1000) / B5, 0)</f>
        <v>0.54011106761888783</v>
      </c>
      <c r="I11" s="4" t="s">
        <v>24</v>
      </c>
      <c r="J11" s="5">
        <f>SUMIF(Current_Portfolio!$B$2:$B$1000, "Small Cap", Current_Portfolio!$L$2:$L$1000)</f>
        <v>1211937.82</v>
      </c>
      <c r="K11" s="6">
        <f>J11/$J$14</f>
        <v>0.39910555198367392</v>
      </c>
      <c r="L11" s="6">
        <f ca="1">(SUMIF(Current_Portfolio!$B$2:$B$1000, "Small Cap", Current_Portfolio!$T$2:$T$1000) - J11) / J11</f>
        <v>0.20083049310236051</v>
      </c>
    </row>
    <row r="12" spans="1:12">
      <c r="A12" s="4" t="s">
        <v>25</v>
      </c>
      <c r="B12" s="6">
        <f>IF(B5&gt;0, SUMIF(Current_Portfolio!$D$2:$D$1000, "Satellite", Current_Portfolio!$L$2:$L$1000) / B5, 0)</f>
        <v>0.45988893238111206</v>
      </c>
      <c r="I12" s="4" t="s">
        <v>26</v>
      </c>
      <c r="J12" s="5">
        <f>SUMIF(Current_Portfolio!$B$2:$B$1000, "Large Cap", Current_Portfolio!$L$2:$L$1000)</f>
        <v>1153444.33</v>
      </c>
      <c r="K12" s="6">
        <f>J12/$J$14</f>
        <v>0.37984294937432428</v>
      </c>
      <c r="L12" s="6">
        <f ca="1">(SUMIF(Current_Portfolio!$B$2:$B$1000, "Large Cap", Current_Portfolio!$T$2:$T$1000) - J12) / J12</f>
        <v>0.24052532296898979</v>
      </c>
    </row>
    <row r="13" spans="1:12">
      <c r="A13" s="4" t="s">
        <v>27</v>
      </c>
      <c r="B13" s="7">
        <f>COUNTA(Current_Portfolio!$A$2:$A$1000)</f>
        <v>29</v>
      </c>
      <c r="I13" s="4" t="s">
        <v>28</v>
      </c>
      <c r="J13" s="5">
        <f>SUMIF(Current_Portfolio!$B$2:$B$1000, "Mid Cap", Current_Portfolio!$L$2:$L$1000)</f>
        <v>671252.68</v>
      </c>
      <c r="K13" s="6">
        <f>J13/$J$14</f>
        <v>0.22105149864200166</v>
      </c>
      <c r="L13" s="6">
        <f ca="1">(SUMIF(Current_Portfolio!$B$2:$B$1000, "Mid Cap", Current_Portfolio!$T$2:$T$1000) - J13) / J13</f>
        <v>2.4583618794639047E-2</v>
      </c>
    </row>
    <row r="14" spans="1:12">
      <c r="A14" s="4" t="s">
        <v>29</v>
      </c>
      <c r="B14" s="7">
        <f>COUNTA(Overall_Portfolio!$A$2:$A$1000)</f>
        <v>69</v>
      </c>
      <c r="I14" s="4" t="s">
        <v>30</v>
      </c>
      <c r="J14" s="8">
        <f>SUM(J11:J13)</f>
        <v>3036634.8300000005</v>
      </c>
      <c r="K14" s="9">
        <v>1</v>
      </c>
      <c r="L14" s="6">
        <f ca="1">(SUM(Current_Portfolio!$T$2:$T$1000) - J14) / J14</f>
        <v>0.17694865865712273</v>
      </c>
    </row>
    <row r="17" spans="1:11" ht="15.75">
      <c r="A17" s="3" t="s">
        <v>760</v>
      </c>
      <c r="I17" s="3" t="s">
        <v>31</v>
      </c>
    </row>
    <row r="18" spans="1:11">
      <c r="A18" s="26" t="s">
        <v>32</v>
      </c>
      <c r="B18" s="26" t="s">
        <v>33</v>
      </c>
      <c r="C18" s="26" t="s">
        <v>20</v>
      </c>
      <c r="D18" s="26" t="s">
        <v>34</v>
      </c>
      <c r="E18" s="26" t="s">
        <v>35</v>
      </c>
      <c r="F18" s="26" t="s">
        <v>36</v>
      </c>
      <c r="I18" s="26" t="s">
        <v>33</v>
      </c>
      <c r="J18" s="26" t="s">
        <v>20</v>
      </c>
      <c r="K18" s="26" t="s">
        <v>21</v>
      </c>
    </row>
    <row r="19" spans="1:11">
      <c r="A19" s="31" t="s">
        <v>41</v>
      </c>
      <c r="B19" s="10" t="s">
        <v>40</v>
      </c>
      <c r="C19" s="5">
        <f>VLOOKUP(A19, Current_Portfolio!$A$2:$Z$1000, 12, FALSE)</f>
        <v>213357.43</v>
      </c>
      <c r="D19" s="5">
        <f ca="1">VLOOKUP(A19, Current_Portfolio!$A$2:$Z$1000, 20, FALSE)</f>
        <v>290874.10000000003</v>
      </c>
      <c r="E19" s="5">
        <f t="shared" ref="E19:E28" ca="1" si="0">D19-C19</f>
        <v>77516.670000000042</v>
      </c>
      <c r="F19" s="6">
        <f t="shared" ref="F19:F28" ca="1" si="1">IF(C19&gt;0, E19/C19, 0)</f>
        <v>0.36331835268169493</v>
      </c>
      <c r="I19" s="4" t="s">
        <v>38</v>
      </c>
      <c r="J19" s="5">
        <f>SUMIF(Current_Portfolio!$D$2:$D$1000, "Core", Current_Portfolio!$L$2:$L$1000)</f>
        <v>1640120.08</v>
      </c>
      <c r="K19" s="6">
        <f>J19/$J$21</f>
        <v>0.54011106761888783</v>
      </c>
    </row>
    <row r="20" spans="1:11">
      <c r="A20" s="33" t="s">
        <v>42</v>
      </c>
      <c r="B20" s="10" t="s">
        <v>40</v>
      </c>
      <c r="C20" s="5">
        <f>VLOOKUP(A20, Current_Portfolio!$A$2:$Z$1000, 12, FALSE)</f>
        <v>178375.5</v>
      </c>
      <c r="D20" s="5">
        <f ca="1">VLOOKUP(A20, Current_Portfolio!$A$2:$Z$1000, 20, FALSE)</f>
        <v>235242.5</v>
      </c>
      <c r="E20" s="5">
        <f t="shared" ca="1" si="0"/>
        <v>56867</v>
      </c>
      <c r="F20" s="6">
        <f t="shared" ca="1" si="1"/>
        <v>0.31880499283814201</v>
      </c>
      <c r="I20" s="4" t="s">
        <v>40</v>
      </c>
      <c r="J20" s="5">
        <f>SUMIF(Current_Portfolio!$D$2:$D$1000, "Satellite", Current_Portfolio!$L$2:$L$1000)</f>
        <v>1396514.75</v>
      </c>
      <c r="K20" s="6">
        <f>J20/$J$21</f>
        <v>0.45988893238111217</v>
      </c>
    </row>
    <row r="21" spans="1:11">
      <c r="A21" s="32" t="s">
        <v>109</v>
      </c>
      <c r="B21" s="10" t="s">
        <v>40</v>
      </c>
      <c r="C21" s="5">
        <f>VLOOKUP(A21, Current_Portfolio!$A$2:$Z$1000, 12, FALSE)</f>
        <v>100373.52</v>
      </c>
      <c r="D21" s="5">
        <f ca="1">VLOOKUP(A21, Current_Portfolio!$A$2:$Z$1000, 20, FALSE)</f>
        <v>130369.20000000001</v>
      </c>
      <c r="E21" s="5">
        <f t="shared" ca="1" si="0"/>
        <v>29995.680000000008</v>
      </c>
      <c r="F21" s="6">
        <f t="shared" ca="1" si="1"/>
        <v>0.29884057070032022</v>
      </c>
      <c r="I21" s="4" t="s">
        <v>30</v>
      </c>
      <c r="J21" s="8">
        <f>SUM(J19:J20)</f>
        <v>3036634.83</v>
      </c>
      <c r="K21" s="9">
        <v>1</v>
      </c>
    </row>
    <row r="22" spans="1:11">
      <c r="A22" s="32" t="s">
        <v>86</v>
      </c>
      <c r="B22" s="10" t="s">
        <v>40</v>
      </c>
      <c r="C22" s="5">
        <f>VLOOKUP(A22, Current_Portfolio!$A$2:$Z$1000, 12, FALSE)</f>
        <v>75276.14</v>
      </c>
      <c r="D22" s="5">
        <f ca="1">VLOOKUP(A22, Current_Portfolio!$A$2:$Z$1000, 20, FALSE)</f>
        <v>87871.2</v>
      </c>
      <c r="E22" s="5">
        <f t="shared" ca="1" si="0"/>
        <v>12595.059999999998</v>
      </c>
      <c r="F22" s="6">
        <f t="shared" ca="1" si="1"/>
        <v>0.16731809043343612</v>
      </c>
    </row>
    <row r="23" spans="1:11">
      <c r="A23" s="32" t="s">
        <v>352</v>
      </c>
      <c r="B23" s="10" t="s">
        <v>40</v>
      </c>
      <c r="C23" s="5">
        <f>VLOOKUP(A23, Current_Portfolio!$A$2:$Z$1000, 12, FALSE)</f>
        <v>56862.54</v>
      </c>
      <c r="D23" s="5">
        <f ca="1">VLOOKUP(A23, Current_Portfolio!$A$2:$Z$1000, 20, FALSE)</f>
        <v>68611.199999999997</v>
      </c>
      <c r="E23" s="5">
        <f t="shared" ca="1" si="0"/>
        <v>11748.659999999996</v>
      </c>
      <c r="F23" s="6">
        <f t="shared" ca="1" si="1"/>
        <v>0.20661511075657182</v>
      </c>
    </row>
    <row r="24" spans="1:11" ht="15.75">
      <c r="A24" s="34" t="s">
        <v>66</v>
      </c>
      <c r="B24" s="10" t="s">
        <v>40</v>
      </c>
      <c r="C24" s="5">
        <f>VLOOKUP(A24, Current_Portfolio!$A$2:$Z$1000, 12, FALSE)</f>
        <v>25568</v>
      </c>
      <c r="D24" s="5">
        <f ca="1">VLOOKUP(A24, Current_Portfolio!$A$2:$Z$1000, 20, FALSE)</f>
        <v>25042</v>
      </c>
      <c r="E24" s="5">
        <f t="shared" ca="1" si="0"/>
        <v>-526</v>
      </c>
      <c r="F24" s="6">
        <f t="shared" ca="1" si="1"/>
        <v>-2.0572590738423029E-2</v>
      </c>
      <c r="I24" s="3" t="s">
        <v>45</v>
      </c>
    </row>
    <row r="25" spans="1:11">
      <c r="A25" s="34" t="s">
        <v>48</v>
      </c>
      <c r="B25" s="10" t="s">
        <v>40</v>
      </c>
      <c r="C25" s="5">
        <f>VLOOKUP(A25, Current_Portfolio!$A$2:$Z$1000, 12, FALSE)</f>
        <v>49379.199999999997</v>
      </c>
      <c r="D25" s="5">
        <f ca="1">VLOOKUP(A25, Current_Portfolio!$A$2:$Z$1000, 20, FALSE)</f>
        <v>47951.799999999996</v>
      </c>
      <c r="E25" s="5">
        <f t="shared" ca="1" si="0"/>
        <v>-1427.4000000000015</v>
      </c>
      <c r="F25" s="6">
        <f t="shared" ca="1" si="1"/>
        <v>-2.8906908171861867E-2</v>
      </c>
      <c r="I25" s="26" t="s">
        <v>47</v>
      </c>
      <c r="J25" s="26" t="s">
        <v>20</v>
      </c>
      <c r="K25" s="26" t="s">
        <v>21</v>
      </c>
    </row>
    <row r="26" spans="1:11">
      <c r="A26" s="34" t="s">
        <v>44</v>
      </c>
      <c r="B26" s="10" t="s">
        <v>40</v>
      </c>
      <c r="C26" s="5">
        <f>VLOOKUP(A26, Current_Portfolio!$A$2:$Z$1000, 12, FALSE)</f>
        <v>43885.24</v>
      </c>
      <c r="D26" s="5">
        <f ca="1">VLOOKUP(A26, Current_Portfolio!$A$2:$Z$1000, 20, FALSE)</f>
        <v>42291.200000000004</v>
      </c>
      <c r="E26" s="5">
        <f t="shared" ca="1" si="0"/>
        <v>-1594.0399999999936</v>
      </c>
      <c r="F26" s="6">
        <f t="shared" ca="1" si="1"/>
        <v>-3.632291859404195E-2</v>
      </c>
      <c r="I26" s="4" t="s">
        <v>49</v>
      </c>
      <c r="J26" s="5">
        <f>SUMIF(Current_Portfolio!$C$2:$C$1000, "Industrial", Current_Portfolio!$L$2:$L$1000)</f>
        <v>1739018.22</v>
      </c>
      <c r="K26" s="6">
        <f>J26/$J$31</f>
        <v>0.57267940248185856</v>
      </c>
    </row>
    <row r="27" spans="1:11">
      <c r="A27" s="34" t="s">
        <v>46</v>
      </c>
      <c r="B27" s="10" t="s">
        <v>40</v>
      </c>
      <c r="C27" s="5">
        <f>VLOOKUP(A27, Current_Portfolio!$A$2:$Z$1000, 12, FALSE)</f>
        <v>49684.800000000003</v>
      </c>
      <c r="D27" s="5">
        <f ca="1">VLOOKUP(A27, Current_Portfolio!$A$2:$Z$1000, 20, FALSE)</f>
        <v>47384.700000000004</v>
      </c>
      <c r="E27" s="5">
        <f t="shared" ca="1" si="0"/>
        <v>-2300.0999999999985</v>
      </c>
      <c r="F27" s="6">
        <f t="shared" ca="1" si="1"/>
        <v>-4.6293836344314526E-2</v>
      </c>
      <c r="I27" s="4" t="s">
        <v>51</v>
      </c>
      <c r="J27" s="5">
        <f>SUMIF(Current_Portfolio!$C$2:$C$1000, "Consumption", Current_Portfolio!$L$2:$L$1000)</f>
        <v>505119.6</v>
      </c>
      <c r="K27" s="6">
        <f>J27/$J$31</f>
        <v>0.16634189761960941</v>
      </c>
    </row>
    <row r="28" spans="1:11">
      <c r="A28" s="32" t="s">
        <v>50</v>
      </c>
      <c r="B28" s="10" t="s">
        <v>40</v>
      </c>
      <c r="C28" s="5">
        <f>VLOOKUP(A28, Current_Portfolio!$A$2:$Z$1000, 12, FALSE)</f>
        <v>99582.7</v>
      </c>
      <c r="D28" s="5">
        <f ca="1">VLOOKUP(A28, Current_Portfolio!$A$2:$Z$1000, 20, FALSE)</f>
        <v>91364</v>
      </c>
      <c r="E28" s="5">
        <f t="shared" ca="1" si="0"/>
        <v>-8218.6999999999971</v>
      </c>
      <c r="F28" s="6">
        <f t="shared" ca="1" si="1"/>
        <v>-8.2531403547001614E-2</v>
      </c>
      <c r="I28" s="4" t="s">
        <v>53</v>
      </c>
      <c r="J28" s="5">
        <f>SUMIF(Current_Portfolio!$C$2:$C$1000, "Finance", Current_Portfolio!$L$2:$L$1000)</f>
        <v>401059.84000000003</v>
      </c>
      <c r="K28" s="6">
        <f>J28/$J$31</f>
        <v>0.13207377984266883</v>
      </c>
    </row>
    <row r="29" spans="1:11">
      <c r="I29" s="4" t="s">
        <v>54</v>
      </c>
      <c r="J29" s="5">
        <f>SUMIF(Current_Portfolio!$C$2:$C$1000, "Health / Pharma / Chem", Current_Portfolio!$L$2:$L$1000)</f>
        <v>341145.92</v>
      </c>
      <c r="K29" s="6">
        <f>J29/$J$31</f>
        <v>0.11234341272440718</v>
      </c>
    </row>
    <row r="30" spans="1:11">
      <c r="I30" s="4" t="s">
        <v>55</v>
      </c>
      <c r="J30" s="5">
        <f>SUMIF(Current_Portfolio!$C$2:$C$1000, "Tech / Platform / IT", Current_Portfolio!$L$2:$L$1000)</f>
        <v>50291.25</v>
      </c>
      <c r="K30" s="6">
        <f>J30/$J$31</f>
        <v>1.6561507331456119E-2</v>
      </c>
    </row>
    <row r="31" spans="1:11" ht="15.75">
      <c r="A31" s="3" t="s">
        <v>761</v>
      </c>
      <c r="I31" s="4" t="s">
        <v>30</v>
      </c>
      <c r="J31" s="8">
        <f>SUM(J26:J30)</f>
        <v>3036634.8299999996</v>
      </c>
      <c r="K31" s="9">
        <v>1</v>
      </c>
    </row>
    <row r="32" spans="1:11">
      <c r="A32" s="26" t="s">
        <v>32</v>
      </c>
      <c r="B32" s="26" t="s">
        <v>33</v>
      </c>
      <c r="C32" s="26" t="s">
        <v>20</v>
      </c>
      <c r="D32" s="26" t="s">
        <v>34</v>
      </c>
      <c r="E32" s="26" t="s">
        <v>35</v>
      </c>
      <c r="F32" s="26" t="s">
        <v>36</v>
      </c>
    </row>
    <row r="33" spans="1:12">
      <c r="A33" s="4" t="s">
        <v>37</v>
      </c>
      <c r="B33" s="10" t="s">
        <v>38</v>
      </c>
      <c r="C33" s="5">
        <f>VLOOKUP(A33, Current_Portfolio!$A$2:$Z$1000, 12, FALSE)</f>
        <v>274773.84000000003</v>
      </c>
      <c r="D33" s="5">
        <f ca="1">VLOOKUP(A33, Current_Portfolio!$A$2:$Z$1000, 20, FALSE)</f>
        <v>394124</v>
      </c>
      <c r="E33" s="5">
        <f t="shared" ref="E33:E42" ca="1" si="2">D33-C33</f>
        <v>119350.15999999997</v>
      </c>
      <c r="F33" s="6">
        <f t="shared" ref="F33:F42" ca="1" si="3">IF(C33&gt;0, E33/C33, 0)</f>
        <v>0.43435779767098631</v>
      </c>
    </row>
    <row r="34" spans="1:12" ht="15.75">
      <c r="A34" s="4" t="s">
        <v>39</v>
      </c>
      <c r="B34" s="10" t="s">
        <v>38</v>
      </c>
      <c r="C34" s="5">
        <f>VLOOKUP(A34, Current_Portfolio!$A$2:$Z$1000, 12, FALSE)</f>
        <v>386447</v>
      </c>
      <c r="D34" s="5">
        <f ca="1">VLOOKUP(A34, Current_Portfolio!$A$2:$Z$1000, 20, FALSE)</f>
        <v>483200</v>
      </c>
      <c r="E34" s="5">
        <f t="shared" ca="1" si="2"/>
        <v>96753</v>
      </c>
      <c r="F34" s="6">
        <f t="shared" ca="1" si="3"/>
        <v>0.25036550937127211</v>
      </c>
      <c r="I34" s="3" t="s">
        <v>62</v>
      </c>
    </row>
    <row r="35" spans="1:12">
      <c r="A35" s="4" t="s">
        <v>408</v>
      </c>
      <c r="B35" s="10" t="s">
        <v>38</v>
      </c>
      <c r="C35" s="5">
        <f>VLOOKUP(A35, Current_Portfolio!$A$2:$Z$1000, 12, FALSE)</f>
        <v>200323.76</v>
      </c>
      <c r="D35" s="5">
        <f ca="1">VLOOKUP(A35, Current_Portfolio!$A$2:$Z$1000, 20, FALSE)</f>
        <v>249787.3</v>
      </c>
      <c r="E35" s="5">
        <f t="shared" ca="1" si="2"/>
        <v>49463.539999999979</v>
      </c>
      <c r="F35" s="6">
        <f t="shared" ca="1" si="3"/>
        <v>0.24691798915914906</v>
      </c>
      <c r="I35" s="26" t="s">
        <v>47</v>
      </c>
      <c r="J35" s="26" t="s">
        <v>63</v>
      </c>
      <c r="K35" s="26" t="s">
        <v>64</v>
      </c>
      <c r="L35" s="26" t="s">
        <v>65</v>
      </c>
    </row>
    <row r="36" spans="1:12">
      <c r="A36" s="4" t="s">
        <v>43</v>
      </c>
      <c r="B36" s="10" t="s">
        <v>38</v>
      </c>
      <c r="C36" s="5">
        <f>VLOOKUP(A36, Current_Portfolio!$A$2:$Z$1000, 12, FALSE)</f>
        <v>300289.84000000003</v>
      </c>
      <c r="D36" s="5">
        <f ca="1">VLOOKUP(A36, Current_Portfolio!$A$2:$Z$1000, 20, FALSE)</f>
        <v>338590.8</v>
      </c>
      <c r="E36" s="5">
        <f t="shared" ca="1" si="2"/>
        <v>38300.959999999963</v>
      </c>
      <c r="F36" s="6">
        <f t="shared" ca="1" si="3"/>
        <v>0.12754663960658796</v>
      </c>
      <c r="I36" s="4" t="s">
        <v>49</v>
      </c>
      <c r="J36" s="5">
        <f>SUMIFS(Current_Portfolio!$L$2:$L$1000, Current_Portfolio!$C$2:$C$1000, "Industrial", Current_Portfolio!$D$2:$D$1000, "*Core*")</f>
        <v>938971.64000000013</v>
      </c>
      <c r="K36" s="5">
        <f>SUMIFS(Current_Portfolio!$L$2:$L$1000, Current_Portfolio!$C$2:$C$1000, "Industrial", Current_Portfolio!$D$2:$D$1000, "*Satellite*")</f>
        <v>800046.58000000007</v>
      </c>
      <c r="L36" s="5">
        <f>J36+K36</f>
        <v>1739018.2200000002</v>
      </c>
    </row>
    <row r="37" spans="1:12">
      <c r="A37" s="4" t="s">
        <v>199</v>
      </c>
      <c r="B37" s="10" t="s">
        <v>38</v>
      </c>
      <c r="C37" s="5">
        <f>VLOOKUP(A37, Current_Portfolio!$A$2:$Z$1000, 12, FALSE)</f>
        <v>100770</v>
      </c>
      <c r="D37" s="5">
        <f ca="1">VLOOKUP(A37, Current_Portfolio!$A$2:$Z$1000, 20, FALSE)</f>
        <v>127451.99999999999</v>
      </c>
      <c r="E37" s="5">
        <f t="shared" ca="1" si="2"/>
        <v>26681.999999999985</v>
      </c>
      <c r="F37" s="6">
        <f t="shared" ca="1" si="3"/>
        <v>0.26478118487645119</v>
      </c>
      <c r="I37" s="4" t="s">
        <v>51</v>
      </c>
      <c r="J37" s="5">
        <f>SUMIFS(Current_Portfolio!$L$2:$L$1000, Current_Portfolio!$C$2:$C$1000, "Consumption", Current_Portfolio!$D$2:$D$1000, "*Core*")</f>
        <v>250948.6</v>
      </c>
      <c r="K37" s="5">
        <f>SUMIFS(Current_Portfolio!$L$2:$L$1000, Current_Portfolio!$C$2:$C$1000, "Consumption", Current_Portfolio!$D$2:$D$1000, "*Satellite*")</f>
        <v>254171</v>
      </c>
      <c r="L37" s="5">
        <f>J37+K37</f>
        <v>505119.6</v>
      </c>
    </row>
    <row r="38" spans="1:12">
      <c r="A38" s="4" t="s">
        <v>418</v>
      </c>
      <c r="B38" s="10" t="s">
        <v>38</v>
      </c>
      <c r="C38" s="5">
        <f>VLOOKUP(A38, Current_Portfolio!$A$2:$Z$1000, 12, FALSE)</f>
        <v>26042</v>
      </c>
      <c r="D38" s="5">
        <f ca="1">VLOOKUP(A38, Current_Portfolio!$A$2:$Z$1000, 20, FALSE)</f>
        <v>37306</v>
      </c>
      <c r="E38" s="5">
        <f t="shared" ca="1" si="2"/>
        <v>11264</v>
      </c>
      <c r="F38" s="6">
        <f t="shared" ca="1" si="3"/>
        <v>0.43253206358958607</v>
      </c>
      <c r="I38" s="4" t="s">
        <v>53</v>
      </c>
      <c r="J38" s="5">
        <f>SUMIFS(Current_Portfolio!$L$2:$L$1000, Current_Portfolio!$C$2:$C$1000, "Finance", Current_Portfolio!$D$2:$D$1000, "*Core*")</f>
        <v>401059.84000000003</v>
      </c>
      <c r="K38" s="5">
        <f>SUMIFS(Current_Portfolio!$L$2:$L$1000, Current_Portfolio!$C$2:$C$1000, "Finance", Current_Portfolio!$D$2:$D$1000, "*Satellite*")</f>
        <v>0</v>
      </c>
      <c r="L38" s="5">
        <f>J38+K38</f>
        <v>401059.84000000003</v>
      </c>
    </row>
    <row r="39" spans="1:12">
      <c r="A39" s="4" t="s">
        <v>460</v>
      </c>
      <c r="B39" s="10" t="s">
        <v>38</v>
      </c>
      <c r="C39" s="5">
        <f>VLOOKUP(A39, Current_Portfolio!$A$2:$Z$1000, 12, FALSE)</f>
        <v>49140</v>
      </c>
      <c r="D39" s="5">
        <f ca="1">VLOOKUP(A39, Current_Portfolio!$A$2:$Z$1000, 20, FALSE)</f>
        <v>54010.799999999996</v>
      </c>
      <c r="E39" s="5">
        <f t="shared" ca="1" si="2"/>
        <v>4870.7999999999956</v>
      </c>
      <c r="F39" s="6">
        <f t="shared" ca="1" si="3"/>
        <v>9.9120879120879038E-2</v>
      </c>
      <c r="I39" s="4" t="s">
        <v>54</v>
      </c>
      <c r="J39" s="5">
        <f>SUMIFS(Current_Portfolio!$L$2:$L$1000, Current_Portfolio!$C$2:$C$1000, "Health / Pharma / Chem", Current_Portfolio!$D$2:$D$1000, "*Core*")</f>
        <v>49140</v>
      </c>
      <c r="K39" s="5">
        <f>SUMIFS(Current_Portfolio!$L$2:$L$1000, Current_Portfolio!$C$2:$C$1000, "Health / Pharma / Chem", Current_Portfolio!$D$2:$D$1000, "*Satellite*")</f>
        <v>292005.92</v>
      </c>
      <c r="L39" s="5">
        <f>J39+K39</f>
        <v>341145.92</v>
      </c>
    </row>
    <row r="40" spans="1:12">
      <c r="A40" s="4" t="s">
        <v>405</v>
      </c>
      <c r="B40" s="10" t="s">
        <v>38</v>
      </c>
      <c r="C40" s="5">
        <f>VLOOKUP(A40, Current_Portfolio!$A$2:$Z$1000, 12, FALSE)</f>
        <v>50624.84</v>
      </c>
      <c r="D40" s="5">
        <f ca="1">VLOOKUP(A40, Current_Portfolio!$A$2:$Z$1000, 20, FALSE)</f>
        <v>52479</v>
      </c>
      <c r="E40" s="5">
        <f t="shared" ca="1" si="2"/>
        <v>1854.1600000000035</v>
      </c>
      <c r="F40" s="6">
        <f t="shared" ca="1" si="3"/>
        <v>3.6625498470711289E-2</v>
      </c>
      <c r="I40" s="4" t="s">
        <v>55</v>
      </c>
      <c r="J40" s="5">
        <f>SUMIFS(Current_Portfolio!$L$2:$L$1000, Current_Portfolio!$C$2:$C$1000, "Tech / Platform / IT", Current_Portfolio!$D$2:$D$1000, "*Core*")</f>
        <v>0</v>
      </c>
      <c r="K40" s="5">
        <f>SUMIFS(Current_Portfolio!$L$2:$L$1000, Current_Portfolio!$C$2:$C$1000, "Tech / Platform / IT", Current_Portfolio!$D$2:$D$1000, "*Satellite*")</f>
        <v>50291.25</v>
      </c>
      <c r="L40" s="5">
        <f>J40+K40</f>
        <v>50291.25</v>
      </c>
    </row>
    <row r="41" spans="1:12">
      <c r="A41" s="4" t="s">
        <v>67</v>
      </c>
      <c r="B41" s="10" t="s">
        <v>38</v>
      </c>
      <c r="C41" s="5">
        <f>VLOOKUP(A41, Current_Portfolio!$A$2:$Z$1000, 12, FALSE)</f>
        <v>50032</v>
      </c>
      <c r="D41" s="5">
        <f ca="1">VLOOKUP(A41, Current_Portfolio!$A$2:$Z$1000, 20, FALSE)</f>
        <v>49945.599999999999</v>
      </c>
      <c r="E41" s="5">
        <f t="shared" ca="1" si="2"/>
        <v>-86.400000000001455</v>
      </c>
      <c r="F41" s="6">
        <f t="shared" ca="1" si="3"/>
        <v>-1.7268947873361339E-3</v>
      </c>
      <c r="I41" s="4" t="s">
        <v>30</v>
      </c>
      <c r="J41" s="8">
        <f>SUM(J36:J40)</f>
        <v>1640120.0800000003</v>
      </c>
      <c r="K41" s="8">
        <f>SUM(K36:K40)</f>
        <v>1396514.75</v>
      </c>
      <c r="L41" s="8">
        <f>SUM(L36:L40)</f>
        <v>3036634.83</v>
      </c>
    </row>
    <row r="42" spans="1:12">
      <c r="A42" s="4" t="s">
        <v>52</v>
      </c>
      <c r="B42" s="10" t="s">
        <v>38</v>
      </c>
      <c r="C42" s="5">
        <f>VLOOKUP(A42, Current_Portfolio!$A$2:$Z$1000, 12, FALSE)</f>
        <v>201676.79999999999</v>
      </c>
      <c r="D42" s="5">
        <f ca="1">VLOOKUP(A42, Current_Portfolio!$A$2:$Z$1000, 20, FALSE)</f>
        <v>179299.20000000001</v>
      </c>
      <c r="E42" s="5">
        <f t="shared" ca="1" si="2"/>
        <v>-22377.599999999977</v>
      </c>
      <c r="F42" s="6">
        <f t="shared" ca="1" si="3"/>
        <v>-0.11095773038842335</v>
      </c>
    </row>
    <row r="44" spans="1:12" ht="15.75">
      <c r="I44" s="3" t="s">
        <v>762</v>
      </c>
    </row>
    <row r="45" spans="1:12" ht="15.75">
      <c r="A45" s="3" t="s">
        <v>56</v>
      </c>
      <c r="I45" s="26" t="s">
        <v>498</v>
      </c>
      <c r="J45" s="26" t="s">
        <v>15</v>
      </c>
      <c r="K45" s="26" t="s">
        <v>14</v>
      </c>
      <c r="L45" s="26" t="s">
        <v>763</v>
      </c>
    </row>
    <row r="46" spans="1:12">
      <c r="A46" s="26" t="s">
        <v>32</v>
      </c>
      <c r="B46" s="26" t="s">
        <v>33</v>
      </c>
      <c r="C46" s="26" t="s">
        <v>57</v>
      </c>
      <c r="D46" s="26" t="s">
        <v>58</v>
      </c>
      <c r="E46" s="26" t="s">
        <v>59</v>
      </c>
      <c r="F46" s="26" t="s">
        <v>60</v>
      </c>
      <c r="G46" s="26" t="s">
        <v>61</v>
      </c>
      <c r="I46" s="4"/>
      <c r="J46" s="5">
        <f>SUMIF(Overall_Portfolio!$B$2:$B$1000, "", Overall_Portfolio!$P$2:$P$1000)</f>
        <v>-578.67999999999995</v>
      </c>
      <c r="K46" s="5">
        <f>SUMIF(Current_Portfolio!$B$2:$B$1000, "", Current_Portfolio!$U$2:$U$1000)</f>
        <v>0</v>
      </c>
      <c r="L46" s="5">
        <f>J46+K46</f>
        <v>-578.67999999999995</v>
      </c>
    </row>
    <row r="47" spans="1:12">
      <c r="A47" s="32" t="s">
        <v>50</v>
      </c>
      <c r="B47" s="10" t="s">
        <v>40</v>
      </c>
      <c r="C47" s="5">
        <f ca="1">VLOOKUP(A47, Current_Portfolio!$A$2:$Z$1000, 13, FALSE)</f>
        <v>1305.2</v>
      </c>
      <c r="D47" s="5">
        <f>VLOOKUP(A47, Current_Portfolio!$A$2:$Z$1000, 9, FALSE)</f>
        <v>1280.3499999999999</v>
      </c>
      <c r="E47" s="5">
        <f t="shared" ref="E47:E56" ca="1" si="4">C47-D47</f>
        <v>24.850000000000136</v>
      </c>
      <c r="F47" s="6">
        <f t="shared" ref="F47:F56" ca="1" si="5">IF(C47&gt;0, E47/C47, 0)</f>
        <v>1.9039227704566453E-2</v>
      </c>
      <c r="G47" s="10" t="str">
        <f>VLOOKUP(A47, Current_Portfolio!$A$2:$Z$1000, 5, FALSE)</f>
        <v>Tranch 1</v>
      </c>
      <c r="I47" s="4" t="s">
        <v>26</v>
      </c>
      <c r="J47" s="5">
        <f>SUMIF(Overall_Portfolio!$B$2:$B$1000, "Large Cap", Overall_Portfolio!$P$2:$P$1000)</f>
        <v>-129734.36000000002</v>
      </c>
      <c r="K47" s="5">
        <f ca="1">SUMIF(Current_Portfolio!$B$2:$B$1000, "Large Cap", Current_Portfolio!$U$2:$U$1000)</f>
        <v>277432.56999999995</v>
      </c>
      <c r="L47" s="5">
        <f ca="1">J47+K47</f>
        <v>147698.20999999993</v>
      </c>
    </row>
    <row r="48" spans="1:12">
      <c r="A48" s="34" t="s">
        <v>46</v>
      </c>
      <c r="B48" s="10" t="s">
        <v>40</v>
      </c>
      <c r="C48" s="5">
        <f ca="1">VLOOKUP(A48, Current_Portfolio!$A$2:$Z$1000, 13, FALSE)</f>
        <v>1435.9</v>
      </c>
      <c r="D48" s="5">
        <f>VLOOKUP(A48, Current_Portfolio!$A$2:$Z$1000, 9, FALSE)</f>
        <v>1355.04</v>
      </c>
      <c r="E48" s="5">
        <f t="shared" ca="1" si="4"/>
        <v>80.860000000000127</v>
      </c>
      <c r="F48" s="6">
        <f t="shared" ca="1" si="5"/>
        <v>5.6313113726582716E-2</v>
      </c>
      <c r="G48" s="10" t="str">
        <f>VLOOKUP(A48, Current_Portfolio!$A$2:$Z$1000, 5, FALSE)</f>
        <v>Cheat 1</v>
      </c>
      <c r="I48" s="4" t="s">
        <v>28</v>
      </c>
      <c r="J48" s="5">
        <f>SUMIF(Overall_Portfolio!$B$2:$B$1000, "Mid Cap", Overall_Portfolio!$P$2:$P$1000)</f>
        <v>-63355.399999999994</v>
      </c>
      <c r="K48" s="5">
        <f ca="1">SUMIF(Current_Portfolio!$B$2:$B$1000, "Mid Cap", Current_Portfolio!$U$2:$U$1000)</f>
        <v>16501.819999999992</v>
      </c>
      <c r="L48" s="5">
        <f ca="1">J48+K48</f>
        <v>-46853.58</v>
      </c>
    </row>
    <row r="49" spans="1:12">
      <c r="A49" s="34" t="s">
        <v>44</v>
      </c>
      <c r="B49" s="10" t="s">
        <v>40</v>
      </c>
      <c r="C49" s="5">
        <f ca="1">VLOOKUP(A49, Current_Portfolio!$A$2:$Z$1000, 13, FALSE)</f>
        <v>3020.8</v>
      </c>
      <c r="D49" s="5">
        <f>VLOOKUP(A49, Current_Portfolio!$A$2:$Z$1000, 9, FALSE)</f>
        <v>2821.19</v>
      </c>
      <c r="E49" s="5">
        <f t="shared" ca="1" si="4"/>
        <v>199.61000000000013</v>
      </c>
      <c r="F49" s="6">
        <f t="shared" ca="1" si="5"/>
        <v>6.6078522245762744E-2</v>
      </c>
      <c r="G49" s="10" t="str">
        <f>VLOOKUP(A49, Current_Portfolio!$A$2:$Z$1000, 5, FALSE)</f>
        <v>Cheat 2</v>
      </c>
      <c r="I49" s="4" t="s">
        <v>24</v>
      </c>
      <c r="J49" s="5">
        <f>SUMIF(Overall_Portfolio!$B$2:$B$1000, "Small Cap", Overall_Portfolio!$P$2:$P$1000)</f>
        <v>-162344.36000000002</v>
      </c>
      <c r="K49" s="5">
        <f ca="1">SUMIF(Current_Portfolio!$B$2:$B$1000, "Small Cap", Current_Portfolio!$U$2:$U$1000)</f>
        <v>243394.07000000004</v>
      </c>
      <c r="L49" s="5">
        <f ca="1">J49+K49</f>
        <v>81049.710000000021</v>
      </c>
    </row>
    <row r="50" spans="1:12">
      <c r="A50" s="34" t="s">
        <v>48</v>
      </c>
      <c r="B50" s="10" t="s">
        <v>40</v>
      </c>
      <c r="C50" s="5">
        <f ca="1">VLOOKUP(A50, Current_Portfolio!$A$2:$Z$1000, 13, FALSE)</f>
        <v>1844.3</v>
      </c>
      <c r="D50" s="5">
        <f>VLOOKUP(A50, Current_Portfolio!$A$2:$Z$1000, 9, FALSE)</f>
        <v>1709.28</v>
      </c>
      <c r="E50" s="5">
        <f t="shared" ca="1" si="4"/>
        <v>135.01999999999998</v>
      </c>
      <c r="F50" s="6">
        <f t="shared" ca="1" si="5"/>
        <v>7.3209347720002163E-2</v>
      </c>
      <c r="G50" s="10" t="str">
        <f>VLOOKUP(A50, Current_Portfolio!$A$2:$Z$1000, 5, FALSE)</f>
        <v>Cheat 1</v>
      </c>
      <c r="I50" s="4" t="s">
        <v>30</v>
      </c>
      <c r="J50" s="8">
        <f>SUM(J46:J49)</f>
        <v>-356012.80000000005</v>
      </c>
      <c r="K50" s="8">
        <f ca="1">SUM(K46:K49)</f>
        <v>537328.46</v>
      </c>
      <c r="L50" s="8">
        <f ca="1">SUM(L46:L49)</f>
        <v>181315.65999999997</v>
      </c>
    </row>
    <row r="51" spans="1:12">
      <c r="A51" s="34" t="s">
        <v>66</v>
      </c>
      <c r="B51" s="10" t="s">
        <v>40</v>
      </c>
      <c r="C51" s="5">
        <f ca="1">VLOOKUP(A51, Current_Portfolio!$A$2:$Z$1000, 13, FALSE)</f>
        <v>626.04999999999995</v>
      </c>
      <c r="D51" s="5">
        <f>VLOOKUP(A51, Current_Portfolio!$A$2:$Z$1000, 9, FALSE)</f>
        <v>575.28</v>
      </c>
      <c r="E51" s="5">
        <f t="shared" ca="1" si="4"/>
        <v>50.769999999999982</v>
      </c>
      <c r="F51" s="6">
        <f t="shared" ca="1" si="5"/>
        <v>8.1095759124670527E-2</v>
      </c>
      <c r="G51" s="10" t="str">
        <f>VLOOKUP(A51, Current_Portfolio!$A$2:$Z$1000, 5, FALSE)</f>
        <v>Cheat 1</v>
      </c>
    </row>
    <row r="52" spans="1:12">
      <c r="A52" s="32" t="s">
        <v>68</v>
      </c>
      <c r="B52" s="10" t="s">
        <v>40</v>
      </c>
      <c r="C52" s="5">
        <f ca="1">VLOOKUP(A52, Current_Portfolio!$A$2:$Z$1000, 13, FALSE)</f>
        <v>381.8</v>
      </c>
      <c r="D52" s="5">
        <f>VLOOKUP(A52, Current_Portfolio!$A$2:$Z$1000, 9, FALSE)</f>
        <v>340.17</v>
      </c>
      <c r="E52" s="5">
        <f t="shared" ca="1" si="4"/>
        <v>41.629999999999995</v>
      </c>
      <c r="F52" s="6">
        <f t="shared" ca="1" si="5"/>
        <v>0.10903614457831323</v>
      </c>
      <c r="G52" s="10" t="str">
        <f>VLOOKUP(A52, Current_Portfolio!$A$2:$Z$1000, 5, FALSE)</f>
        <v>Cheat 2</v>
      </c>
    </row>
    <row r="53" spans="1:12" ht="15.75">
      <c r="A53" s="31" t="s">
        <v>90</v>
      </c>
      <c r="B53" s="10" t="s">
        <v>40</v>
      </c>
      <c r="C53" s="5">
        <f ca="1">VLOOKUP(A53, Current_Portfolio!$A$2:$Z$1000, 13, FALSE)</f>
        <v>281.8</v>
      </c>
      <c r="D53" s="5">
        <f>VLOOKUP(A53, Current_Portfolio!$A$2:$Z$1000, 9, FALSE)</f>
        <v>250.87</v>
      </c>
      <c r="E53" s="5">
        <f t="shared" ca="1" si="4"/>
        <v>30.930000000000007</v>
      </c>
      <c r="F53" s="6">
        <f t="shared" ca="1" si="5"/>
        <v>0.10975869410929739</v>
      </c>
      <c r="G53" s="10" t="str">
        <f>VLOOKUP(A53, Current_Portfolio!$A$2:$Z$1000, 5, FALSE)</f>
        <v>Cheat 2</v>
      </c>
      <c r="I53" s="3" t="s">
        <v>85</v>
      </c>
    </row>
    <row r="54" spans="1:12">
      <c r="A54" s="34" t="s">
        <v>113</v>
      </c>
      <c r="B54" s="10" t="s">
        <v>40</v>
      </c>
      <c r="C54" s="5">
        <f ca="1">VLOOKUP(A54, Current_Portfolio!$A$2:$Z$1000, 13, FALSE)</f>
        <v>1821</v>
      </c>
      <c r="D54" s="5">
        <f>VLOOKUP(A54, Current_Portfolio!$A$2:$Z$1000, 9, FALSE)</f>
        <v>1586.05</v>
      </c>
      <c r="E54" s="5">
        <f t="shared" ca="1" si="4"/>
        <v>234.95000000000005</v>
      </c>
      <c r="F54" s="6">
        <f t="shared" ca="1" si="5"/>
        <v>0.12902251510159254</v>
      </c>
      <c r="G54" s="10" t="str">
        <f>VLOOKUP(A54, Current_Portfolio!$A$2:$Z$1000, 5, FALSE)</f>
        <v>Tranch 1</v>
      </c>
      <c r="I54" s="26" t="s">
        <v>61</v>
      </c>
      <c r="J54" s="26" t="s">
        <v>88</v>
      </c>
      <c r="K54" s="26" t="s">
        <v>89</v>
      </c>
    </row>
    <row r="55" spans="1:12">
      <c r="A55" s="33" t="s">
        <v>114</v>
      </c>
      <c r="B55" s="10" t="s">
        <v>40</v>
      </c>
      <c r="C55" s="5">
        <f ca="1">VLOOKUP(A55, Current_Portfolio!$A$2:$Z$1000, 13, FALSE)</f>
        <v>1381.7</v>
      </c>
      <c r="D55" s="5">
        <f>VLOOKUP(A55, Current_Portfolio!$A$2:$Z$1000, 9, FALSE)</f>
        <v>1192.95</v>
      </c>
      <c r="E55" s="5">
        <f t="shared" ca="1" si="4"/>
        <v>188.75</v>
      </c>
      <c r="F55" s="6">
        <f t="shared" ca="1" si="5"/>
        <v>0.13660707823695448</v>
      </c>
      <c r="G55" s="10" t="str">
        <f>VLOOKUP(A55, Current_Portfolio!$A$2:$Z$1000, 5, FALSE)</f>
        <v>Cheat 1</v>
      </c>
      <c r="I55" s="4" t="s">
        <v>92</v>
      </c>
      <c r="J55" s="10">
        <v>12</v>
      </c>
      <c r="K55" s="6">
        <v>0.41379310344827591</v>
      </c>
    </row>
    <row r="56" spans="1:12">
      <c r="A56" s="31" t="s">
        <v>112</v>
      </c>
      <c r="B56" s="10" t="s">
        <v>40</v>
      </c>
      <c r="C56" s="5">
        <f ca="1">VLOOKUP(A56, Current_Portfolio!$A$2:$Z$1000, 13, FALSE)</f>
        <v>719.75</v>
      </c>
      <c r="D56" s="5">
        <f>VLOOKUP(A56, Current_Portfolio!$A$2:$Z$1000, 9, FALSE)</f>
        <v>603.5</v>
      </c>
      <c r="E56" s="5">
        <f t="shared" ca="1" si="4"/>
        <v>116.25</v>
      </c>
      <c r="F56" s="6">
        <f t="shared" ca="1" si="5"/>
        <v>0.16151441472733588</v>
      </c>
      <c r="G56" s="10" t="str">
        <f>VLOOKUP(A56, Current_Portfolio!$A$2:$Z$1000, 5, FALSE)</f>
        <v>Cheat 1</v>
      </c>
      <c r="I56" s="4" t="s">
        <v>91</v>
      </c>
      <c r="J56" s="10">
        <v>4</v>
      </c>
      <c r="K56" s="6">
        <v>0.13793103448275859</v>
      </c>
    </row>
    <row r="57" spans="1:12">
      <c r="I57" s="4" t="s">
        <v>87</v>
      </c>
      <c r="J57" s="10">
        <v>1</v>
      </c>
      <c r="K57" s="6">
        <v>3.4482758620689648E-2</v>
      </c>
    </row>
    <row r="58" spans="1:12">
      <c r="I58" s="4" t="s">
        <v>95</v>
      </c>
      <c r="J58" s="10">
        <v>1</v>
      </c>
      <c r="K58" s="6">
        <v>3.4482758620689648E-2</v>
      </c>
    </row>
    <row r="59" spans="1:12" ht="15.75">
      <c r="A59" s="3" t="s">
        <v>69</v>
      </c>
      <c r="I59" s="4" t="s">
        <v>96</v>
      </c>
      <c r="J59" s="10">
        <v>4</v>
      </c>
      <c r="K59" s="6">
        <v>0.13793103448275859</v>
      </c>
    </row>
    <row r="60" spans="1:12">
      <c r="A60" s="26" t="s">
        <v>32</v>
      </c>
      <c r="B60" s="26" t="s">
        <v>70</v>
      </c>
      <c r="C60" s="26" t="s">
        <v>71</v>
      </c>
      <c r="I60" s="4" t="s">
        <v>97</v>
      </c>
      <c r="J60" s="10">
        <v>3</v>
      </c>
      <c r="K60" s="6">
        <v>0.10344827586206901</v>
      </c>
    </row>
    <row r="61" spans="1:12">
      <c r="A61" s="33" t="s">
        <v>42</v>
      </c>
      <c r="B61" s="10" t="s">
        <v>72</v>
      </c>
      <c r="C61" s="10" t="s">
        <v>73</v>
      </c>
      <c r="I61" s="4" t="s">
        <v>98</v>
      </c>
      <c r="J61" s="10">
        <v>3</v>
      </c>
      <c r="K61" s="6">
        <v>0.10344827586206901</v>
      </c>
    </row>
    <row r="62" spans="1:12">
      <c r="I62" s="4" t="s">
        <v>99</v>
      </c>
      <c r="J62" s="10">
        <v>1</v>
      </c>
      <c r="K62" s="6">
        <v>3.4482758620689648E-2</v>
      </c>
    </row>
    <row r="64" spans="1:12" ht="15.75">
      <c r="A64" s="3" t="s">
        <v>78</v>
      </c>
    </row>
    <row r="65" spans="1:12" ht="15.75">
      <c r="A65" s="26" t="s">
        <v>79</v>
      </c>
      <c r="B65" s="26" t="s">
        <v>80</v>
      </c>
      <c r="C65" s="26" t="s">
        <v>81</v>
      </c>
      <c r="D65" s="26" t="s">
        <v>82</v>
      </c>
      <c r="E65" s="26" t="s">
        <v>83</v>
      </c>
      <c r="F65" s="26" t="s">
        <v>9</v>
      </c>
      <c r="G65" s="26" t="s">
        <v>84</v>
      </c>
      <c r="I65" s="3" t="s">
        <v>100</v>
      </c>
    </row>
    <row r="66" spans="1:12">
      <c r="A66" s="31" t="s">
        <v>90</v>
      </c>
      <c r="B66" s="11" t="s">
        <v>91</v>
      </c>
      <c r="C66" s="12">
        <v>213</v>
      </c>
      <c r="D66" s="13">
        <v>76932.240000000005</v>
      </c>
      <c r="E66" s="13">
        <v>77776.800000000003</v>
      </c>
      <c r="F66" s="28">
        <v>1.0977972303939151E-2</v>
      </c>
      <c r="G66" s="28">
        <v>1.9114349369442341E-2</v>
      </c>
      <c r="I66" s="26" t="s">
        <v>101</v>
      </c>
      <c r="J66" s="26" t="s">
        <v>88</v>
      </c>
      <c r="K66" s="26" t="s">
        <v>89</v>
      </c>
    </row>
    <row r="67" spans="1:12">
      <c r="A67" s="31" t="s">
        <v>93</v>
      </c>
      <c r="B67" s="11" t="s">
        <v>91</v>
      </c>
      <c r="C67" s="12">
        <v>146</v>
      </c>
      <c r="D67" s="13">
        <v>50227.5</v>
      </c>
      <c r="E67" s="13">
        <v>58090.14</v>
      </c>
      <c r="F67" s="28">
        <v>0.15654054054054051</v>
      </c>
      <c r="G67" s="28">
        <v>0.46496679002548807</v>
      </c>
      <c r="I67" s="4" t="s">
        <v>102</v>
      </c>
      <c r="J67" s="10">
        <v>12</v>
      </c>
      <c r="K67" s="6">
        <v>0.41379310344827591</v>
      </c>
    </row>
    <row r="68" spans="1:12">
      <c r="A68" s="32" t="s">
        <v>94</v>
      </c>
      <c r="B68" s="11" t="s">
        <v>92</v>
      </c>
      <c r="C68" s="12">
        <v>146</v>
      </c>
      <c r="D68" s="13">
        <v>25347</v>
      </c>
      <c r="E68" s="13">
        <v>27684</v>
      </c>
      <c r="F68" s="28">
        <v>9.2200260385844474E-2</v>
      </c>
      <c r="G68" s="28">
        <v>0.24668200087774489</v>
      </c>
      <c r="I68" s="4" t="s">
        <v>103</v>
      </c>
      <c r="J68" s="10">
        <v>4</v>
      </c>
      <c r="K68" s="6">
        <v>0.13793103448275859</v>
      </c>
    </row>
    <row r="69" spans="1:12">
      <c r="A69" s="34" t="s">
        <v>44</v>
      </c>
      <c r="B69" s="11" t="s">
        <v>91</v>
      </c>
      <c r="C69" s="12">
        <v>143</v>
      </c>
      <c r="D69" s="13">
        <v>43885.24</v>
      </c>
      <c r="E69" s="13">
        <v>42291.199999999997</v>
      </c>
      <c r="F69" s="27">
        <v>-3.6322918594042103E-2</v>
      </c>
      <c r="G69" s="27">
        <v>-0.26342540657630231</v>
      </c>
      <c r="I69" s="4" t="s">
        <v>104</v>
      </c>
      <c r="J69" s="10">
        <v>9</v>
      </c>
      <c r="K69" s="6">
        <v>0.31034482758620691</v>
      </c>
    </row>
    <row r="70" spans="1:12">
      <c r="A70" s="32" t="s">
        <v>352</v>
      </c>
      <c r="B70" s="11" t="s">
        <v>95</v>
      </c>
      <c r="C70" s="12">
        <v>118</v>
      </c>
      <c r="D70" s="13">
        <v>56862.54</v>
      </c>
      <c r="E70" s="13">
        <v>68611.199999999997</v>
      </c>
      <c r="F70" s="28">
        <v>0.20661511075657191</v>
      </c>
      <c r="G70" s="28">
        <v>0.97330553720966018</v>
      </c>
      <c r="I70" s="4" t="s">
        <v>105</v>
      </c>
      <c r="J70" s="10">
        <v>4</v>
      </c>
      <c r="K70" s="6">
        <v>0.13793103448275859</v>
      </c>
    </row>
    <row r="73" spans="1:12" ht="15.75">
      <c r="I73" s="3" t="s">
        <v>106</v>
      </c>
    </row>
    <row r="74" spans="1:12">
      <c r="I74" s="26" t="s">
        <v>32</v>
      </c>
      <c r="J74" s="26" t="s">
        <v>107</v>
      </c>
      <c r="K74" s="26" t="s">
        <v>57</v>
      </c>
      <c r="L74" s="26" t="s">
        <v>108</v>
      </c>
    </row>
    <row r="75" spans="1:12">
      <c r="I75" s="32" t="s">
        <v>110</v>
      </c>
      <c r="J75" s="5">
        <f>VLOOKUP(I75, Current_Portfolio!$A$2:$Z$1000, 15, FALSE)</f>
        <v>1174.9000000000001</v>
      </c>
      <c r="K75" s="5">
        <f ca="1">VLOOKUP(I75, Current_Portfolio!$A$2:$Z$1000, 13, FALSE)</f>
        <v>1397.4</v>
      </c>
      <c r="L75" s="6">
        <f t="shared" ref="L75:L84" ca="1" si="6">IF(J75&gt;0, (K75-J75)/J75, 0)</f>
        <v>0.18937781938888415</v>
      </c>
    </row>
    <row r="76" spans="1:12">
      <c r="I76" s="32" t="s">
        <v>109</v>
      </c>
      <c r="J76" s="5">
        <f>VLOOKUP(I76, Current_Portfolio!$A$2:$Z$1000, 15, FALSE)</f>
        <v>355.05</v>
      </c>
      <c r="K76" s="5">
        <f ca="1">VLOOKUP(I76, Current_Portfolio!$A$2:$Z$1000, 13, FALSE)</f>
        <v>417.85</v>
      </c>
      <c r="L76" s="6">
        <f t="shared" ca="1" si="6"/>
        <v>0.17687649626813129</v>
      </c>
    </row>
    <row r="77" spans="1:12">
      <c r="I77" s="35" t="s">
        <v>111</v>
      </c>
      <c r="J77" s="5">
        <f>VLOOKUP(I77, Current_Portfolio!$A$2:$Z$1000, 15, FALSE)</f>
        <v>2717.3</v>
      </c>
      <c r="K77" s="5">
        <f ca="1">VLOOKUP(I77, Current_Portfolio!$A$2:$Z$1000, 13, FALSE)</f>
        <v>2973.1</v>
      </c>
      <c r="L77" s="6">
        <f t="shared" ca="1" si="6"/>
        <v>9.413756302211744E-2</v>
      </c>
    </row>
    <row r="78" spans="1:12">
      <c r="I78" s="32" t="s">
        <v>86</v>
      </c>
      <c r="J78" s="5">
        <f>VLOOKUP(I78, Current_Portfolio!$A$2:$Z$1000, 15, FALSE)</f>
        <v>865.7</v>
      </c>
      <c r="K78" s="5">
        <f ca="1">VLOOKUP(I78, Current_Portfolio!$A$2:$Z$1000, 13, FALSE)</f>
        <v>934.8</v>
      </c>
      <c r="L78" s="6">
        <f t="shared" ca="1" si="6"/>
        <v>7.9819799006584161E-2</v>
      </c>
    </row>
    <row r="79" spans="1:12">
      <c r="I79" s="31" t="s">
        <v>112</v>
      </c>
      <c r="J79" s="5">
        <f>VLOOKUP(I79, Current_Portfolio!$A$2:$Z$1000, 15, FALSE)</f>
        <v>671.35</v>
      </c>
      <c r="K79" s="5">
        <f ca="1">VLOOKUP(I79, Current_Portfolio!$A$2:$Z$1000, 13, FALSE)</f>
        <v>719.75</v>
      </c>
      <c r="L79" s="6">
        <f t="shared" ca="1" si="6"/>
        <v>7.2093542861398643E-2</v>
      </c>
    </row>
    <row r="80" spans="1:12">
      <c r="I80" s="33" t="s">
        <v>42</v>
      </c>
      <c r="J80" s="5">
        <f>VLOOKUP(I80, Current_Portfolio!$A$2:$Z$1000, 15, FALSE)</f>
        <v>120.31</v>
      </c>
      <c r="K80" s="5">
        <f ca="1">VLOOKUP(I80, Current_Portfolio!$A$2:$Z$1000, 13, FALSE)</f>
        <v>128.9</v>
      </c>
      <c r="L80" s="6">
        <f t="shared" ca="1" si="6"/>
        <v>7.1398886210622584E-2</v>
      </c>
    </row>
    <row r="81" spans="9:12">
      <c r="I81" s="32" t="s">
        <v>94</v>
      </c>
      <c r="J81" s="5">
        <f>VLOOKUP(I81, Current_Portfolio!$A$2:$Z$1000, 15, FALSE)</f>
        <v>87.85</v>
      </c>
      <c r="K81" s="5">
        <f ca="1">VLOOKUP(I81, Current_Portfolio!$A$2:$Z$1000, 13, FALSE)</f>
        <v>92.28</v>
      </c>
      <c r="L81" s="6">
        <f t="shared" ca="1" si="6"/>
        <v>5.0426863972680785E-2</v>
      </c>
    </row>
    <row r="82" spans="9:12">
      <c r="I82" s="31" t="s">
        <v>41</v>
      </c>
      <c r="J82" s="5">
        <f>VLOOKUP(I82, Current_Portfolio!$A$2:$Z$1000, 15, FALSE)</f>
        <v>1109.2</v>
      </c>
      <c r="K82" s="5">
        <f ca="1">VLOOKUP(I82, Current_Portfolio!$A$2:$Z$1000, 13, FALSE)</f>
        <v>1149.7</v>
      </c>
      <c r="L82" s="6">
        <f t="shared" ca="1" si="6"/>
        <v>3.6512802019473496E-2</v>
      </c>
    </row>
    <row r="83" spans="9:12">
      <c r="I83" s="33" t="s">
        <v>114</v>
      </c>
      <c r="J83" s="5">
        <f>VLOOKUP(I83, Current_Portfolio!$A$2:$Z$1000, 15, FALSE)</f>
        <v>1343.5</v>
      </c>
      <c r="K83" s="5">
        <f ca="1">VLOOKUP(I83, Current_Portfolio!$A$2:$Z$1000, 13, FALSE)</f>
        <v>1381.7</v>
      </c>
      <c r="L83" s="6">
        <f t="shared" ca="1" si="6"/>
        <v>2.8433196873837028E-2</v>
      </c>
    </row>
    <row r="84" spans="9:12">
      <c r="I84" s="32" t="s">
        <v>68</v>
      </c>
      <c r="J84" s="5">
        <f>VLOOKUP(I84, Current_Portfolio!$A$2:$Z$1000, 15, FALSE)</f>
        <v>373.9</v>
      </c>
      <c r="K84" s="5">
        <f ca="1">VLOOKUP(I84, Current_Portfolio!$A$2:$Z$1000, 13, FALSE)</f>
        <v>381.8</v>
      </c>
      <c r="L84" s="6">
        <f t="shared" ca="1" si="6"/>
        <v>2.1128644022465993E-2</v>
      </c>
    </row>
    <row r="87" spans="9:12" ht="15.75">
      <c r="I87" s="3" t="s">
        <v>115</v>
      </c>
    </row>
    <row r="88" spans="9:12">
      <c r="I88" s="26" t="s">
        <v>32</v>
      </c>
      <c r="J88" s="26" t="s">
        <v>107</v>
      </c>
      <c r="K88" s="26" t="s">
        <v>116</v>
      </c>
      <c r="L88" s="26" t="s">
        <v>108</v>
      </c>
    </row>
    <row r="89" spans="9:12">
      <c r="I89" s="34" t="s">
        <v>117</v>
      </c>
      <c r="J89" s="5">
        <v>595.5</v>
      </c>
      <c r="K89" s="5">
        <v>717.55</v>
      </c>
      <c r="L89" s="6">
        <v>0.20495382031905951</v>
      </c>
    </row>
    <row r="90" spans="9:12">
      <c r="I90" s="34" t="s">
        <v>118</v>
      </c>
      <c r="J90" s="5">
        <v>211.86</v>
      </c>
      <c r="K90" s="5">
        <v>249.27</v>
      </c>
      <c r="L90" s="6">
        <v>0.1765788728405551</v>
      </c>
    </row>
    <row r="91" spans="9:12">
      <c r="I91" s="34" t="s">
        <v>538</v>
      </c>
      <c r="J91" s="5">
        <v>148.21</v>
      </c>
      <c r="K91" s="5">
        <v>173.92</v>
      </c>
      <c r="L91" s="6">
        <v>0.17347007624316829</v>
      </c>
    </row>
    <row r="92" spans="9:12">
      <c r="I92" s="33" t="s">
        <v>123</v>
      </c>
      <c r="J92" s="5">
        <v>441.15</v>
      </c>
      <c r="K92" s="5">
        <v>510.65</v>
      </c>
      <c r="L92" s="6">
        <v>0.1575427859004874</v>
      </c>
    </row>
    <row r="93" spans="9:12">
      <c r="I93" s="34" t="s">
        <v>121</v>
      </c>
      <c r="J93" s="5">
        <v>622.5</v>
      </c>
      <c r="K93" s="5">
        <v>710.3</v>
      </c>
      <c r="L93" s="6">
        <v>0.1410441767068272</v>
      </c>
    </row>
    <row r="94" spans="9:12">
      <c r="I94" s="33" t="s">
        <v>120</v>
      </c>
      <c r="J94" s="5">
        <v>219.32</v>
      </c>
      <c r="K94" s="5">
        <v>248.91</v>
      </c>
      <c r="L94" s="6">
        <v>0.13491701623198979</v>
      </c>
    </row>
    <row r="95" spans="9:12">
      <c r="I95" s="33" t="s">
        <v>714</v>
      </c>
      <c r="J95" s="5">
        <v>731.85</v>
      </c>
      <c r="K95" s="5">
        <v>826.15</v>
      </c>
      <c r="L95" s="6">
        <v>0.1288515406162464</v>
      </c>
    </row>
    <row r="96" spans="9:12">
      <c r="I96" s="33" t="s">
        <v>670</v>
      </c>
      <c r="J96" s="5">
        <v>5353</v>
      </c>
      <c r="K96" s="5">
        <v>6027.5</v>
      </c>
      <c r="L96" s="6">
        <v>0.12600410984494681</v>
      </c>
    </row>
    <row r="97" spans="9:12">
      <c r="I97" s="34" t="s">
        <v>600</v>
      </c>
      <c r="J97" s="5">
        <v>1367.9</v>
      </c>
      <c r="K97" s="5">
        <v>1540.1</v>
      </c>
      <c r="L97" s="6">
        <v>0.12588639520432771</v>
      </c>
    </row>
    <row r="98" spans="9:12">
      <c r="I98" s="33" t="s">
        <v>677</v>
      </c>
      <c r="J98" s="5">
        <v>1668.8</v>
      </c>
      <c r="K98" s="5">
        <v>1878.3</v>
      </c>
      <c r="L98" s="6">
        <v>0.12553930968360499</v>
      </c>
    </row>
  </sheetData>
  <mergeCells count="2">
    <mergeCell ref="A1:G1"/>
    <mergeCell ref="I1:L1"/>
  </mergeCells>
  <conditionalFormatting sqref="B7:B10">
    <cfRule type="cellIs" dxfId="25" priority="1" operator="greaterThan">
      <formula>0</formula>
    </cfRule>
    <cfRule type="cellIs" dxfId="24" priority="2" operator="lessThan">
      <formula>0</formula>
    </cfRule>
  </conditionalFormatting>
  <conditionalFormatting sqref="E19:F28">
    <cfRule type="cellIs" dxfId="23" priority="3" operator="greaterThan">
      <formula>0</formula>
    </cfRule>
    <cfRule type="cellIs" dxfId="22" priority="4" operator="lessThan">
      <formula>0</formula>
    </cfRule>
  </conditionalFormatting>
  <conditionalFormatting sqref="E33:F42">
    <cfRule type="cellIs" dxfId="21" priority="5" operator="greaterThan">
      <formula>0</formula>
    </cfRule>
    <cfRule type="cellIs" dxfId="20" priority="6" operator="lessThan">
      <formula>0</formula>
    </cfRule>
  </conditionalFormatting>
  <conditionalFormatting sqref="F47:F56">
    <cfRule type="cellIs" dxfId="19" priority="7" operator="lessThan">
      <formula>0.05</formula>
    </cfRule>
    <cfRule type="cellIs" dxfId="18" priority="8" operator="greaterThan">
      <formula>0.15</formula>
    </cfRule>
  </conditionalFormatting>
  <conditionalFormatting sqref="J46:L50">
    <cfRule type="cellIs" dxfId="17" priority="13" operator="greaterThan">
      <formula>0</formula>
    </cfRule>
    <cfRule type="cellIs" dxfId="16" priority="14" operator="lessThan">
      <formula>0</formula>
    </cfRule>
  </conditionalFormatting>
  <conditionalFormatting sqref="L5:L6">
    <cfRule type="cellIs" dxfId="15" priority="9" operator="greaterThan">
      <formula>0</formula>
    </cfRule>
    <cfRule type="cellIs" dxfId="14" priority="10" operator="lessThan">
      <formula>0</formula>
    </cfRule>
  </conditionalFormatting>
  <conditionalFormatting sqref="L11:L14">
    <cfRule type="cellIs" dxfId="13" priority="11" operator="greaterThan">
      <formula>0</formula>
    </cfRule>
    <cfRule type="cellIs" dxfId="12" priority="12" operator="lessThan">
      <formula>0</formula>
    </cfRule>
  </conditionalFormatting>
  <conditionalFormatting sqref="L75:L84">
    <cfRule type="cellIs" dxfId="11" priority="15" operator="greaterThan">
      <formula>0</formula>
    </cfRule>
    <cfRule type="cellIs" dxfId="10" priority="16" operator="lessThan">
      <formula>0</formula>
    </cfRule>
  </conditionalFormatting>
  <conditionalFormatting sqref="L89:L98">
    <cfRule type="cellIs" dxfId="9" priority="17" operator="greaterThan">
      <formula>0</formula>
    </cfRule>
    <cfRule type="cellIs" dxfId="8" priority="18" operator="lessThan">
      <formula>0</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45"/>
  <sheetViews>
    <sheetView workbookViewId="0">
      <pane ySplit="1" topLeftCell="A368" activePane="bottomLeft" state="frozen"/>
      <selection pane="bottomLeft" activeCell="K56" sqref="K56"/>
    </sheetView>
  </sheetViews>
  <sheetFormatPr defaultRowHeight="15"/>
  <cols>
    <col min="1" max="1" width="14" customWidth="1"/>
    <col min="2" max="2" width="12" customWidth="1"/>
    <col min="3" max="3" width="14" customWidth="1"/>
    <col min="4" max="4" width="12" customWidth="1"/>
    <col min="5" max="7" width="10" customWidth="1"/>
    <col min="8" max="8" width="12" customWidth="1"/>
    <col min="9" max="10" width="10" customWidth="1"/>
    <col min="11" max="11" width="19" customWidth="1"/>
    <col min="12" max="12" width="11" customWidth="1"/>
    <col min="13" max="13" width="21" customWidth="1"/>
    <col min="14" max="14" width="22" customWidth="1"/>
    <col min="15" max="15" width="12" customWidth="1"/>
  </cols>
  <sheetData>
    <row r="1" spans="1:15">
      <c r="A1" s="21" t="s">
        <v>127</v>
      </c>
      <c r="B1" s="21" t="s">
        <v>32</v>
      </c>
      <c r="C1" s="21" t="s">
        <v>128</v>
      </c>
      <c r="D1" s="21" t="s">
        <v>129</v>
      </c>
      <c r="E1" s="21" t="s">
        <v>130</v>
      </c>
      <c r="F1" s="21" t="s">
        <v>131</v>
      </c>
      <c r="G1" s="21" t="s">
        <v>132</v>
      </c>
      <c r="H1" s="21" t="s">
        <v>133</v>
      </c>
      <c r="I1" s="21" t="s">
        <v>134</v>
      </c>
      <c r="J1" s="21" t="s">
        <v>135</v>
      </c>
      <c r="K1" s="21" t="s">
        <v>116</v>
      </c>
      <c r="L1" s="21" t="s">
        <v>136</v>
      </c>
      <c r="M1" s="21" t="s">
        <v>137</v>
      </c>
      <c r="N1" s="21" t="s">
        <v>138</v>
      </c>
      <c r="O1" s="21" t="s">
        <v>139</v>
      </c>
    </row>
    <row r="2" spans="1:15">
      <c r="A2" s="14"/>
      <c r="B2" s="14" t="s">
        <v>39</v>
      </c>
      <c r="C2" s="14" t="s">
        <v>140</v>
      </c>
      <c r="D2" s="14" t="s">
        <v>141</v>
      </c>
      <c r="E2" s="14" t="s">
        <v>142</v>
      </c>
      <c r="F2" s="14" t="s">
        <v>143</v>
      </c>
      <c r="G2" s="14" t="s">
        <v>143</v>
      </c>
      <c r="H2" s="14" t="s">
        <v>144</v>
      </c>
      <c r="I2" s="14" t="b">
        <v>0</v>
      </c>
      <c r="J2" s="14">
        <v>13</v>
      </c>
      <c r="K2" s="14">
        <v>7343</v>
      </c>
      <c r="L2" s="15">
        <v>405271862</v>
      </c>
      <c r="M2" s="15">
        <v>1200000047930385</v>
      </c>
      <c r="N2" s="14" t="s">
        <v>145</v>
      </c>
      <c r="O2" s="14"/>
    </row>
    <row r="3" spans="1:15">
      <c r="A3" s="14"/>
      <c r="B3" s="14" t="s">
        <v>146</v>
      </c>
      <c r="C3" s="14" t="s">
        <v>147</v>
      </c>
      <c r="D3" s="14" t="s">
        <v>141</v>
      </c>
      <c r="E3" s="14" t="s">
        <v>142</v>
      </c>
      <c r="F3" s="14" t="s">
        <v>143</v>
      </c>
      <c r="G3" s="14" t="s">
        <v>143</v>
      </c>
      <c r="H3" s="14" t="s">
        <v>144</v>
      </c>
      <c r="I3" s="14" t="b">
        <v>0</v>
      </c>
      <c r="J3" s="14">
        <v>64</v>
      </c>
      <c r="K3" s="14">
        <v>1548.9</v>
      </c>
      <c r="L3" s="15">
        <v>3877073</v>
      </c>
      <c r="M3" s="15">
        <v>1000000036265725</v>
      </c>
      <c r="N3" s="14" t="s">
        <v>148</v>
      </c>
      <c r="O3" s="14"/>
    </row>
    <row r="4" spans="1:15">
      <c r="A4" s="14"/>
      <c r="B4" s="14" t="s">
        <v>149</v>
      </c>
      <c r="C4" s="14" t="s">
        <v>150</v>
      </c>
      <c r="D4" s="14" t="s">
        <v>141</v>
      </c>
      <c r="E4" s="14" t="s">
        <v>142</v>
      </c>
      <c r="F4" s="14" t="s">
        <v>143</v>
      </c>
      <c r="G4" s="14" t="s">
        <v>143</v>
      </c>
      <c r="H4" s="14" t="s">
        <v>144</v>
      </c>
      <c r="I4" s="14" t="b">
        <v>0</v>
      </c>
      <c r="J4" s="14">
        <v>7</v>
      </c>
      <c r="K4" s="14">
        <v>844.15</v>
      </c>
      <c r="L4" s="15">
        <v>205329072</v>
      </c>
      <c r="M4" s="15">
        <v>1100000044831951</v>
      </c>
      <c r="N4" s="14" t="s">
        <v>151</v>
      </c>
      <c r="O4" s="14"/>
    </row>
    <row r="5" spans="1:15">
      <c r="A5" s="14"/>
      <c r="B5" s="14" t="s">
        <v>149</v>
      </c>
      <c r="C5" s="14" t="s">
        <v>150</v>
      </c>
      <c r="D5" s="14" t="s">
        <v>141</v>
      </c>
      <c r="E5" s="14" t="s">
        <v>142</v>
      </c>
      <c r="F5" s="14" t="s">
        <v>143</v>
      </c>
      <c r="G5" s="14" t="s">
        <v>143</v>
      </c>
      <c r="H5" s="14" t="s">
        <v>144</v>
      </c>
      <c r="I5" s="14" t="b">
        <v>0</v>
      </c>
      <c r="J5" s="14">
        <v>50</v>
      </c>
      <c r="K5" s="14">
        <v>844.15</v>
      </c>
      <c r="L5" s="15">
        <v>205330804</v>
      </c>
      <c r="M5" s="15">
        <v>1100000044831951</v>
      </c>
      <c r="N5" s="14" t="s">
        <v>151</v>
      </c>
      <c r="O5" s="14"/>
    </row>
    <row r="6" spans="1:15">
      <c r="A6" s="14"/>
      <c r="B6" s="14" t="s">
        <v>149</v>
      </c>
      <c r="C6" s="14" t="s">
        <v>150</v>
      </c>
      <c r="D6" s="14" t="s">
        <v>141</v>
      </c>
      <c r="E6" s="14" t="s">
        <v>142</v>
      </c>
      <c r="F6" s="14" t="s">
        <v>143</v>
      </c>
      <c r="G6" s="14" t="s">
        <v>143</v>
      </c>
      <c r="H6" s="14" t="s">
        <v>144</v>
      </c>
      <c r="I6" s="14" t="b">
        <v>0</v>
      </c>
      <c r="J6" s="14">
        <v>4</v>
      </c>
      <c r="K6" s="14">
        <v>844.15</v>
      </c>
      <c r="L6" s="15">
        <v>205330817</v>
      </c>
      <c r="M6" s="15">
        <v>1100000044831951</v>
      </c>
      <c r="N6" s="14" t="s">
        <v>151</v>
      </c>
      <c r="O6" s="14"/>
    </row>
    <row r="7" spans="1:15">
      <c r="A7" s="14"/>
      <c r="B7" s="14" t="s">
        <v>149</v>
      </c>
      <c r="C7" s="14" t="s">
        <v>150</v>
      </c>
      <c r="D7" s="14" t="s">
        <v>141</v>
      </c>
      <c r="E7" s="14" t="s">
        <v>142</v>
      </c>
      <c r="F7" s="14" t="s">
        <v>143</v>
      </c>
      <c r="G7" s="14" t="s">
        <v>143</v>
      </c>
      <c r="H7" s="14" t="s">
        <v>144</v>
      </c>
      <c r="I7" s="14" t="b">
        <v>0</v>
      </c>
      <c r="J7" s="14">
        <v>55</v>
      </c>
      <c r="K7" s="14">
        <v>844.15</v>
      </c>
      <c r="L7" s="15">
        <v>205331314</v>
      </c>
      <c r="M7" s="15">
        <v>1100000044831951</v>
      </c>
      <c r="N7" s="14" t="s">
        <v>151</v>
      </c>
      <c r="O7" s="14"/>
    </row>
    <row r="8" spans="1:15">
      <c r="A8" s="14"/>
      <c r="B8" s="14" t="s">
        <v>152</v>
      </c>
      <c r="C8" s="14" t="s">
        <v>153</v>
      </c>
      <c r="D8" s="14" t="s">
        <v>141</v>
      </c>
      <c r="E8" s="14" t="s">
        <v>142</v>
      </c>
      <c r="F8" s="14" t="s">
        <v>143</v>
      </c>
      <c r="G8" s="14" t="s">
        <v>143</v>
      </c>
      <c r="H8" s="14" t="s">
        <v>144</v>
      </c>
      <c r="I8" s="14" t="b">
        <v>0</v>
      </c>
      <c r="J8" s="14">
        <v>20</v>
      </c>
      <c r="K8" s="14">
        <v>4509</v>
      </c>
      <c r="L8" s="15">
        <v>605415434</v>
      </c>
      <c r="M8" s="15">
        <v>1300000045456483</v>
      </c>
      <c r="N8" s="14" t="s">
        <v>154</v>
      </c>
      <c r="O8" s="14"/>
    </row>
    <row r="9" spans="1:15">
      <c r="A9" s="14"/>
      <c r="B9" s="14" t="s">
        <v>155</v>
      </c>
      <c r="C9" s="14" t="s">
        <v>156</v>
      </c>
      <c r="D9" s="14" t="s">
        <v>141</v>
      </c>
      <c r="E9" s="14" t="s">
        <v>142</v>
      </c>
      <c r="F9" s="14" t="s">
        <v>143</v>
      </c>
      <c r="G9" s="14" t="s">
        <v>143</v>
      </c>
      <c r="H9" s="14" t="s">
        <v>144</v>
      </c>
      <c r="I9" s="14" t="b">
        <v>0</v>
      </c>
      <c r="J9" s="14">
        <v>11</v>
      </c>
      <c r="K9" s="14">
        <v>3662.7</v>
      </c>
      <c r="L9" s="15">
        <v>605630531</v>
      </c>
      <c r="M9" s="15">
        <v>1300000047488914</v>
      </c>
      <c r="N9" s="14" t="s">
        <v>157</v>
      </c>
      <c r="O9" s="14"/>
    </row>
    <row r="10" spans="1:15">
      <c r="A10" s="14"/>
      <c r="B10" s="14" t="s">
        <v>155</v>
      </c>
      <c r="C10" s="14" t="s">
        <v>156</v>
      </c>
      <c r="D10" s="14" t="s">
        <v>141</v>
      </c>
      <c r="E10" s="14" t="s">
        <v>142</v>
      </c>
      <c r="F10" s="14" t="s">
        <v>143</v>
      </c>
      <c r="G10" s="14" t="s">
        <v>143</v>
      </c>
      <c r="H10" s="14" t="s">
        <v>144</v>
      </c>
      <c r="I10" s="14" t="b">
        <v>0</v>
      </c>
      <c r="J10" s="14">
        <v>14</v>
      </c>
      <c r="K10" s="14">
        <v>3662.7</v>
      </c>
      <c r="L10" s="15">
        <v>605630530</v>
      </c>
      <c r="M10" s="15">
        <v>1300000047488914</v>
      </c>
      <c r="N10" s="14" t="s">
        <v>157</v>
      </c>
      <c r="O10" s="14"/>
    </row>
    <row r="11" spans="1:15">
      <c r="A11" s="14"/>
      <c r="B11" s="14" t="s">
        <v>158</v>
      </c>
      <c r="C11" s="14" t="s">
        <v>159</v>
      </c>
      <c r="D11" s="14" t="s">
        <v>141</v>
      </c>
      <c r="E11" s="14" t="s">
        <v>142</v>
      </c>
      <c r="F11" s="14" t="s">
        <v>143</v>
      </c>
      <c r="G11" s="14" t="s">
        <v>143</v>
      </c>
      <c r="H11" s="14" t="s">
        <v>144</v>
      </c>
      <c r="I11" s="14" t="b">
        <v>0</v>
      </c>
      <c r="J11" s="14">
        <v>5</v>
      </c>
      <c r="K11" s="14">
        <v>4724.1000999999997</v>
      </c>
      <c r="L11" s="15">
        <v>205904922</v>
      </c>
      <c r="M11" s="15">
        <v>1100000049703254</v>
      </c>
      <c r="N11" s="14" t="s">
        <v>160</v>
      </c>
      <c r="O11" s="14"/>
    </row>
    <row r="12" spans="1:15">
      <c r="A12" s="14"/>
      <c r="B12" s="14" t="s">
        <v>158</v>
      </c>
      <c r="C12" s="14" t="s">
        <v>159</v>
      </c>
      <c r="D12" s="14" t="s">
        <v>141</v>
      </c>
      <c r="E12" s="14" t="s">
        <v>142</v>
      </c>
      <c r="F12" s="14" t="s">
        <v>143</v>
      </c>
      <c r="G12" s="14" t="s">
        <v>143</v>
      </c>
      <c r="H12" s="14" t="s">
        <v>144</v>
      </c>
      <c r="I12" s="14" t="b">
        <v>0</v>
      </c>
      <c r="J12" s="14">
        <v>1</v>
      </c>
      <c r="K12" s="14">
        <v>4724.1000999999997</v>
      </c>
      <c r="L12" s="15">
        <v>205904923</v>
      </c>
      <c r="M12" s="15">
        <v>1100000049703254</v>
      </c>
      <c r="N12" s="14" t="s">
        <v>160</v>
      </c>
      <c r="O12" s="14"/>
    </row>
    <row r="13" spans="1:15">
      <c r="A13" s="14"/>
      <c r="B13" s="14" t="s">
        <v>158</v>
      </c>
      <c r="C13" s="14" t="s">
        <v>159</v>
      </c>
      <c r="D13" s="14" t="s">
        <v>141</v>
      </c>
      <c r="E13" s="14" t="s">
        <v>142</v>
      </c>
      <c r="F13" s="14" t="s">
        <v>143</v>
      </c>
      <c r="G13" s="14" t="s">
        <v>143</v>
      </c>
      <c r="H13" s="14" t="s">
        <v>144</v>
      </c>
      <c r="I13" s="14" t="b">
        <v>0</v>
      </c>
      <c r="J13" s="14">
        <v>1</v>
      </c>
      <c r="K13" s="14">
        <v>4724</v>
      </c>
      <c r="L13" s="15">
        <v>205904921</v>
      </c>
      <c r="M13" s="15">
        <v>1100000049703254</v>
      </c>
      <c r="N13" s="14" t="s">
        <v>160</v>
      </c>
      <c r="O13" s="14"/>
    </row>
    <row r="14" spans="1:15">
      <c r="A14" s="14"/>
      <c r="B14" s="14" t="s">
        <v>158</v>
      </c>
      <c r="C14" s="14" t="s">
        <v>159</v>
      </c>
      <c r="D14" s="14" t="s">
        <v>141</v>
      </c>
      <c r="E14" s="14" t="s">
        <v>142</v>
      </c>
      <c r="F14" s="14" t="s">
        <v>143</v>
      </c>
      <c r="G14" s="14" t="s">
        <v>143</v>
      </c>
      <c r="H14" s="14" t="s">
        <v>144</v>
      </c>
      <c r="I14" s="14" t="b">
        <v>0</v>
      </c>
      <c r="J14" s="14">
        <v>12</v>
      </c>
      <c r="K14" s="14">
        <v>4724</v>
      </c>
      <c r="L14" s="15">
        <v>205904920</v>
      </c>
      <c r="M14" s="15">
        <v>1100000049703254</v>
      </c>
      <c r="N14" s="14" t="s">
        <v>160</v>
      </c>
      <c r="O14" s="14"/>
    </row>
    <row r="15" spans="1:15">
      <c r="A15" s="14"/>
      <c r="B15" s="14" t="s">
        <v>74</v>
      </c>
      <c r="C15" s="14" t="s">
        <v>161</v>
      </c>
      <c r="D15" s="14" t="s">
        <v>141</v>
      </c>
      <c r="E15" s="14" t="s">
        <v>142</v>
      </c>
      <c r="F15" s="14" t="s">
        <v>143</v>
      </c>
      <c r="G15" s="14" t="s">
        <v>143</v>
      </c>
      <c r="H15" s="14" t="s">
        <v>144</v>
      </c>
      <c r="I15" s="14" t="b">
        <v>0</v>
      </c>
      <c r="J15" s="14">
        <v>168</v>
      </c>
      <c r="K15" s="14">
        <v>543</v>
      </c>
      <c r="L15" s="15">
        <v>406172265</v>
      </c>
      <c r="M15" s="15">
        <v>1200000056506188</v>
      </c>
      <c r="N15" s="14" t="s">
        <v>162</v>
      </c>
      <c r="O15" s="14"/>
    </row>
    <row r="16" spans="1:15">
      <c r="A16" s="14"/>
      <c r="B16" s="14" t="s">
        <v>163</v>
      </c>
      <c r="C16" s="14" t="s">
        <v>164</v>
      </c>
      <c r="D16" s="14" t="s">
        <v>165</v>
      </c>
      <c r="E16" s="14" t="s">
        <v>142</v>
      </c>
      <c r="F16" s="14" t="s">
        <v>143</v>
      </c>
      <c r="G16" s="14" t="s">
        <v>143</v>
      </c>
      <c r="H16" s="14" t="s">
        <v>144</v>
      </c>
      <c r="I16" s="14" t="b">
        <v>0</v>
      </c>
      <c r="J16" s="14">
        <v>48</v>
      </c>
      <c r="K16" s="14">
        <v>175.36</v>
      </c>
      <c r="L16" s="15">
        <v>2344605</v>
      </c>
      <c r="M16" s="15">
        <v>1000000022356020</v>
      </c>
      <c r="N16" s="14" t="s">
        <v>166</v>
      </c>
      <c r="O16" s="14"/>
    </row>
    <row r="17" spans="1:15">
      <c r="A17" s="14"/>
      <c r="B17" s="14" t="s">
        <v>163</v>
      </c>
      <c r="C17" s="14" t="s">
        <v>164</v>
      </c>
      <c r="D17" s="14" t="s">
        <v>165</v>
      </c>
      <c r="E17" s="14" t="s">
        <v>142</v>
      </c>
      <c r="F17" s="14" t="s">
        <v>143</v>
      </c>
      <c r="G17" s="14" t="s">
        <v>143</v>
      </c>
      <c r="H17" s="14" t="s">
        <v>144</v>
      </c>
      <c r="I17" s="14" t="b">
        <v>0</v>
      </c>
      <c r="J17" s="14">
        <v>6</v>
      </c>
      <c r="K17" s="14">
        <v>175.36</v>
      </c>
      <c r="L17" s="15">
        <v>2344520</v>
      </c>
      <c r="M17" s="15">
        <v>1000000022356020</v>
      </c>
      <c r="N17" s="14" t="s">
        <v>166</v>
      </c>
      <c r="O17" s="14"/>
    </row>
    <row r="18" spans="1:15">
      <c r="A18" s="14"/>
      <c r="B18" s="14" t="s">
        <v>163</v>
      </c>
      <c r="C18" s="14" t="s">
        <v>164</v>
      </c>
      <c r="D18" s="14" t="s">
        <v>165</v>
      </c>
      <c r="E18" s="14" t="s">
        <v>142</v>
      </c>
      <c r="F18" s="14" t="s">
        <v>143</v>
      </c>
      <c r="G18" s="14" t="s">
        <v>143</v>
      </c>
      <c r="H18" s="14" t="s">
        <v>144</v>
      </c>
      <c r="I18" s="14" t="b">
        <v>0</v>
      </c>
      <c r="J18" s="14">
        <v>86</v>
      </c>
      <c r="K18" s="14">
        <v>175.36</v>
      </c>
      <c r="L18" s="15">
        <v>2342640</v>
      </c>
      <c r="M18" s="15">
        <v>1000000022356020</v>
      </c>
      <c r="N18" s="14" t="s">
        <v>166</v>
      </c>
      <c r="O18" s="14"/>
    </row>
    <row r="19" spans="1:15">
      <c r="A19" s="14"/>
      <c r="B19" s="14" t="s">
        <v>167</v>
      </c>
      <c r="C19" s="14" t="s">
        <v>168</v>
      </c>
      <c r="D19" s="14" t="s">
        <v>165</v>
      </c>
      <c r="E19" s="14" t="s">
        <v>142</v>
      </c>
      <c r="F19" s="14" t="s">
        <v>143</v>
      </c>
      <c r="G19" s="14" t="s">
        <v>143</v>
      </c>
      <c r="H19" s="14" t="s">
        <v>144</v>
      </c>
      <c r="I19" s="14" t="b">
        <v>0</v>
      </c>
      <c r="J19" s="14">
        <v>28</v>
      </c>
      <c r="K19" s="14">
        <v>517.1</v>
      </c>
      <c r="L19" s="15">
        <v>203621195</v>
      </c>
      <c r="M19" s="15">
        <v>1100000031435771</v>
      </c>
      <c r="N19" s="14" t="s">
        <v>169</v>
      </c>
      <c r="O19" s="14"/>
    </row>
    <row r="20" spans="1:15">
      <c r="A20" s="14"/>
      <c r="B20" s="14" t="s">
        <v>167</v>
      </c>
      <c r="C20" s="14" t="s">
        <v>168</v>
      </c>
      <c r="D20" s="14" t="s">
        <v>165</v>
      </c>
      <c r="E20" s="14" t="s">
        <v>142</v>
      </c>
      <c r="F20" s="14" t="s">
        <v>143</v>
      </c>
      <c r="G20" s="14" t="s">
        <v>143</v>
      </c>
      <c r="H20" s="14" t="s">
        <v>144</v>
      </c>
      <c r="I20" s="14" t="b">
        <v>0</v>
      </c>
      <c r="J20" s="14">
        <v>5</v>
      </c>
      <c r="K20" s="14">
        <v>517.1</v>
      </c>
      <c r="L20" s="15">
        <v>203618990</v>
      </c>
      <c r="M20" s="15">
        <v>1100000031435771</v>
      </c>
      <c r="N20" s="14" t="s">
        <v>169</v>
      </c>
      <c r="O20" s="14"/>
    </row>
    <row r="21" spans="1:15">
      <c r="A21" s="14"/>
      <c r="B21" s="14" t="s">
        <v>167</v>
      </c>
      <c r="C21" s="14" t="s">
        <v>168</v>
      </c>
      <c r="D21" s="14" t="s">
        <v>165</v>
      </c>
      <c r="E21" s="14" t="s">
        <v>142</v>
      </c>
      <c r="F21" s="14" t="s">
        <v>143</v>
      </c>
      <c r="G21" s="14" t="s">
        <v>143</v>
      </c>
      <c r="H21" s="14" t="s">
        <v>144</v>
      </c>
      <c r="I21" s="14" t="b">
        <v>0</v>
      </c>
      <c r="J21" s="14">
        <v>14</v>
      </c>
      <c r="K21" s="14">
        <v>517.1</v>
      </c>
      <c r="L21" s="15">
        <v>203667601</v>
      </c>
      <c r="M21" s="15">
        <v>1100000031435771</v>
      </c>
      <c r="N21" s="14" t="s">
        <v>169</v>
      </c>
      <c r="O21" s="14"/>
    </row>
    <row r="22" spans="1:15">
      <c r="A22" s="14"/>
      <c r="B22" s="14" t="s">
        <v>167</v>
      </c>
      <c r="C22" s="14" t="s">
        <v>168</v>
      </c>
      <c r="D22" s="14" t="s">
        <v>165</v>
      </c>
      <c r="E22" s="14" t="s">
        <v>142</v>
      </c>
      <c r="F22" s="14" t="s">
        <v>143</v>
      </c>
      <c r="G22" s="14" t="s">
        <v>143</v>
      </c>
      <c r="H22" s="14" t="s">
        <v>144</v>
      </c>
      <c r="I22" s="14" t="b">
        <v>0</v>
      </c>
      <c r="J22" s="14">
        <v>1</v>
      </c>
      <c r="K22" s="14">
        <v>517.1</v>
      </c>
      <c r="L22" s="15">
        <v>203621030</v>
      </c>
      <c r="M22" s="15">
        <v>1100000031435771</v>
      </c>
      <c r="N22" s="14" t="s">
        <v>169</v>
      </c>
      <c r="O22" s="14"/>
    </row>
    <row r="23" spans="1:15">
      <c r="A23" s="14"/>
      <c r="B23" s="14" t="s">
        <v>170</v>
      </c>
      <c r="C23" s="14" t="s">
        <v>171</v>
      </c>
      <c r="D23" s="14" t="s">
        <v>165</v>
      </c>
      <c r="E23" s="14" t="s">
        <v>142</v>
      </c>
      <c r="F23" s="14" t="s">
        <v>143</v>
      </c>
      <c r="G23" s="14" t="s">
        <v>143</v>
      </c>
      <c r="H23" s="14" t="s">
        <v>144</v>
      </c>
      <c r="I23" s="14" t="b">
        <v>0</v>
      </c>
      <c r="J23" s="14">
        <v>13</v>
      </c>
      <c r="K23" s="14">
        <v>1289.2</v>
      </c>
      <c r="L23" s="15">
        <v>603829142</v>
      </c>
      <c r="M23" s="15">
        <v>1300000030742059</v>
      </c>
      <c r="N23" s="14" t="s">
        <v>172</v>
      </c>
      <c r="O23" s="14"/>
    </row>
    <row r="24" spans="1:15">
      <c r="A24" s="14"/>
      <c r="B24" s="14" t="s">
        <v>170</v>
      </c>
      <c r="C24" s="14" t="s">
        <v>171</v>
      </c>
      <c r="D24" s="14" t="s">
        <v>165</v>
      </c>
      <c r="E24" s="14" t="s">
        <v>142</v>
      </c>
      <c r="F24" s="14" t="s">
        <v>143</v>
      </c>
      <c r="G24" s="14" t="s">
        <v>143</v>
      </c>
      <c r="H24" s="14" t="s">
        <v>144</v>
      </c>
      <c r="I24" s="14" t="b">
        <v>0</v>
      </c>
      <c r="J24" s="14">
        <v>11</v>
      </c>
      <c r="K24" s="14">
        <v>1289.2</v>
      </c>
      <c r="L24" s="15">
        <v>603829143</v>
      </c>
      <c r="M24" s="15">
        <v>1300000030742059</v>
      </c>
      <c r="N24" s="14" t="s">
        <v>172</v>
      </c>
      <c r="O24" s="14"/>
    </row>
    <row r="25" spans="1:15">
      <c r="A25" s="14"/>
      <c r="B25" s="14" t="s">
        <v>170</v>
      </c>
      <c r="C25" s="14" t="s">
        <v>171</v>
      </c>
      <c r="D25" s="14" t="s">
        <v>165</v>
      </c>
      <c r="E25" s="14" t="s">
        <v>142</v>
      </c>
      <c r="F25" s="14" t="s">
        <v>143</v>
      </c>
      <c r="G25" s="14" t="s">
        <v>143</v>
      </c>
      <c r="H25" s="14" t="s">
        <v>144</v>
      </c>
      <c r="I25" s="14" t="b">
        <v>0</v>
      </c>
      <c r="J25" s="14">
        <v>10</v>
      </c>
      <c r="K25" s="14">
        <v>1289.2</v>
      </c>
      <c r="L25" s="15">
        <v>603825496</v>
      </c>
      <c r="M25" s="15">
        <v>1300000030742059</v>
      </c>
      <c r="N25" s="14" t="s">
        <v>172</v>
      </c>
      <c r="O25" s="14"/>
    </row>
    <row r="26" spans="1:15">
      <c r="A26" s="14"/>
      <c r="B26" s="14" t="s">
        <v>170</v>
      </c>
      <c r="C26" s="14" t="s">
        <v>171</v>
      </c>
      <c r="D26" s="14" t="s">
        <v>165</v>
      </c>
      <c r="E26" s="14" t="s">
        <v>142</v>
      </c>
      <c r="F26" s="14" t="s">
        <v>143</v>
      </c>
      <c r="G26" s="14" t="s">
        <v>143</v>
      </c>
      <c r="H26" s="14" t="s">
        <v>144</v>
      </c>
      <c r="I26" s="14" t="b">
        <v>0</v>
      </c>
      <c r="J26" s="14">
        <v>3</v>
      </c>
      <c r="K26" s="14">
        <v>1289.2</v>
      </c>
      <c r="L26" s="15">
        <v>603832890</v>
      </c>
      <c r="M26" s="15">
        <v>1300000030742059</v>
      </c>
      <c r="N26" s="14" t="s">
        <v>172</v>
      </c>
      <c r="O26" s="14"/>
    </row>
    <row r="27" spans="1:15">
      <c r="A27" s="14"/>
      <c r="B27" s="14" t="s">
        <v>76</v>
      </c>
      <c r="C27" s="14" t="s">
        <v>173</v>
      </c>
      <c r="D27" s="14" t="s">
        <v>165</v>
      </c>
      <c r="E27" s="14" t="s">
        <v>142</v>
      </c>
      <c r="F27" s="14" t="s">
        <v>143</v>
      </c>
      <c r="G27" s="14" t="s">
        <v>143</v>
      </c>
      <c r="H27" s="14" t="s">
        <v>144</v>
      </c>
      <c r="I27" s="14" t="b">
        <v>0</v>
      </c>
      <c r="J27" s="14">
        <v>60</v>
      </c>
      <c r="K27" s="14">
        <v>1562.4</v>
      </c>
      <c r="L27" s="15">
        <v>403366394</v>
      </c>
      <c r="M27" s="15">
        <v>1200000033081200</v>
      </c>
      <c r="N27" s="14" t="s">
        <v>174</v>
      </c>
      <c r="O27" s="14"/>
    </row>
    <row r="28" spans="1:15">
      <c r="A28" s="14"/>
      <c r="B28" s="14" t="s">
        <v>86</v>
      </c>
      <c r="C28" s="14" t="s">
        <v>175</v>
      </c>
      <c r="D28" s="14" t="s">
        <v>176</v>
      </c>
      <c r="E28" s="14" t="s">
        <v>142</v>
      </c>
      <c r="F28" s="14" t="s">
        <v>143</v>
      </c>
      <c r="G28" s="14" t="s">
        <v>143</v>
      </c>
      <c r="H28" s="14" t="s">
        <v>144</v>
      </c>
      <c r="I28" s="14" t="b">
        <v>0</v>
      </c>
      <c r="J28" s="14">
        <v>17</v>
      </c>
      <c r="K28" s="14">
        <v>785.35</v>
      </c>
      <c r="L28" s="15">
        <v>1789285</v>
      </c>
      <c r="M28" s="15">
        <v>1000000016049556</v>
      </c>
      <c r="N28" s="14" t="s">
        <v>177</v>
      </c>
      <c r="O28" s="14"/>
    </row>
    <row r="29" spans="1:15">
      <c r="A29" s="14"/>
      <c r="B29" s="14" t="s">
        <v>86</v>
      </c>
      <c r="C29" s="14" t="s">
        <v>175</v>
      </c>
      <c r="D29" s="14" t="s">
        <v>176</v>
      </c>
      <c r="E29" s="14" t="s">
        <v>142</v>
      </c>
      <c r="F29" s="14" t="s">
        <v>143</v>
      </c>
      <c r="G29" s="14" t="s">
        <v>143</v>
      </c>
      <c r="H29" s="14" t="s">
        <v>144</v>
      </c>
      <c r="I29" s="14" t="b">
        <v>0</v>
      </c>
      <c r="J29" s="14">
        <v>16</v>
      </c>
      <c r="K29" s="14">
        <v>785.35</v>
      </c>
      <c r="L29" s="15">
        <v>1789286</v>
      </c>
      <c r="M29" s="15">
        <v>1000000016049556</v>
      </c>
      <c r="N29" s="14" t="s">
        <v>177</v>
      </c>
      <c r="O29" s="14"/>
    </row>
    <row r="30" spans="1:15">
      <c r="A30" s="14"/>
      <c r="B30" s="14" t="s">
        <v>178</v>
      </c>
      <c r="C30" s="14" t="s">
        <v>179</v>
      </c>
      <c r="D30" s="14" t="s">
        <v>180</v>
      </c>
      <c r="E30" s="14" t="s">
        <v>142</v>
      </c>
      <c r="F30" s="14" t="s">
        <v>143</v>
      </c>
      <c r="G30" s="14" t="s">
        <v>143</v>
      </c>
      <c r="H30" s="14" t="s">
        <v>144</v>
      </c>
      <c r="I30" s="14" t="b">
        <v>0</v>
      </c>
      <c r="J30" s="14">
        <v>35</v>
      </c>
      <c r="K30" s="14">
        <v>716.85</v>
      </c>
      <c r="L30" s="15">
        <v>208118057</v>
      </c>
      <c r="M30" s="15">
        <v>1100000062670206</v>
      </c>
      <c r="N30" s="14" t="s">
        <v>181</v>
      </c>
      <c r="O30" s="14"/>
    </row>
    <row r="31" spans="1:15">
      <c r="A31" s="14"/>
      <c r="B31" s="14" t="s">
        <v>182</v>
      </c>
      <c r="C31" s="14" t="s">
        <v>183</v>
      </c>
      <c r="D31" s="14" t="s">
        <v>184</v>
      </c>
      <c r="E31" s="14" t="s">
        <v>142</v>
      </c>
      <c r="F31" s="14" t="s">
        <v>143</v>
      </c>
      <c r="G31" s="14" t="s">
        <v>143</v>
      </c>
      <c r="H31" s="14" t="s">
        <v>144</v>
      </c>
      <c r="I31" s="14" t="b">
        <v>0</v>
      </c>
      <c r="J31" s="14">
        <v>43</v>
      </c>
      <c r="K31" s="14">
        <v>119.3</v>
      </c>
      <c r="L31" s="15">
        <v>5959861</v>
      </c>
      <c r="M31" s="15">
        <v>1000000060868317</v>
      </c>
      <c r="N31" s="14" t="s">
        <v>185</v>
      </c>
      <c r="O31" s="14"/>
    </row>
    <row r="32" spans="1:15">
      <c r="A32" s="14"/>
      <c r="B32" s="14" t="s">
        <v>182</v>
      </c>
      <c r="C32" s="14" t="s">
        <v>183</v>
      </c>
      <c r="D32" s="14" t="s">
        <v>184</v>
      </c>
      <c r="E32" s="14" t="s">
        <v>142</v>
      </c>
      <c r="F32" s="14" t="s">
        <v>143</v>
      </c>
      <c r="G32" s="14" t="s">
        <v>143</v>
      </c>
      <c r="H32" s="14" t="s">
        <v>144</v>
      </c>
      <c r="I32" s="14" t="b">
        <v>0</v>
      </c>
      <c r="J32" s="14">
        <v>77</v>
      </c>
      <c r="K32" s="14">
        <v>119.3</v>
      </c>
      <c r="L32" s="15">
        <v>5959859</v>
      </c>
      <c r="M32" s="15">
        <v>1000000060868317</v>
      </c>
      <c r="N32" s="14" t="s">
        <v>185</v>
      </c>
      <c r="O32" s="14"/>
    </row>
    <row r="33" spans="1:15">
      <c r="A33" s="14"/>
      <c r="B33" s="14" t="s">
        <v>182</v>
      </c>
      <c r="C33" s="14" t="s">
        <v>183</v>
      </c>
      <c r="D33" s="14" t="s">
        <v>184</v>
      </c>
      <c r="E33" s="14" t="s">
        <v>142</v>
      </c>
      <c r="F33" s="14" t="s">
        <v>143</v>
      </c>
      <c r="G33" s="14" t="s">
        <v>143</v>
      </c>
      <c r="H33" s="14" t="s">
        <v>144</v>
      </c>
      <c r="I33" s="14" t="b">
        <v>0</v>
      </c>
      <c r="J33" s="14">
        <v>100</v>
      </c>
      <c r="K33" s="14">
        <v>119.3</v>
      </c>
      <c r="L33" s="15">
        <v>5959860</v>
      </c>
      <c r="M33" s="15">
        <v>1000000060868317</v>
      </c>
      <c r="N33" s="14" t="s">
        <v>185</v>
      </c>
      <c r="O33" s="14"/>
    </row>
    <row r="34" spans="1:15">
      <c r="A34" s="14"/>
      <c r="B34" s="14" t="s">
        <v>163</v>
      </c>
      <c r="C34" s="14" t="s">
        <v>164</v>
      </c>
      <c r="D34" s="14" t="s">
        <v>184</v>
      </c>
      <c r="E34" s="14" t="s">
        <v>142</v>
      </c>
      <c r="F34" s="14" t="s">
        <v>143</v>
      </c>
      <c r="G34" s="14" t="s">
        <v>143</v>
      </c>
      <c r="H34" s="14" t="s">
        <v>144</v>
      </c>
      <c r="I34" s="14" t="b">
        <v>0</v>
      </c>
      <c r="J34" s="14">
        <v>55</v>
      </c>
      <c r="K34" s="14">
        <v>189</v>
      </c>
      <c r="L34" s="15">
        <v>6217725</v>
      </c>
      <c r="M34" s="15">
        <v>1000000063494426</v>
      </c>
      <c r="N34" s="14" t="s">
        <v>186</v>
      </c>
      <c r="O34" s="14"/>
    </row>
    <row r="35" spans="1:15">
      <c r="A35" s="14"/>
      <c r="B35" s="14" t="s">
        <v>163</v>
      </c>
      <c r="C35" s="14" t="s">
        <v>164</v>
      </c>
      <c r="D35" s="14" t="s">
        <v>184</v>
      </c>
      <c r="E35" s="14" t="s">
        <v>142</v>
      </c>
      <c r="F35" s="14" t="s">
        <v>143</v>
      </c>
      <c r="G35" s="14" t="s">
        <v>143</v>
      </c>
      <c r="H35" s="14" t="s">
        <v>144</v>
      </c>
      <c r="I35" s="14" t="b">
        <v>0</v>
      </c>
      <c r="J35" s="14">
        <v>62</v>
      </c>
      <c r="K35" s="14">
        <v>188.99</v>
      </c>
      <c r="L35" s="15">
        <v>6217724</v>
      </c>
      <c r="M35" s="15">
        <v>1000000063494426</v>
      </c>
      <c r="N35" s="14" t="s">
        <v>186</v>
      </c>
      <c r="O35" s="14"/>
    </row>
    <row r="36" spans="1:15">
      <c r="A36" s="14"/>
      <c r="B36" s="14" t="s">
        <v>163</v>
      </c>
      <c r="C36" s="14" t="s">
        <v>164</v>
      </c>
      <c r="D36" s="14" t="s">
        <v>184</v>
      </c>
      <c r="E36" s="14" t="s">
        <v>142</v>
      </c>
      <c r="F36" s="14" t="s">
        <v>143</v>
      </c>
      <c r="G36" s="14" t="s">
        <v>143</v>
      </c>
      <c r="H36" s="14" t="s">
        <v>144</v>
      </c>
      <c r="I36" s="14" t="b">
        <v>0</v>
      </c>
      <c r="J36" s="14">
        <v>14</v>
      </c>
      <c r="K36" s="14">
        <v>188.94</v>
      </c>
      <c r="L36" s="15">
        <v>6217723</v>
      </c>
      <c r="M36" s="15">
        <v>1000000063494426</v>
      </c>
      <c r="N36" s="14" t="s">
        <v>186</v>
      </c>
      <c r="O36" s="14"/>
    </row>
    <row r="37" spans="1:15">
      <c r="A37" s="14"/>
      <c r="B37" s="14" t="s">
        <v>167</v>
      </c>
      <c r="C37" s="14" t="s">
        <v>168</v>
      </c>
      <c r="D37" s="14" t="s">
        <v>184</v>
      </c>
      <c r="E37" s="14" t="s">
        <v>142</v>
      </c>
      <c r="F37" s="14" t="s">
        <v>143</v>
      </c>
      <c r="G37" s="14" t="s">
        <v>143</v>
      </c>
      <c r="H37" s="14" t="s">
        <v>144</v>
      </c>
      <c r="I37" s="14" t="b">
        <v>0</v>
      </c>
      <c r="J37" s="14">
        <v>54</v>
      </c>
      <c r="K37" s="14">
        <v>577.79999999999995</v>
      </c>
      <c r="L37" s="15">
        <v>206567205</v>
      </c>
      <c r="M37" s="15">
        <v>1100000055164659</v>
      </c>
      <c r="N37" s="14" t="s">
        <v>187</v>
      </c>
      <c r="O37" s="14"/>
    </row>
    <row r="38" spans="1:15">
      <c r="A38" s="14"/>
      <c r="B38" s="14" t="s">
        <v>167</v>
      </c>
      <c r="C38" s="14" t="s">
        <v>168</v>
      </c>
      <c r="D38" s="14" t="s">
        <v>184</v>
      </c>
      <c r="E38" s="14" t="s">
        <v>142</v>
      </c>
      <c r="F38" s="14" t="s">
        <v>143</v>
      </c>
      <c r="G38" s="14" t="s">
        <v>143</v>
      </c>
      <c r="H38" s="14" t="s">
        <v>144</v>
      </c>
      <c r="I38" s="14" t="b">
        <v>0</v>
      </c>
      <c r="J38" s="14">
        <v>33</v>
      </c>
      <c r="K38" s="14">
        <v>577.85</v>
      </c>
      <c r="L38" s="15">
        <v>206567206</v>
      </c>
      <c r="M38" s="15">
        <v>1100000055164659</v>
      </c>
      <c r="N38" s="14" t="s">
        <v>187</v>
      </c>
      <c r="O38" s="14"/>
    </row>
    <row r="39" spans="1:15">
      <c r="A39" s="14"/>
      <c r="B39" s="14" t="s">
        <v>188</v>
      </c>
      <c r="C39" s="14" t="s">
        <v>189</v>
      </c>
      <c r="D39" s="14" t="s">
        <v>190</v>
      </c>
      <c r="E39" s="14" t="s">
        <v>142</v>
      </c>
      <c r="F39" s="14" t="s">
        <v>143</v>
      </c>
      <c r="G39" s="14" t="s">
        <v>143</v>
      </c>
      <c r="H39" s="14" t="s">
        <v>144</v>
      </c>
      <c r="I39" s="14" t="b">
        <v>0</v>
      </c>
      <c r="J39" s="14">
        <v>16</v>
      </c>
      <c r="K39" s="14">
        <v>880</v>
      </c>
      <c r="L39" s="15">
        <v>606877843</v>
      </c>
      <c r="M39" s="15">
        <v>1300000066618858</v>
      </c>
      <c r="N39" s="14" t="s">
        <v>191</v>
      </c>
      <c r="O39" s="14"/>
    </row>
    <row r="40" spans="1:15">
      <c r="A40" s="14"/>
      <c r="B40" s="14" t="s">
        <v>188</v>
      </c>
      <c r="C40" s="14" t="s">
        <v>189</v>
      </c>
      <c r="D40" s="14" t="s">
        <v>190</v>
      </c>
      <c r="E40" s="14" t="s">
        <v>142</v>
      </c>
      <c r="F40" s="14" t="s">
        <v>143</v>
      </c>
      <c r="G40" s="14" t="s">
        <v>143</v>
      </c>
      <c r="H40" s="14" t="s">
        <v>144</v>
      </c>
      <c r="I40" s="14" t="b">
        <v>0</v>
      </c>
      <c r="J40" s="14">
        <v>40</v>
      </c>
      <c r="K40" s="14">
        <v>880</v>
      </c>
      <c r="L40" s="15">
        <v>606877841</v>
      </c>
      <c r="M40" s="15">
        <v>1300000066618858</v>
      </c>
      <c r="N40" s="14" t="s">
        <v>191</v>
      </c>
      <c r="O40" s="14"/>
    </row>
    <row r="41" spans="1:15">
      <c r="A41" s="14"/>
      <c r="B41" s="14" t="s">
        <v>188</v>
      </c>
      <c r="C41" s="14" t="s">
        <v>189</v>
      </c>
      <c r="D41" s="14" t="s">
        <v>190</v>
      </c>
      <c r="E41" s="14" t="s">
        <v>142</v>
      </c>
      <c r="F41" s="14" t="s">
        <v>143</v>
      </c>
      <c r="G41" s="14" t="s">
        <v>143</v>
      </c>
      <c r="H41" s="14" t="s">
        <v>144</v>
      </c>
      <c r="I41" s="14" t="b">
        <v>0</v>
      </c>
      <c r="J41" s="14">
        <v>1</v>
      </c>
      <c r="K41" s="14">
        <v>880</v>
      </c>
      <c r="L41" s="15">
        <v>606877842</v>
      </c>
      <c r="M41" s="15">
        <v>1300000066618858</v>
      </c>
      <c r="N41" s="14" t="s">
        <v>191</v>
      </c>
      <c r="O41" s="14"/>
    </row>
    <row r="42" spans="1:15">
      <c r="A42" s="14"/>
      <c r="B42" s="14" t="s">
        <v>155</v>
      </c>
      <c r="C42" s="14" t="s">
        <v>156</v>
      </c>
      <c r="D42" s="14" t="s">
        <v>192</v>
      </c>
      <c r="E42" s="14" t="s">
        <v>142</v>
      </c>
      <c r="F42" s="14" t="s">
        <v>143</v>
      </c>
      <c r="G42" s="14" t="s">
        <v>143</v>
      </c>
      <c r="H42" s="14" t="s">
        <v>193</v>
      </c>
      <c r="I42" s="14" t="b">
        <v>0</v>
      </c>
      <c r="J42" s="14">
        <v>7</v>
      </c>
      <c r="K42" s="14">
        <v>3390.5</v>
      </c>
      <c r="L42" s="15">
        <v>602384371</v>
      </c>
      <c r="M42" s="15">
        <v>1300000019285280</v>
      </c>
      <c r="N42" s="14" t="s">
        <v>194</v>
      </c>
      <c r="O42" s="14"/>
    </row>
    <row r="43" spans="1:15">
      <c r="A43" s="14"/>
      <c r="B43" s="14" t="s">
        <v>155</v>
      </c>
      <c r="C43" s="14" t="s">
        <v>156</v>
      </c>
      <c r="D43" s="14" t="s">
        <v>192</v>
      </c>
      <c r="E43" s="14" t="s">
        <v>142</v>
      </c>
      <c r="F43" s="14" t="s">
        <v>143</v>
      </c>
      <c r="G43" s="14" t="s">
        <v>143</v>
      </c>
      <c r="H43" s="14" t="s">
        <v>193</v>
      </c>
      <c r="I43" s="14" t="b">
        <v>0</v>
      </c>
      <c r="J43" s="14">
        <v>8</v>
      </c>
      <c r="K43" s="14">
        <v>3390.5</v>
      </c>
      <c r="L43" s="15">
        <v>602384370</v>
      </c>
      <c r="M43" s="15">
        <v>1300000019285280</v>
      </c>
      <c r="N43" s="14" t="s">
        <v>194</v>
      </c>
      <c r="O43" s="14"/>
    </row>
    <row r="44" spans="1:15">
      <c r="A44" s="14"/>
      <c r="B44" s="14" t="s">
        <v>155</v>
      </c>
      <c r="C44" s="14" t="s">
        <v>156</v>
      </c>
      <c r="D44" s="14" t="s">
        <v>192</v>
      </c>
      <c r="E44" s="14" t="s">
        <v>142</v>
      </c>
      <c r="F44" s="14" t="s">
        <v>143</v>
      </c>
      <c r="G44" s="14" t="s">
        <v>143</v>
      </c>
      <c r="H44" s="14" t="s">
        <v>193</v>
      </c>
      <c r="I44" s="14" t="b">
        <v>0</v>
      </c>
      <c r="J44" s="14">
        <v>1</v>
      </c>
      <c r="K44" s="14">
        <v>3390.5</v>
      </c>
      <c r="L44" s="15">
        <v>602384368</v>
      </c>
      <c r="M44" s="15">
        <v>1300000019285280</v>
      </c>
      <c r="N44" s="14" t="s">
        <v>194</v>
      </c>
      <c r="O44" s="14"/>
    </row>
    <row r="45" spans="1:15">
      <c r="A45" s="14"/>
      <c r="B45" s="14" t="s">
        <v>155</v>
      </c>
      <c r="C45" s="14" t="s">
        <v>156</v>
      </c>
      <c r="D45" s="14" t="s">
        <v>192</v>
      </c>
      <c r="E45" s="14" t="s">
        <v>142</v>
      </c>
      <c r="F45" s="14" t="s">
        <v>143</v>
      </c>
      <c r="G45" s="14" t="s">
        <v>143</v>
      </c>
      <c r="H45" s="14" t="s">
        <v>193</v>
      </c>
      <c r="I45" s="14" t="b">
        <v>0</v>
      </c>
      <c r="J45" s="14">
        <v>9</v>
      </c>
      <c r="K45" s="14">
        <v>3390.5</v>
      </c>
      <c r="L45" s="15">
        <v>602384369</v>
      </c>
      <c r="M45" s="15">
        <v>1300000019285280</v>
      </c>
      <c r="N45" s="14" t="s">
        <v>194</v>
      </c>
      <c r="O45" s="14"/>
    </row>
    <row r="46" spans="1:15">
      <c r="A46" s="14"/>
      <c r="B46" s="14" t="s">
        <v>152</v>
      </c>
      <c r="C46" s="14" t="s">
        <v>153</v>
      </c>
      <c r="D46" s="14" t="s">
        <v>192</v>
      </c>
      <c r="E46" s="14" t="s">
        <v>142</v>
      </c>
      <c r="F46" s="14" t="s">
        <v>143</v>
      </c>
      <c r="G46" s="14" t="s">
        <v>143</v>
      </c>
      <c r="H46" s="14" t="s">
        <v>193</v>
      </c>
      <c r="I46" s="14" t="b">
        <v>0</v>
      </c>
      <c r="J46" s="14">
        <v>2</v>
      </c>
      <c r="K46" s="14">
        <v>4180.2002000000002</v>
      </c>
      <c r="L46" s="15">
        <v>602393098</v>
      </c>
      <c r="M46" s="15">
        <v>1300000019368715</v>
      </c>
      <c r="N46" s="14" t="s">
        <v>195</v>
      </c>
      <c r="O46" s="14"/>
    </row>
    <row r="47" spans="1:15">
      <c r="A47" s="14"/>
      <c r="B47" s="14" t="s">
        <v>152</v>
      </c>
      <c r="C47" s="14" t="s">
        <v>153</v>
      </c>
      <c r="D47" s="14" t="s">
        <v>192</v>
      </c>
      <c r="E47" s="14" t="s">
        <v>142</v>
      </c>
      <c r="F47" s="14" t="s">
        <v>143</v>
      </c>
      <c r="G47" s="14" t="s">
        <v>143</v>
      </c>
      <c r="H47" s="14" t="s">
        <v>193</v>
      </c>
      <c r="I47" s="14" t="b">
        <v>0</v>
      </c>
      <c r="J47" s="14">
        <v>4</v>
      </c>
      <c r="K47" s="14">
        <v>4180.2997999999998</v>
      </c>
      <c r="L47" s="15">
        <v>602393093</v>
      </c>
      <c r="M47" s="15">
        <v>1300000019368715</v>
      </c>
      <c r="N47" s="14" t="s">
        <v>195</v>
      </c>
      <c r="O47" s="14"/>
    </row>
    <row r="48" spans="1:15">
      <c r="A48" s="14"/>
      <c r="B48" s="14" t="s">
        <v>152</v>
      </c>
      <c r="C48" s="14" t="s">
        <v>153</v>
      </c>
      <c r="D48" s="14" t="s">
        <v>192</v>
      </c>
      <c r="E48" s="14" t="s">
        <v>142</v>
      </c>
      <c r="F48" s="14" t="s">
        <v>143</v>
      </c>
      <c r="G48" s="14" t="s">
        <v>143</v>
      </c>
      <c r="H48" s="14" t="s">
        <v>193</v>
      </c>
      <c r="I48" s="14" t="b">
        <v>0</v>
      </c>
      <c r="J48" s="14">
        <v>1</v>
      </c>
      <c r="K48" s="14">
        <v>4180.2002000000002</v>
      </c>
      <c r="L48" s="15">
        <v>602393095</v>
      </c>
      <c r="M48" s="15">
        <v>1300000019368715</v>
      </c>
      <c r="N48" s="14" t="s">
        <v>195</v>
      </c>
      <c r="O48" s="14"/>
    </row>
    <row r="49" spans="1:15">
      <c r="A49" s="14"/>
      <c r="B49" s="14" t="s">
        <v>152</v>
      </c>
      <c r="C49" s="14" t="s">
        <v>153</v>
      </c>
      <c r="D49" s="14" t="s">
        <v>192</v>
      </c>
      <c r="E49" s="14" t="s">
        <v>142</v>
      </c>
      <c r="F49" s="14" t="s">
        <v>143</v>
      </c>
      <c r="G49" s="14" t="s">
        <v>143</v>
      </c>
      <c r="H49" s="14" t="s">
        <v>193</v>
      </c>
      <c r="I49" s="14" t="b">
        <v>0</v>
      </c>
      <c r="J49" s="14">
        <v>1</v>
      </c>
      <c r="K49" s="14">
        <v>4180.2997999999998</v>
      </c>
      <c r="L49" s="15">
        <v>602393092</v>
      </c>
      <c r="M49" s="15">
        <v>1300000019368715</v>
      </c>
      <c r="N49" s="14" t="s">
        <v>195</v>
      </c>
      <c r="O49" s="14"/>
    </row>
    <row r="50" spans="1:15">
      <c r="A50" s="14"/>
      <c r="B50" s="14" t="s">
        <v>152</v>
      </c>
      <c r="C50" s="14" t="s">
        <v>153</v>
      </c>
      <c r="D50" s="14" t="s">
        <v>192</v>
      </c>
      <c r="E50" s="14" t="s">
        <v>142</v>
      </c>
      <c r="F50" s="14" t="s">
        <v>143</v>
      </c>
      <c r="G50" s="14" t="s">
        <v>143</v>
      </c>
      <c r="H50" s="14" t="s">
        <v>193</v>
      </c>
      <c r="I50" s="14" t="b">
        <v>0</v>
      </c>
      <c r="J50" s="14">
        <v>8</v>
      </c>
      <c r="K50" s="14">
        <v>4180</v>
      </c>
      <c r="L50" s="15">
        <v>602393099</v>
      </c>
      <c r="M50" s="15">
        <v>1300000019368715</v>
      </c>
      <c r="N50" s="14" t="s">
        <v>195</v>
      </c>
      <c r="O50" s="14"/>
    </row>
    <row r="51" spans="1:15">
      <c r="A51" s="14"/>
      <c r="B51" s="14" t="s">
        <v>76</v>
      </c>
      <c r="C51" s="14" t="s">
        <v>173</v>
      </c>
      <c r="D51" s="14" t="s">
        <v>192</v>
      </c>
      <c r="E51" s="14" t="s">
        <v>142</v>
      </c>
      <c r="F51" s="14" t="s">
        <v>143</v>
      </c>
      <c r="G51" s="14" t="s">
        <v>143</v>
      </c>
      <c r="H51" s="14" t="s">
        <v>193</v>
      </c>
      <c r="I51" s="14" t="b">
        <v>0</v>
      </c>
      <c r="J51" s="14">
        <v>8</v>
      </c>
      <c r="K51" s="14">
        <v>1476.9</v>
      </c>
      <c r="L51" s="15">
        <v>402017002</v>
      </c>
      <c r="M51" s="15">
        <v>1200000018561473</v>
      </c>
      <c r="N51" s="14" t="s">
        <v>196</v>
      </c>
      <c r="O51" s="14"/>
    </row>
    <row r="52" spans="1:15">
      <c r="A52" s="14"/>
      <c r="B52" s="14" t="s">
        <v>76</v>
      </c>
      <c r="C52" s="14" t="s">
        <v>173</v>
      </c>
      <c r="D52" s="14" t="s">
        <v>192</v>
      </c>
      <c r="E52" s="14" t="s">
        <v>142</v>
      </c>
      <c r="F52" s="14" t="s">
        <v>143</v>
      </c>
      <c r="G52" s="14" t="s">
        <v>143</v>
      </c>
      <c r="H52" s="14" t="s">
        <v>193</v>
      </c>
      <c r="I52" s="14" t="b">
        <v>0</v>
      </c>
      <c r="J52" s="14">
        <v>7</v>
      </c>
      <c r="K52" s="14">
        <v>1476.9</v>
      </c>
      <c r="L52" s="15">
        <v>402017003</v>
      </c>
      <c r="M52" s="15">
        <v>1200000018561473</v>
      </c>
      <c r="N52" s="14" t="s">
        <v>196</v>
      </c>
      <c r="O52" s="14"/>
    </row>
    <row r="53" spans="1:15">
      <c r="A53" s="14"/>
      <c r="B53" s="14" t="s">
        <v>76</v>
      </c>
      <c r="C53" s="14" t="s">
        <v>173</v>
      </c>
      <c r="D53" s="14" t="s">
        <v>192</v>
      </c>
      <c r="E53" s="14" t="s">
        <v>142</v>
      </c>
      <c r="F53" s="14" t="s">
        <v>143</v>
      </c>
      <c r="G53" s="14" t="s">
        <v>143</v>
      </c>
      <c r="H53" s="14" t="s">
        <v>193</v>
      </c>
      <c r="I53" s="14" t="b">
        <v>0</v>
      </c>
      <c r="J53" s="14">
        <v>4</v>
      </c>
      <c r="K53" s="14">
        <v>1477.1</v>
      </c>
      <c r="L53" s="15">
        <v>402016996</v>
      </c>
      <c r="M53" s="15">
        <v>1200000018561473</v>
      </c>
      <c r="N53" s="14" t="s">
        <v>196</v>
      </c>
      <c r="O53" s="14"/>
    </row>
    <row r="54" spans="1:15">
      <c r="A54" s="14"/>
      <c r="B54" s="14" t="s">
        <v>76</v>
      </c>
      <c r="C54" s="14" t="s">
        <v>173</v>
      </c>
      <c r="D54" s="14" t="s">
        <v>192</v>
      </c>
      <c r="E54" s="14" t="s">
        <v>142</v>
      </c>
      <c r="F54" s="14" t="s">
        <v>143</v>
      </c>
      <c r="G54" s="14" t="s">
        <v>143</v>
      </c>
      <c r="H54" s="14" t="s">
        <v>193</v>
      </c>
      <c r="I54" s="14" t="b">
        <v>0</v>
      </c>
      <c r="J54" s="14">
        <v>2</v>
      </c>
      <c r="K54" s="14">
        <v>1477.1</v>
      </c>
      <c r="L54" s="15">
        <v>402016994</v>
      </c>
      <c r="M54" s="15">
        <v>1200000018561473</v>
      </c>
      <c r="N54" s="14" t="s">
        <v>196</v>
      </c>
      <c r="O54" s="14"/>
    </row>
    <row r="55" spans="1:15">
      <c r="A55" s="14"/>
      <c r="B55" s="14" t="s">
        <v>76</v>
      </c>
      <c r="C55" s="14" t="s">
        <v>173</v>
      </c>
      <c r="D55" s="14" t="s">
        <v>192</v>
      </c>
      <c r="E55" s="14" t="s">
        <v>142</v>
      </c>
      <c r="F55" s="14" t="s">
        <v>143</v>
      </c>
      <c r="G55" s="14" t="s">
        <v>143</v>
      </c>
      <c r="H55" s="14" t="s">
        <v>193</v>
      </c>
      <c r="I55" s="14" t="b">
        <v>0</v>
      </c>
      <c r="J55" s="14">
        <v>1</v>
      </c>
      <c r="K55" s="14">
        <v>1477</v>
      </c>
      <c r="L55" s="15">
        <v>402017000</v>
      </c>
      <c r="M55" s="15">
        <v>1200000018561473</v>
      </c>
      <c r="N55" s="14" t="s">
        <v>196</v>
      </c>
      <c r="O55" s="14"/>
    </row>
    <row r="56" spans="1:15">
      <c r="A56" s="14"/>
      <c r="B56" s="14" t="s">
        <v>76</v>
      </c>
      <c r="C56" s="14" t="s">
        <v>173</v>
      </c>
      <c r="D56" s="14" t="s">
        <v>192</v>
      </c>
      <c r="E56" s="14" t="s">
        <v>142</v>
      </c>
      <c r="F56" s="14" t="s">
        <v>143</v>
      </c>
      <c r="G56" s="14" t="s">
        <v>143</v>
      </c>
      <c r="H56" s="14" t="s">
        <v>193</v>
      </c>
      <c r="I56" s="14" t="b">
        <v>0</v>
      </c>
      <c r="J56" s="14">
        <v>1</v>
      </c>
      <c r="K56" s="14">
        <v>1477.1</v>
      </c>
      <c r="L56" s="15">
        <v>402016997</v>
      </c>
      <c r="M56" s="15">
        <v>1200000018561473</v>
      </c>
      <c r="N56" s="14" t="s">
        <v>196</v>
      </c>
      <c r="O56" s="14"/>
    </row>
    <row r="57" spans="1:15">
      <c r="A57" s="14"/>
      <c r="B57" s="14" t="s">
        <v>76</v>
      </c>
      <c r="C57" s="14" t="s">
        <v>173</v>
      </c>
      <c r="D57" s="14" t="s">
        <v>192</v>
      </c>
      <c r="E57" s="14" t="s">
        <v>142</v>
      </c>
      <c r="F57" s="14" t="s">
        <v>143</v>
      </c>
      <c r="G57" s="14" t="s">
        <v>143</v>
      </c>
      <c r="H57" s="14" t="s">
        <v>193</v>
      </c>
      <c r="I57" s="14" t="b">
        <v>0</v>
      </c>
      <c r="J57" s="14">
        <v>14</v>
      </c>
      <c r="K57" s="14">
        <v>1477</v>
      </c>
      <c r="L57" s="15">
        <v>402017001</v>
      </c>
      <c r="M57" s="15">
        <v>1200000018561473</v>
      </c>
      <c r="N57" s="14" t="s">
        <v>196</v>
      </c>
      <c r="O57" s="14"/>
    </row>
    <row r="58" spans="1:15">
      <c r="A58" s="14"/>
      <c r="B58" s="14" t="s">
        <v>76</v>
      </c>
      <c r="C58" s="14" t="s">
        <v>173</v>
      </c>
      <c r="D58" s="14" t="s">
        <v>192</v>
      </c>
      <c r="E58" s="14" t="s">
        <v>142</v>
      </c>
      <c r="F58" s="14" t="s">
        <v>143</v>
      </c>
      <c r="G58" s="14" t="s">
        <v>143</v>
      </c>
      <c r="H58" s="14" t="s">
        <v>193</v>
      </c>
      <c r="I58" s="14" t="b">
        <v>0</v>
      </c>
      <c r="J58" s="14">
        <v>5</v>
      </c>
      <c r="K58" s="14">
        <v>1477.1</v>
      </c>
      <c r="L58" s="15">
        <v>402016998</v>
      </c>
      <c r="M58" s="15">
        <v>1200000018561473</v>
      </c>
      <c r="N58" s="14" t="s">
        <v>196</v>
      </c>
      <c r="O58" s="14"/>
    </row>
    <row r="59" spans="1:15">
      <c r="A59" s="14"/>
      <c r="B59" s="14" t="s">
        <v>76</v>
      </c>
      <c r="C59" s="14" t="s">
        <v>173</v>
      </c>
      <c r="D59" s="14" t="s">
        <v>192</v>
      </c>
      <c r="E59" s="14" t="s">
        <v>142</v>
      </c>
      <c r="F59" s="14" t="s">
        <v>143</v>
      </c>
      <c r="G59" s="14" t="s">
        <v>143</v>
      </c>
      <c r="H59" s="14" t="s">
        <v>193</v>
      </c>
      <c r="I59" s="14" t="b">
        <v>0</v>
      </c>
      <c r="J59" s="14">
        <v>10</v>
      </c>
      <c r="K59" s="14">
        <v>1477.1</v>
      </c>
      <c r="L59" s="15">
        <v>402016999</v>
      </c>
      <c r="M59" s="15">
        <v>1200000018561473</v>
      </c>
      <c r="N59" s="14" t="s">
        <v>196</v>
      </c>
      <c r="O59" s="14"/>
    </row>
    <row r="60" spans="1:15">
      <c r="A60" s="14"/>
      <c r="B60" s="14" t="s">
        <v>182</v>
      </c>
      <c r="C60" s="14" t="s">
        <v>183</v>
      </c>
      <c r="D60" s="14" t="s">
        <v>197</v>
      </c>
      <c r="E60" s="14" t="s">
        <v>142</v>
      </c>
      <c r="F60" s="14" t="s">
        <v>143</v>
      </c>
      <c r="G60" s="14" t="s">
        <v>143</v>
      </c>
      <c r="H60" s="14" t="s">
        <v>144</v>
      </c>
      <c r="I60" s="14" t="b">
        <v>0</v>
      </c>
      <c r="J60" s="14">
        <v>1</v>
      </c>
      <c r="K60" s="14">
        <v>126.69</v>
      </c>
      <c r="L60" s="15">
        <v>5171536</v>
      </c>
      <c r="M60" s="15">
        <v>1000000056548613</v>
      </c>
      <c r="N60" s="14" t="s">
        <v>198</v>
      </c>
      <c r="O60" s="14"/>
    </row>
    <row r="61" spans="1:15">
      <c r="A61" s="14"/>
      <c r="B61" s="14" t="s">
        <v>182</v>
      </c>
      <c r="C61" s="14" t="s">
        <v>183</v>
      </c>
      <c r="D61" s="14" t="s">
        <v>197</v>
      </c>
      <c r="E61" s="14" t="s">
        <v>142</v>
      </c>
      <c r="F61" s="14" t="s">
        <v>143</v>
      </c>
      <c r="G61" s="14" t="s">
        <v>143</v>
      </c>
      <c r="H61" s="14" t="s">
        <v>144</v>
      </c>
      <c r="I61" s="14" t="b">
        <v>0</v>
      </c>
      <c r="J61" s="14">
        <v>2</v>
      </c>
      <c r="K61" s="14">
        <v>126.67</v>
      </c>
      <c r="L61" s="15">
        <v>5171523</v>
      </c>
      <c r="M61" s="15">
        <v>1000000056548613</v>
      </c>
      <c r="N61" s="14" t="s">
        <v>198</v>
      </c>
      <c r="O61" s="14"/>
    </row>
    <row r="62" spans="1:15">
      <c r="A62" s="14"/>
      <c r="B62" s="14" t="s">
        <v>182</v>
      </c>
      <c r="C62" s="14" t="s">
        <v>183</v>
      </c>
      <c r="D62" s="14" t="s">
        <v>197</v>
      </c>
      <c r="E62" s="14" t="s">
        <v>142</v>
      </c>
      <c r="F62" s="14" t="s">
        <v>143</v>
      </c>
      <c r="G62" s="14" t="s">
        <v>143</v>
      </c>
      <c r="H62" s="14" t="s">
        <v>144</v>
      </c>
      <c r="I62" s="14" t="b">
        <v>0</v>
      </c>
      <c r="J62" s="14">
        <v>1</v>
      </c>
      <c r="K62" s="14">
        <v>126.67</v>
      </c>
      <c r="L62" s="15">
        <v>5171524</v>
      </c>
      <c r="M62" s="15">
        <v>1000000056548613</v>
      </c>
      <c r="N62" s="14" t="s">
        <v>198</v>
      </c>
      <c r="O62" s="14"/>
    </row>
    <row r="63" spans="1:15">
      <c r="A63" s="14"/>
      <c r="B63" s="14" t="s">
        <v>182</v>
      </c>
      <c r="C63" s="14" t="s">
        <v>183</v>
      </c>
      <c r="D63" s="14" t="s">
        <v>197</v>
      </c>
      <c r="E63" s="14" t="s">
        <v>142</v>
      </c>
      <c r="F63" s="14" t="s">
        <v>143</v>
      </c>
      <c r="G63" s="14" t="s">
        <v>143</v>
      </c>
      <c r="H63" s="14" t="s">
        <v>144</v>
      </c>
      <c r="I63" s="14" t="b">
        <v>0</v>
      </c>
      <c r="J63" s="14">
        <v>369</v>
      </c>
      <c r="K63" s="14">
        <v>126.7</v>
      </c>
      <c r="L63" s="15">
        <v>5171538</v>
      </c>
      <c r="M63" s="15">
        <v>1000000056548613</v>
      </c>
      <c r="N63" s="14" t="s">
        <v>198</v>
      </c>
      <c r="O63" s="14"/>
    </row>
    <row r="64" spans="1:15">
      <c r="A64" s="14"/>
      <c r="B64" s="14" t="s">
        <v>182</v>
      </c>
      <c r="C64" s="14" t="s">
        <v>183</v>
      </c>
      <c r="D64" s="14" t="s">
        <v>197</v>
      </c>
      <c r="E64" s="14" t="s">
        <v>142</v>
      </c>
      <c r="F64" s="14" t="s">
        <v>143</v>
      </c>
      <c r="G64" s="14" t="s">
        <v>143</v>
      </c>
      <c r="H64" s="14" t="s">
        <v>144</v>
      </c>
      <c r="I64" s="14" t="b">
        <v>0</v>
      </c>
      <c r="J64" s="14">
        <v>60</v>
      </c>
      <c r="K64" s="14">
        <v>126.7</v>
      </c>
      <c r="L64" s="15">
        <v>5171540</v>
      </c>
      <c r="M64" s="15">
        <v>1000000056548613</v>
      </c>
      <c r="N64" s="14" t="s">
        <v>198</v>
      </c>
      <c r="O64" s="14"/>
    </row>
    <row r="65" spans="1:15">
      <c r="A65" s="14"/>
      <c r="B65" s="14" t="s">
        <v>182</v>
      </c>
      <c r="C65" s="14" t="s">
        <v>183</v>
      </c>
      <c r="D65" s="14" t="s">
        <v>197</v>
      </c>
      <c r="E65" s="14" t="s">
        <v>142</v>
      </c>
      <c r="F65" s="14" t="s">
        <v>143</v>
      </c>
      <c r="G65" s="14" t="s">
        <v>143</v>
      </c>
      <c r="H65" s="14" t="s">
        <v>144</v>
      </c>
      <c r="I65" s="14" t="b">
        <v>0</v>
      </c>
      <c r="J65" s="14">
        <v>125</v>
      </c>
      <c r="K65" s="14">
        <v>126.69</v>
      </c>
      <c r="L65" s="15">
        <v>5171535</v>
      </c>
      <c r="M65" s="15">
        <v>1000000056548613</v>
      </c>
      <c r="N65" s="14" t="s">
        <v>198</v>
      </c>
      <c r="O65" s="14"/>
    </row>
    <row r="66" spans="1:15">
      <c r="A66" s="14"/>
      <c r="B66" s="14" t="s">
        <v>182</v>
      </c>
      <c r="C66" s="14" t="s">
        <v>183</v>
      </c>
      <c r="D66" s="14" t="s">
        <v>197</v>
      </c>
      <c r="E66" s="14" t="s">
        <v>142</v>
      </c>
      <c r="F66" s="14" t="s">
        <v>143</v>
      </c>
      <c r="G66" s="14" t="s">
        <v>143</v>
      </c>
      <c r="H66" s="14" t="s">
        <v>144</v>
      </c>
      <c r="I66" s="14" t="b">
        <v>0</v>
      </c>
      <c r="J66" s="14">
        <v>110</v>
      </c>
      <c r="K66" s="14">
        <v>126.7</v>
      </c>
      <c r="L66" s="15">
        <v>5171539</v>
      </c>
      <c r="M66" s="15">
        <v>1000000056548613</v>
      </c>
      <c r="N66" s="14" t="s">
        <v>198</v>
      </c>
      <c r="O66" s="14"/>
    </row>
    <row r="67" spans="1:15">
      <c r="A67" s="14"/>
      <c r="B67" s="14" t="s">
        <v>182</v>
      </c>
      <c r="C67" s="14" t="s">
        <v>183</v>
      </c>
      <c r="D67" s="14" t="s">
        <v>197</v>
      </c>
      <c r="E67" s="14" t="s">
        <v>142</v>
      </c>
      <c r="F67" s="14" t="s">
        <v>143</v>
      </c>
      <c r="G67" s="14" t="s">
        <v>143</v>
      </c>
      <c r="H67" s="14" t="s">
        <v>144</v>
      </c>
      <c r="I67" s="14" t="b">
        <v>0</v>
      </c>
      <c r="J67" s="14">
        <v>59</v>
      </c>
      <c r="K67" s="14">
        <v>126.69</v>
      </c>
      <c r="L67" s="15">
        <v>5171537</v>
      </c>
      <c r="M67" s="15">
        <v>1000000056548613</v>
      </c>
      <c r="N67" s="14" t="s">
        <v>198</v>
      </c>
      <c r="O67" s="14"/>
    </row>
    <row r="68" spans="1:15">
      <c r="A68" s="14"/>
      <c r="B68" s="14" t="s">
        <v>182</v>
      </c>
      <c r="C68" s="14" t="s">
        <v>183</v>
      </c>
      <c r="D68" s="14" t="s">
        <v>197</v>
      </c>
      <c r="E68" s="14" t="s">
        <v>142</v>
      </c>
      <c r="F68" s="14" t="s">
        <v>143</v>
      </c>
      <c r="G68" s="14" t="s">
        <v>143</v>
      </c>
      <c r="H68" s="14" t="s">
        <v>144</v>
      </c>
      <c r="I68" s="14" t="b">
        <v>0</v>
      </c>
      <c r="J68" s="14">
        <v>7</v>
      </c>
      <c r="K68" s="14">
        <v>126.7</v>
      </c>
      <c r="L68" s="15">
        <v>5171541</v>
      </c>
      <c r="M68" s="15">
        <v>1000000056548613</v>
      </c>
      <c r="N68" s="14" t="s">
        <v>198</v>
      </c>
      <c r="O68" s="14"/>
    </row>
    <row r="69" spans="1:15">
      <c r="A69" s="14"/>
      <c r="B69" s="14" t="s">
        <v>163</v>
      </c>
      <c r="C69" s="14" t="s">
        <v>164</v>
      </c>
      <c r="D69" s="14" t="s">
        <v>197</v>
      </c>
      <c r="E69" s="14" t="s">
        <v>199</v>
      </c>
      <c r="F69" s="14" t="s">
        <v>143</v>
      </c>
      <c r="G69" s="14" t="s">
        <v>200</v>
      </c>
      <c r="H69" s="14" t="s">
        <v>144</v>
      </c>
      <c r="I69" s="14" t="b">
        <v>0</v>
      </c>
      <c r="J69" s="14">
        <v>250</v>
      </c>
      <c r="K69" s="14">
        <v>207</v>
      </c>
      <c r="L69" s="15">
        <v>8112900</v>
      </c>
      <c r="M69" s="15">
        <v>1.7597414366261729E+18</v>
      </c>
      <c r="N69" s="14" t="s">
        <v>201</v>
      </c>
      <c r="O69" s="14"/>
    </row>
    <row r="70" spans="1:15">
      <c r="A70" s="14"/>
      <c r="B70" s="14" t="s">
        <v>202</v>
      </c>
      <c r="C70" s="14" t="s">
        <v>203</v>
      </c>
      <c r="D70" s="14" t="s">
        <v>197</v>
      </c>
      <c r="E70" s="14" t="s">
        <v>142</v>
      </c>
      <c r="F70" s="14" t="s">
        <v>143</v>
      </c>
      <c r="G70" s="14" t="s">
        <v>143</v>
      </c>
      <c r="H70" s="14" t="s">
        <v>144</v>
      </c>
      <c r="I70" s="14" t="b">
        <v>0</v>
      </c>
      <c r="J70" s="14">
        <v>154</v>
      </c>
      <c r="K70" s="14">
        <v>531.35</v>
      </c>
      <c r="L70" s="15">
        <v>406721086</v>
      </c>
      <c r="M70" s="15">
        <v>1200000079369794</v>
      </c>
      <c r="N70" s="14" t="s">
        <v>204</v>
      </c>
      <c r="O70" s="14"/>
    </row>
    <row r="71" spans="1:15">
      <c r="A71" s="14"/>
      <c r="B71" s="14" t="s">
        <v>202</v>
      </c>
      <c r="C71" s="14" t="s">
        <v>203</v>
      </c>
      <c r="D71" s="14" t="s">
        <v>197</v>
      </c>
      <c r="E71" s="14" t="s">
        <v>142</v>
      </c>
      <c r="F71" s="14" t="s">
        <v>143</v>
      </c>
      <c r="G71" s="14" t="s">
        <v>143</v>
      </c>
      <c r="H71" s="14" t="s">
        <v>144</v>
      </c>
      <c r="I71" s="14" t="b">
        <v>0</v>
      </c>
      <c r="J71" s="14">
        <v>23</v>
      </c>
      <c r="K71" s="14">
        <v>531.29999999999995</v>
      </c>
      <c r="L71" s="15">
        <v>406721085</v>
      </c>
      <c r="M71" s="15">
        <v>1200000079369794</v>
      </c>
      <c r="N71" s="14" t="s">
        <v>204</v>
      </c>
      <c r="O71" s="14"/>
    </row>
    <row r="72" spans="1:15">
      <c r="A72" s="14"/>
      <c r="B72" s="14" t="s">
        <v>202</v>
      </c>
      <c r="C72" s="14" t="s">
        <v>203</v>
      </c>
      <c r="D72" s="14" t="s">
        <v>197</v>
      </c>
      <c r="E72" s="14" t="s">
        <v>142</v>
      </c>
      <c r="F72" s="14" t="s">
        <v>143</v>
      </c>
      <c r="G72" s="14" t="s">
        <v>143</v>
      </c>
      <c r="H72" s="14" t="s">
        <v>144</v>
      </c>
      <c r="I72" s="14" t="b">
        <v>0</v>
      </c>
      <c r="J72" s="14">
        <v>11</v>
      </c>
      <c r="K72" s="14">
        <v>531.35</v>
      </c>
      <c r="L72" s="15">
        <v>406721087</v>
      </c>
      <c r="M72" s="15">
        <v>1200000079369794</v>
      </c>
      <c r="N72" s="14" t="s">
        <v>204</v>
      </c>
      <c r="O72" s="14"/>
    </row>
    <row r="73" spans="1:15">
      <c r="A73" s="14"/>
      <c r="B73" s="14" t="s">
        <v>126</v>
      </c>
      <c r="C73" s="14" t="s">
        <v>205</v>
      </c>
      <c r="D73" s="14" t="s">
        <v>197</v>
      </c>
      <c r="E73" s="14" t="s">
        <v>142</v>
      </c>
      <c r="F73" s="14" t="s">
        <v>143</v>
      </c>
      <c r="G73" s="14" t="s">
        <v>143</v>
      </c>
      <c r="H73" s="14" t="s">
        <v>144</v>
      </c>
      <c r="I73" s="14" t="b">
        <v>0</v>
      </c>
      <c r="J73" s="14">
        <v>5</v>
      </c>
      <c r="K73" s="14">
        <v>210.48</v>
      </c>
      <c r="L73" s="15">
        <v>406814089</v>
      </c>
      <c r="M73" s="15">
        <v>1200000080227979</v>
      </c>
      <c r="N73" s="14" t="s">
        <v>206</v>
      </c>
      <c r="O73" s="14"/>
    </row>
    <row r="74" spans="1:15">
      <c r="A74" s="14"/>
      <c r="B74" s="14" t="s">
        <v>126</v>
      </c>
      <c r="C74" s="14" t="s">
        <v>205</v>
      </c>
      <c r="D74" s="14" t="s">
        <v>197</v>
      </c>
      <c r="E74" s="14" t="s">
        <v>142</v>
      </c>
      <c r="F74" s="14" t="s">
        <v>143</v>
      </c>
      <c r="G74" s="14" t="s">
        <v>143</v>
      </c>
      <c r="H74" s="14" t="s">
        <v>144</v>
      </c>
      <c r="I74" s="14" t="b">
        <v>0</v>
      </c>
      <c r="J74" s="14">
        <v>19</v>
      </c>
      <c r="K74" s="14">
        <v>210.48</v>
      </c>
      <c r="L74" s="15">
        <v>406814086</v>
      </c>
      <c r="M74" s="15">
        <v>1200000080227979</v>
      </c>
      <c r="N74" s="14" t="s">
        <v>206</v>
      </c>
      <c r="O74" s="14"/>
    </row>
    <row r="75" spans="1:15">
      <c r="A75" s="14"/>
      <c r="B75" s="14" t="s">
        <v>126</v>
      </c>
      <c r="C75" s="14" t="s">
        <v>205</v>
      </c>
      <c r="D75" s="14" t="s">
        <v>197</v>
      </c>
      <c r="E75" s="14" t="s">
        <v>142</v>
      </c>
      <c r="F75" s="14" t="s">
        <v>143</v>
      </c>
      <c r="G75" s="14" t="s">
        <v>143</v>
      </c>
      <c r="H75" s="14" t="s">
        <v>144</v>
      </c>
      <c r="I75" s="14" t="b">
        <v>0</v>
      </c>
      <c r="J75" s="14">
        <v>2</v>
      </c>
      <c r="K75" s="14">
        <v>210.49</v>
      </c>
      <c r="L75" s="15">
        <v>406814099</v>
      </c>
      <c r="M75" s="15">
        <v>1200000080227979</v>
      </c>
      <c r="N75" s="14" t="s">
        <v>206</v>
      </c>
      <c r="O75" s="14"/>
    </row>
    <row r="76" spans="1:15">
      <c r="A76" s="14"/>
      <c r="B76" s="14" t="s">
        <v>126</v>
      </c>
      <c r="C76" s="14" t="s">
        <v>205</v>
      </c>
      <c r="D76" s="14" t="s">
        <v>197</v>
      </c>
      <c r="E76" s="14" t="s">
        <v>142</v>
      </c>
      <c r="F76" s="14" t="s">
        <v>143</v>
      </c>
      <c r="G76" s="14" t="s">
        <v>143</v>
      </c>
      <c r="H76" s="14" t="s">
        <v>144</v>
      </c>
      <c r="I76" s="14" t="b">
        <v>0</v>
      </c>
      <c r="J76" s="14">
        <v>1</v>
      </c>
      <c r="K76" s="14">
        <v>210.48</v>
      </c>
      <c r="L76" s="15">
        <v>406814087</v>
      </c>
      <c r="M76" s="15">
        <v>1200000080227979</v>
      </c>
      <c r="N76" s="14" t="s">
        <v>206</v>
      </c>
      <c r="O76" s="14"/>
    </row>
    <row r="77" spans="1:15">
      <c r="A77" s="14"/>
      <c r="B77" s="14" t="s">
        <v>126</v>
      </c>
      <c r="C77" s="14" t="s">
        <v>205</v>
      </c>
      <c r="D77" s="14" t="s">
        <v>197</v>
      </c>
      <c r="E77" s="14" t="s">
        <v>142</v>
      </c>
      <c r="F77" s="14" t="s">
        <v>143</v>
      </c>
      <c r="G77" s="14" t="s">
        <v>143</v>
      </c>
      <c r="H77" s="14" t="s">
        <v>144</v>
      </c>
      <c r="I77" s="14" t="b">
        <v>0</v>
      </c>
      <c r="J77" s="14">
        <v>17</v>
      </c>
      <c r="K77" s="14">
        <v>210.49</v>
      </c>
      <c r="L77" s="15">
        <v>406814090</v>
      </c>
      <c r="M77" s="15">
        <v>1200000080227979</v>
      </c>
      <c r="N77" s="14" t="s">
        <v>206</v>
      </c>
      <c r="O77" s="14"/>
    </row>
    <row r="78" spans="1:15">
      <c r="A78" s="14"/>
      <c r="B78" s="14" t="s">
        <v>126</v>
      </c>
      <c r="C78" s="14" t="s">
        <v>205</v>
      </c>
      <c r="D78" s="14" t="s">
        <v>197</v>
      </c>
      <c r="E78" s="14" t="s">
        <v>142</v>
      </c>
      <c r="F78" s="14" t="s">
        <v>143</v>
      </c>
      <c r="G78" s="14" t="s">
        <v>143</v>
      </c>
      <c r="H78" s="14" t="s">
        <v>144</v>
      </c>
      <c r="I78" s="14" t="b">
        <v>0</v>
      </c>
      <c r="J78" s="14">
        <v>23</v>
      </c>
      <c r="K78" s="14">
        <v>210.5</v>
      </c>
      <c r="L78" s="15">
        <v>406814105</v>
      </c>
      <c r="M78" s="15">
        <v>1200000080227979</v>
      </c>
      <c r="N78" s="14" t="s">
        <v>206</v>
      </c>
      <c r="O78" s="14"/>
    </row>
    <row r="79" spans="1:15">
      <c r="A79" s="14"/>
      <c r="B79" s="14" t="s">
        <v>126</v>
      </c>
      <c r="C79" s="14" t="s">
        <v>205</v>
      </c>
      <c r="D79" s="14" t="s">
        <v>197</v>
      </c>
      <c r="E79" s="14" t="s">
        <v>142</v>
      </c>
      <c r="F79" s="14" t="s">
        <v>143</v>
      </c>
      <c r="G79" s="14" t="s">
        <v>143</v>
      </c>
      <c r="H79" s="14" t="s">
        <v>144</v>
      </c>
      <c r="I79" s="14" t="b">
        <v>0</v>
      </c>
      <c r="J79" s="14">
        <v>1</v>
      </c>
      <c r="K79" s="14">
        <v>210.49</v>
      </c>
      <c r="L79" s="15">
        <v>406814092</v>
      </c>
      <c r="M79" s="15">
        <v>1200000080227979</v>
      </c>
      <c r="N79" s="14" t="s">
        <v>206</v>
      </c>
      <c r="O79" s="14"/>
    </row>
    <row r="80" spans="1:15">
      <c r="A80" s="14"/>
      <c r="B80" s="14" t="s">
        <v>126</v>
      </c>
      <c r="C80" s="14" t="s">
        <v>205</v>
      </c>
      <c r="D80" s="14" t="s">
        <v>197</v>
      </c>
      <c r="E80" s="14" t="s">
        <v>142</v>
      </c>
      <c r="F80" s="14" t="s">
        <v>143</v>
      </c>
      <c r="G80" s="14" t="s">
        <v>143</v>
      </c>
      <c r="H80" s="14" t="s">
        <v>144</v>
      </c>
      <c r="I80" s="14" t="b">
        <v>0</v>
      </c>
      <c r="J80" s="14">
        <v>17</v>
      </c>
      <c r="K80" s="14">
        <v>210.48</v>
      </c>
      <c r="L80" s="15">
        <v>406814083</v>
      </c>
      <c r="M80" s="15">
        <v>1200000080227979</v>
      </c>
      <c r="N80" s="14" t="s">
        <v>206</v>
      </c>
      <c r="O80" s="14"/>
    </row>
    <row r="81" spans="1:15">
      <c r="A81" s="14"/>
      <c r="B81" s="14" t="s">
        <v>126</v>
      </c>
      <c r="C81" s="14" t="s">
        <v>205</v>
      </c>
      <c r="D81" s="14" t="s">
        <v>197</v>
      </c>
      <c r="E81" s="14" t="s">
        <v>142</v>
      </c>
      <c r="F81" s="14" t="s">
        <v>143</v>
      </c>
      <c r="G81" s="14" t="s">
        <v>143</v>
      </c>
      <c r="H81" s="14" t="s">
        <v>144</v>
      </c>
      <c r="I81" s="14" t="b">
        <v>0</v>
      </c>
      <c r="J81" s="14">
        <v>8</v>
      </c>
      <c r="K81" s="14">
        <v>210.48</v>
      </c>
      <c r="L81" s="15">
        <v>406814085</v>
      </c>
      <c r="M81" s="15">
        <v>1200000080227979</v>
      </c>
      <c r="N81" s="14" t="s">
        <v>206</v>
      </c>
      <c r="O81" s="14"/>
    </row>
    <row r="82" spans="1:15">
      <c r="A82" s="14"/>
      <c r="B82" s="14" t="s">
        <v>126</v>
      </c>
      <c r="C82" s="14" t="s">
        <v>205</v>
      </c>
      <c r="D82" s="14" t="s">
        <v>197</v>
      </c>
      <c r="E82" s="14" t="s">
        <v>142</v>
      </c>
      <c r="F82" s="14" t="s">
        <v>143</v>
      </c>
      <c r="G82" s="14" t="s">
        <v>143</v>
      </c>
      <c r="H82" s="14" t="s">
        <v>144</v>
      </c>
      <c r="I82" s="14" t="b">
        <v>0</v>
      </c>
      <c r="J82" s="14">
        <v>2</v>
      </c>
      <c r="K82" s="14">
        <v>210.5</v>
      </c>
      <c r="L82" s="15">
        <v>406814104</v>
      </c>
      <c r="M82" s="15">
        <v>1200000080227979</v>
      </c>
      <c r="N82" s="14" t="s">
        <v>206</v>
      </c>
      <c r="O82" s="14"/>
    </row>
    <row r="83" spans="1:15">
      <c r="A83" s="14"/>
      <c r="B83" s="14" t="s">
        <v>126</v>
      </c>
      <c r="C83" s="14" t="s">
        <v>205</v>
      </c>
      <c r="D83" s="14" t="s">
        <v>197</v>
      </c>
      <c r="E83" s="14" t="s">
        <v>142</v>
      </c>
      <c r="F83" s="14" t="s">
        <v>143</v>
      </c>
      <c r="G83" s="14" t="s">
        <v>143</v>
      </c>
      <c r="H83" s="14" t="s">
        <v>144</v>
      </c>
      <c r="I83" s="14" t="b">
        <v>0</v>
      </c>
      <c r="J83" s="14">
        <v>2</v>
      </c>
      <c r="K83" s="14">
        <v>210.48</v>
      </c>
      <c r="L83" s="15">
        <v>406814088</v>
      </c>
      <c r="M83" s="15">
        <v>1200000080227979</v>
      </c>
      <c r="N83" s="14" t="s">
        <v>206</v>
      </c>
      <c r="O83" s="14"/>
    </row>
    <row r="84" spans="1:15">
      <c r="A84" s="14"/>
      <c r="B84" s="14" t="s">
        <v>126</v>
      </c>
      <c r="C84" s="14" t="s">
        <v>205</v>
      </c>
      <c r="D84" s="14" t="s">
        <v>197</v>
      </c>
      <c r="E84" s="14" t="s">
        <v>142</v>
      </c>
      <c r="F84" s="14" t="s">
        <v>143</v>
      </c>
      <c r="G84" s="14" t="s">
        <v>143</v>
      </c>
      <c r="H84" s="14" t="s">
        <v>144</v>
      </c>
      <c r="I84" s="14" t="b">
        <v>0</v>
      </c>
      <c r="J84" s="14">
        <v>7</v>
      </c>
      <c r="K84" s="14">
        <v>210.49</v>
      </c>
      <c r="L84" s="15">
        <v>406814103</v>
      </c>
      <c r="M84" s="15">
        <v>1200000080227979</v>
      </c>
      <c r="N84" s="14" t="s">
        <v>206</v>
      </c>
      <c r="O84" s="14"/>
    </row>
    <row r="85" spans="1:15">
      <c r="A85" s="14"/>
      <c r="B85" s="14" t="s">
        <v>167</v>
      </c>
      <c r="C85" s="14" t="s">
        <v>168</v>
      </c>
      <c r="D85" s="14" t="s">
        <v>197</v>
      </c>
      <c r="E85" s="14" t="s">
        <v>199</v>
      </c>
      <c r="F85" s="14" t="s">
        <v>143</v>
      </c>
      <c r="G85" s="14" t="s">
        <v>200</v>
      </c>
      <c r="H85" s="14" t="s">
        <v>144</v>
      </c>
      <c r="I85" s="14" t="b">
        <v>0</v>
      </c>
      <c r="J85" s="14">
        <v>163</v>
      </c>
      <c r="K85" s="14">
        <v>612.20000000000005</v>
      </c>
      <c r="L85" s="15">
        <v>7270300</v>
      </c>
      <c r="M85" s="15">
        <v>1.7597411099705011E+18</v>
      </c>
      <c r="N85" s="14" t="s">
        <v>207</v>
      </c>
      <c r="O85" s="14"/>
    </row>
    <row r="86" spans="1:15">
      <c r="A86" s="14"/>
      <c r="B86" s="14" t="s">
        <v>41</v>
      </c>
      <c r="C86" s="14" t="s">
        <v>208</v>
      </c>
      <c r="D86" s="14" t="s">
        <v>197</v>
      </c>
      <c r="E86" s="14" t="s">
        <v>142</v>
      </c>
      <c r="F86" s="14" t="s">
        <v>143</v>
      </c>
      <c r="G86" s="14" t="s">
        <v>143</v>
      </c>
      <c r="H86" s="14" t="s">
        <v>144</v>
      </c>
      <c r="I86" s="14" t="b">
        <v>0</v>
      </c>
      <c r="J86" s="14">
        <v>87</v>
      </c>
      <c r="K86" s="14">
        <v>775.7</v>
      </c>
      <c r="L86" s="15">
        <v>208032320</v>
      </c>
      <c r="M86" s="15">
        <v>1100000078423165</v>
      </c>
      <c r="N86" s="14" t="s">
        <v>209</v>
      </c>
      <c r="O86" s="14"/>
    </row>
    <row r="87" spans="1:15">
      <c r="A87" s="14"/>
      <c r="B87" s="14" t="s">
        <v>41</v>
      </c>
      <c r="C87" s="14" t="s">
        <v>208</v>
      </c>
      <c r="D87" s="14" t="s">
        <v>197</v>
      </c>
      <c r="E87" s="14" t="s">
        <v>142</v>
      </c>
      <c r="F87" s="14" t="s">
        <v>143</v>
      </c>
      <c r="G87" s="14" t="s">
        <v>143</v>
      </c>
      <c r="H87" s="14" t="s">
        <v>144</v>
      </c>
      <c r="I87" s="14" t="b">
        <v>0</v>
      </c>
      <c r="J87" s="14">
        <v>42</v>
      </c>
      <c r="K87" s="14">
        <v>775.7</v>
      </c>
      <c r="L87" s="15">
        <v>208032319</v>
      </c>
      <c r="M87" s="15">
        <v>1100000078423165</v>
      </c>
      <c r="N87" s="14" t="s">
        <v>209</v>
      </c>
      <c r="O87" s="14"/>
    </row>
    <row r="88" spans="1:15">
      <c r="A88" s="14"/>
      <c r="B88" s="14" t="s">
        <v>188</v>
      </c>
      <c r="C88" s="14" t="s">
        <v>189</v>
      </c>
      <c r="D88" s="14" t="s">
        <v>210</v>
      </c>
      <c r="E88" s="14" t="s">
        <v>142</v>
      </c>
      <c r="F88" s="14" t="s">
        <v>143</v>
      </c>
      <c r="G88" s="14" t="s">
        <v>143</v>
      </c>
      <c r="H88" s="14" t="s">
        <v>193</v>
      </c>
      <c r="I88" s="14" t="b">
        <v>0</v>
      </c>
      <c r="J88" s="14">
        <v>8</v>
      </c>
      <c r="K88" s="14">
        <v>786.7</v>
      </c>
      <c r="L88" s="15">
        <v>605515333</v>
      </c>
      <c r="M88" s="15">
        <v>1300000051006281</v>
      </c>
      <c r="N88" s="14" t="s">
        <v>211</v>
      </c>
      <c r="O88" s="14"/>
    </row>
    <row r="89" spans="1:15">
      <c r="A89" s="14"/>
      <c r="B89" s="14" t="s">
        <v>188</v>
      </c>
      <c r="C89" s="14" t="s">
        <v>189</v>
      </c>
      <c r="D89" s="14" t="s">
        <v>210</v>
      </c>
      <c r="E89" s="14" t="s">
        <v>142</v>
      </c>
      <c r="F89" s="14" t="s">
        <v>143</v>
      </c>
      <c r="G89" s="14" t="s">
        <v>143</v>
      </c>
      <c r="H89" s="14" t="s">
        <v>193</v>
      </c>
      <c r="I89" s="14" t="b">
        <v>0</v>
      </c>
      <c r="J89" s="14">
        <v>1</v>
      </c>
      <c r="K89" s="14">
        <v>786.85</v>
      </c>
      <c r="L89" s="15">
        <v>605515329</v>
      </c>
      <c r="M89" s="15">
        <v>1300000051006281</v>
      </c>
      <c r="N89" s="14" t="s">
        <v>211</v>
      </c>
      <c r="O89" s="14"/>
    </row>
    <row r="90" spans="1:15">
      <c r="A90" s="14"/>
      <c r="B90" s="14" t="s">
        <v>188</v>
      </c>
      <c r="C90" s="14" t="s">
        <v>189</v>
      </c>
      <c r="D90" s="14" t="s">
        <v>210</v>
      </c>
      <c r="E90" s="14" t="s">
        <v>142</v>
      </c>
      <c r="F90" s="14" t="s">
        <v>143</v>
      </c>
      <c r="G90" s="14" t="s">
        <v>143</v>
      </c>
      <c r="H90" s="14" t="s">
        <v>193</v>
      </c>
      <c r="I90" s="14" t="b">
        <v>0</v>
      </c>
      <c r="J90" s="14">
        <v>9</v>
      </c>
      <c r="K90" s="14">
        <v>786.75</v>
      </c>
      <c r="L90" s="15">
        <v>605515330</v>
      </c>
      <c r="M90" s="15">
        <v>1300000051006281</v>
      </c>
      <c r="N90" s="14" t="s">
        <v>211</v>
      </c>
      <c r="O90" s="14"/>
    </row>
    <row r="91" spans="1:15">
      <c r="A91" s="14"/>
      <c r="B91" s="14" t="s">
        <v>188</v>
      </c>
      <c r="C91" s="14" t="s">
        <v>189</v>
      </c>
      <c r="D91" s="14" t="s">
        <v>210</v>
      </c>
      <c r="E91" s="14" t="s">
        <v>142</v>
      </c>
      <c r="F91" s="14" t="s">
        <v>143</v>
      </c>
      <c r="G91" s="14" t="s">
        <v>143</v>
      </c>
      <c r="H91" s="14" t="s">
        <v>193</v>
      </c>
      <c r="I91" s="14" t="b">
        <v>0</v>
      </c>
      <c r="J91" s="14">
        <v>3</v>
      </c>
      <c r="K91" s="14">
        <v>786.7</v>
      </c>
      <c r="L91" s="15">
        <v>605515331</v>
      </c>
      <c r="M91" s="15">
        <v>1300000051006281</v>
      </c>
      <c r="N91" s="14" t="s">
        <v>211</v>
      </c>
      <c r="O91" s="14"/>
    </row>
    <row r="92" spans="1:15">
      <c r="A92" s="14"/>
      <c r="B92" s="14" t="s">
        <v>188</v>
      </c>
      <c r="C92" s="14" t="s">
        <v>189</v>
      </c>
      <c r="D92" s="14" t="s">
        <v>210</v>
      </c>
      <c r="E92" s="14" t="s">
        <v>142</v>
      </c>
      <c r="F92" s="14" t="s">
        <v>143</v>
      </c>
      <c r="G92" s="14" t="s">
        <v>143</v>
      </c>
      <c r="H92" s="14" t="s">
        <v>193</v>
      </c>
      <c r="I92" s="14" t="b">
        <v>0</v>
      </c>
      <c r="J92" s="14">
        <v>16</v>
      </c>
      <c r="K92" s="14">
        <v>786.9</v>
      </c>
      <c r="L92" s="15">
        <v>605515328</v>
      </c>
      <c r="M92" s="15">
        <v>1300000051006281</v>
      </c>
      <c r="N92" s="14" t="s">
        <v>211</v>
      </c>
      <c r="O92" s="14"/>
    </row>
    <row r="93" spans="1:15">
      <c r="A93" s="14"/>
      <c r="B93" s="14" t="s">
        <v>188</v>
      </c>
      <c r="C93" s="14" t="s">
        <v>189</v>
      </c>
      <c r="D93" s="14" t="s">
        <v>210</v>
      </c>
      <c r="E93" s="14" t="s">
        <v>142</v>
      </c>
      <c r="F93" s="14" t="s">
        <v>143</v>
      </c>
      <c r="G93" s="14" t="s">
        <v>143</v>
      </c>
      <c r="H93" s="14" t="s">
        <v>193</v>
      </c>
      <c r="I93" s="14" t="b">
        <v>0</v>
      </c>
      <c r="J93" s="14">
        <v>1</v>
      </c>
      <c r="K93" s="14">
        <v>786.95</v>
      </c>
      <c r="L93" s="15">
        <v>605515326</v>
      </c>
      <c r="M93" s="15">
        <v>1300000051006281</v>
      </c>
      <c r="N93" s="14" t="s">
        <v>211</v>
      </c>
      <c r="O93" s="14"/>
    </row>
    <row r="94" spans="1:15">
      <c r="A94" s="14"/>
      <c r="B94" s="14" t="s">
        <v>188</v>
      </c>
      <c r="C94" s="14" t="s">
        <v>189</v>
      </c>
      <c r="D94" s="14" t="s">
        <v>210</v>
      </c>
      <c r="E94" s="14" t="s">
        <v>142</v>
      </c>
      <c r="F94" s="14" t="s">
        <v>143</v>
      </c>
      <c r="G94" s="14" t="s">
        <v>143</v>
      </c>
      <c r="H94" s="14" t="s">
        <v>193</v>
      </c>
      <c r="I94" s="14" t="b">
        <v>0</v>
      </c>
      <c r="J94" s="14">
        <v>15</v>
      </c>
      <c r="K94" s="14">
        <v>786.95</v>
      </c>
      <c r="L94" s="15">
        <v>605515327</v>
      </c>
      <c r="M94" s="15">
        <v>1300000051006281</v>
      </c>
      <c r="N94" s="14" t="s">
        <v>211</v>
      </c>
      <c r="O94" s="14"/>
    </row>
    <row r="95" spans="1:15">
      <c r="A95" s="14"/>
      <c r="B95" s="14" t="s">
        <v>188</v>
      </c>
      <c r="C95" s="14" t="s">
        <v>189</v>
      </c>
      <c r="D95" s="14" t="s">
        <v>210</v>
      </c>
      <c r="E95" s="14" t="s">
        <v>142</v>
      </c>
      <c r="F95" s="14" t="s">
        <v>143</v>
      </c>
      <c r="G95" s="14" t="s">
        <v>143</v>
      </c>
      <c r="H95" s="14" t="s">
        <v>193</v>
      </c>
      <c r="I95" s="14" t="b">
        <v>0</v>
      </c>
      <c r="J95" s="14">
        <v>1</v>
      </c>
      <c r="K95" s="14">
        <v>786.7</v>
      </c>
      <c r="L95" s="15">
        <v>605515332</v>
      </c>
      <c r="M95" s="15">
        <v>1300000051006281</v>
      </c>
      <c r="N95" s="14" t="s">
        <v>211</v>
      </c>
      <c r="O95" s="14"/>
    </row>
    <row r="96" spans="1:15">
      <c r="A96" s="14"/>
      <c r="B96" s="14" t="s">
        <v>188</v>
      </c>
      <c r="C96" s="14" t="s">
        <v>189</v>
      </c>
      <c r="D96" s="14" t="s">
        <v>210</v>
      </c>
      <c r="E96" s="14" t="s">
        <v>142</v>
      </c>
      <c r="F96" s="14" t="s">
        <v>143</v>
      </c>
      <c r="G96" s="14" t="s">
        <v>143</v>
      </c>
      <c r="H96" s="14" t="s">
        <v>193</v>
      </c>
      <c r="I96" s="14" t="b">
        <v>0</v>
      </c>
      <c r="J96" s="14">
        <v>3</v>
      </c>
      <c r="K96" s="14">
        <v>787</v>
      </c>
      <c r="L96" s="15">
        <v>605515325</v>
      </c>
      <c r="M96" s="15">
        <v>1300000051006281</v>
      </c>
      <c r="N96" s="14" t="s">
        <v>211</v>
      </c>
      <c r="O96" s="14"/>
    </row>
    <row r="97" spans="1:15">
      <c r="A97" s="14"/>
      <c r="B97" s="14" t="s">
        <v>39</v>
      </c>
      <c r="C97" s="14" t="s">
        <v>140</v>
      </c>
      <c r="D97" s="14" t="s">
        <v>212</v>
      </c>
      <c r="E97" s="14" t="s">
        <v>142</v>
      </c>
      <c r="F97" s="14" t="s">
        <v>143</v>
      </c>
      <c r="G97" s="14" t="s">
        <v>143</v>
      </c>
      <c r="H97" s="14" t="s">
        <v>144</v>
      </c>
      <c r="I97" s="14" t="b">
        <v>0</v>
      </c>
      <c r="J97" s="14">
        <v>13</v>
      </c>
      <c r="K97" s="14">
        <v>7609</v>
      </c>
      <c r="L97" s="15">
        <v>402573640</v>
      </c>
      <c r="M97" s="15">
        <v>1200000029961011</v>
      </c>
      <c r="N97" s="14" t="s">
        <v>213</v>
      </c>
      <c r="O97" s="14"/>
    </row>
    <row r="98" spans="1:15">
      <c r="A98" s="14"/>
      <c r="B98" s="14" t="s">
        <v>182</v>
      </c>
      <c r="C98" s="14" t="s">
        <v>183</v>
      </c>
      <c r="D98" s="14" t="s">
        <v>214</v>
      </c>
      <c r="E98" s="14" t="s">
        <v>142</v>
      </c>
      <c r="F98" s="14" t="s">
        <v>143</v>
      </c>
      <c r="G98" s="14" t="s">
        <v>143</v>
      </c>
      <c r="H98" s="14" t="s">
        <v>144</v>
      </c>
      <c r="I98" s="14" t="b">
        <v>0</v>
      </c>
      <c r="J98" s="14">
        <v>356</v>
      </c>
      <c r="K98" s="14">
        <v>127.49</v>
      </c>
      <c r="L98" s="15">
        <v>4798495</v>
      </c>
      <c r="M98" s="15">
        <v>1000000054465625</v>
      </c>
      <c r="N98" s="14" t="s">
        <v>215</v>
      </c>
      <c r="O98" s="14"/>
    </row>
    <row r="99" spans="1:15">
      <c r="A99" s="14"/>
      <c r="B99" s="14" t="s">
        <v>182</v>
      </c>
      <c r="C99" s="14" t="s">
        <v>183</v>
      </c>
      <c r="D99" s="14" t="s">
        <v>214</v>
      </c>
      <c r="E99" s="14" t="s">
        <v>142</v>
      </c>
      <c r="F99" s="14" t="s">
        <v>143</v>
      </c>
      <c r="G99" s="14" t="s">
        <v>143</v>
      </c>
      <c r="H99" s="14" t="s">
        <v>144</v>
      </c>
      <c r="I99" s="14" t="b">
        <v>0</v>
      </c>
      <c r="J99" s="14">
        <v>428</v>
      </c>
      <c r="K99" s="14">
        <v>127.5</v>
      </c>
      <c r="L99" s="15">
        <v>4798496</v>
      </c>
      <c r="M99" s="15">
        <v>1000000054465625</v>
      </c>
      <c r="N99" s="14" t="s">
        <v>215</v>
      </c>
      <c r="O99" s="14"/>
    </row>
    <row r="100" spans="1:15">
      <c r="A100" s="14"/>
      <c r="B100" s="14" t="s">
        <v>163</v>
      </c>
      <c r="C100" s="14" t="s">
        <v>164</v>
      </c>
      <c r="D100" s="14" t="s">
        <v>214</v>
      </c>
      <c r="E100" s="14" t="s">
        <v>142</v>
      </c>
      <c r="F100" s="14" t="s">
        <v>143</v>
      </c>
      <c r="G100" s="14" t="s">
        <v>143</v>
      </c>
      <c r="H100" s="14" t="s">
        <v>144</v>
      </c>
      <c r="I100" s="14" t="b">
        <v>0</v>
      </c>
      <c r="J100" s="14">
        <v>28</v>
      </c>
      <c r="K100" s="14">
        <v>190.93</v>
      </c>
      <c r="L100" s="15">
        <v>5398744</v>
      </c>
      <c r="M100" s="15">
        <v>1000000058915517</v>
      </c>
      <c r="N100" s="14" t="s">
        <v>216</v>
      </c>
      <c r="O100" s="14"/>
    </row>
    <row r="101" spans="1:15">
      <c r="A101" s="14"/>
      <c r="B101" s="14" t="s">
        <v>163</v>
      </c>
      <c r="C101" s="14" t="s">
        <v>164</v>
      </c>
      <c r="D101" s="14" t="s">
        <v>214</v>
      </c>
      <c r="E101" s="14" t="s">
        <v>142</v>
      </c>
      <c r="F101" s="14" t="s">
        <v>143</v>
      </c>
      <c r="G101" s="14" t="s">
        <v>143</v>
      </c>
      <c r="H101" s="14" t="s">
        <v>144</v>
      </c>
      <c r="I101" s="14" t="b">
        <v>0</v>
      </c>
      <c r="J101" s="14">
        <v>122</v>
      </c>
      <c r="K101" s="14">
        <v>190.9</v>
      </c>
      <c r="L101" s="15">
        <v>5398743</v>
      </c>
      <c r="M101" s="15">
        <v>1000000058915517</v>
      </c>
      <c r="N101" s="14" t="s">
        <v>216</v>
      </c>
      <c r="O101" s="14"/>
    </row>
    <row r="102" spans="1:15">
      <c r="A102" s="14"/>
      <c r="B102" s="14" t="s">
        <v>217</v>
      </c>
      <c r="C102" s="14" t="s">
        <v>218</v>
      </c>
      <c r="D102" s="14" t="s">
        <v>219</v>
      </c>
      <c r="E102" s="14" t="s">
        <v>142</v>
      </c>
      <c r="F102" s="14" t="s">
        <v>143</v>
      </c>
      <c r="G102" s="14" t="s">
        <v>143</v>
      </c>
      <c r="H102" s="14" t="s">
        <v>144</v>
      </c>
      <c r="I102" s="14" t="b">
        <v>0</v>
      </c>
      <c r="J102" s="14">
        <v>7</v>
      </c>
      <c r="K102" s="14">
        <v>1064.5999999999999</v>
      </c>
      <c r="L102" s="15">
        <v>5528442</v>
      </c>
      <c r="M102" s="15">
        <v>1000000054803594</v>
      </c>
      <c r="N102" s="14" t="s">
        <v>220</v>
      </c>
      <c r="O102" s="14"/>
    </row>
    <row r="103" spans="1:15">
      <c r="A103" s="14"/>
      <c r="B103" s="14" t="s">
        <v>217</v>
      </c>
      <c r="C103" s="14" t="s">
        <v>218</v>
      </c>
      <c r="D103" s="14" t="s">
        <v>219</v>
      </c>
      <c r="E103" s="14" t="s">
        <v>142</v>
      </c>
      <c r="F103" s="14" t="s">
        <v>143</v>
      </c>
      <c r="G103" s="14" t="s">
        <v>143</v>
      </c>
      <c r="H103" s="14" t="s">
        <v>144</v>
      </c>
      <c r="I103" s="14" t="b">
        <v>0</v>
      </c>
      <c r="J103" s="14">
        <v>41</v>
      </c>
      <c r="K103" s="14">
        <v>1064.5999999999999</v>
      </c>
      <c r="L103" s="15">
        <v>5528440</v>
      </c>
      <c r="M103" s="15">
        <v>1000000054803594</v>
      </c>
      <c r="N103" s="14" t="s">
        <v>220</v>
      </c>
      <c r="O103" s="14"/>
    </row>
    <row r="104" spans="1:15">
      <c r="A104" s="14"/>
      <c r="B104" s="14" t="s">
        <v>217</v>
      </c>
      <c r="C104" s="14" t="s">
        <v>218</v>
      </c>
      <c r="D104" s="14" t="s">
        <v>219</v>
      </c>
      <c r="E104" s="14" t="s">
        <v>142</v>
      </c>
      <c r="F104" s="14" t="s">
        <v>143</v>
      </c>
      <c r="G104" s="14" t="s">
        <v>143</v>
      </c>
      <c r="H104" s="14" t="s">
        <v>144</v>
      </c>
      <c r="I104" s="14" t="b">
        <v>0</v>
      </c>
      <c r="J104" s="14">
        <v>16</v>
      </c>
      <c r="K104" s="14">
        <v>1064.5999999999999</v>
      </c>
      <c r="L104" s="15">
        <v>5528441</v>
      </c>
      <c r="M104" s="15">
        <v>1000000054803594</v>
      </c>
      <c r="N104" s="14" t="s">
        <v>220</v>
      </c>
      <c r="O104" s="14"/>
    </row>
    <row r="105" spans="1:15">
      <c r="A105" s="14"/>
      <c r="B105" s="14" t="s">
        <v>217</v>
      </c>
      <c r="C105" s="14" t="s">
        <v>218</v>
      </c>
      <c r="D105" s="14" t="s">
        <v>219</v>
      </c>
      <c r="E105" s="14" t="s">
        <v>142</v>
      </c>
      <c r="F105" s="14" t="s">
        <v>143</v>
      </c>
      <c r="G105" s="14" t="s">
        <v>143</v>
      </c>
      <c r="H105" s="14" t="s">
        <v>144</v>
      </c>
      <c r="I105" s="14" t="b">
        <v>0</v>
      </c>
      <c r="J105" s="14">
        <v>30</v>
      </c>
      <c r="K105" s="14">
        <v>1064.5999999999999</v>
      </c>
      <c r="L105" s="15">
        <v>5528443</v>
      </c>
      <c r="M105" s="15">
        <v>1000000054803594</v>
      </c>
      <c r="N105" s="14" t="s">
        <v>220</v>
      </c>
      <c r="O105" s="14"/>
    </row>
    <row r="106" spans="1:15">
      <c r="A106" s="14"/>
      <c r="B106" s="14" t="s">
        <v>149</v>
      </c>
      <c r="C106" s="14" t="s">
        <v>150</v>
      </c>
      <c r="D106" s="14" t="s">
        <v>219</v>
      </c>
      <c r="E106" s="14" t="s">
        <v>142</v>
      </c>
      <c r="F106" s="14" t="s">
        <v>143</v>
      </c>
      <c r="G106" s="14" t="s">
        <v>143</v>
      </c>
      <c r="H106" s="14" t="s">
        <v>144</v>
      </c>
      <c r="I106" s="14" t="b">
        <v>0</v>
      </c>
      <c r="J106" s="14">
        <v>110</v>
      </c>
      <c r="K106" s="14">
        <v>914.55</v>
      </c>
      <c r="L106" s="15">
        <v>206824794</v>
      </c>
      <c r="M106" s="15">
        <v>1100000060857644</v>
      </c>
      <c r="N106" s="14" t="s">
        <v>221</v>
      </c>
      <c r="O106" s="14"/>
    </row>
    <row r="107" spans="1:15">
      <c r="A107" s="14"/>
      <c r="B107" s="14" t="s">
        <v>86</v>
      </c>
      <c r="C107" s="14" t="s">
        <v>175</v>
      </c>
      <c r="D107" s="14" t="s">
        <v>222</v>
      </c>
      <c r="E107" s="14" t="s">
        <v>142</v>
      </c>
      <c r="F107" s="14" t="s">
        <v>143</v>
      </c>
      <c r="G107" s="14" t="s">
        <v>143</v>
      </c>
      <c r="H107" s="14" t="s">
        <v>193</v>
      </c>
      <c r="I107" s="14" t="b">
        <v>0</v>
      </c>
      <c r="J107" s="14">
        <v>24</v>
      </c>
      <c r="K107" s="14">
        <v>757.6</v>
      </c>
      <c r="L107" s="15">
        <v>5988450</v>
      </c>
      <c r="M107" s="15">
        <v>1000000067422485</v>
      </c>
      <c r="N107" s="14" t="s">
        <v>223</v>
      </c>
      <c r="O107" s="14"/>
    </row>
    <row r="108" spans="1:15">
      <c r="A108" s="14"/>
      <c r="B108" s="14" t="s">
        <v>86</v>
      </c>
      <c r="C108" s="14" t="s">
        <v>175</v>
      </c>
      <c r="D108" s="14" t="s">
        <v>222</v>
      </c>
      <c r="E108" s="14" t="s">
        <v>142</v>
      </c>
      <c r="F108" s="14" t="s">
        <v>143</v>
      </c>
      <c r="G108" s="14" t="s">
        <v>143</v>
      </c>
      <c r="H108" s="14" t="s">
        <v>193</v>
      </c>
      <c r="I108" s="14" t="b">
        <v>0</v>
      </c>
      <c r="J108" s="14">
        <v>9</v>
      </c>
      <c r="K108" s="14">
        <v>757.6</v>
      </c>
      <c r="L108" s="15">
        <v>5988451</v>
      </c>
      <c r="M108" s="15">
        <v>1000000067422485</v>
      </c>
      <c r="N108" s="14" t="s">
        <v>223</v>
      </c>
      <c r="O108" s="14"/>
    </row>
    <row r="109" spans="1:15">
      <c r="A109" s="14"/>
      <c r="B109" s="14" t="s">
        <v>178</v>
      </c>
      <c r="C109" s="14" t="s">
        <v>179</v>
      </c>
      <c r="D109" s="14" t="s">
        <v>222</v>
      </c>
      <c r="E109" s="14" t="s">
        <v>199</v>
      </c>
      <c r="F109" s="14" t="s">
        <v>143</v>
      </c>
      <c r="G109" s="14" t="s">
        <v>200</v>
      </c>
      <c r="H109" s="14" t="s">
        <v>193</v>
      </c>
      <c r="I109" s="14" t="b">
        <v>0</v>
      </c>
      <c r="J109" s="14">
        <v>5</v>
      </c>
      <c r="K109" s="14">
        <v>647.15</v>
      </c>
      <c r="L109" s="15">
        <v>7351500</v>
      </c>
      <c r="M109" s="15">
        <v>1.760690323268599E+18</v>
      </c>
      <c r="N109" s="14" t="s">
        <v>224</v>
      </c>
      <c r="O109" s="14"/>
    </row>
    <row r="110" spans="1:15">
      <c r="A110" s="14"/>
      <c r="B110" s="14" t="s">
        <v>178</v>
      </c>
      <c r="C110" s="14" t="s">
        <v>179</v>
      </c>
      <c r="D110" s="14" t="s">
        <v>222</v>
      </c>
      <c r="E110" s="14" t="s">
        <v>199</v>
      </c>
      <c r="F110" s="14" t="s">
        <v>143</v>
      </c>
      <c r="G110" s="14" t="s">
        <v>200</v>
      </c>
      <c r="H110" s="14" t="s">
        <v>193</v>
      </c>
      <c r="I110" s="14" t="b">
        <v>0</v>
      </c>
      <c r="J110" s="14">
        <v>30</v>
      </c>
      <c r="K110" s="14">
        <v>647.20000000000005</v>
      </c>
      <c r="L110" s="15">
        <v>7351300</v>
      </c>
      <c r="M110" s="15">
        <v>1.760690323268599E+18</v>
      </c>
      <c r="N110" s="14" t="s">
        <v>224</v>
      </c>
      <c r="O110" s="14"/>
    </row>
    <row r="111" spans="1:15">
      <c r="A111" s="14"/>
      <c r="B111" s="14" t="s">
        <v>163</v>
      </c>
      <c r="C111" s="14" t="s">
        <v>164</v>
      </c>
      <c r="D111" s="14" t="s">
        <v>225</v>
      </c>
      <c r="E111" s="14" t="s">
        <v>142</v>
      </c>
      <c r="F111" s="14" t="s">
        <v>143</v>
      </c>
      <c r="G111" s="14" t="s">
        <v>143</v>
      </c>
      <c r="H111" s="14" t="s">
        <v>193</v>
      </c>
      <c r="I111" s="14" t="b">
        <v>0</v>
      </c>
      <c r="J111" s="14">
        <v>100</v>
      </c>
      <c r="K111" s="14">
        <v>179.34</v>
      </c>
      <c r="L111" s="15">
        <v>29470</v>
      </c>
      <c r="M111" s="15">
        <v>1000000000031386</v>
      </c>
      <c r="N111" s="14" t="s">
        <v>226</v>
      </c>
      <c r="O111" s="14"/>
    </row>
    <row r="112" spans="1:15">
      <c r="A112" s="14"/>
      <c r="B112" s="14" t="s">
        <v>163</v>
      </c>
      <c r="C112" s="14" t="s">
        <v>164</v>
      </c>
      <c r="D112" s="14" t="s">
        <v>225</v>
      </c>
      <c r="E112" s="14" t="s">
        <v>142</v>
      </c>
      <c r="F112" s="14" t="s">
        <v>143</v>
      </c>
      <c r="G112" s="14" t="s">
        <v>143</v>
      </c>
      <c r="H112" s="14" t="s">
        <v>193</v>
      </c>
      <c r="I112" s="14" t="b">
        <v>0</v>
      </c>
      <c r="J112" s="14">
        <v>556</v>
      </c>
      <c r="K112" s="14">
        <v>179.34</v>
      </c>
      <c r="L112" s="15">
        <v>29471</v>
      </c>
      <c r="M112" s="15">
        <v>1000000000031386</v>
      </c>
      <c r="N112" s="14" t="s">
        <v>226</v>
      </c>
      <c r="O112" s="14"/>
    </row>
    <row r="113" spans="1:15">
      <c r="A113" s="14"/>
      <c r="B113" s="14" t="s">
        <v>163</v>
      </c>
      <c r="C113" s="14" t="s">
        <v>164</v>
      </c>
      <c r="D113" s="14" t="s">
        <v>225</v>
      </c>
      <c r="E113" s="14" t="s">
        <v>142</v>
      </c>
      <c r="F113" s="14" t="s">
        <v>143</v>
      </c>
      <c r="G113" s="14" t="s">
        <v>143</v>
      </c>
      <c r="H113" s="14" t="s">
        <v>193</v>
      </c>
      <c r="I113" s="14" t="b">
        <v>0</v>
      </c>
      <c r="J113" s="14">
        <v>15</v>
      </c>
      <c r="K113" s="14">
        <v>179.34</v>
      </c>
      <c r="L113" s="15">
        <v>29469</v>
      </c>
      <c r="M113" s="15">
        <v>1000000000031386</v>
      </c>
      <c r="N113" s="14" t="s">
        <v>226</v>
      </c>
      <c r="O113" s="14"/>
    </row>
    <row r="114" spans="1:15">
      <c r="A114" s="14"/>
      <c r="B114" s="14" t="s">
        <v>227</v>
      </c>
      <c r="C114" s="14" t="s">
        <v>228</v>
      </c>
      <c r="D114" s="14" t="s">
        <v>229</v>
      </c>
      <c r="E114" s="14" t="s">
        <v>142</v>
      </c>
      <c r="F114" s="14" t="s">
        <v>143</v>
      </c>
      <c r="G114" s="14" t="s">
        <v>143</v>
      </c>
      <c r="H114" s="14" t="s">
        <v>144</v>
      </c>
      <c r="I114" s="14" t="b">
        <v>0</v>
      </c>
      <c r="J114" s="14">
        <v>75</v>
      </c>
      <c r="K114" s="14">
        <v>339.2</v>
      </c>
      <c r="L114" s="15">
        <v>201509326</v>
      </c>
      <c r="M114" s="15">
        <v>1100000006516881</v>
      </c>
      <c r="N114" s="14" t="s">
        <v>230</v>
      </c>
      <c r="O114" s="14"/>
    </row>
    <row r="115" spans="1:15">
      <c r="A115" s="14"/>
      <c r="B115" s="14" t="s">
        <v>182</v>
      </c>
      <c r="C115" s="14" t="s">
        <v>183</v>
      </c>
      <c r="D115" s="14" t="s">
        <v>229</v>
      </c>
      <c r="E115" s="14" t="s">
        <v>199</v>
      </c>
      <c r="F115" s="14" t="s">
        <v>143</v>
      </c>
      <c r="G115" s="14" t="s">
        <v>200</v>
      </c>
      <c r="H115" s="14" t="s">
        <v>193</v>
      </c>
      <c r="I115" s="14" t="b">
        <v>0</v>
      </c>
      <c r="J115" s="14">
        <v>1754</v>
      </c>
      <c r="K115" s="14">
        <v>126.6</v>
      </c>
      <c r="L115" s="15">
        <v>3510100</v>
      </c>
      <c r="M115" s="15">
        <v>1.7610376559070579E+18</v>
      </c>
      <c r="N115" s="14" t="s">
        <v>231</v>
      </c>
      <c r="O115" s="14"/>
    </row>
    <row r="116" spans="1:15">
      <c r="A116" s="14"/>
      <c r="B116" s="14" t="s">
        <v>167</v>
      </c>
      <c r="C116" s="14" t="s">
        <v>168</v>
      </c>
      <c r="D116" s="14" t="s">
        <v>232</v>
      </c>
      <c r="E116" s="14" t="s">
        <v>142</v>
      </c>
      <c r="F116" s="14" t="s">
        <v>143</v>
      </c>
      <c r="G116" s="14" t="s">
        <v>143</v>
      </c>
      <c r="H116" s="14" t="s">
        <v>193</v>
      </c>
      <c r="I116" s="14" t="b">
        <v>0</v>
      </c>
      <c r="J116" s="14">
        <v>43</v>
      </c>
      <c r="K116" s="14">
        <v>589.95000000000005</v>
      </c>
      <c r="L116" s="15">
        <v>205345110</v>
      </c>
      <c r="M116" s="15">
        <v>1100000056341252</v>
      </c>
      <c r="N116" s="14" t="s">
        <v>233</v>
      </c>
      <c r="O116" s="14"/>
    </row>
    <row r="117" spans="1:15">
      <c r="A117" s="14"/>
      <c r="B117" s="14" t="s">
        <v>167</v>
      </c>
      <c r="C117" s="14" t="s">
        <v>168</v>
      </c>
      <c r="D117" s="14" t="s">
        <v>232</v>
      </c>
      <c r="E117" s="14" t="s">
        <v>142</v>
      </c>
      <c r="F117" s="14" t="s">
        <v>143</v>
      </c>
      <c r="G117" s="14" t="s">
        <v>143</v>
      </c>
      <c r="H117" s="14" t="s">
        <v>193</v>
      </c>
      <c r="I117" s="14" t="b">
        <v>0</v>
      </c>
      <c r="J117" s="14">
        <v>85</v>
      </c>
      <c r="K117" s="14">
        <v>589.9</v>
      </c>
      <c r="L117" s="15">
        <v>205345111</v>
      </c>
      <c r="M117" s="15">
        <v>1100000056341252</v>
      </c>
      <c r="N117" s="14" t="s">
        <v>233</v>
      </c>
      <c r="O117" s="14"/>
    </row>
    <row r="118" spans="1:15">
      <c r="A118" s="14"/>
      <c r="B118" s="14" t="s">
        <v>167</v>
      </c>
      <c r="C118" s="14" t="s">
        <v>168</v>
      </c>
      <c r="D118" s="14" t="s">
        <v>232</v>
      </c>
      <c r="E118" s="14" t="s">
        <v>142</v>
      </c>
      <c r="F118" s="14" t="s">
        <v>143</v>
      </c>
      <c r="G118" s="14" t="s">
        <v>143</v>
      </c>
      <c r="H118" s="14" t="s">
        <v>193</v>
      </c>
      <c r="I118" s="14" t="b">
        <v>0</v>
      </c>
      <c r="J118" s="14">
        <v>1</v>
      </c>
      <c r="K118" s="14">
        <v>589.95000000000005</v>
      </c>
      <c r="L118" s="15">
        <v>205345108</v>
      </c>
      <c r="M118" s="15">
        <v>1100000056341252</v>
      </c>
      <c r="N118" s="14" t="s">
        <v>233</v>
      </c>
      <c r="O118" s="14"/>
    </row>
    <row r="119" spans="1:15">
      <c r="A119" s="14"/>
      <c r="B119" s="14" t="s">
        <v>167</v>
      </c>
      <c r="C119" s="14" t="s">
        <v>168</v>
      </c>
      <c r="D119" s="14" t="s">
        <v>232</v>
      </c>
      <c r="E119" s="14" t="s">
        <v>142</v>
      </c>
      <c r="F119" s="14" t="s">
        <v>143</v>
      </c>
      <c r="G119" s="14" t="s">
        <v>143</v>
      </c>
      <c r="H119" s="14" t="s">
        <v>193</v>
      </c>
      <c r="I119" s="14" t="b">
        <v>0</v>
      </c>
      <c r="J119" s="14">
        <v>16</v>
      </c>
      <c r="K119" s="14">
        <v>589.9</v>
      </c>
      <c r="L119" s="15">
        <v>205345113</v>
      </c>
      <c r="M119" s="15">
        <v>1100000056341252</v>
      </c>
      <c r="N119" s="14" t="s">
        <v>233</v>
      </c>
      <c r="O119" s="14"/>
    </row>
    <row r="120" spans="1:15">
      <c r="A120" s="14"/>
      <c r="B120" s="14" t="s">
        <v>167</v>
      </c>
      <c r="C120" s="14" t="s">
        <v>168</v>
      </c>
      <c r="D120" s="14" t="s">
        <v>232</v>
      </c>
      <c r="E120" s="14" t="s">
        <v>142</v>
      </c>
      <c r="F120" s="14" t="s">
        <v>143</v>
      </c>
      <c r="G120" s="14" t="s">
        <v>143</v>
      </c>
      <c r="H120" s="14" t="s">
        <v>193</v>
      </c>
      <c r="I120" s="14" t="b">
        <v>0</v>
      </c>
      <c r="J120" s="14">
        <v>25</v>
      </c>
      <c r="K120" s="14">
        <v>590.20000000000005</v>
      </c>
      <c r="L120" s="15">
        <v>205345107</v>
      </c>
      <c r="M120" s="15">
        <v>1100000056341252</v>
      </c>
      <c r="N120" s="14" t="s">
        <v>233</v>
      </c>
      <c r="O120" s="14"/>
    </row>
    <row r="121" spans="1:15">
      <c r="A121" s="14"/>
      <c r="B121" s="14" t="s">
        <v>167</v>
      </c>
      <c r="C121" s="14" t="s">
        <v>168</v>
      </c>
      <c r="D121" s="14" t="s">
        <v>232</v>
      </c>
      <c r="E121" s="14" t="s">
        <v>142</v>
      </c>
      <c r="F121" s="14" t="s">
        <v>143</v>
      </c>
      <c r="G121" s="14" t="s">
        <v>143</v>
      </c>
      <c r="H121" s="14" t="s">
        <v>193</v>
      </c>
      <c r="I121" s="14" t="b">
        <v>0</v>
      </c>
      <c r="J121" s="14">
        <v>43</v>
      </c>
      <c r="K121" s="14">
        <v>589.9</v>
      </c>
      <c r="L121" s="15">
        <v>205345112</v>
      </c>
      <c r="M121" s="15">
        <v>1100000056341252</v>
      </c>
      <c r="N121" s="14" t="s">
        <v>233</v>
      </c>
      <c r="O121" s="14"/>
    </row>
    <row r="122" spans="1:15">
      <c r="A122" s="14"/>
      <c r="B122" s="14" t="s">
        <v>167</v>
      </c>
      <c r="C122" s="14" t="s">
        <v>168</v>
      </c>
      <c r="D122" s="14" t="s">
        <v>232</v>
      </c>
      <c r="E122" s="14" t="s">
        <v>142</v>
      </c>
      <c r="F122" s="14" t="s">
        <v>143</v>
      </c>
      <c r="G122" s="14" t="s">
        <v>143</v>
      </c>
      <c r="H122" s="14" t="s">
        <v>193</v>
      </c>
      <c r="I122" s="14" t="b">
        <v>0</v>
      </c>
      <c r="J122" s="14">
        <v>85</v>
      </c>
      <c r="K122" s="14">
        <v>589.95000000000005</v>
      </c>
      <c r="L122" s="15">
        <v>205345109</v>
      </c>
      <c r="M122" s="15">
        <v>1100000056341252</v>
      </c>
      <c r="N122" s="14" t="s">
        <v>233</v>
      </c>
      <c r="O122" s="14"/>
    </row>
    <row r="123" spans="1:15">
      <c r="A123" s="14"/>
      <c r="B123" s="14" t="s">
        <v>202</v>
      </c>
      <c r="C123" s="14" t="s">
        <v>203</v>
      </c>
      <c r="D123" s="14" t="s">
        <v>234</v>
      </c>
      <c r="E123" s="14" t="s">
        <v>142</v>
      </c>
      <c r="F123" s="14" t="s">
        <v>143</v>
      </c>
      <c r="G123" s="14" t="s">
        <v>143</v>
      </c>
      <c r="H123" s="14" t="s">
        <v>193</v>
      </c>
      <c r="I123" s="14" t="b">
        <v>0</v>
      </c>
      <c r="J123" s="14">
        <v>14</v>
      </c>
      <c r="K123" s="14">
        <v>482.05</v>
      </c>
      <c r="L123" s="15">
        <v>400073759</v>
      </c>
      <c r="M123" s="15">
        <v>1200000000472402</v>
      </c>
      <c r="N123" s="14" t="s">
        <v>235</v>
      </c>
      <c r="O123" s="14"/>
    </row>
    <row r="124" spans="1:15">
      <c r="A124" s="14"/>
      <c r="B124" s="14" t="s">
        <v>202</v>
      </c>
      <c r="C124" s="14" t="s">
        <v>203</v>
      </c>
      <c r="D124" s="14" t="s">
        <v>234</v>
      </c>
      <c r="E124" s="14" t="s">
        <v>142</v>
      </c>
      <c r="F124" s="14" t="s">
        <v>143</v>
      </c>
      <c r="G124" s="14" t="s">
        <v>143</v>
      </c>
      <c r="H124" s="14" t="s">
        <v>193</v>
      </c>
      <c r="I124" s="14" t="b">
        <v>0</v>
      </c>
      <c r="J124" s="14">
        <v>10</v>
      </c>
      <c r="K124" s="14">
        <v>482</v>
      </c>
      <c r="L124" s="15">
        <v>400073762</v>
      </c>
      <c r="M124" s="15">
        <v>1200000000472402</v>
      </c>
      <c r="N124" s="14" t="s">
        <v>235</v>
      </c>
      <c r="O124" s="14"/>
    </row>
    <row r="125" spans="1:15">
      <c r="A125" s="14"/>
      <c r="B125" s="14" t="s">
        <v>202</v>
      </c>
      <c r="C125" s="14" t="s">
        <v>203</v>
      </c>
      <c r="D125" s="14" t="s">
        <v>234</v>
      </c>
      <c r="E125" s="14" t="s">
        <v>142</v>
      </c>
      <c r="F125" s="14" t="s">
        <v>143</v>
      </c>
      <c r="G125" s="14" t="s">
        <v>143</v>
      </c>
      <c r="H125" s="14" t="s">
        <v>193</v>
      </c>
      <c r="I125" s="14" t="b">
        <v>0</v>
      </c>
      <c r="J125" s="14">
        <v>17</v>
      </c>
      <c r="K125" s="14">
        <v>482.05</v>
      </c>
      <c r="L125" s="15">
        <v>400073755</v>
      </c>
      <c r="M125" s="15">
        <v>1200000000472402</v>
      </c>
      <c r="N125" s="14" t="s">
        <v>235</v>
      </c>
      <c r="O125" s="14"/>
    </row>
    <row r="126" spans="1:15">
      <c r="A126" s="14"/>
      <c r="B126" s="14" t="s">
        <v>202</v>
      </c>
      <c r="C126" s="14" t="s">
        <v>203</v>
      </c>
      <c r="D126" s="14" t="s">
        <v>234</v>
      </c>
      <c r="E126" s="14" t="s">
        <v>142</v>
      </c>
      <c r="F126" s="14" t="s">
        <v>143</v>
      </c>
      <c r="G126" s="14" t="s">
        <v>143</v>
      </c>
      <c r="H126" s="14" t="s">
        <v>193</v>
      </c>
      <c r="I126" s="14" t="b">
        <v>0</v>
      </c>
      <c r="J126" s="14">
        <v>2</v>
      </c>
      <c r="K126" s="14">
        <v>482.05</v>
      </c>
      <c r="L126" s="15">
        <v>400073756</v>
      </c>
      <c r="M126" s="15">
        <v>1200000000472402</v>
      </c>
      <c r="N126" s="14" t="s">
        <v>235</v>
      </c>
      <c r="O126" s="14"/>
    </row>
    <row r="127" spans="1:15">
      <c r="A127" s="14"/>
      <c r="B127" s="14" t="s">
        <v>202</v>
      </c>
      <c r="C127" s="14" t="s">
        <v>203</v>
      </c>
      <c r="D127" s="14" t="s">
        <v>234</v>
      </c>
      <c r="E127" s="14" t="s">
        <v>142</v>
      </c>
      <c r="F127" s="14" t="s">
        <v>143</v>
      </c>
      <c r="G127" s="14" t="s">
        <v>143</v>
      </c>
      <c r="H127" s="14" t="s">
        <v>193</v>
      </c>
      <c r="I127" s="14" t="b">
        <v>0</v>
      </c>
      <c r="J127" s="14">
        <v>2</v>
      </c>
      <c r="K127" s="14">
        <v>482</v>
      </c>
      <c r="L127" s="15">
        <v>400073761</v>
      </c>
      <c r="M127" s="15">
        <v>1200000000472402</v>
      </c>
      <c r="N127" s="14" t="s">
        <v>235</v>
      </c>
      <c r="O127" s="14"/>
    </row>
    <row r="128" spans="1:15">
      <c r="A128" s="14"/>
      <c r="B128" s="14" t="s">
        <v>202</v>
      </c>
      <c r="C128" s="14" t="s">
        <v>203</v>
      </c>
      <c r="D128" s="14" t="s">
        <v>234</v>
      </c>
      <c r="E128" s="14" t="s">
        <v>142</v>
      </c>
      <c r="F128" s="14" t="s">
        <v>143</v>
      </c>
      <c r="G128" s="14" t="s">
        <v>143</v>
      </c>
      <c r="H128" s="14" t="s">
        <v>193</v>
      </c>
      <c r="I128" s="14" t="b">
        <v>0</v>
      </c>
      <c r="J128" s="14">
        <v>1</v>
      </c>
      <c r="K128" s="14">
        <v>482</v>
      </c>
      <c r="L128" s="15">
        <v>400073764</v>
      </c>
      <c r="M128" s="15">
        <v>1200000000472402</v>
      </c>
      <c r="N128" s="14" t="s">
        <v>235</v>
      </c>
      <c r="O128" s="14"/>
    </row>
    <row r="129" spans="1:15">
      <c r="A129" s="14"/>
      <c r="B129" s="14" t="s">
        <v>202</v>
      </c>
      <c r="C129" s="14" t="s">
        <v>203</v>
      </c>
      <c r="D129" s="14" t="s">
        <v>234</v>
      </c>
      <c r="E129" s="14" t="s">
        <v>142</v>
      </c>
      <c r="F129" s="14" t="s">
        <v>143</v>
      </c>
      <c r="G129" s="14" t="s">
        <v>143</v>
      </c>
      <c r="H129" s="14" t="s">
        <v>193</v>
      </c>
      <c r="I129" s="14" t="b">
        <v>0</v>
      </c>
      <c r="J129" s="14">
        <v>50</v>
      </c>
      <c r="K129" s="14">
        <v>482</v>
      </c>
      <c r="L129" s="15">
        <v>400073763</v>
      </c>
      <c r="M129" s="15">
        <v>1200000000472402</v>
      </c>
      <c r="N129" s="14" t="s">
        <v>235</v>
      </c>
      <c r="O129" s="14"/>
    </row>
    <row r="130" spans="1:15">
      <c r="A130" s="14"/>
      <c r="B130" s="14" t="s">
        <v>202</v>
      </c>
      <c r="C130" s="14" t="s">
        <v>203</v>
      </c>
      <c r="D130" s="14" t="s">
        <v>234</v>
      </c>
      <c r="E130" s="14" t="s">
        <v>142</v>
      </c>
      <c r="F130" s="14" t="s">
        <v>143</v>
      </c>
      <c r="G130" s="14" t="s">
        <v>143</v>
      </c>
      <c r="H130" s="14" t="s">
        <v>193</v>
      </c>
      <c r="I130" s="14" t="b">
        <v>0</v>
      </c>
      <c r="J130" s="14">
        <v>5</v>
      </c>
      <c r="K130" s="14">
        <v>481.9</v>
      </c>
      <c r="L130" s="15">
        <v>400073768</v>
      </c>
      <c r="M130" s="15">
        <v>1200000000472402</v>
      </c>
      <c r="N130" s="14" t="s">
        <v>235</v>
      </c>
      <c r="O130" s="14"/>
    </row>
    <row r="131" spans="1:15">
      <c r="A131" s="14"/>
      <c r="B131" s="14" t="s">
        <v>202</v>
      </c>
      <c r="C131" s="14" t="s">
        <v>203</v>
      </c>
      <c r="D131" s="14" t="s">
        <v>234</v>
      </c>
      <c r="E131" s="14" t="s">
        <v>142</v>
      </c>
      <c r="F131" s="14" t="s">
        <v>143</v>
      </c>
      <c r="G131" s="14" t="s">
        <v>143</v>
      </c>
      <c r="H131" s="14" t="s">
        <v>193</v>
      </c>
      <c r="I131" s="14" t="b">
        <v>0</v>
      </c>
      <c r="J131" s="14">
        <v>16</v>
      </c>
      <c r="K131" s="14">
        <v>482.05</v>
      </c>
      <c r="L131" s="15">
        <v>400073753</v>
      </c>
      <c r="M131" s="15">
        <v>1200000000472402</v>
      </c>
      <c r="N131" s="14" t="s">
        <v>235</v>
      </c>
      <c r="O131" s="14"/>
    </row>
    <row r="132" spans="1:15">
      <c r="A132" s="14"/>
      <c r="B132" s="14" t="s">
        <v>202</v>
      </c>
      <c r="C132" s="14" t="s">
        <v>203</v>
      </c>
      <c r="D132" s="14" t="s">
        <v>234</v>
      </c>
      <c r="E132" s="14" t="s">
        <v>142</v>
      </c>
      <c r="F132" s="14" t="s">
        <v>143</v>
      </c>
      <c r="G132" s="14" t="s">
        <v>143</v>
      </c>
      <c r="H132" s="14" t="s">
        <v>193</v>
      </c>
      <c r="I132" s="14" t="b">
        <v>0</v>
      </c>
      <c r="J132" s="14">
        <v>42</v>
      </c>
      <c r="K132" s="14">
        <v>482</v>
      </c>
      <c r="L132" s="15">
        <v>400073766</v>
      </c>
      <c r="M132" s="15">
        <v>1200000000472402</v>
      </c>
      <c r="N132" s="14" t="s">
        <v>235</v>
      </c>
      <c r="O132" s="14"/>
    </row>
    <row r="133" spans="1:15">
      <c r="A133" s="14"/>
      <c r="B133" s="14" t="s">
        <v>202</v>
      </c>
      <c r="C133" s="14" t="s">
        <v>203</v>
      </c>
      <c r="D133" s="14" t="s">
        <v>234</v>
      </c>
      <c r="E133" s="14" t="s">
        <v>142</v>
      </c>
      <c r="F133" s="14" t="s">
        <v>143</v>
      </c>
      <c r="G133" s="14" t="s">
        <v>143</v>
      </c>
      <c r="H133" s="14" t="s">
        <v>193</v>
      </c>
      <c r="I133" s="14" t="b">
        <v>0</v>
      </c>
      <c r="J133" s="14">
        <v>4</v>
      </c>
      <c r="K133" s="14">
        <v>482</v>
      </c>
      <c r="L133" s="15">
        <v>400073767</v>
      </c>
      <c r="M133" s="15">
        <v>1200000000472402</v>
      </c>
      <c r="N133" s="14" t="s">
        <v>235</v>
      </c>
      <c r="O133" s="14"/>
    </row>
    <row r="134" spans="1:15">
      <c r="A134" s="14"/>
      <c r="B134" s="14" t="s">
        <v>41</v>
      </c>
      <c r="C134" s="14" t="s">
        <v>208</v>
      </c>
      <c r="D134" s="14" t="s">
        <v>234</v>
      </c>
      <c r="E134" s="14" t="s">
        <v>142</v>
      </c>
      <c r="F134" s="14" t="s">
        <v>143</v>
      </c>
      <c r="G134" s="14" t="s">
        <v>143</v>
      </c>
      <c r="H134" s="14" t="s">
        <v>144</v>
      </c>
      <c r="I134" s="14" t="b">
        <v>0</v>
      </c>
      <c r="J134" s="14">
        <v>84</v>
      </c>
      <c r="K134" s="14">
        <v>841.1</v>
      </c>
      <c r="L134" s="15">
        <v>208603870</v>
      </c>
      <c r="M134" s="15">
        <v>1100000076303650</v>
      </c>
      <c r="N134" s="14" t="s">
        <v>236</v>
      </c>
      <c r="O134" s="14"/>
    </row>
    <row r="135" spans="1:15">
      <c r="A135" s="14"/>
      <c r="B135" s="14" t="s">
        <v>41</v>
      </c>
      <c r="C135" s="14" t="s">
        <v>208</v>
      </c>
      <c r="D135" s="14" t="s">
        <v>234</v>
      </c>
      <c r="E135" s="14" t="s">
        <v>142</v>
      </c>
      <c r="F135" s="14" t="s">
        <v>143</v>
      </c>
      <c r="G135" s="14" t="s">
        <v>143</v>
      </c>
      <c r="H135" s="14" t="s">
        <v>144</v>
      </c>
      <c r="I135" s="14" t="b">
        <v>0</v>
      </c>
      <c r="J135" s="14">
        <v>35</v>
      </c>
      <c r="K135" s="14">
        <v>841.1</v>
      </c>
      <c r="L135" s="15">
        <v>208603871</v>
      </c>
      <c r="M135" s="15">
        <v>1100000076303650</v>
      </c>
      <c r="N135" s="14" t="s">
        <v>236</v>
      </c>
      <c r="O135" s="14"/>
    </row>
    <row r="136" spans="1:15">
      <c r="A136" s="14"/>
      <c r="B136" s="14" t="s">
        <v>90</v>
      </c>
      <c r="C136" s="14" t="s">
        <v>237</v>
      </c>
      <c r="D136" s="14" t="s">
        <v>234</v>
      </c>
      <c r="E136" s="14" t="s">
        <v>142</v>
      </c>
      <c r="F136" s="14" t="s">
        <v>143</v>
      </c>
      <c r="G136" s="14" t="s">
        <v>143</v>
      </c>
      <c r="H136" s="14" t="s">
        <v>144</v>
      </c>
      <c r="I136" s="14" t="b">
        <v>0</v>
      </c>
      <c r="J136" s="14">
        <v>49</v>
      </c>
      <c r="K136" s="14">
        <v>269.69</v>
      </c>
      <c r="L136" s="15">
        <v>208693336</v>
      </c>
      <c r="M136" s="15">
        <v>1100000077091561</v>
      </c>
      <c r="N136" s="14" t="s">
        <v>238</v>
      </c>
      <c r="O136" s="14"/>
    </row>
    <row r="137" spans="1:15">
      <c r="A137" s="14"/>
      <c r="B137" s="14" t="s">
        <v>90</v>
      </c>
      <c r="C137" s="14" t="s">
        <v>237</v>
      </c>
      <c r="D137" s="14" t="s">
        <v>234</v>
      </c>
      <c r="E137" s="14" t="s">
        <v>142</v>
      </c>
      <c r="F137" s="14" t="s">
        <v>143</v>
      </c>
      <c r="G137" s="14" t="s">
        <v>143</v>
      </c>
      <c r="H137" s="14" t="s">
        <v>144</v>
      </c>
      <c r="I137" s="14" t="b">
        <v>0</v>
      </c>
      <c r="J137" s="14">
        <v>51</v>
      </c>
      <c r="K137" s="14">
        <v>269.68</v>
      </c>
      <c r="L137" s="15">
        <v>208693335</v>
      </c>
      <c r="M137" s="15">
        <v>1100000077091561</v>
      </c>
      <c r="N137" s="14" t="s">
        <v>238</v>
      </c>
      <c r="O137" s="14"/>
    </row>
    <row r="138" spans="1:15">
      <c r="A138" s="14"/>
      <c r="B138" s="14" t="s">
        <v>90</v>
      </c>
      <c r="C138" s="14" t="s">
        <v>237</v>
      </c>
      <c r="D138" s="14" t="s">
        <v>239</v>
      </c>
      <c r="E138" s="14" t="s">
        <v>142</v>
      </c>
      <c r="F138" s="14" t="s">
        <v>143</v>
      </c>
      <c r="G138" s="14" t="s">
        <v>143</v>
      </c>
      <c r="H138" s="14" t="s">
        <v>144</v>
      </c>
      <c r="I138" s="14" t="b">
        <v>0</v>
      </c>
      <c r="J138" s="14">
        <v>30</v>
      </c>
      <c r="K138" s="14">
        <v>283.87</v>
      </c>
      <c r="L138" s="15">
        <v>208482585</v>
      </c>
      <c r="M138" s="15">
        <v>1100000073723147</v>
      </c>
      <c r="N138" s="14" t="s">
        <v>240</v>
      </c>
      <c r="O138" s="14"/>
    </row>
    <row r="139" spans="1:15">
      <c r="A139" s="14"/>
      <c r="B139" s="14" t="s">
        <v>90</v>
      </c>
      <c r="C139" s="14" t="s">
        <v>237</v>
      </c>
      <c r="D139" s="14" t="s">
        <v>239</v>
      </c>
      <c r="E139" s="14" t="s">
        <v>142</v>
      </c>
      <c r="F139" s="14" t="s">
        <v>143</v>
      </c>
      <c r="G139" s="14" t="s">
        <v>143</v>
      </c>
      <c r="H139" s="14" t="s">
        <v>144</v>
      </c>
      <c r="I139" s="14" t="b">
        <v>0</v>
      </c>
      <c r="J139" s="14">
        <v>146</v>
      </c>
      <c r="K139" s="14">
        <v>283.89</v>
      </c>
      <c r="L139" s="15">
        <v>208482586</v>
      </c>
      <c r="M139" s="15">
        <v>1100000073723147</v>
      </c>
      <c r="N139" s="14" t="s">
        <v>240</v>
      </c>
      <c r="O139" s="14"/>
    </row>
    <row r="140" spans="1:15">
      <c r="A140" s="14"/>
      <c r="B140" s="14" t="s">
        <v>241</v>
      </c>
      <c r="C140" s="14" t="s">
        <v>242</v>
      </c>
      <c r="D140" s="14" t="s">
        <v>243</v>
      </c>
      <c r="E140" s="14" t="s">
        <v>142</v>
      </c>
      <c r="F140" s="14" t="s">
        <v>143</v>
      </c>
      <c r="G140" s="14" t="s">
        <v>143</v>
      </c>
      <c r="H140" s="14" t="s">
        <v>144</v>
      </c>
      <c r="I140" s="14" t="b">
        <v>0</v>
      </c>
      <c r="J140" s="14">
        <v>7</v>
      </c>
      <c r="K140" s="14">
        <v>483.35</v>
      </c>
      <c r="L140" s="15">
        <v>207124675</v>
      </c>
      <c r="M140" s="15">
        <v>1100000062113123</v>
      </c>
      <c r="N140" s="14" t="s">
        <v>244</v>
      </c>
      <c r="O140" s="14"/>
    </row>
    <row r="141" spans="1:15">
      <c r="A141" s="14"/>
      <c r="B141" s="14" t="s">
        <v>241</v>
      </c>
      <c r="C141" s="14" t="s">
        <v>242</v>
      </c>
      <c r="D141" s="14" t="s">
        <v>243</v>
      </c>
      <c r="E141" s="14" t="s">
        <v>142</v>
      </c>
      <c r="F141" s="14" t="s">
        <v>143</v>
      </c>
      <c r="G141" s="14" t="s">
        <v>143</v>
      </c>
      <c r="H141" s="14" t="s">
        <v>144</v>
      </c>
      <c r="I141" s="14" t="b">
        <v>0</v>
      </c>
      <c r="J141" s="14">
        <v>153</v>
      </c>
      <c r="K141" s="14">
        <v>483.35</v>
      </c>
      <c r="L141" s="15">
        <v>207124677</v>
      </c>
      <c r="M141" s="15">
        <v>1100000062113123</v>
      </c>
      <c r="N141" s="14" t="s">
        <v>244</v>
      </c>
      <c r="O141" s="14"/>
    </row>
    <row r="142" spans="1:15">
      <c r="A142" s="14"/>
      <c r="B142" s="14" t="s">
        <v>241</v>
      </c>
      <c r="C142" s="14" t="s">
        <v>242</v>
      </c>
      <c r="D142" s="14" t="s">
        <v>243</v>
      </c>
      <c r="E142" s="14" t="s">
        <v>142</v>
      </c>
      <c r="F142" s="14" t="s">
        <v>143</v>
      </c>
      <c r="G142" s="14" t="s">
        <v>143</v>
      </c>
      <c r="H142" s="14" t="s">
        <v>144</v>
      </c>
      <c r="I142" s="14" t="b">
        <v>0</v>
      </c>
      <c r="J142" s="14">
        <v>45</v>
      </c>
      <c r="K142" s="14">
        <v>483.35</v>
      </c>
      <c r="L142" s="15">
        <v>207124676</v>
      </c>
      <c r="M142" s="15">
        <v>1100000062113123</v>
      </c>
      <c r="N142" s="14" t="s">
        <v>244</v>
      </c>
      <c r="O142" s="14"/>
    </row>
    <row r="143" spans="1:15">
      <c r="A143" s="14"/>
      <c r="B143" s="14" t="s">
        <v>245</v>
      </c>
      <c r="C143" s="14" t="s">
        <v>246</v>
      </c>
      <c r="D143" s="14" t="s">
        <v>243</v>
      </c>
      <c r="E143" s="14" t="s">
        <v>142</v>
      </c>
      <c r="F143" s="14" t="s">
        <v>143</v>
      </c>
      <c r="G143" s="14" t="s">
        <v>143</v>
      </c>
      <c r="H143" s="14" t="s">
        <v>144</v>
      </c>
      <c r="I143" s="14" t="b">
        <v>0</v>
      </c>
      <c r="J143" s="14">
        <v>10</v>
      </c>
      <c r="K143" s="14">
        <v>955.9</v>
      </c>
      <c r="L143" s="15">
        <v>5432380</v>
      </c>
      <c r="M143" s="15">
        <v>1000000052812081</v>
      </c>
      <c r="N143" s="14" t="s">
        <v>247</v>
      </c>
      <c r="O143" s="14"/>
    </row>
    <row r="144" spans="1:15">
      <c r="A144" s="14"/>
      <c r="B144" s="14" t="s">
        <v>245</v>
      </c>
      <c r="C144" s="14" t="s">
        <v>246</v>
      </c>
      <c r="D144" s="14" t="s">
        <v>243</v>
      </c>
      <c r="E144" s="14" t="s">
        <v>142</v>
      </c>
      <c r="F144" s="14" t="s">
        <v>143</v>
      </c>
      <c r="G144" s="14" t="s">
        <v>143</v>
      </c>
      <c r="H144" s="14" t="s">
        <v>144</v>
      </c>
      <c r="I144" s="14" t="b">
        <v>0</v>
      </c>
      <c r="J144" s="14">
        <v>9</v>
      </c>
      <c r="K144" s="14">
        <v>955.9</v>
      </c>
      <c r="L144" s="15">
        <v>5432379</v>
      </c>
      <c r="M144" s="15">
        <v>1000000052812081</v>
      </c>
      <c r="N144" s="14" t="s">
        <v>247</v>
      </c>
      <c r="O144" s="14"/>
    </row>
    <row r="145" spans="1:15">
      <c r="A145" s="14"/>
      <c r="B145" s="14" t="s">
        <v>245</v>
      </c>
      <c r="C145" s="14" t="s">
        <v>246</v>
      </c>
      <c r="D145" s="14" t="s">
        <v>243</v>
      </c>
      <c r="E145" s="14" t="s">
        <v>142</v>
      </c>
      <c r="F145" s="14" t="s">
        <v>143</v>
      </c>
      <c r="G145" s="14" t="s">
        <v>143</v>
      </c>
      <c r="H145" s="14" t="s">
        <v>144</v>
      </c>
      <c r="I145" s="14" t="b">
        <v>0</v>
      </c>
      <c r="J145" s="14">
        <v>8</v>
      </c>
      <c r="K145" s="14">
        <v>955.9</v>
      </c>
      <c r="L145" s="15">
        <v>5432381</v>
      </c>
      <c r="M145" s="15">
        <v>1000000052812081</v>
      </c>
      <c r="N145" s="14" t="s">
        <v>247</v>
      </c>
      <c r="O145" s="14"/>
    </row>
    <row r="146" spans="1:15">
      <c r="A146" s="14"/>
      <c r="B146" s="14" t="s">
        <v>245</v>
      </c>
      <c r="C146" s="14" t="s">
        <v>246</v>
      </c>
      <c r="D146" s="14" t="s">
        <v>243</v>
      </c>
      <c r="E146" s="14" t="s">
        <v>142</v>
      </c>
      <c r="F146" s="14" t="s">
        <v>143</v>
      </c>
      <c r="G146" s="14" t="s">
        <v>143</v>
      </c>
      <c r="H146" s="14" t="s">
        <v>144</v>
      </c>
      <c r="I146" s="14" t="b">
        <v>0</v>
      </c>
      <c r="J146" s="14">
        <v>5</v>
      </c>
      <c r="K146" s="14">
        <v>955.85</v>
      </c>
      <c r="L146" s="15">
        <v>5432376</v>
      </c>
      <c r="M146" s="15">
        <v>1000000052812081</v>
      </c>
      <c r="N146" s="14" t="s">
        <v>247</v>
      </c>
      <c r="O146" s="14"/>
    </row>
    <row r="147" spans="1:15">
      <c r="A147" s="14"/>
      <c r="B147" s="14" t="s">
        <v>245</v>
      </c>
      <c r="C147" s="14" t="s">
        <v>246</v>
      </c>
      <c r="D147" s="14" t="s">
        <v>243</v>
      </c>
      <c r="E147" s="14" t="s">
        <v>142</v>
      </c>
      <c r="F147" s="14" t="s">
        <v>143</v>
      </c>
      <c r="G147" s="14" t="s">
        <v>143</v>
      </c>
      <c r="H147" s="14" t="s">
        <v>144</v>
      </c>
      <c r="I147" s="14" t="b">
        <v>0</v>
      </c>
      <c r="J147" s="14">
        <v>10</v>
      </c>
      <c r="K147" s="14">
        <v>955.85</v>
      </c>
      <c r="L147" s="15">
        <v>5432378</v>
      </c>
      <c r="M147" s="15">
        <v>1000000052812081</v>
      </c>
      <c r="N147" s="14" t="s">
        <v>247</v>
      </c>
      <c r="O147" s="14"/>
    </row>
    <row r="148" spans="1:15">
      <c r="A148" s="14"/>
      <c r="B148" s="14" t="s">
        <v>248</v>
      </c>
      <c r="C148" s="14" t="s">
        <v>249</v>
      </c>
      <c r="D148" s="14" t="s">
        <v>243</v>
      </c>
      <c r="E148" s="14" t="s">
        <v>142</v>
      </c>
      <c r="F148" s="14" t="s">
        <v>143</v>
      </c>
      <c r="G148" s="14" t="s">
        <v>143</v>
      </c>
      <c r="H148" s="14" t="s">
        <v>144</v>
      </c>
      <c r="I148" s="14" t="b">
        <v>0</v>
      </c>
      <c r="J148" s="14">
        <v>82</v>
      </c>
      <c r="K148" s="14">
        <v>367.7</v>
      </c>
      <c r="L148" s="15">
        <v>5441880</v>
      </c>
      <c r="M148" s="15">
        <v>1000000052895910</v>
      </c>
      <c r="N148" s="14" t="s">
        <v>250</v>
      </c>
      <c r="O148" s="14"/>
    </row>
    <row r="149" spans="1:15">
      <c r="A149" s="14"/>
      <c r="B149" s="14" t="s">
        <v>251</v>
      </c>
      <c r="C149" s="14" t="s">
        <v>252</v>
      </c>
      <c r="D149" s="14" t="s">
        <v>243</v>
      </c>
      <c r="E149" s="14" t="s">
        <v>142</v>
      </c>
      <c r="F149" s="14" t="s">
        <v>143</v>
      </c>
      <c r="G149" s="14" t="s">
        <v>143</v>
      </c>
      <c r="H149" s="14" t="s">
        <v>144</v>
      </c>
      <c r="I149" s="14" t="b">
        <v>0</v>
      </c>
      <c r="J149" s="14">
        <v>70</v>
      </c>
      <c r="K149" s="14">
        <v>167.82</v>
      </c>
      <c r="L149" s="15">
        <v>207164289</v>
      </c>
      <c r="M149" s="15">
        <v>1100000062440946</v>
      </c>
      <c r="N149" s="14" t="s">
        <v>253</v>
      </c>
      <c r="O149" s="14"/>
    </row>
    <row r="150" spans="1:15">
      <c r="A150" s="14"/>
      <c r="B150" s="14" t="s">
        <v>251</v>
      </c>
      <c r="C150" s="14" t="s">
        <v>252</v>
      </c>
      <c r="D150" s="14" t="s">
        <v>243</v>
      </c>
      <c r="E150" s="14" t="s">
        <v>142</v>
      </c>
      <c r="F150" s="14" t="s">
        <v>143</v>
      </c>
      <c r="G150" s="14" t="s">
        <v>143</v>
      </c>
      <c r="H150" s="14" t="s">
        <v>144</v>
      </c>
      <c r="I150" s="14" t="b">
        <v>0</v>
      </c>
      <c r="J150" s="14">
        <v>50</v>
      </c>
      <c r="K150" s="14">
        <v>167.82</v>
      </c>
      <c r="L150" s="15">
        <v>207164288</v>
      </c>
      <c r="M150" s="15">
        <v>1100000062440946</v>
      </c>
      <c r="N150" s="14" t="s">
        <v>253</v>
      </c>
      <c r="O150" s="14"/>
    </row>
    <row r="151" spans="1:15">
      <c r="A151" s="14"/>
      <c r="B151" s="14" t="s">
        <v>254</v>
      </c>
      <c r="C151" s="14" t="s">
        <v>255</v>
      </c>
      <c r="D151" s="14" t="s">
        <v>243</v>
      </c>
      <c r="E151" s="14" t="s">
        <v>142</v>
      </c>
      <c r="F151" s="14" t="s">
        <v>143</v>
      </c>
      <c r="G151" s="14" t="s">
        <v>143</v>
      </c>
      <c r="H151" s="14" t="s">
        <v>144</v>
      </c>
      <c r="I151" s="14" t="b">
        <v>0</v>
      </c>
      <c r="J151" s="14">
        <v>3</v>
      </c>
      <c r="K151" s="14">
        <v>950.5</v>
      </c>
      <c r="L151" s="15">
        <v>607883603</v>
      </c>
      <c r="M151" s="15">
        <v>1300000067038500</v>
      </c>
      <c r="N151" s="14" t="s">
        <v>256</v>
      </c>
      <c r="O151" s="14"/>
    </row>
    <row r="152" spans="1:15">
      <c r="A152" s="14"/>
      <c r="B152" s="14" t="s">
        <v>254</v>
      </c>
      <c r="C152" s="14" t="s">
        <v>255</v>
      </c>
      <c r="D152" s="14" t="s">
        <v>243</v>
      </c>
      <c r="E152" s="14" t="s">
        <v>142</v>
      </c>
      <c r="F152" s="14" t="s">
        <v>143</v>
      </c>
      <c r="G152" s="14" t="s">
        <v>143</v>
      </c>
      <c r="H152" s="14" t="s">
        <v>144</v>
      </c>
      <c r="I152" s="14" t="b">
        <v>0</v>
      </c>
      <c r="J152" s="14">
        <v>1</v>
      </c>
      <c r="K152" s="14">
        <v>950.5</v>
      </c>
      <c r="L152" s="15">
        <v>607883614</v>
      </c>
      <c r="M152" s="15">
        <v>1300000067038500</v>
      </c>
      <c r="N152" s="14" t="s">
        <v>256</v>
      </c>
      <c r="O152" s="14"/>
    </row>
    <row r="153" spans="1:15">
      <c r="A153" s="14"/>
      <c r="B153" s="14" t="s">
        <v>254</v>
      </c>
      <c r="C153" s="14" t="s">
        <v>255</v>
      </c>
      <c r="D153" s="14" t="s">
        <v>243</v>
      </c>
      <c r="E153" s="14" t="s">
        <v>142</v>
      </c>
      <c r="F153" s="14" t="s">
        <v>143</v>
      </c>
      <c r="G153" s="14" t="s">
        <v>143</v>
      </c>
      <c r="H153" s="14" t="s">
        <v>144</v>
      </c>
      <c r="I153" s="14" t="b">
        <v>0</v>
      </c>
      <c r="J153" s="14">
        <v>5</v>
      </c>
      <c r="K153" s="14">
        <v>950.5</v>
      </c>
      <c r="L153" s="15">
        <v>607883619</v>
      </c>
      <c r="M153" s="15">
        <v>1300000067038500</v>
      </c>
      <c r="N153" s="14" t="s">
        <v>256</v>
      </c>
      <c r="O153" s="14"/>
    </row>
    <row r="154" spans="1:15">
      <c r="A154" s="14"/>
      <c r="B154" s="14" t="s">
        <v>257</v>
      </c>
      <c r="C154" s="14" t="s">
        <v>258</v>
      </c>
      <c r="D154" s="14" t="s">
        <v>243</v>
      </c>
      <c r="E154" s="14" t="s">
        <v>142</v>
      </c>
      <c r="F154" s="14" t="s">
        <v>143</v>
      </c>
      <c r="G154" s="14" t="s">
        <v>143</v>
      </c>
      <c r="H154" s="14" t="s">
        <v>144</v>
      </c>
      <c r="I154" s="14" t="b">
        <v>0</v>
      </c>
      <c r="J154" s="14">
        <v>260</v>
      </c>
      <c r="K154" s="14">
        <v>292.10000000000002</v>
      </c>
      <c r="L154" s="15">
        <v>5467966</v>
      </c>
      <c r="M154" s="15">
        <v>1000000053096238</v>
      </c>
      <c r="N154" s="14" t="s">
        <v>259</v>
      </c>
      <c r="O154" s="14"/>
    </row>
    <row r="155" spans="1:15">
      <c r="A155" s="14"/>
      <c r="B155" s="14" t="s">
        <v>43</v>
      </c>
      <c r="C155" s="14" t="s">
        <v>260</v>
      </c>
      <c r="D155" s="14" t="s">
        <v>243</v>
      </c>
      <c r="E155" s="14" t="s">
        <v>142</v>
      </c>
      <c r="F155" s="14" t="s">
        <v>143</v>
      </c>
      <c r="G155" s="14" t="s">
        <v>143</v>
      </c>
      <c r="H155" s="14" t="s">
        <v>144</v>
      </c>
      <c r="I155" s="14" t="b">
        <v>0</v>
      </c>
      <c r="J155" s="14">
        <v>121</v>
      </c>
      <c r="K155" s="14">
        <v>238.41</v>
      </c>
      <c r="L155" s="15">
        <v>207221970</v>
      </c>
      <c r="M155" s="15">
        <v>1100000062851302</v>
      </c>
      <c r="N155" s="14" t="s">
        <v>261</v>
      </c>
      <c r="O155" s="14"/>
    </row>
    <row r="156" spans="1:15">
      <c r="A156" s="14"/>
      <c r="B156" s="14" t="s">
        <v>43</v>
      </c>
      <c r="C156" s="14" t="s">
        <v>260</v>
      </c>
      <c r="D156" s="14" t="s">
        <v>243</v>
      </c>
      <c r="E156" s="14" t="s">
        <v>142</v>
      </c>
      <c r="F156" s="14" t="s">
        <v>143</v>
      </c>
      <c r="G156" s="14" t="s">
        <v>143</v>
      </c>
      <c r="H156" s="14" t="s">
        <v>144</v>
      </c>
      <c r="I156" s="14" t="b">
        <v>0</v>
      </c>
      <c r="J156" s="14">
        <v>11</v>
      </c>
      <c r="K156" s="14">
        <v>238.41</v>
      </c>
      <c r="L156" s="15">
        <v>207221969</v>
      </c>
      <c r="M156" s="15">
        <v>1100000062851302</v>
      </c>
      <c r="N156" s="14" t="s">
        <v>261</v>
      </c>
      <c r="O156" s="14"/>
    </row>
    <row r="157" spans="1:15">
      <c r="A157" s="14"/>
      <c r="B157" s="14" t="s">
        <v>43</v>
      </c>
      <c r="C157" s="14" t="s">
        <v>260</v>
      </c>
      <c r="D157" s="14" t="s">
        <v>243</v>
      </c>
      <c r="E157" s="14" t="s">
        <v>142</v>
      </c>
      <c r="F157" s="14" t="s">
        <v>143</v>
      </c>
      <c r="G157" s="14" t="s">
        <v>143</v>
      </c>
      <c r="H157" s="14" t="s">
        <v>144</v>
      </c>
      <c r="I157" s="14" t="b">
        <v>0</v>
      </c>
      <c r="J157" s="14">
        <v>78</v>
      </c>
      <c r="K157" s="14">
        <v>238.41</v>
      </c>
      <c r="L157" s="15">
        <v>207221971</v>
      </c>
      <c r="M157" s="15">
        <v>1100000062851302</v>
      </c>
      <c r="N157" s="14" t="s">
        <v>261</v>
      </c>
      <c r="O157" s="14"/>
    </row>
    <row r="158" spans="1:15">
      <c r="A158" s="14"/>
      <c r="B158" s="14" t="s">
        <v>227</v>
      </c>
      <c r="C158" s="14" t="s">
        <v>228</v>
      </c>
      <c r="D158" s="14" t="s">
        <v>262</v>
      </c>
      <c r="E158" s="14" t="s">
        <v>142</v>
      </c>
      <c r="F158" s="14" t="s">
        <v>143</v>
      </c>
      <c r="G158" s="14" t="s">
        <v>143</v>
      </c>
      <c r="H158" s="14" t="s">
        <v>193</v>
      </c>
      <c r="I158" s="14" t="b">
        <v>0</v>
      </c>
      <c r="J158" s="14">
        <v>16</v>
      </c>
      <c r="K158" s="14">
        <v>304.75</v>
      </c>
      <c r="L158" s="15">
        <v>200847283</v>
      </c>
      <c r="M158" s="15">
        <v>1100000006789695</v>
      </c>
      <c r="N158" s="14" t="s">
        <v>263</v>
      </c>
      <c r="O158" s="14"/>
    </row>
    <row r="159" spans="1:15">
      <c r="A159" s="14"/>
      <c r="B159" s="14" t="s">
        <v>227</v>
      </c>
      <c r="C159" s="14" t="s">
        <v>228</v>
      </c>
      <c r="D159" s="14" t="s">
        <v>262</v>
      </c>
      <c r="E159" s="14" t="s">
        <v>142</v>
      </c>
      <c r="F159" s="14" t="s">
        <v>143</v>
      </c>
      <c r="G159" s="14" t="s">
        <v>143</v>
      </c>
      <c r="H159" s="14" t="s">
        <v>193</v>
      </c>
      <c r="I159" s="14" t="b">
        <v>0</v>
      </c>
      <c r="J159" s="14">
        <v>56</v>
      </c>
      <c r="K159" s="14">
        <v>304.75</v>
      </c>
      <c r="L159" s="15">
        <v>200847285</v>
      </c>
      <c r="M159" s="15">
        <v>1100000006789695</v>
      </c>
      <c r="N159" s="14" t="s">
        <v>263</v>
      </c>
      <c r="O159" s="14"/>
    </row>
    <row r="160" spans="1:15">
      <c r="A160" s="14"/>
      <c r="B160" s="14" t="s">
        <v>227</v>
      </c>
      <c r="C160" s="14" t="s">
        <v>228</v>
      </c>
      <c r="D160" s="14" t="s">
        <v>262</v>
      </c>
      <c r="E160" s="14" t="s">
        <v>142</v>
      </c>
      <c r="F160" s="14" t="s">
        <v>143</v>
      </c>
      <c r="G160" s="14" t="s">
        <v>143</v>
      </c>
      <c r="H160" s="14" t="s">
        <v>193</v>
      </c>
      <c r="I160" s="14" t="b">
        <v>0</v>
      </c>
      <c r="J160" s="14">
        <v>3</v>
      </c>
      <c r="K160" s="14">
        <v>304.75</v>
      </c>
      <c r="L160" s="15">
        <v>200847284</v>
      </c>
      <c r="M160" s="15">
        <v>1100000006789695</v>
      </c>
      <c r="N160" s="14" t="s">
        <v>263</v>
      </c>
      <c r="O160" s="14"/>
    </row>
    <row r="161" spans="1:15">
      <c r="A161" s="14"/>
      <c r="B161" s="14" t="s">
        <v>158</v>
      </c>
      <c r="C161" s="14" t="s">
        <v>159</v>
      </c>
      <c r="D161" s="14" t="s">
        <v>264</v>
      </c>
      <c r="E161" s="14" t="s">
        <v>142</v>
      </c>
      <c r="F161" s="14" t="s">
        <v>143</v>
      </c>
      <c r="G161" s="14" t="s">
        <v>143</v>
      </c>
      <c r="H161" s="14" t="s">
        <v>193</v>
      </c>
      <c r="I161" s="14" t="b">
        <v>0</v>
      </c>
      <c r="J161" s="14">
        <v>19</v>
      </c>
      <c r="K161" s="14">
        <v>4056.8</v>
      </c>
      <c r="L161" s="15">
        <v>206418034</v>
      </c>
      <c r="M161" s="15">
        <v>1100000055343086</v>
      </c>
      <c r="N161" s="14" t="s">
        <v>265</v>
      </c>
      <c r="O161" s="14"/>
    </row>
    <row r="162" spans="1:15">
      <c r="A162" s="14"/>
      <c r="B162" s="14" t="s">
        <v>74</v>
      </c>
      <c r="C162" s="14"/>
      <c r="D162" s="14" t="s">
        <v>264</v>
      </c>
      <c r="E162" s="14" t="s">
        <v>199</v>
      </c>
      <c r="F162" s="14" t="s">
        <v>143</v>
      </c>
      <c r="G162" s="14" t="s">
        <v>200</v>
      </c>
      <c r="H162" s="14" t="s">
        <v>193</v>
      </c>
      <c r="I162" s="14" t="b">
        <v>0</v>
      </c>
      <c r="J162" s="14">
        <v>160</v>
      </c>
      <c r="K162" s="14">
        <v>482.77499999999998</v>
      </c>
      <c r="L162" s="15">
        <v>6267600</v>
      </c>
      <c r="M162" s="15">
        <v>1.762844334102753E+18</v>
      </c>
      <c r="N162" s="14" t="s">
        <v>266</v>
      </c>
      <c r="O162" s="14"/>
    </row>
    <row r="163" spans="1:15">
      <c r="A163" s="14"/>
      <c r="B163" s="14" t="s">
        <v>74</v>
      </c>
      <c r="C163" s="14"/>
      <c r="D163" s="14" t="s">
        <v>264</v>
      </c>
      <c r="E163" s="14" t="s">
        <v>199</v>
      </c>
      <c r="F163" s="14" t="s">
        <v>143</v>
      </c>
      <c r="G163" s="14" t="s">
        <v>200</v>
      </c>
      <c r="H163" s="14" t="s">
        <v>193</v>
      </c>
      <c r="I163" s="14" t="b">
        <v>0</v>
      </c>
      <c r="J163" s="14">
        <v>8</v>
      </c>
      <c r="K163" s="14">
        <v>482.3125</v>
      </c>
      <c r="L163" s="15">
        <v>6267800</v>
      </c>
      <c r="M163" s="15">
        <v>1.762844334102753E+18</v>
      </c>
      <c r="N163" s="14" t="s">
        <v>266</v>
      </c>
      <c r="O163" s="14"/>
    </row>
    <row r="164" spans="1:15">
      <c r="A164" s="14"/>
      <c r="B164" s="14" t="s">
        <v>39</v>
      </c>
      <c r="C164" s="14" t="s">
        <v>140</v>
      </c>
      <c r="D164" s="14" t="s">
        <v>267</v>
      </c>
      <c r="E164" s="14" t="s">
        <v>142</v>
      </c>
      <c r="F164" s="14" t="s">
        <v>143</v>
      </c>
      <c r="G164" s="14" t="s">
        <v>143</v>
      </c>
      <c r="H164" s="14" t="s">
        <v>144</v>
      </c>
      <c r="I164" s="14" t="b">
        <v>0</v>
      </c>
      <c r="J164" s="14">
        <v>5</v>
      </c>
      <c r="K164" s="14">
        <v>7775.5</v>
      </c>
      <c r="L164" s="15">
        <v>402401951</v>
      </c>
      <c r="M164" s="15">
        <v>1200000022006382</v>
      </c>
      <c r="N164" s="14" t="s">
        <v>268</v>
      </c>
      <c r="O164" s="14"/>
    </row>
    <row r="165" spans="1:15">
      <c r="A165" s="14"/>
      <c r="B165" s="14" t="s">
        <v>39</v>
      </c>
      <c r="C165" s="14" t="s">
        <v>140</v>
      </c>
      <c r="D165" s="14" t="s">
        <v>267</v>
      </c>
      <c r="E165" s="14" t="s">
        <v>142</v>
      </c>
      <c r="F165" s="14" t="s">
        <v>143</v>
      </c>
      <c r="G165" s="14" t="s">
        <v>143</v>
      </c>
      <c r="H165" s="14" t="s">
        <v>144</v>
      </c>
      <c r="I165" s="14" t="b">
        <v>0</v>
      </c>
      <c r="J165" s="14">
        <v>1</v>
      </c>
      <c r="K165" s="14">
        <v>7773.5</v>
      </c>
      <c r="L165" s="15">
        <v>402401948</v>
      </c>
      <c r="M165" s="15">
        <v>1200000022006382</v>
      </c>
      <c r="N165" s="14" t="s">
        <v>268</v>
      </c>
      <c r="O165" s="14"/>
    </row>
    <row r="166" spans="1:15">
      <c r="A166" s="14"/>
      <c r="B166" s="14" t="s">
        <v>39</v>
      </c>
      <c r="C166" s="14" t="s">
        <v>140</v>
      </c>
      <c r="D166" s="14" t="s">
        <v>267</v>
      </c>
      <c r="E166" s="14" t="s">
        <v>142</v>
      </c>
      <c r="F166" s="14" t="s">
        <v>143</v>
      </c>
      <c r="G166" s="14" t="s">
        <v>143</v>
      </c>
      <c r="H166" s="14" t="s">
        <v>144</v>
      </c>
      <c r="I166" s="14" t="b">
        <v>0</v>
      </c>
      <c r="J166" s="14">
        <v>1</v>
      </c>
      <c r="K166" s="14">
        <v>7775.5</v>
      </c>
      <c r="L166" s="15">
        <v>402401949</v>
      </c>
      <c r="M166" s="15">
        <v>1200000022006382</v>
      </c>
      <c r="N166" s="14" t="s">
        <v>268</v>
      </c>
      <c r="O166" s="14"/>
    </row>
    <row r="167" spans="1:15">
      <c r="A167" s="14"/>
      <c r="B167" s="14" t="s">
        <v>39</v>
      </c>
      <c r="C167" s="14" t="s">
        <v>140</v>
      </c>
      <c r="D167" s="14" t="s">
        <v>267</v>
      </c>
      <c r="E167" s="14" t="s">
        <v>142</v>
      </c>
      <c r="F167" s="14" t="s">
        <v>143</v>
      </c>
      <c r="G167" s="14" t="s">
        <v>143</v>
      </c>
      <c r="H167" s="14" t="s">
        <v>144</v>
      </c>
      <c r="I167" s="14" t="b">
        <v>0</v>
      </c>
      <c r="J167" s="14">
        <v>3</v>
      </c>
      <c r="K167" s="14">
        <v>7775.5</v>
      </c>
      <c r="L167" s="15">
        <v>402401950</v>
      </c>
      <c r="M167" s="15">
        <v>1200000022006382</v>
      </c>
      <c r="N167" s="14" t="s">
        <v>268</v>
      </c>
      <c r="O167" s="14"/>
    </row>
    <row r="168" spans="1:15">
      <c r="A168" s="14"/>
      <c r="B168" s="14" t="s">
        <v>39</v>
      </c>
      <c r="C168" s="14" t="s">
        <v>140</v>
      </c>
      <c r="D168" s="14" t="s">
        <v>267</v>
      </c>
      <c r="E168" s="14" t="s">
        <v>142</v>
      </c>
      <c r="F168" s="14" t="s">
        <v>143</v>
      </c>
      <c r="G168" s="14" t="s">
        <v>143</v>
      </c>
      <c r="H168" s="14" t="s">
        <v>144</v>
      </c>
      <c r="I168" s="14" t="b">
        <v>0</v>
      </c>
      <c r="J168" s="14">
        <v>2</v>
      </c>
      <c r="K168" s="14">
        <v>7776</v>
      </c>
      <c r="L168" s="15">
        <v>402401953</v>
      </c>
      <c r="M168" s="15">
        <v>1200000022006382</v>
      </c>
      <c r="N168" s="14" t="s">
        <v>268</v>
      </c>
      <c r="O168" s="14"/>
    </row>
    <row r="169" spans="1:15">
      <c r="A169" s="14"/>
      <c r="B169" s="14" t="s">
        <v>126</v>
      </c>
      <c r="C169" s="14" t="s">
        <v>205</v>
      </c>
      <c r="D169" s="14" t="s">
        <v>269</v>
      </c>
      <c r="E169" s="14" t="s">
        <v>142</v>
      </c>
      <c r="F169" s="14" t="s">
        <v>143</v>
      </c>
      <c r="G169" s="14" t="s">
        <v>143</v>
      </c>
      <c r="H169" s="14" t="s">
        <v>144</v>
      </c>
      <c r="I169" s="14" t="b">
        <v>0</v>
      </c>
      <c r="J169" s="14">
        <v>1</v>
      </c>
      <c r="K169" s="14">
        <v>268.67</v>
      </c>
      <c r="L169" s="15">
        <v>406381643</v>
      </c>
      <c r="M169" s="15">
        <v>1200000064459364</v>
      </c>
      <c r="N169" s="14" t="s">
        <v>270</v>
      </c>
      <c r="O169" s="14"/>
    </row>
    <row r="170" spans="1:15">
      <c r="A170" s="14"/>
      <c r="B170" s="14" t="s">
        <v>126</v>
      </c>
      <c r="C170" s="14" t="s">
        <v>205</v>
      </c>
      <c r="D170" s="14" t="s">
        <v>269</v>
      </c>
      <c r="E170" s="14" t="s">
        <v>142</v>
      </c>
      <c r="F170" s="14" t="s">
        <v>143</v>
      </c>
      <c r="G170" s="14" t="s">
        <v>143</v>
      </c>
      <c r="H170" s="14" t="s">
        <v>144</v>
      </c>
      <c r="I170" s="14" t="b">
        <v>0</v>
      </c>
      <c r="J170" s="14">
        <v>99</v>
      </c>
      <c r="K170" s="14">
        <v>268.67</v>
      </c>
      <c r="L170" s="15">
        <v>406381642</v>
      </c>
      <c r="M170" s="15">
        <v>1200000064459364</v>
      </c>
      <c r="N170" s="14" t="s">
        <v>270</v>
      </c>
      <c r="O170" s="14"/>
    </row>
    <row r="171" spans="1:15">
      <c r="A171" s="14"/>
      <c r="B171" s="14" t="s">
        <v>271</v>
      </c>
      <c r="C171" s="14"/>
      <c r="D171" s="14" t="s">
        <v>272</v>
      </c>
      <c r="E171" s="14" t="s">
        <v>142</v>
      </c>
      <c r="F171" s="14" t="s">
        <v>143</v>
      </c>
      <c r="G171" s="14" t="s">
        <v>143</v>
      </c>
      <c r="H171" s="14" t="s">
        <v>144</v>
      </c>
      <c r="I171" s="14" t="b">
        <v>0</v>
      </c>
      <c r="J171" s="14">
        <v>13</v>
      </c>
      <c r="K171" s="14">
        <v>1393.8</v>
      </c>
      <c r="L171" s="15">
        <v>2834568</v>
      </c>
      <c r="M171" s="15">
        <v>1000000026298057</v>
      </c>
      <c r="N171" s="14" t="s">
        <v>273</v>
      </c>
      <c r="O171" s="14"/>
    </row>
    <row r="172" spans="1:15">
      <c r="A172" s="14"/>
      <c r="B172" s="14" t="s">
        <v>271</v>
      </c>
      <c r="C172" s="14"/>
      <c r="D172" s="14" t="s">
        <v>272</v>
      </c>
      <c r="E172" s="14" t="s">
        <v>142</v>
      </c>
      <c r="F172" s="14" t="s">
        <v>143</v>
      </c>
      <c r="G172" s="14" t="s">
        <v>143</v>
      </c>
      <c r="H172" s="14" t="s">
        <v>144</v>
      </c>
      <c r="I172" s="14" t="b">
        <v>0</v>
      </c>
      <c r="J172" s="14">
        <v>23</v>
      </c>
      <c r="K172" s="14">
        <v>1393.8</v>
      </c>
      <c r="L172" s="15">
        <v>2834567</v>
      </c>
      <c r="M172" s="15">
        <v>1000000026298057</v>
      </c>
      <c r="N172" s="14" t="s">
        <v>273</v>
      </c>
      <c r="O172" s="14"/>
    </row>
    <row r="173" spans="1:15">
      <c r="A173" s="14"/>
      <c r="B173" s="14" t="s">
        <v>274</v>
      </c>
      <c r="C173" s="14"/>
      <c r="D173" s="14" t="s">
        <v>272</v>
      </c>
      <c r="E173" s="14" t="s">
        <v>142</v>
      </c>
      <c r="F173" s="14" t="s">
        <v>143</v>
      </c>
      <c r="G173" s="14" t="s">
        <v>143</v>
      </c>
      <c r="H173" s="14" t="s">
        <v>144</v>
      </c>
      <c r="I173" s="14" t="b">
        <v>0</v>
      </c>
      <c r="J173" s="14">
        <v>2</v>
      </c>
      <c r="K173" s="14">
        <v>4514.2997999999998</v>
      </c>
      <c r="L173" s="15">
        <v>604224003</v>
      </c>
      <c r="M173" s="15">
        <v>1300000032610706</v>
      </c>
      <c r="N173" s="14" t="s">
        <v>275</v>
      </c>
      <c r="O173" s="14"/>
    </row>
    <row r="174" spans="1:15">
      <c r="A174" s="14"/>
      <c r="B174" s="14" t="s">
        <v>274</v>
      </c>
      <c r="C174" s="14"/>
      <c r="D174" s="14" t="s">
        <v>272</v>
      </c>
      <c r="E174" s="14" t="s">
        <v>142</v>
      </c>
      <c r="F174" s="14" t="s">
        <v>143</v>
      </c>
      <c r="G174" s="14" t="s">
        <v>143</v>
      </c>
      <c r="H174" s="14" t="s">
        <v>144</v>
      </c>
      <c r="I174" s="14" t="b">
        <v>0</v>
      </c>
      <c r="J174" s="14">
        <v>2</v>
      </c>
      <c r="K174" s="14">
        <v>4514.7002000000002</v>
      </c>
      <c r="L174" s="15">
        <v>604224005</v>
      </c>
      <c r="M174" s="15">
        <v>1300000032610706</v>
      </c>
      <c r="N174" s="14" t="s">
        <v>275</v>
      </c>
      <c r="O174" s="14"/>
    </row>
    <row r="175" spans="1:15">
      <c r="A175" s="14"/>
      <c r="B175" s="14" t="s">
        <v>274</v>
      </c>
      <c r="C175" s="14"/>
      <c r="D175" s="14" t="s">
        <v>272</v>
      </c>
      <c r="E175" s="14" t="s">
        <v>142</v>
      </c>
      <c r="F175" s="14" t="s">
        <v>143</v>
      </c>
      <c r="G175" s="14" t="s">
        <v>143</v>
      </c>
      <c r="H175" s="14" t="s">
        <v>144</v>
      </c>
      <c r="I175" s="14" t="b">
        <v>0</v>
      </c>
      <c r="J175" s="14">
        <v>4</v>
      </c>
      <c r="K175" s="14">
        <v>4512.5</v>
      </c>
      <c r="L175" s="15">
        <v>604224002</v>
      </c>
      <c r="M175" s="15">
        <v>1300000032610706</v>
      </c>
      <c r="N175" s="14" t="s">
        <v>275</v>
      </c>
      <c r="O175" s="14"/>
    </row>
    <row r="176" spans="1:15">
      <c r="A176" s="14"/>
      <c r="B176" s="14" t="s">
        <v>274</v>
      </c>
      <c r="C176" s="14"/>
      <c r="D176" s="14" t="s">
        <v>272</v>
      </c>
      <c r="E176" s="14" t="s">
        <v>142</v>
      </c>
      <c r="F176" s="14" t="s">
        <v>143</v>
      </c>
      <c r="G176" s="14" t="s">
        <v>143</v>
      </c>
      <c r="H176" s="14" t="s">
        <v>144</v>
      </c>
      <c r="I176" s="14" t="b">
        <v>0</v>
      </c>
      <c r="J176" s="14">
        <v>3</v>
      </c>
      <c r="K176" s="14">
        <v>4514.3999000000003</v>
      </c>
      <c r="L176" s="15">
        <v>604224004</v>
      </c>
      <c r="M176" s="15">
        <v>1300000032610706</v>
      </c>
      <c r="N176" s="14" t="s">
        <v>275</v>
      </c>
      <c r="O176" s="14"/>
    </row>
    <row r="177" spans="1:15">
      <c r="A177" s="14"/>
      <c r="B177" s="14" t="s">
        <v>274</v>
      </c>
      <c r="C177" s="14" t="s">
        <v>276</v>
      </c>
      <c r="D177" s="14" t="s">
        <v>277</v>
      </c>
      <c r="E177" s="14" t="s">
        <v>142</v>
      </c>
      <c r="F177" s="14" t="s">
        <v>143</v>
      </c>
      <c r="G177" s="14" t="s">
        <v>143</v>
      </c>
      <c r="H177" s="14" t="s">
        <v>144</v>
      </c>
      <c r="I177" s="14" t="b">
        <v>0</v>
      </c>
      <c r="J177" s="14">
        <v>3</v>
      </c>
      <c r="K177" s="14">
        <v>4712.1000999999997</v>
      </c>
      <c r="L177" s="15">
        <v>605255054</v>
      </c>
      <c r="M177" s="15">
        <v>1300000045811742</v>
      </c>
      <c r="N177" s="14" t="s">
        <v>278</v>
      </c>
      <c r="O177" s="14"/>
    </row>
    <row r="178" spans="1:15">
      <c r="A178" s="14"/>
      <c r="B178" s="14" t="s">
        <v>274</v>
      </c>
      <c r="C178" s="14" t="s">
        <v>276</v>
      </c>
      <c r="D178" s="14" t="s">
        <v>277</v>
      </c>
      <c r="E178" s="14" t="s">
        <v>142</v>
      </c>
      <c r="F178" s="14" t="s">
        <v>143</v>
      </c>
      <c r="G178" s="14" t="s">
        <v>143</v>
      </c>
      <c r="H178" s="14" t="s">
        <v>144</v>
      </c>
      <c r="I178" s="14" t="b">
        <v>0</v>
      </c>
      <c r="J178" s="14">
        <v>4</v>
      </c>
      <c r="K178" s="14">
        <v>4712</v>
      </c>
      <c r="L178" s="15">
        <v>605255052</v>
      </c>
      <c r="M178" s="15">
        <v>1300000045811742</v>
      </c>
      <c r="N178" s="14" t="s">
        <v>278</v>
      </c>
      <c r="O178" s="14"/>
    </row>
    <row r="179" spans="1:15">
      <c r="A179" s="14"/>
      <c r="B179" s="14" t="s">
        <v>274</v>
      </c>
      <c r="C179" s="14" t="s">
        <v>276</v>
      </c>
      <c r="D179" s="14" t="s">
        <v>277</v>
      </c>
      <c r="E179" s="14" t="s">
        <v>142</v>
      </c>
      <c r="F179" s="14" t="s">
        <v>143</v>
      </c>
      <c r="G179" s="14" t="s">
        <v>143</v>
      </c>
      <c r="H179" s="14" t="s">
        <v>144</v>
      </c>
      <c r="I179" s="14" t="b">
        <v>0</v>
      </c>
      <c r="J179" s="14">
        <v>2</v>
      </c>
      <c r="K179" s="14">
        <v>4712.1000999999997</v>
      </c>
      <c r="L179" s="15">
        <v>605255053</v>
      </c>
      <c r="M179" s="15">
        <v>1300000045811742</v>
      </c>
      <c r="N179" s="14" t="s">
        <v>278</v>
      </c>
      <c r="O179" s="14"/>
    </row>
    <row r="180" spans="1:15">
      <c r="A180" s="14"/>
      <c r="B180" s="14" t="s">
        <v>274</v>
      </c>
      <c r="C180" s="14" t="s">
        <v>276</v>
      </c>
      <c r="D180" s="14" t="s">
        <v>277</v>
      </c>
      <c r="E180" s="14" t="s">
        <v>142</v>
      </c>
      <c r="F180" s="14" t="s">
        <v>143</v>
      </c>
      <c r="G180" s="14" t="s">
        <v>143</v>
      </c>
      <c r="H180" s="14" t="s">
        <v>144</v>
      </c>
      <c r="I180" s="14" t="b">
        <v>0</v>
      </c>
      <c r="J180" s="14">
        <v>2</v>
      </c>
      <c r="K180" s="14">
        <v>4711.8999000000003</v>
      </c>
      <c r="L180" s="15">
        <v>605255051</v>
      </c>
      <c r="M180" s="15">
        <v>1300000045811742</v>
      </c>
      <c r="N180" s="14" t="s">
        <v>278</v>
      </c>
      <c r="O180" s="14"/>
    </row>
    <row r="181" spans="1:15">
      <c r="A181" s="14"/>
      <c r="B181" s="14" t="s">
        <v>43</v>
      </c>
      <c r="C181" s="14" t="s">
        <v>260</v>
      </c>
      <c r="D181" s="14" t="s">
        <v>277</v>
      </c>
      <c r="E181" s="14" t="s">
        <v>142</v>
      </c>
      <c r="F181" s="14" t="s">
        <v>143</v>
      </c>
      <c r="G181" s="14" t="s">
        <v>143</v>
      </c>
      <c r="H181" s="14" t="s">
        <v>144</v>
      </c>
      <c r="I181" s="14" t="b">
        <v>0</v>
      </c>
      <c r="J181" s="14">
        <v>108</v>
      </c>
      <c r="K181" s="14">
        <v>246.27</v>
      </c>
      <c r="L181" s="15">
        <v>206412972</v>
      </c>
      <c r="M181" s="15">
        <v>1100000054184602</v>
      </c>
      <c r="N181" s="14" t="s">
        <v>279</v>
      </c>
      <c r="O181" s="14"/>
    </row>
    <row r="182" spans="1:15">
      <c r="A182" s="14"/>
      <c r="B182" s="14" t="s">
        <v>43</v>
      </c>
      <c r="C182" s="14" t="s">
        <v>260</v>
      </c>
      <c r="D182" s="14" t="s">
        <v>277</v>
      </c>
      <c r="E182" s="14" t="s">
        <v>142</v>
      </c>
      <c r="F182" s="14" t="s">
        <v>143</v>
      </c>
      <c r="G182" s="14" t="s">
        <v>143</v>
      </c>
      <c r="H182" s="14" t="s">
        <v>144</v>
      </c>
      <c r="I182" s="14" t="b">
        <v>0</v>
      </c>
      <c r="J182" s="14">
        <v>96</v>
      </c>
      <c r="K182" s="14">
        <v>246.28</v>
      </c>
      <c r="L182" s="15">
        <v>206412973</v>
      </c>
      <c r="M182" s="15">
        <v>1100000054184602</v>
      </c>
      <c r="N182" s="14" t="s">
        <v>279</v>
      </c>
      <c r="O182" s="14"/>
    </row>
    <row r="183" spans="1:15">
      <c r="A183" s="14"/>
      <c r="B183" s="14" t="s">
        <v>43</v>
      </c>
      <c r="C183" s="14" t="s">
        <v>260</v>
      </c>
      <c r="D183" s="14" t="s">
        <v>280</v>
      </c>
      <c r="E183" s="14" t="s">
        <v>142</v>
      </c>
      <c r="F183" s="14" t="s">
        <v>143</v>
      </c>
      <c r="G183" s="14" t="s">
        <v>143</v>
      </c>
      <c r="H183" s="14" t="s">
        <v>144</v>
      </c>
      <c r="I183" s="14" t="b">
        <v>0</v>
      </c>
      <c r="J183" s="14">
        <v>14</v>
      </c>
      <c r="K183" s="14">
        <v>257.70999999999998</v>
      </c>
      <c r="L183" s="15">
        <v>205976622</v>
      </c>
      <c r="M183" s="15">
        <v>1100000056648477</v>
      </c>
      <c r="N183" s="14" t="s">
        <v>281</v>
      </c>
      <c r="O183" s="14"/>
    </row>
    <row r="184" spans="1:15">
      <c r="A184" s="14"/>
      <c r="B184" s="14" t="s">
        <v>43</v>
      </c>
      <c r="C184" s="14" t="s">
        <v>260</v>
      </c>
      <c r="D184" s="14" t="s">
        <v>280</v>
      </c>
      <c r="E184" s="14" t="s">
        <v>142</v>
      </c>
      <c r="F184" s="14" t="s">
        <v>143</v>
      </c>
      <c r="G184" s="14" t="s">
        <v>143</v>
      </c>
      <c r="H184" s="14" t="s">
        <v>144</v>
      </c>
      <c r="I184" s="14" t="b">
        <v>0</v>
      </c>
      <c r="J184" s="14">
        <v>250</v>
      </c>
      <c r="K184" s="14">
        <v>257.7</v>
      </c>
      <c r="L184" s="15">
        <v>205976620</v>
      </c>
      <c r="M184" s="15">
        <v>1100000056648477</v>
      </c>
      <c r="N184" s="14" t="s">
        <v>281</v>
      </c>
      <c r="O184" s="14"/>
    </row>
    <row r="185" spans="1:15">
      <c r="A185" s="14"/>
      <c r="B185" s="14" t="s">
        <v>43</v>
      </c>
      <c r="C185" s="14" t="s">
        <v>260</v>
      </c>
      <c r="D185" s="14" t="s">
        <v>280</v>
      </c>
      <c r="E185" s="14" t="s">
        <v>142</v>
      </c>
      <c r="F185" s="14" t="s">
        <v>143</v>
      </c>
      <c r="G185" s="14" t="s">
        <v>143</v>
      </c>
      <c r="H185" s="14" t="s">
        <v>144</v>
      </c>
      <c r="I185" s="14" t="b">
        <v>0</v>
      </c>
      <c r="J185" s="14">
        <v>92</v>
      </c>
      <c r="K185" s="14">
        <v>257.7</v>
      </c>
      <c r="L185" s="15">
        <v>205976621</v>
      </c>
      <c r="M185" s="15">
        <v>1100000056648477</v>
      </c>
      <c r="N185" s="14" t="s">
        <v>281</v>
      </c>
      <c r="O185" s="14"/>
    </row>
    <row r="186" spans="1:15">
      <c r="A186" s="14"/>
      <c r="B186" s="14" t="s">
        <v>43</v>
      </c>
      <c r="C186" s="14" t="s">
        <v>260</v>
      </c>
      <c r="D186" s="14" t="s">
        <v>280</v>
      </c>
      <c r="E186" s="14" t="s">
        <v>142</v>
      </c>
      <c r="F186" s="14" t="s">
        <v>143</v>
      </c>
      <c r="G186" s="14" t="s">
        <v>143</v>
      </c>
      <c r="H186" s="14" t="s">
        <v>144</v>
      </c>
      <c r="I186" s="14" t="b">
        <v>0</v>
      </c>
      <c r="J186" s="14">
        <v>32</v>
      </c>
      <c r="K186" s="14">
        <v>257.7</v>
      </c>
      <c r="L186" s="15">
        <v>205976619</v>
      </c>
      <c r="M186" s="15">
        <v>1100000056648477</v>
      </c>
      <c r="N186" s="14" t="s">
        <v>281</v>
      </c>
      <c r="O186" s="14"/>
    </row>
    <row r="187" spans="1:15">
      <c r="A187" s="14"/>
      <c r="B187" s="14" t="s">
        <v>282</v>
      </c>
      <c r="C187" s="14" t="s">
        <v>283</v>
      </c>
      <c r="D187" s="14" t="s">
        <v>280</v>
      </c>
      <c r="E187" s="14" t="s">
        <v>142</v>
      </c>
      <c r="F187" s="14" t="s">
        <v>143</v>
      </c>
      <c r="G187" s="14" t="s">
        <v>143</v>
      </c>
      <c r="H187" s="14" t="s">
        <v>144</v>
      </c>
      <c r="I187" s="14" t="b">
        <v>0</v>
      </c>
      <c r="J187" s="14">
        <v>677</v>
      </c>
      <c r="K187" s="14">
        <v>108.48</v>
      </c>
      <c r="L187" s="15">
        <v>206027992</v>
      </c>
      <c r="M187" s="15">
        <v>1100000057056789</v>
      </c>
      <c r="N187" s="14" t="s">
        <v>284</v>
      </c>
      <c r="O187" s="14"/>
    </row>
    <row r="188" spans="1:15">
      <c r="A188" s="14"/>
      <c r="B188" s="14" t="s">
        <v>282</v>
      </c>
      <c r="C188" s="14" t="s">
        <v>283</v>
      </c>
      <c r="D188" s="14" t="s">
        <v>280</v>
      </c>
      <c r="E188" s="14" t="s">
        <v>142</v>
      </c>
      <c r="F188" s="14" t="s">
        <v>143</v>
      </c>
      <c r="G188" s="14" t="s">
        <v>143</v>
      </c>
      <c r="H188" s="14" t="s">
        <v>144</v>
      </c>
      <c r="I188" s="14" t="b">
        <v>0</v>
      </c>
      <c r="J188" s="14">
        <v>243</v>
      </c>
      <c r="K188" s="14">
        <v>108.48</v>
      </c>
      <c r="L188" s="15">
        <v>206027993</v>
      </c>
      <c r="M188" s="15">
        <v>1100000057056789</v>
      </c>
      <c r="N188" s="14" t="s">
        <v>284</v>
      </c>
      <c r="O188" s="14"/>
    </row>
    <row r="189" spans="1:15">
      <c r="A189" s="14"/>
      <c r="B189" s="14" t="s">
        <v>285</v>
      </c>
      <c r="C189" s="14" t="s">
        <v>286</v>
      </c>
      <c r="D189" s="14" t="s">
        <v>287</v>
      </c>
      <c r="E189" s="14" t="s">
        <v>142</v>
      </c>
      <c r="F189" s="14" t="s">
        <v>143</v>
      </c>
      <c r="G189" s="14" t="s">
        <v>143</v>
      </c>
      <c r="H189" s="14" t="s">
        <v>144</v>
      </c>
      <c r="I189" s="14" t="b">
        <v>0</v>
      </c>
      <c r="J189" s="14">
        <v>36</v>
      </c>
      <c r="K189" s="14">
        <v>426.6</v>
      </c>
      <c r="L189" s="15">
        <v>4769488</v>
      </c>
      <c r="M189" s="15">
        <v>1000000042386900</v>
      </c>
      <c r="N189" s="14" t="s">
        <v>288</v>
      </c>
      <c r="O189" s="14"/>
    </row>
    <row r="190" spans="1:15">
      <c r="A190" s="14"/>
      <c r="B190" s="14" t="s">
        <v>285</v>
      </c>
      <c r="C190" s="14" t="s">
        <v>286</v>
      </c>
      <c r="D190" s="14" t="s">
        <v>287</v>
      </c>
      <c r="E190" s="14" t="s">
        <v>142</v>
      </c>
      <c r="F190" s="14" t="s">
        <v>143</v>
      </c>
      <c r="G190" s="14" t="s">
        <v>143</v>
      </c>
      <c r="H190" s="14" t="s">
        <v>144</v>
      </c>
      <c r="I190" s="14" t="b">
        <v>0</v>
      </c>
      <c r="J190" s="14">
        <v>81</v>
      </c>
      <c r="K190" s="14">
        <v>426.6</v>
      </c>
      <c r="L190" s="15">
        <v>4769042</v>
      </c>
      <c r="M190" s="15">
        <v>1000000042386900</v>
      </c>
      <c r="N190" s="14" t="s">
        <v>288</v>
      </c>
      <c r="O190" s="14"/>
    </row>
    <row r="191" spans="1:15">
      <c r="A191" s="14"/>
      <c r="B191" s="14" t="s">
        <v>199</v>
      </c>
      <c r="C191" s="14" t="s">
        <v>289</v>
      </c>
      <c r="D191" s="14" t="s">
        <v>287</v>
      </c>
      <c r="E191" s="14" t="s">
        <v>142</v>
      </c>
      <c r="F191" s="14" t="s">
        <v>143</v>
      </c>
      <c r="G191" s="14" t="s">
        <v>143</v>
      </c>
      <c r="H191" s="14" t="s">
        <v>144</v>
      </c>
      <c r="I191" s="14" t="b">
        <v>0</v>
      </c>
      <c r="J191" s="14">
        <v>18</v>
      </c>
      <c r="K191" s="14">
        <v>2801.6001000000001</v>
      </c>
      <c r="L191" s="15">
        <v>4787082</v>
      </c>
      <c r="M191" s="15">
        <v>1000000042553870</v>
      </c>
      <c r="N191" s="14" t="s">
        <v>290</v>
      </c>
      <c r="O191" s="14"/>
    </row>
    <row r="192" spans="1:15">
      <c r="A192" s="14"/>
      <c r="B192" s="14" t="s">
        <v>291</v>
      </c>
      <c r="C192" s="14" t="s">
        <v>292</v>
      </c>
      <c r="D192" s="14" t="s">
        <v>293</v>
      </c>
      <c r="E192" s="14" t="s">
        <v>142</v>
      </c>
      <c r="F192" s="14" t="s">
        <v>143</v>
      </c>
      <c r="G192" s="14" t="s">
        <v>143</v>
      </c>
      <c r="H192" s="14" t="s">
        <v>144</v>
      </c>
      <c r="I192" s="14" t="b">
        <v>0</v>
      </c>
      <c r="J192" s="14">
        <v>26</v>
      </c>
      <c r="K192" s="14">
        <v>485.05</v>
      </c>
      <c r="L192" s="15">
        <v>202333156</v>
      </c>
      <c r="M192" s="15">
        <v>1100000017290156</v>
      </c>
      <c r="N192" s="14" t="s">
        <v>294</v>
      </c>
      <c r="O192" s="14"/>
    </row>
    <row r="193" spans="1:15">
      <c r="A193" s="14"/>
      <c r="B193" s="14" t="s">
        <v>291</v>
      </c>
      <c r="C193" s="14" t="s">
        <v>292</v>
      </c>
      <c r="D193" s="14" t="s">
        <v>293</v>
      </c>
      <c r="E193" s="14" t="s">
        <v>142</v>
      </c>
      <c r="F193" s="14" t="s">
        <v>143</v>
      </c>
      <c r="G193" s="14" t="s">
        <v>143</v>
      </c>
      <c r="H193" s="14" t="s">
        <v>144</v>
      </c>
      <c r="I193" s="14" t="b">
        <v>0</v>
      </c>
      <c r="J193" s="14">
        <v>77</v>
      </c>
      <c r="K193" s="14">
        <v>485.05</v>
      </c>
      <c r="L193" s="15">
        <v>202333157</v>
      </c>
      <c r="M193" s="15">
        <v>1100000017290156</v>
      </c>
      <c r="N193" s="14" t="s">
        <v>294</v>
      </c>
      <c r="O193" s="14"/>
    </row>
    <row r="194" spans="1:15">
      <c r="A194" s="14"/>
      <c r="B194" s="14" t="s">
        <v>285</v>
      </c>
      <c r="C194" s="14" t="s">
        <v>286</v>
      </c>
      <c r="D194" s="14" t="s">
        <v>293</v>
      </c>
      <c r="E194" s="14" t="s">
        <v>142</v>
      </c>
      <c r="F194" s="14" t="s">
        <v>143</v>
      </c>
      <c r="G194" s="14" t="s">
        <v>143</v>
      </c>
      <c r="H194" s="14" t="s">
        <v>144</v>
      </c>
      <c r="I194" s="14" t="b">
        <v>0</v>
      </c>
      <c r="J194" s="14">
        <v>100</v>
      </c>
      <c r="K194" s="14">
        <v>450.45</v>
      </c>
      <c r="L194" s="15">
        <v>1534655</v>
      </c>
      <c r="M194" s="15">
        <v>1000000015384872</v>
      </c>
      <c r="N194" s="14" t="s">
        <v>295</v>
      </c>
      <c r="O194" s="14"/>
    </row>
    <row r="195" spans="1:15">
      <c r="A195" s="14"/>
      <c r="B195" s="14" t="s">
        <v>285</v>
      </c>
      <c r="C195" s="14" t="s">
        <v>286</v>
      </c>
      <c r="D195" s="14" t="s">
        <v>293</v>
      </c>
      <c r="E195" s="14" t="s">
        <v>142</v>
      </c>
      <c r="F195" s="14" t="s">
        <v>143</v>
      </c>
      <c r="G195" s="14" t="s">
        <v>143</v>
      </c>
      <c r="H195" s="14" t="s">
        <v>144</v>
      </c>
      <c r="I195" s="14" t="b">
        <v>0</v>
      </c>
      <c r="J195" s="14">
        <v>11</v>
      </c>
      <c r="K195" s="14">
        <v>450.45</v>
      </c>
      <c r="L195" s="15">
        <v>1534656</v>
      </c>
      <c r="M195" s="15">
        <v>1000000015384872</v>
      </c>
      <c r="N195" s="14" t="s">
        <v>295</v>
      </c>
      <c r="O195" s="14"/>
    </row>
    <row r="196" spans="1:15">
      <c r="A196" s="14"/>
      <c r="B196" s="14" t="s">
        <v>296</v>
      </c>
      <c r="C196" s="14" t="s">
        <v>297</v>
      </c>
      <c r="D196" s="14" t="s">
        <v>298</v>
      </c>
      <c r="E196" s="14" t="s">
        <v>142</v>
      </c>
      <c r="F196" s="14" t="s">
        <v>143</v>
      </c>
      <c r="G196" s="14" t="s">
        <v>143</v>
      </c>
      <c r="H196" s="14" t="s">
        <v>144</v>
      </c>
      <c r="I196" s="14" t="b">
        <v>0</v>
      </c>
      <c r="J196" s="14">
        <v>19</v>
      </c>
      <c r="K196" s="14">
        <v>1314.6</v>
      </c>
      <c r="L196" s="15">
        <v>402017427</v>
      </c>
      <c r="M196" s="15">
        <v>1200000019575555</v>
      </c>
      <c r="N196" s="14" t="s">
        <v>299</v>
      </c>
      <c r="O196" s="14"/>
    </row>
    <row r="197" spans="1:15">
      <c r="A197" s="14"/>
      <c r="B197" s="14" t="s">
        <v>126</v>
      </c>
      <c r="C197" s="14" t="s">
        <v>205</v>
      </c>
      <c r="D197" s="14" t="s">
        <v>300</v>
      </c>
      <c r="E197" s="14" t="s">
        <v>142</v>
      </c>
      <c r="F197" s="14" t="s">
        <v>143</v>
      </c>
      <c r="G197" s="14" t="s">
        <v>143</v>
      </c>
      <c r="H197" s="14" t="s">
        <v>193</v>
      </c>
      <c r="I197" s="14" t="b">
        <v>0</v>
      </c>
      <c r="J197" s="14">
        <v>220</v>
      </c>
      <c r="K197" s="14">
        <v>245.9</v>
      </c>
      <c r="L197" s="15">
        <v>401382540</v>
      </c>
      <c r="M197" s="15">
        <v>1200000014901459</v>
      </c>
      <c r="N197" s="14" t="s">
        <v>301</v>
      </c>
      <c r="O197" s="14"/>
    </row>
    <row r="198" spans="1:15">
      <c r="A198" s="14"/>
      <c r="B198" s="14" t="s">
        <v>41</v>
      </c>
      <c r="C198" s="14" t="s">
        <v>208</v>
      </c>
      <c r="D198" s="14" t="s">
        <v>302</v>
      </c>
      <c r="E198" s="14" t="s">
        <v>199</v>
      </c>
      <c r="F198" s="14" t="s">
        <v>143</v>
      </c>
      <c r="G198" s="14" t="s">
        <v>200</v>
      </c>
      <c r="H198" s="14" t="s">
        <v>144</v>
      </c>
      <c r="I198" s="14" t="b">
        <v>0</v>
      </c>
      <c r="J198" s="14">
        <v>11</v>
      </c>
      <c r="K198" s="14">
        <v>926.6</v>
      </c>
      <c r="L198" s="15">
        <v>8895500</v>
      </c>
      <c r="M198" s="15">
        <v>1.7673437114127171E+18</v>
      </c>
      <c r="N198" s="14" t="s">
        <v>303</v>
      </c>
      <c r="O198" s="14"/>
    </row>
    <row r="199" spans="1:15">
      <c r="A199" s="14"/>
      <c r="B199" s="14" t="s">
        <v>41</v>
      </c>
      <c r="C199" s="14" t="s">
        <v>208</v>
      </c>
      <c r="D199" s="14" t="s">
        <v>302</v>
      </c>
      <c r="E199" s="14" t="s">
        <v>199</v>
      </c>
      <c r="F199" s="14" t="s">
        <v>143</v>
      </c>
      <c r="G199" s="14" t="s">
        <v>200</v>
      </c>
      <c r="H199" s="14" t="s">
        <v>144</v>
      </c>
      <c r="I199" s="14" t="b">
        <v>0</v>
      </c>
      <c r="J199" s="14">
        <v>97</v>
      </c>
      <c r="K199" s="14">
        <v>926.5</v>
      </c>
      <c r="L199" s="15">
        <v>8895300</v>
      </c>
      <c r="M199" s="15">
        <v>1.7673437114127171E+18</v>
      </c>
      <c r="N199" s="14" t="s">
        <v>303</v>
      </c>
      <c r="O199" s="14"/>
    </row>
    <row r="200" spans="1:15">
      <c r="A200" s="14"/>
      <c r="B200" s="14" t="s">
        <v>94</v>
      </c>
      <c r="C200" s="14" t="s">
        <v>304</v>
      </c>
      <c r="D200" s="14" t="s">
        <v>302</v>
      </c>
      <c r="E200" s="14" t="s">
        <v>142</v>
      </c>
      <c r="F200" s="14" t="s">
        <v>143</v>
      </c>
      <c r="G200" s="14" t="s">
        <v>143</v>
      </c>
      <c r="H200" s="14" t="s">
        <v>144</v>
      </c>
      <c r="I200" s="14" t="b">
        <v>0</v>
      </c>
      <c r="J200" s="14">
        <v>300</v>
      </c>
      <c r="K200" s="14">
        <v>84.49</v>
      </c>
      <c r="L200" s="15">
        <v>406243588</v>
      </c>
      <c r="M200" s="15">
        <v>1200000058479057</v>
      </c>
      <c r="N200" s="14" t="s">
        <v>305</v>
      </c>
      <c r="O200" s="14"/>
    </row>
    <row r="201" spans="1:15">
      <c r="A201" s="14"/>
      <c r="B201" s="14" t="s">
        <v>93</v>
      </c>
      <c r="C201" s="14" t="s">
        <v>306</v>
      </c>
      <c r="D201" s="14" t="s">
        <v>302</v>
      </c>
      <c r="E201" s="14" t="s">
        <v>142</v>
      </c>
      <c r="F201" s="14" t="s">
        <v>143</v>
      </c>
      <c r="G201" s="14" t="s">
        <v>143</v>
      </c>
      <c r="H201" s="14" t="s">
        <v>144</v>
      </c>
      <c r="I201" s="14" t="b">
        <v>0</v>
      </c>
      <c r="J201" s="14">
        <v>182</v>
      </c>
      <c r="K201" s="14">
        <v>137.25</v>
      </c>
      <c r="L201" s="15">
        <v>208912626</v>
      </c>
      <c r="M201" s="15">
        <v>1100000068739066</v>
      </c>
      <c r="N201" s="14" t="s">
        <v>307</v>
      </c>
      <c r="O201" s="14"/>
    </row>
    <row r="202" spans="1:15">
      <c r="A202" s="14"/>
      <c r="B202" s="14" t="s">
        <v>42</v>
      </c>
      <c r="C202" s="14" t="s">
        <v>308</v>
      </c>
      <c r="D202" s="14" t="s">
        <v>309</v>
      </c>
      <c r="E202" s="14" t="s">
        <v>142</v>
      </c>
      <c r="F202" s="14" t="s">
        <v>143</v>
      </c>
      <c r="G202" s="14" t="s">
        <v>143</v>
      </c>
      <c r="H202" s="14" t="s">
        <v>144</v>
      </c>
      <c r="I202" s="14" t="b">
        <v>0</v>
      </c>
      <c r="J202" s="14">
        <v>665</v>
      </c>
      <c r="K202" s="14">
        <v>75.5</v>
      </c>
      <c r="L202" s="15">
        <v>3525224</v>
      </c>
      <c r="M202" s="15">
        <v>1000000030563951</v>
      </c>
      <c r="N202" s="14" t="s">
        <v>310</v>
      </c>
      <c r="O202" s="14"/>
    </row>
    <row r="203" spans="1:15">
      <c r="A203" s="14"/>
      <c r="B203" s="14" t="s">
        <v>245</v>
      </c>
      <c r="C203" s="14" t="s">
        <v>246</v>
      </c>
      <c r="D203" s="14" t="s">
        <v>309</v>
      </c>
      <c r="E203" s="14" t="s">
        <v>142</v>
      </c>
      <c r="F203" s="14" t="s">
        <v>143</v>
      </c>
      <c r="G203" s="14" t="s">
        <v>143</v>
      </c>
      <c r="H203" s="14" t="s">
        <v>193</v>
      </c>
      <c r="I203" s="14" t="b">
        <v>0</v>
      </c>
      <c r="J203" s="14">
        <v>11</v>
      </c>
      <c r="K203" s="14">
        <v>814.95</v>
      </c>
      <c r="L203" s="15">
        <v>4105206</v>
      </c>
      <c r="M203" s="15">
        <v>1000000035841343</v>
      </c>
      <c r="N203" s="14" t="s">
        <v>311</v>
      </c>
      <c r="O203" s="14"/>
    </row>
    <row r="204" spans="1:15">
      <c r="A204" s="14"/>
      <c r="B204" s="14" t="s">
        <v>245</v>
      </c>
      <c r="C204" s="14" t="s">
        <v>246</v>
      </c>
      <c r="D204" s="14" t="s">
        <v>309</v>
      </c>
      <c r="E204" s="14" t="s">
        <v>142</v>
      </c>
      <c r="F204" s="14" t="s">
        <v>143</v>
      </c>
      <c r="G204" s="14" t="s">
        <v>143</v>
      </c>
      <c r="H204" s="14" t="s">
        <v>193</v>
      </c>
      <c r="I204" s="14" t="b">
        <v>0</v>
      </c>
      <c r="J204" s="14">
        <v>1</v>
      </c>
      <c r="K204" s="14">
        <v>814.95</v>
      </c>
      <c r="L204" s="15">
        <v>4105207</v>
      </c>
      <c r="M204" s="15">
        <v>1000000035841343</v>
      </c>
      <c r="N204" s="14" t="s">
        <v>311</v>
      </c>
      <c r="O204" s="14"/>
    </row>
    <row r="205" spans="1:15">
      <c r="A205" s="14"/>
      <c r="B205" s="14" t="s">
        <v>245</v>
      </c>
      <c r="C205" s="14" t="s">
        <v>246</v>
      </c>
      <c r="D205" s="14" t="s">
        <v>309</v>
      </c>
      <c r="E205" s="14" t="s">
        <v>142</v>
      </c>
      <c r="F205" s="14" t="s">
        <v>143</v>
      </c>
      <c r="G205" s="14" t="s">
        <v>143</v>
      </c>
      <c r="H205" s="14" t="s">
        <v>193</v>
      </c>
      <c r="I205" s="14" t="b">
        <v>0</v>
      </c>
      <c r="J205" s="14">
        <v>2</v>
      </c>
      <c r="K205" s="14">
        <v>814.9</v>
      </c>
      <c r="L205" s="15">
        <v>4105209</v>
      </c>
      <c r="M205" s="15">
        <v>1000000035841343</v>
      </c>
      <c r="N205" s="14" t="s">
        <v>311</v>
      </c>
      <c r="O205" s="14"/>
    </row>
    <row r="206" spans="1:15">
      <c r="A206" s="14"/>
      <c r="B206" s="14" t="s">
        <v>245</v>
      </c>
      <c r="C206" s="14" t="s">
        <v>246</v>
      </c>
      <c r="D206" s="14" t="s">
        <v>309</v>
      </c>
      <c r="E206" s="14" t="s">
        <v>142</v>
      </c>
      <c r="F206" s="14" t="s">
        <v>143</v>
      </c>
      <c r="G206" s="14" t="s">
        <v>143</v>
      </c>
      <c r="H206" s="14" t="s">
        <v>193</v>
      </c>
      <c r="I206" s="14" t="b">
        <v>0</v>
      </c>
      <c r="J206" s="14">
        <v>38</v>
      </c>
      <c r="K206" s="14">
        <v>814.95</v>
      </c>
      <c r="L206" s="15">
        <v>4105208</v>
      </c>
      <c r="M206" s="15">
        <v>1000000035841343</v>
      </c>
      <c r="N206" s="14" t="s">
        <v>311</v>
      </c>
      <c r="O206" s="14"/>
    </row>
    <row r="207" spans="1:15">
      <c r="A207" s="14"/>
      <c r="B207" s="14" t="s">
        <v>42</v>
      </c>
      <c r="C207" s="14" t="s">
        <v>308</v>
      </c>
      <c r="D207" s="14" t="s">
        <v>309</v>
      </c>
      <c r="E207" s="14" t="s">
        <v>142</v>
      </c>
      <c r="F207" s="14" t="s">
        <v>143</v>
      </c>
      <c r="G207" s="14" t="s">
        <v>143</v>
      </c>
      <c r="H207" s="14" t="s">
        <v>193</v>
      </c>
      <c r="I207" s="14" t="b">
        <v>0</v>
      </c>
      <c r="J207" s="14">
        <v>50</v>
      </c>
      <c r="K207" s="14">
        <v>72.97999999999999</v>
      </c>
      <c r="L207" s="15">
        <v>4343004</v>
      </c>
      <c r="M207" s="15">
        <v>1000000038012849</v>
      </c>
      <c r="N207" s="14" t="s">
        <v>312</v>
      </c>
      <c r="O207" s="14"/>
    </row>
    <row r="208" spans="1:15">
      <c r="A208" s="14"/>
      <c r="B208" s="14" t="s">
        <v>42</v>
      </c>
      <c r="C208" s="14" t="s">
        <v>308</v>
      </c>
      <c r="D208" s="14" t="s">
        <v>309</v>
      </c>
      <c r="E208" s="14" t="s">
        <v>142</v>
      </c>
      <c r="F208" s="14" t="s">
        <v>143</v>
      </c>
      <c r="G208" s="14" t="s">
        <v>143</v>
      </c>
      <c r="H208" s="14" t="s">
        <v>193</v>
      </c>
      <c r="I208" s="14" t="b">
        <v>0</v>
      </c>
      <c r="J208" s="14">
        <v>590</v>
      </c>
      <c r="K208" s="14">
        <v>72.97999999999999</v>
      </c>
      <c r="L208" s="15">
        <v>4343005</v>
      </c>
      <c r="M208" s="15">
        <v>1000000038012849</v>
      </c>
      <c r="N208" s="14" t="s">
        <v>312</v>
      </c>
      <c r="O208" s="14"/>
    </row>
    <row r="209" spans="1:15">
      <c r="A209" s="14"/>
      <c r="B209" s="14" t="s">
        <v>42</v>
      </c>
      <c r="C209" s="14" t="s">
        <v>308</v>
      </c>
      <c r="D209" s="14" t="s">
        <v>309</v>
      </c>
      <c r="E209" s="14" t="s">
        <v>142</v>
      </c>
      <c r="F209" s="14" t="s">
        <v>143</v>
      </c>
      <c r="G209" s="14" t="s">
        <v>143</v>
      </c>
      <c r="H209" s="14" t="s">
        <v>193</v>
      </c>
      <c r="I209" s="14" t="b">
        <v>0</v>
      </c>
      <c r="J209" s="14">
        <v>25</v>
      </c>
      <c r="K209" s="14">
        <v>72.97999999999999</v>
      </c>
      <c r="L209" s="15">
        <v>4343006</v>
      </c>
      <c r="M209" s="15">
        <v>1000000038012849</v>
      </c>
      <c r="N209" s="14" t="s">
        <v>312</v>
      </c>
      <c r="O209" s="14"/>
    </row>
    <row r="210" spans="1:15">
      <c r="A210" s="14"/>
      <c r="B210" s="14" t="s">
        <v>182</v>
      </c>
      <c r="C210" s="14" t="s">
        <v>183</v>
      </c>
      <c r="D210" s="14" t="s">
        <v>309</v>
      </c>
      <c r="E210" s="14" t="s">
        <v>142</v>
      </c>
      <c r="F210" s="14" t="s">
        <v>143</v>
      </c>
      <c r="G210" s="14" t="s">
        <v>143</v>
      </c>
      <c r="H210" s="14" t="s">
        <v>144</v>
      </c>
      <c r="I210" s="14" t="b">
        <v>0</v>
      </c>
      <c r="J210" s="14">
        <v>125</v>
      </c>
      <c r="K210" s="14">
        <v>154.59</v>
      </c>
      <c r="L210" s="15">
        <v>5678235</v>
      </c>
      <c r="M210" s="15">
        <v>1000000049175784</v>
      </c>
      <c r="N210" s="14" t="s">
        <v>313</v>
      </c>
      <c r="O210" s="14"/>
    </row>
    <row r="211" spans="1:15">
      <c r="A211" s="14"/>
      <c r="B211" s="14" t="s">
        <v>182</v>
      </c>
      <c r="C211" s="14" t="s">
        <v>183</v>
      </c>
      <c r="D211" s="14" t="s">
        <v>309</v>
      </c>
      <c r="E211" s="14" t="s">
        <v>142</v>
      </c>
      <c r="F211" s="14" t="s">
        <v>143</v>
      </c>
      <c r="G211" s="14" t="s">
        <v>143</v>
      </c>
      <c r="H211" s="14" t="s">
        <v>144</v>
      </c>
      <c r="I211" s="14" t="b">
        <v>0</v>
      </c>
      <c r="J211" s="14">
        <v>136</v>
      </c>
      <c r="K211" s="14">
        <v>154.59</v>
      </c>
      <c r="L211" s="15">
        <v>5678236</v>
      </c>
      <c r="M211" s="15">
        <v>1000000049175784</v>
      </c>
      <c r="N211" s="14" t="s">
        <v>313</v>
      </c>
      <c r="O211" s="14"/>
    </row>
    <row r="212" spans="1:15">
      <c r="A212" s="14"/>
      <c r="B212" s="14" t="s">
        <v>182</v>
      </c>
      <c r="C212" s="14" t="s">
        <v>183</v>
      </c>
      <c r="D212" s="14" t="s">
        <v>309</v>
      </c>
      <c r="E212" s="14" t="s">
        <v>142</v>
      </c>
      <c r="F212" s="14" t="s">
        <v>143</v>
      </c>
      <c r="G212" s="14" t="s">
        <v>143</v>
      </c>
      <c r="H212" s="14" t="s">
        <v>144</v>
      </c>
      <c r="I212" s="14" t="b">
        <v>0</v>
      </c>
      <c r="J212" s="14">
        <v>19</v>
      </c>
      <c r="K212" s="14">
        <v>154.59</v>
      </c>
      <c r="L212" s="15">
        <v>5678237</v>
      </c>
      <c r="M212" s="15">
        <v>1000000049175784</v>
      </c>
      <c r="N212" s="14" t="s">
        <v>313</v>
      </c>
      <c r="O212" s="14"/>
    </row>
    <row r="213" spans="1:15">
      <c r="A213" s="14"/>
      <c r="B213" s="14" t="s">
        <v>182</v>
      </c>
      <c r="C213" s="14" t="s">
        <v>183</v>
      </c>
      <c r="D213" s="14" t="s">
        <v>309</v>
      </c>
      <c r="E213" s="14" t="s">
        <v>142</v>
      </c>
      <c r="F213" s="14" t="s">
        <v>143</v>
      </c>
      <c r="G213" s="14" t="s">
        <v>143</v>
      </c>
      <c r="H213" s="14" t="s">
        <v>144</v>
      </c>
      <c r="I213" s="14" t="b">
        <v>0</v>
      </c>
      <c r="J213" s="14">
        <v>44</v>
      </c>
      <c r="K213" s="14">
        <v>154.6</v>
      </c>
      <c r="L213" s="15">
        <v>5678238</v>
      </c>
      <c r="M213" s="15">
        <v>1000000049175784</v>
      </c>
      <c r="N213" s="14" t="s">
        <v>313</v>
      </c>
      <c r="O213" s="14"/>
    </row>
    <row r="214" spans="1:15">
      <c r="A214" s="14"/>
      <c r="B214" s="14" t="s">
        <v>167</v>
      </c>
      <c r="C214" s="14" t="s">
        <v>168</v>
      </c>
      <c r="D214" s="14" t="s">
        <v>309</v>
      </c>
      <c r="E214" s="14" t="s">
        <v>142</v>
      </c>
      <c r="F214" s="14" t="s">
        <v>143</v>
      </c>
      <c r="G214" s="14" t="s">
        <v>143</v>
      </c>
      <c r="H214" s="14" t="s">
        <v>144</v>
      </c>
      <c r="I214" s="14" t="b">
        <v>0</v>
      </c>
      <c r="J214" s="14">
        <v>41</v>
      </c>
      <c r="K214" s="14">
        <v>612</v>
      </c>
      <c r="L214" s="15">
        <v>208704403</v>
      </c>
      <c r="M214" s="15">
        <v>1100000068344678</v>
      </c>
      <c r="N214" s="14" t="s">
        <v>314</v>
      </c>
      <c r="O214" s="14"/>
    </row>
    <row r="215" spans="1:15">
      <c r="A215" s="14"/>
      <c r="B215" s="14" t="s">
        <v>44</v>
      </c>
      <c r="C215" s="14" t="s">
        <v>315</v>
      </c>
      <c r="D215" s="14" t="s">
        <v>309</v>
      </c>
      <c r="E215" s="14" t="s">
        <v>142</v>
      </c>
      <c r="F215" s="14" t="s">
        <v>143</v>
      </c>
      <c r="G215" s="14" t="s">
        <v>143</v>
      </c>
      <c r="H215" s="14" t="s">
        <v>144</v>
      </c>
      <c r="I215" s="14" t="b">
        <v>0</v>
      </c>
      <c r="J215" s="14">
        <v>1</v>
      </c>
      <c r="K215" s="14">
        <v>2936.3</v>
      </c>
      <c r="L215" s="15">
        <v>5735291</v>
      </c>
      <c r="M215" s="15">
        <v>1000000049547677</v>
      </c>
      <c r="N215" s="14" t="s">
        <v>316</v>
      </c>
      <c r="O215" s="14"/>
    </row>
    <row r="216" spans="1:15">
      <c r="A216" s="14"/>
      <c r="B216" s="14" t="s">
        <v>44</v>
      </c>
      <c r="C216" s="14" t="s">
        <v>315</v>
      </c>
      <c r="D216" s="14" t="s">
        <v>309</v>
      </c>
      <c r="E216" s="14" t="s">
        <v>142</v>
      </c>
      <c r="F216" s="14" t="s">
        <v>143</v>
      </c>
      <c r="G216" s="14" t="s">
        <v>143</v>
      </c>
      <c r="H216" s="14" t="s">
        <v>144</v>
      </c>
      <c r="I216" s="14" t="b">
        <v>0</v>
      </c>
      <c r="J216" s="14">
        <v>3</v>
      </c>
      <c r="K216" s="14">
        <v>2936.3</v>
      </c>
      <c r="L216" s="15">
        <v>5735290</v>
      </c>
      <c r="M216" s="15">
        <v>1000000049547677</v>
      </c>
      <c r="N216" s="14" t="s">
        <v>316</v>
      </c>
      <c r="O216" s="14"/>
    </row>
    <row r="217" spans="1:15">
      <c r="A217" s="14"/>
      <c r="B217" s="14" t="s">
        <v>42</v>
      </c>
      <c r="C217" s="14" t="s">
        <v>308</v>
      </c>
      <c r="D217" s="14" t="s">
        <v>317</v>
      </c>
      <c r="E217" s="14" t="s">
        <v>142</v>
      </c>
      <c r="F217" s="14" t="s">
        <v>143</v>
      </c>
      <c r="G217" s="14" t="s">
        <v>143</v>
      </c>
      <c r="H217" s="14" t="s">
        <v>144</v>
      </c>
      <c r="I217" s="14" t="b">
        <v>0</v>
      </c>
      <c r="J217" s="14">
        <v>500</v>
      </c>
      <c r="K217" s="14">
        <v>84.92</v>
      </c>
      <c r="L217" s="15">
        <v>277975</v>
      </c>
      <c r="M217" s="15">
        <v>1000000002320226</v>
      </c>
      <c r="N217" s="14" t="s">
        <v>318</v>
      </c>
      <c r="O217" s="14"/>
    </row>
    <row r="218" spans="1:15">
      <c r="A218" s="14"/>
      <c r="B218" s="14" t="s">
        <v>274</v>
      </c>
      <c r="C218" s="14" t="s">
        <v>276</v>
      </c>
      <c r="D218" s="14" t="s">
        <v>319</v>
      </c>
      <c r="E218" s="14" t="s">
        <v>142</v>
      </c>
      <c r="F218" s="14" t="s">
        <v>143</v>
      </c>
      <c r="G218" s="14" t="s">
        <v>143</v>
      </c>
      <c r="H218" s="14" t="s">
        <v>193</v>
      </c>
      <c r="I218" s="14" t="b">
        <v>0</v>
      </c>
      <c r="J218" s="14">
        <v>1</v>
      </c>
      <c r="K218" s="14">
        <v>4030.5</v>
      </c>
      <c r="L218" s="15">
        <v>606190475</v>
      </c>
      <c r="M218" s="15">
        <v>1300000047221509</v>
      </c>
      <c r="N218" s="14" t="s">
        <v>320</v>
      </c>
      <c r="O218" s="14"/>
    </row>
    <row r="219" spans="1:15">
      <c r="A219" s="14"/>
      <c r="B219" s="14" t="s">
        <v>274</v>
      </c>
      <c r="C219" s="14" t="s">
        <v>276</v>
      </c>
      <c r="D219" s="14" t="s">
        <v>319</v>
      </c>
      <c r="E219" s="14" t="s">
        <v>142</v>
      </c>
      <c r="F219" s="14" t="s">
        <v>143</v>
      </c>
      <c r="G219" s="14" t="s">
        <v>143</v>
      </c>
      <c r="H219" s="14" t="s">
        <v>193</v>
      </c>
      <c r="I219" s="14" t="b">
        <v>0</v>
      </c>
      <c r="J219" s="14">
        <v>1</v>
      </c>
      <c r="K219" s="14">
        <v>4030.7</v>
      </c>
      <c r="L219" s="15">
        <v>606190474</v>
      </c>
      <c r="M219" s="15">
        <v>1300000047221509</v>
      </c>
      <c r="N219" s="14" t="s">
        <v>320</v>
      </c>
      <c r="O219" s="14"/>
    </row>
    <row r="220" spans="1:15">
      <c r="A220" s="14"/>
      <c r="B220" s="14" t="s">
        <v>274</v>
      </c>
      <c r="C220" s="14" t="s">
        <v>276</v>
      </c>
      <c r="D220" s="14" t="s">
        <v>319</v>
      </c>
      <c r="E220" s="14" t="s">
        <v>142</v>
      </c>
      <c r="F220" s="14" t="s">
        <v>143</v>
      </c>
      <c r="G220" s="14" t="s">
        <v>143</v>
      </c>
      <c r="H220" s="14" t="s">
        <v>193</v>
      </c>
      <c r="I220" s="14" t="b">
        <v>0</v>
      </c>
      <c r="J220" s="14">
        <v>20</v>
      </c>
      <c r="K220" s="14">
        <v>4030.3998999999999</v>
      </c>
      <c r="L220" s="15">
        <v>606190476</v>
      </c>
      <c r="M220" s="15">
        <v>1300000047221509</v>
      </c>
      <c r="N220" s="14" t="s">
        <v>320</v>
      </c>
      <c r="O220" s="14"/>
    </row>
    <row r="221" spans="1:15">
      <c r="A221" s="14"/>
      <c r="B221" s="14" t="s">
        <v>93</v>
      </c>
      <c r="C221" s="14" t="s">
        <v>306</v>
      </c>
      <c r="D221" s="14" t="s">
        <v>319</v>
      </c>
      <c r="E221" s="14" t="s">
        <v>142</v>
      </c>
      <c r="F221" s="14" t="s">
        <v>143</v>
      </c>
      <c r="G221" s="14" t="s">
        <v>143</v>
      </c>
      <c r="H221" s="14" t="s">
        <v>144</v>
      </c>
      <c r="I221" s="14" t="b">
        <v>0</v>
      </c>
      <c r="J221" s="14">
        <v>20</v>
      </c>
      <c r="K221" s="14">
        <v>140.28</v>
      </c>
      <c r="L221" s="15">
        <v>208258801</v>
      </c>
      <c r="M221" s="15">
        <v>1100000062498088</v>
      </c>
      <c r="N221" s="14" t="s">
        <v>321</v>
      </c>
      <c r="O221" s="14"/>
    </row>
    <row r="222" spans="1:15">
      <c r="A222" s="14"/>
      <c r="B222" s="14" t="s">
        <v>93</v>
      </c>
      <c r="C222" s="14" t="s">
        <v>306</v>
      </c>
      <c r="D222" s="14" t="s">
        <v>319</v>
      </c>
      <c r="E222" s="14" t="s">
        <v>142</v>
      </c>
      <c r="F222" s="14" t="s">
        <v>143</v>
      </c>
      <c r="G222" s="14" t="s">
        <v>143</v>
      </c>
      <c r="H222" s="14" t="s">
        <v>144</v>
      </c>
      <c r="I222" s="14" t="b">
        <v>0</v>
      </c>
      <c r="J222" s="14">
        <v>40</v>
      </c>
      <c r="K222" s="14">
        <v>140.28</v>
      </c>
      <c r="L222" s="15">
        <v>208258799</v>
      </c>
      <c r="M222" s="15">
        <v>1100000062498088</v>
      </c>
      <c r="N222" s="14" t="s">
        <v>321</v>
      </c>
      <c r="O222" s="14"/>
    </row>
    <row r="223" spans="1:15">
      <c r="A223" s="14"/>
      <c r="B223" s="14" t="s">
        <v>93</v>
      </c>
      <c r="C223" s="14" t="s">
        <v>306</v>
      </c>
      <c r="D223" s="14" t="s">
        <v>319</v>
      </c>
      <c r="E223" s="14" t="s">
        <v>142</v>
      </c>
      <c r="F223" s="14" t="s">
        <v>143</v>
      </c>
      <c r="G223" s="14" t="s">
        <v>143</v>
      </c>
      <c r="H223" s="14" t="s">
        <v>144</v>
      </c>
      <c r="I223" s="14" t="b">
        <v>0</v>
      </c>
      <c r="J223" s="14">
        <v>50</v>
      </c>
      <c r="K223" s="14">
        <v>140.28</v>
      </c>
      <c r="L223" s="15">
        <v>208258800</v>
      </c>
      <c r="M223" s="15">
        <v>1100000062498088</v>
      </c>
      <c r="N223" s="14" t="s">
        <v>321</v>
      </c>
      <c r="O223" s="14"/>
    </row>
    <row r="224" spans="1:15">
      <c r="A224" s="14"/>
      <c r="B224" s="14" t="s">
        <v>93</v>
      </c>
      <c r="C224" s="14" t="s">
        <v>306</v>
      </c>
      <c r="D224" s="14" t="s">
        <v>319</v>
      </c>
      <c r="E224" s="14" t="s">
        <v>142</v>
      </c>
      <c r="F224" s="14" t="s">
        <v>143</v>
      </c>
      <c r="G224" s="14" t="s">
        <v>143</v>
      </c>
      <c r="H224" s="14" t="s">
        <v>144</v>
      </c>
      <c r="I224" s="14" t="b">
        <v>0</v>
      </c>
      <c r="J224" s="14">
        <v>61</v>
      </c>
      <c r="K224" s="14">
        <v>140.27000000000001</v>
      </c>
      <c r="L224" s="15">
        <v>208258798</v>
      </c>
      <c r="M224" s="15">
        <v>1100000062498088</v>
      </c>
      <c r="N224" s="14" t="s">
        <v>321</v>
      </c>
      <c r="O224" s="14"/>
    </row>
    <row r="225" spans="1:15">
      <c r="A225" s="14"/>
      <c r="B225" s="14" t="s">
        <v>93</v>
      </c>
      <c r="C225" s="14" t="s">
        <v>306</v>
      </c>
      <c r="D225" s="14" t="s">
        <v>319</v>
      </c>
      <c r="E225" s="14" t="s">
        <v>142</v>
      </c>
      <c r="F225" s="14" t="s">
        <v>143</v>
      </c>
      <c r="G225" s="14" t="s">
        <v>143</v>
      </c>
      <c r="H225" s="14" t="s">
        <v>144</v>
      </c>
      <c r="I225" s="14" t="b">
        <v>0</v>
      </c>
      <c r="J225" s="14">
        <v>9</v>
      </c>
      <c r="K225" s="14">
        <v>140.28</v>
      </c>
      <c r="L225" s="15">
        <v>208258802</v>
      </c>
      <c r="M225" s="15">
        <v>1100000062498088</v>
      </c>
      <c r="N225" s="14" t="s">
        <v>321</v>
      </c>
      <c r="O225" s="14"/>
    </row>
    <row r="226" spans="1:15">
      <c r="A226" s="14"/>
      <c r="B226" s="14" t="s">
        <v>42</v>
      </c>
      <c r="C226" s="14" t="s">
        <v>308</v>
      </c>
      <c r="D226" s="14" t="s">
        <v>319</v>
      </c>
      <c r="E226" s="14" t="s">
        <v>199</v>
      </c>
      <c r="F226" s="14" t="s">
        <v>143</v>
      </c>
      <c r="G226" s="14" t="s">
        <v>322</v>
      </c>
      <c r="H226" s="14" t="s">
        <v>144</v>
      </c>
      <c r="I226" s="14" t="b">
        <v>0</v>
      </c>
      <c r="J226" s="14">
        <v>525</v>
      </c>
      <c r="K226" s="14">
        <v>96.34</v>
      </c>
      <c r="L226" s="15">
        <v>6999200</v>
      </c>
      <c r="M226" s="15">
        <v>1.768553083055275E+18</v>
      </c>
      <c r="N226" s="14" t="s">
        <v>323</v>
      </c>
      <c r="O226" s="14"/>
    </row>
    <row r="227" spans="1:15">
      <c r="A227" s="14"/>
      <c r="B227" s="14" t="s">
        <v>324</v>
      </c>
      <c r="C227" s="14" t="s">
        <v>325</v>
      </c>
      <c r="D227" s="14" t="s">
        <v>319</v>
      </c>
      <c r="E227" s="14" t="s">
        <v>142</v>
      </c>
      <c r="F227" s="14" t="s">
        <v>143</v>
      </c>
      <c r="G227" s="14" t="s">
        <v>143</v>
      </c>
      <c r="H227" s="14" t="s">
        <v>144</v>
      </c>
      <c r="I227" s="14" t="b">
        <v>0</v>
      </c>
      <c r="J227" s="14">
        <v>600</v>
      </c>
      <c r="K227" s="14">
        <v>44.47</v>
      </c>
      <c r="L227" s="15">
        <v>608076103</v>
      </c>
      <c r="M227" s="15">
        <v>1300000063866786</v>
      </c>
      <c r="N227" s="14" t="s">
        <v>326</v>
      </c>
      <c r="O227" s="14"/>
    </row>
    <row r="228" spans="1:15">
      <c r="A228" s="14"/>
      <c r="B228" s="14" t="s">
        <v>327</v>
      </c>
      <c r="C228" s="14" t="s">
        <v>328</v>
      </c>
      <c r="D228" s="14" t="s">
        <v>319</v>
      </c>
      <c r="E228" s="14" t="s">
        <v>142</v>
      </c>
      <c r="F228" s="14" t="s">
        <v>143</v>
      </c>
      <c r="G228" s="14" t="s">
        <v>143</v>
      </c>
      <c r="H228" s="14" t="s">
        <v>144</v>
      </c>
      <c r="I228" s="14" t="b">
        <v>0</v>
      </c>
      <c r="J228" s="14">
        <v>1</v>
      </c>
      <c r="K228" s="14">
        <v>131.88999999999999</v>
      </c>
      <c r="L228" s="15">
        <v>406128904</v>
      </c>
      <c r="M228" s="15">
        <v>1200000061891005</v>
      </c>
      <c r="N228" s="14" t="s">
        <v>329</v>
      </c>
      <c r="O228" s="14"/>
    </row>
    <row r="229" spans="1:15">
      <c r="A229" s="14"/>
      <c r="B229" s="14" t="s">
        <v>327</v>
      </c>
      <c r="C229" s="14" t="s">
        <v>328</v>
      </c>
      <c r="D229" s="14" t="s">
        <v>319</v>
      </c>
      <c r="E229" s="14" t="s">
        <v>142</v>
      </c>
      <c r="F229" s="14" t="s">
        <v>143</v>
      </c>
      <c r="G229" s="14" t="s">
        <v>143</v>
      </c>
      <c r="H229" s="14" t="s">
        <v>144</v>
      </c>
      <c r="I229" s="14" t="b">
        <v>0</v>
      </c>
      <c r="J229" s="14">
        <v>9</v>
      </c>
      <c r="K229" s="14">
        <v>131.88999999999999</v>
      </c>
      <c r="L229" s="15">
        <v>406128905</v>
      </c>
      <c r="M229" s="15">
        <v>1200000061891005</v>
      </c>
      <c r="N229" s="14" t="s">
        <v>329</v>
      </c>
      <c r="O229" s="14"/>
    </row>
    <row r="230" spans="1:15">
      <c r="A230" s="14"/>
      <c r="B230" s="14" t="s">
        <v>330</v>
      </c>
      <c r="C230" s="14" t="s">
        <v>331</v>
      </c>
      <c r="D230" s="14" t="s">
        <v>319</v>
      </c>
      <c r="E230" s="14" t="s">
        <v>142</v>
      </c>
      <c r="F230" s="14" t="s">
        <v>143</v>
      </c>
      <c r="G230" s="14" t="s">
        <v>143</v>
      </c>
      <c r="H230" s="14" t="s">
        <v>144</v>
      </c>
      <c r="I230" s="14" t="b">
        <v>0</v>
      </c>
      <c r="J230" s="14">
        <v>10</v>
      </c>
      <c r="K230" s="14">
        <v>156.75</v>
      </c>
      <c r="L230" s="15">
        <v>5688654</v>
      </c>
      <c r="M230" s="15">
        <v>1000000056015274</v>
      </c>
      <c r="N230" s="14" t="s">
        <v>332</v>
      </c>
      <c r="O230" s="14"/>
    </row>
    <row r="231" spans="1:15">
      <c r="A231" s="14"/>
      <c r="B231" s="14" t="s">
        <v>333</v>
      </c>
      <c r="C231" s="14" t="s">
        <v>334</v>
      </c>
      <c r="D231" s="14" t="s">
        <v>319</v>
      </c>
      <c r="E231" s="14" t="s">
        <v>142</v>
      </c>
      <c r="F231" s="14" t="s">
        <v>143</v>
      </c>
      <c r="G231" s="14" t="s">
        <v>143</v>
      </c>
      <c r="H231" s="14" t="s">
        <v>144</v>
      </c>
      <c r="I231" s="14" t="b">
        <v>0</v>
      </c>
      <c r="J231" s="14">
        <v>20</v>
      </c>
      <c r="K231" s="14">
        <v>66.849999999999994</v>
      </c>
      <c r="L231" s="15">
        <v>406134247</v>
      </c>
      <c r="M231" s="15">
        <v>1200000061948522</v>
      </c>
      <c r="N231" s="14" t="s">
        <v>335</v>
      </c>
      <c r="O231" s="14"/>
    </row>
    <row r="232" spans="1:15">
      <c r="A232" s="14"/>
      <c r="B232" s="14" t="s">
        <v>43</v>
      </c>
      <c r="C232" s="14" t="s">
        <v>260</v>
      </c>
      <c r="D232" s="14" t="s">
        <v>319</v>
      </c>
      <c r="E232" s="14" t="s">
        <v>199</v>
      </c>
      <c r="F232" s="14" t="s">
        <v>143</v>
      </c>
      <c r="G232" s="14" t="s">
        <v>200</v>
      </c>
      <c r="H232" s="14" t="s">
        <v>144</v>
      </c>
      <c r="I232" s="14" t="b">
        <v>0</v>
      </c>
      <c r="J232" s="14">
        <v>11</v>
      </c>
      <c r="K232" s="14">
        <v>270.14999999999998</v>
      </c>
      <c r="L232" s="15">
        <v>15720900</v>
      </c>
      <c r="M232" s="15">
        <v>1.768554517040546E+18</v>
      </c>
      <c r="N232" s="14" t="s">
        <v>336</v>
      </c>
      <c r="O232" s="14"/>
    </row>
    <row r="233" spans="1:15">
      <c r="A233" s="14"/>
      <c r="B233" s="14" t="s">
        <v>43</v>
      </c>
      <c r="C233" s="14" t="s">
        <v>260</v>
      </c>
      <c r="D233" s="14" t="s">
        <v>319</v>
      </c>
      <c r="E233" s="14" t="s">
        <v>199</v>
      </c>
      <c r="F233" s="14" t="s">
        <v>143</v>
      </c>
      <c r="G233" s="14" t="s">
        <v>200</v>
      </c>
      <c r="H233" s="14" t="s">
        <v>144</v>
      </c>
      <c r="I233" s="14" t="b">
        <v>0</v>
      </c>
      <c r="J233" s="14">
        <v>359</v>
      </c>
      <c r="K233" s="14">
        <v>270.25</v>
      </c>
      <c r="L233" s="15">
        <v>15721600</v>
      </c>
      <c r="M233" s="15">
        <v>1.768554517040546E+18</v>
      </c>
      <c r="N233" s="14" t="s">
        <v>336</v>
      </c>
      <c r="O233" s="14"/>
    </row>
    <row r="234" spans="1:15">
      <c r="A234" s="14"/>
      <c r="B234" s="14" t="s">
        <v>330</v>
      </c>
      <c r="C234" s="14" t="s">
        <v>331</v>
      </c>
      <c r="D234" s="14" t="s">
        <v>319</v>
      </c>
      <c r="E234" s="14" t="s">
        <v>142</v>
      </c>
      <c r="F234" s="14" t="s">
        <v>143</v>
      </c>
      <c r="G234" s="14" t="s">
        <v>143</v>
      </c>
      <c r="H234" s="14" t="s">
        <v>144</v>
      </c>
      <c r="I234" s="14" t="b">
        <v>0</v>
      </c>
      <c r="J234" s="14">
        <v>1</v>
      </c>
      <c r="K234" s="14">
        <v>157.28</v>
      </c>
      <c r="L234" s="15">
        <v>6113555</v>
      </c>
      <c r="M234" s="15">
        <v>1000000059176836</v>
      </c>
      <c r="N234" s="14" t="s">
        <v>337</v>
      </c>
      <c r="O234" s="14"/>
    </row>
    <row r="235" spans="1:15">
      <c r="A235" s="14"/>
      <c r="B235" s="14" t="s">
        <v>330</v>
      </c>
      <c r="C235" s="14" t="s">
        <v>331</v>
      </c>
      <c r="D235" s="14" t="s">
        <v>319</v>
      </c>
      <c r="E235" s="14" t="s">
        <v>142</v>
      </c>
      <c r="F235" s="14" t="s">
        <v>143</v>
      </c>
      <c r="G235" s="14" t="s">
        <v>143</v>
      </c>
      <c r="H235" s="14" t="s">
        <v>144</v>
      </c>
      <c r="I235" s="14" t="b">
        <v>0</v>
      </c>
      <c r="J235" s="14">
        <v>149</v>
      </c>
      <c r="K235" s="14">
        <v>157.30000000000001</v>
      </c>
      <c r="L235" s="15">
        <v>6113556</v>
      </c>
      <c r="M235" s="15">
        <v>1000000059176836</v>
      </c>
      <c r="N235" s="14" t="s">
        <v>337</v>
      </c>
      <c r="O235" s="14"/>
    </row>
    <row r="236" spans="1:15">
      <c r="A236" s="14"/>
      <c r="B236" s="14" t="s">
        <v>254</v>
      </c>
      <c r="C236" s="14" t="s">
        <v>255</v>
      </c>
      <c r="D236" s="14" t="s">
        <v>319</v>
      </c>
      <c r="E236" s="14" t="s">
        <v>142</v>
      </c>
      <c r="F236" s="14" t="s">
        <v>143</v>
      </c>
      <c r="G236" s="14" t="s">
        <v>143</v>
      </c>
      <c r="H236" s="14" t="s">
        <v>144</v>
      </c>
      <c r="I236" s="14" t="b">
        <v>0</v>
      </c>
      <c r="J236" s="14">
        <v>24</v>
      </c>
      <c r="K236" s="14">
        <v>1043.0999999999999</v>
      </c>
      <c r="L236" s="15">
        <v>608736445</v>
      </c>
      <c r="M236" s="15">
        <v>1300000068849574</v>
      </c>
      <c r="N236" s="14" t="s">
        <v>338</v>
      </c>
      <c r="O236" s="14"/>
    </row>
    <row r="237" spans="1:15">
      <c r="A237" s="14"/>
      <c r="B237" s="14" t="s">
        <v>327</v>
      </c>
      <c r="C237" s="14" t="s">
        <v>328</v>
      </c>
      <c r="D237" s="14" t="s">
        <v>339</v>
      </c>
      <c r="E237" s="14" t="s">
        <v>142</v>
      </c>
      <c r="F237" s="14" t="s">
        <v>143</v>
      </c>
      <c r="G237" s="14" t="s">
        <v>143</v>
      </c>
      <c r="H237" s="14" t="s">
        <v>144</v>
      </c>
      <c r="I237" s="14" t="b">
        <v>0</v>
      </c>
      <c r="J237" s="14">
        <v>190</v>
      </c>
      <c r="K237" s="14">
        <v>127.48</v>
      </c>
      <c r="L237" s="15">
        <v>405751563</v>
      </c>
      <c r="M237" s="15">
        <v>1200000067042159</v>
      </c>
      <c r="N237" s="14" t="s">
        <v>340</v>
      </c>
      <c r="O237" s="14"/>
    </row>
    <row r="238" spans="1:15">
      <c r="A238" s="14"/>
      <c r="B238" s="14" t="s">
        <v>333</v>
      </c>
      <c r="C238" s="14" t="s">
        <v>334</v>
      </c>
      <c r="D238" s="14" t="s">
        <v>339</v>
      </c>
      <c r="E238" s="14" t="s">
        <v>199</v>
      </c>
      <c r="F238" s="14" t="s">
        <v>143</v>
      </c>
      <c r="G238" s="14" t="s">
        <v>200</v>
      </c>
      <c r="H238" s="14" t="s">
        <v>144</v>
      </c>
      <c r="I238" s="14" t="b">
        <v>0</v>
      </c>
      <c r="J238" s="14">
        <v>29</v>
      </c>
      <c r="K238" s="14">
        <v>66.849999999999994</v>
      </c>
      <c r="L238" s="15">
        <v>10398800</v>
      </c>
      <c r="M238" s="15">
        <v>1.7688136933173701E+18</v>
      </c>
      <c r="N238" s="14" t="s">
        <v>341</v>
      </c>
      <c r="O238" s="14"/>
    </row>
    <row r="239" spans="1:15">
      <c r="A239" s="14"/>
      <c r="B239" s="14" t="s">
        <v>333</v>
      </c>
      <c r="C239" s="14" t="s">
        <v>334</v>
      </c>
      <c r="D239" s="14" t="s">
        <v>339</v>
      </c>
      <c r="E239" s="14" t="s">
        <v>199</v>
      </c>
      <c r="F239" s="14" t="s">
        <v>143</v>
      </c>
      <c r="G239" s="14" t="s">
        <v>200</v>
      </c>
      <c r="H239" s="14" t="s">
        <v>144</v>
      </c>
      <c r="I239" s="14" t="b">
        <v>0</v>
      </c>
      <c r="J239" s="14">
        <v>331</v>
      </c>
      <c r="K239" s="14">
        <v>66.84</v>
      </c>
      <c r="L239" s="15">
        <v>10398600</v>
      </c>
      <c r="M239" s="15">
        <v>1.7688136933173701E+18</v>
      </c>
      <c r="N239" s="14" t="s">
        <v>341</v>
      </c>
      <c r="O239" s="14"/>
    </row>
    <row r="240" spans="1:15">
      <c r="A240" s="14"/>
      <c r="B240" s="14" t="s">
        <v>296</v>
      </c>
      <c r="C240" s="14" t="s">
        <v>297</v>
      </c>
      <c r="D240" s="14" t="s">
        <v>339</v>
      </c>
      <c r="E240" s="14" t="s">
        <v>199</v>
      </c>
      <c r="F240" s="14" t="s">
        <v>143</v>
      </c>
      <c r="G240" s="14" t="s">
        <v>200</v>
      </c>
      <c r="H240" s="14" t="s">
        <v>193</v>
      </c>
      <c r="I240" s="14" t="b">
        <v>0</v>
      </c>
      <c r="J240" s="14">
        <v>19</v>
      </c>
      <c r="K240" s="14">
        <v>1130.3</v>
      </c>
      <c r="L240" s="15">
        <v>11141700</v>
      </c>
      <c r="M240" s="15">
        <v>1.7688142602535319E+18</v>
      </c>
      <c r="N240" s="14" t="s">
        <v>342</v>
      </c>
      <c r="O240" s="14"/>
    </row>
    <row r="241" spans="1:15">
      <c r="A241" s="14"/>
      <c r="B241" s="14" t="s">
        <v>282</v>
      </c>
      <c r="C241" s="14" t="s">
        <v>283</v>
      </c>
      <c r="D241" s="14" t="s">
        <v>343</v>
      </c>
      <c r="E241" s="14" t="s">
        <v>142</v>
      </c>
      <c r="F241" s="14" t="s">
        <v>143</v>
      </c>
      <c r="G241" s="14" t="s">
        <v>143</v>
      </c>
      <c r="H241" s="14" t="s">
        <v>193</v>
      </c>
      <c r="I241" s="14" t="b">
        <v>0</v>
      </c>
      <c r="J241" s="14">
        <v>920</v>
      </c>
      <c r="K241" s="14">
        <v>89.75</v>
      </c>
      <c r="L241" s="15">
        <v>206689184</v>
      </c>
      <c r="M241" s="15">
        <v>1100000059613610</v>
      </c>
      <c r="N241" s="14" t="s">
        <v>344</v>
      </c>
      <c r="O241" s="14"/>
    </row>
    <row r="242" spans="1:15">
      <c r="A242" s="14"/>
      <c r="B242" s="14" t="s">
        <v>285</v>
      </c>
      <c r="C242" s="14" t="s">
        <v>286</v>
      </c>
      <c r="D242" s="14" t="s">
        <v>343</v>
      </c>
      <c r="E242" s="14" t="s">
        <v>199</v>
      </c>
      <c r="F242" s="14" t="s">
        <v>143</v>
      </c>
      <c r="G242" s="14" t="s">
        <v>200</v>
      </c>
      <c r="H242" s="14" t="s">
        <v>193</v>
      </c>
      <c r="I242" s="14" t="b">
        <v>0</v>
      </c>
      <c r="J242" s="14">
        <v>51</v>
      </c>
      <c r="K242" s="14">
        <v>395.35</v>
      </c>
      <c r="L242" s="15">
        <v>8397700</v>
      </c>
      <c r="M242" s="15">
        <v>1.769493701763714E+18</v>
      </c>
      <c r="N242" s="14" t="s">
        <v>345</v>
      </c>
      <c r="O242" s="14"/>
    </row>
    <row r="243" spans="1:15">
      <c r="A243" s="14"/>
      <c r="B243" s="14" t="s">
        <v>285</v>
      </c>
      <c r="C243" s="14" t="s">
        <v>286</v>
      </c>
      <c r="D243" s="14" t="s">
        <v>343</v>
      </c>
      <c r="E243" s="14" t="s">
        <v>199</v>
      </c>
      <c r="F243" s="14" t="s">
        <v>143</v>
      </c>
      <c r="G243" s="14" t="s">
        <v>200</v>
      </c>
      <c r="H243" s="14" t="s">
        <v>193</v>
      </c>
      <c r="I243" s="14" t="b">
        <v>0</v>
      </c>
      <c r="J243" s="14">
        <v>53</v>
      </c>
      <c r="K243" s="14">
        <v>395.55</v>
      </c>
      <c r="L243" s="15">
        <v>8397200</v>
      </c>
      <c r="M243" s="15">
        <v>1.769493701763714E+18</v>
      </c>
      <c r="N243" s="14" t="s">
        <v>345</v>
      </c>
      <c r="O243" s="14"/>
    </row>
    <row r="244" spans="1:15">
      <c r="A244" s="14"/>
      <c r="B244" s="14" t="s">
        <v>285</v>
      </c>
      <c r="C244" s="14" t="s">
        <v>286</v>
      </c>
      <c r="D244" s="14" t="s">
        <v>343</v>
      </c>
      <c r="E244" s="14" t="s">
        <v>199</v>
      </c>
      <c r="F244" s="14" t="s">
        <v>143</v>
      </c>
      <c r="G244" s="14" t="s">
        <v>200</v>
      </c>
      <c r="H244" s="14" t="s">
        <v>193</v>
      </c>
      <c r="I244" s="14" t="b">
        <v>0</v>
      </c>
      <c r="J244" s="14">
        <v>56</v>
      </c>
      <c r="K244" s="14">
        <v>395.5</v>
      </c>
      <c r="L244" s="15">
        <v>8397400</v>
      </c>
      <c r="M244" s="15">
        <v>1.769493701763714E+18</v>
      </c>
      <c r="N244" s="14" t="s">
        <v>345</v>
      </c>
      <c r="O244" s="14"/>
    </row>
    <row r="245" spans="1:15">
      <c r="A245" s="14"/>
      <c r="B245" s="14" t="s">
        <v>285</v>
      </c>
      <c r="C245" s="14" t="s">
        <v>286</v>
      </c>
      <c r="D245" s="14" t="s">
        <v>343</v>
      </c>
      <c r="E245" s="14" t="s">
        <v>199</v>
      </c>
      <c r="F245" s="14" t="s">
        <v>143</v>
      </c>
      <c r="G245" s="14" t="s">
        <v>200</v>
      </c>
      <c r="H245" s="14" t="s">
        <v>193</v>
      </c>
      <c r="I245" s="14" t="b">
        <v>0</v>
      </c>
      <c r="J245" s="14">
        <v>68</v>
      </c>
      <c r="K245" s="14">
        <v>395.3</v>
      </c>
      <c r="L245" s="15">
        <v>8397900</v>
      </c>
      <c r="M245" s="15">
        <v>1.769493701763714E+18</v>
      </c>
      <c r="N245" s="14" t="s">
        <v>345</v>
      </c>
      <c r="O245" s="14"/>
    </row>
    <row r="246" spans="1:15">
      <c r="A246" s="14"/>
      <c r="B246" s="14" t="s">
        <v>41</v>
      </c>
      <c r="C246" s="14" t="s">
        <v>208</v>
      </c>
      <c r="D246" s="14" t="s">
        <v>346</v>
      </c>
      <c r="E246" s="14" t="s">
        <v>199</v>
      </c>
      <c r="F246" s="14" t="s">
        <v>143</v>
      </c>
      <c r="G246" s="14" t="s">
        <v>200</v>
      </c>
      <c r="H246" s="14" t="s">
        <v>193</v>
      </c>
      <c r="I246" s="14" t="b">
        <v>0</v>
      </c>
      <c r="J246" s="14">
        <v>102</v>
      </c>
      <c r="K246" s="14">
        <v>968.1</v>
      </c>
      <c r="L246" s="15">
        <v>10133500</v>
      </c>
      <c r="M246" s="15">
        <v>1.7697610541504599E+18</v>
      </c>
      <c r="N246" s="14" t="s">
        <v>347</v>
      </c>
      <c r="O246" s="14"/>
    </row>
    <row r="247" spans="1:15">
      <c r="A247" s="14"/>
      <c r="B247" s="14" t="s">
        <v>41</v>
      </c>
      <c r="C247" s="14" t="s">
        <v>208</v>
      </c>
      <c r="D247" s="14" t="s">
        <v>346</v>
      </c>
      <c r="E247" s="14" t="s">
        <v>199</v>
      </c>
      <c r="F247" s="14" t="s">
        <v>143</v>
      </c>
      <c r="G247" s="14" t="s">
        <v>200</v>
      </c>
      <c r="H247" s="14" t="s">
        <v>193</v>
      </c>
      <c r="I247" s="14" t="b">
        <v>0</v>
      </c>
      <c r="J247" s="14">
        <v>1</v>
      </c>
      <c r="K247" s="14">
        <v>968.15</v>
      </c>
      <c r="L247" s="15">
        <v>10132800</v>
      </c>
      <c r="M247" s="15">
        <v>1.7697610541504599E+18</v>
      </c>
      <c r="N247" s="14" t="s">
        <v>347</v>
      </c>
      <c r="O247" s="14"/>
    </row>
    <row r="248" spans="1:15">
      <c r="A248" s="14"/>
      <c r="B248" s="14" t="s">
        <v>254</v>
      </c>
      <c r="C248" s="14" t="s">
        <v>255</v>
      </c>
      <c r="D248" s="14" t="s">
        <v>346</v>
      </c>
      <c r="E248" s="14" t="s">
        <v>142</v>
      </c>
      <c r="F248" s="14" t="s">
        <v>143</v>
      </c>
      <c r="G248" s="14" t="s">
        <v>143</v>
      </c>
      <c r="H248" s="14" t="s">
        <v>144</v>
      </c>
      <c r="I248" s="14" t="b">
        <v>0</v>
      </c>
      <c r="J248" s="14">
        <v>1</v>
      </c>
      <c r="K248" s="14">
        <v>1078</v>
      </c>
      <c r="L248" s="15">
        <v>613155382</v>
      </c>
      <c r="M248" s="15">
        <v>1300000114057798</v>
      </c>
      <c r="N248" s="14" t="s">
        <v>348</v>
      </c>
      <c r="O248" s="14"/>
    </row>
    <row r="249" spans="1:15">
      <c r="A249" s="14"/>
      <c r="B249" s="14" t="s">
        <v>254</v>
      </c>
      <c r="C249" s="14" t="s">
        <v>255</v>
      </c>
      <c r="D249" s="14" t="s">
        <v>346</v>
      </c>
      <c r="E249" s="14" t="s">
        <v>142</v>
      </c>
      <c r="F249" s="14" t="s">
        <v>143</v>
      </c>
      <c r="G249" s="14" t="s">
        <v>143</v>
      </c>
      <c r="H249" s="14" t="s">
        <v>144</v>
      </c>
      <c r="I249" s="14" t="b">
        <v>0</v>
      </c>
      <c r="J249" s="14">
        <v>18</v>
      </c>
      <c r="K249" s="14">
        <v>1078</v>
      </c>
      <c r="L249" s="15">
        <v>613155383</v>
      </c>
      <c r="M249" s="15">
        <v>1300000114057798</v>
      </c>
      <c r="N249" s="14" t="s">
        <v>348</v>
      </c>
      <c r="O249" s="14"/>
    </row>
    <row r="250" spans="1:15">
      <c r="A250" s="14"/>
      <c r="B250" s="14" t="s">
        <v>254</v>
      </c>
      <c r="C250" s="14" t="s">
        <v>255</v>
      </c>
      <c r="D250" s="14" t="s">
        <v>346</v>
      </c>
      <c r="E250" s="14" t="s">
        <v>142</v>
      </c>
      <c r="F250" s="14" t="s">
        <v>143</v>
      </c>
      <c r="G250" s="14" t="s">
        <v>143</v>
      </c>
      <c r="H250" s="14" t="s">
        <v>144</v>
      </c>
      <c r="I250" s="14" t="b">
        <v>0</v>
      </c>
      <c r="J250" s="14">
        <v>74</v>
      </c>
      <c r="K250" s="14">
        <v>1078</v>
      </c>
      <c r="L250" s="15">
        <v>613155384</v>
      </c>
      <c r="M250" s="15">
        <v>1300000114057798</v>
      </c>
      <c r="N250" s="14" t="s">
        <v>348</v>
      </c>
      <c r="O250" s="14"/>
    </row>
    <row r="251" spans="1:15">
      <c r="A251" s="14"/>
      <c r="B251" s="14" t="s">
        <v>349</v>
      </c>
      <c r="C251" s="14" t="s">
        <v>350</v>
      </c>
      <c r="D251" s="14" t="s">
        <v>346</v>
      </c>
      <c r="E251" s="14" t="s">
        <v>142</v>
      </c>
      <c r="F251" s="14" t="s">
        <v>143</v>
      </c>
      <c r="G251" s="14" t="s">
        <v>143</v>
      </c>
      <c r="H251" s="14" t="s">
        <v>144</v>
      </c>
      <c r="I251" s="14" t="b">
        <v>0</v>
      </c>
      <c r="J251" s="14">
        <v>41</v>
      </c>
      <c r="K251" s="14">
        <v>449.45</v>
      </c>
      <c r="L251" s="15">
        <v>7205709</v>
      </c>
      <c r="M251" s="15">
        <v>1000000070570871</v>
      </c>
      <c r="N251" s="14" t="s">
        <v>351</v>
      </c>
      <c r="O251" s="14"/>
    </row>
    <row r="252" spans="1:15">
      <c r="A252" s="14"/>
      <c r="B252" s="14" t="s">
        <v>349</v>
      </c>
      <c r="C252" s="14" t="s">
        <v>350</v>
      </c>
      <c r="D252" s="14" t="s">
        <v>346</v>
      </c>
      <c r="E252" s="14" t="s">
        <v>142</v>
      </c>
      <c r="F252" s="14" t="s">
        <v>143</v>
      </c>
      <c r="G252" s="14" t="s">
        <v>143</v>
      </c>
      <c r="H252" s="14" t="s">
        <v>144</v>
      </c>
      <c r="I252" s="14" t="b">
        <v>0</v>
      </c>
      <c r="J252" s="14">
        <v>71</v>
      </c>
      <c r="K252" s="14">
        <v>449.4</v>
      </c>
      <c r="L252" s="15">
        <v>7205708</v>
      </c>
      <c r="M252" s="15">
        <v>1000000070570871</v>
      </c>
      <c r="N252" s="14" t="s">
        <v>351</v>
      </c>
      <c r="O252" s="14"/>
    </row>
    <row r="253" spans="1:15">
      <c r="A253" s="14"/>
      <c r="B253" s="14" t="s">
        <v>352</v>
      </c>
      <c r="C253" s="14" t="s">
        <v>353</v>
      </c>
      <c r="D253" s="14" t="s">
        <v>346</v>
      </c>
      <c r="E253" s="14" t="s">
        <v>142</v>
      </c>
      <c r="F253" s="14" t="s">
        <v>143</v>
      </c>
      <c r="G253" s="14" t="s">
        <v>143</v>
      </c>
      <c r="H253" s="14" t="s">
        <v>144</v>
      </c>
      <c r="I253" s="14" t="b">
        <v>0</v>
      </c>
      <c r="J253" s="14">
        <v>4</v>
      </c>
      <c r="K253" s="14">
        <v>1282.3</v>
      </c>
      <c r="L253" s="15">
        <v>613660967</v>
      </c>
      <c r="M253" s="15">
        <v>1300000116901518</v>
      </c>
      <c r="N253" s="14" t="s">
        <v>354</v>
      </c>
      <c r="O253" s="14"/>
    </row>
    <row r="254" spans="1:15">
      <c r="A254" s="14"/>
      <c r="B254" s="14" t="s">
        <v>352</v>
      </c>
      <c r="C254" s="14" t="s">
        <v>353</v>
      </c>
      <c r="D254" s="14" t="s">
        <v>346</v>
      </c>
      <c r="E254" s="14" t="s">
        <v>142</v>
      </c>
      <c r="F254" s="14" t="s">
        <v>143</v>
      </c>
      <c r="G254" s="14" t="s">
        <v>143</v>
      </c>
      <c r="H254" s="14" t="s">
        <v>144</v>
      </c>
      <c r="I254" s="14" t="b">
        <v>0</v>
      </c>
      <c r="J254" s="14">
        <v>6</v>
      </c>
      <c r="K254" s="14">
        <v>1282.4000000000001</v>
      </c>
      <c r="L254" s="15">
        <v>613660968</v>
      </c>
      <c r="M254" s="15">
        <v>1300000116901518</v>
      </c>
      <c r="N254" s="14" t="s">
        <v>354</v>
      </c>
      <c r="O254" s="14"/>
    </row>
    <row r="255" spans="1:15">
      <c r="A255" s="14"/>
      <c r="B255" s="14" t="s">
        <v>324</v>
      </c>
      <c r="C255" s="14" t="s">
        <v>325</v>
      </c>
      <c r="D255" s="14" t="s">
        <v>346</v>
      </c>
      <c r="E255" s="14" t="s">
        <v>199</v>
      </c>
      <c r="F255" s="14" t="s">
        <v>143</v>
      </c>
      <c r="G255" s="14" t="s">
        <v>200</v>
      </c>
      <c r="H255" s="14" t="s">
        <v>193</v>
      </c>
      <c r="I255" s="14" t="b">
        <v>0</v>
      </c>
      <c r="J255" s="14">
        <v>201</v>
      </c>
      <c r="K255" s="14">
        <v>37.56</v>
      </c>
      <c r="L255" s="15">
        <v>15336500</v>
      </c>
      <c r="M255" s="15">
        <v>1.7697643044148229E+18</v>
      </c>
      <c r="N255" s="14" t="s">
        <v>355</v>
      </c>
      <c r="O255" s="14"/>
    </row>
    <row r="256" spans="1:15">
      <c r="A256" s="14"/>
      <c r="B256" s="14" t="s">
        <v>324</v>
      </c>
      <c r="C256" s="14" t="s">
        <v>325</v>
      </c>
      <c r="D256" s="14" t="s">
        <v>346</v>
      </c>
      <c r="E256" s="14" t="s">
        <v>199</v>
      </c>
      <c r="F256" s="14" t="s">
        <v>143</v>
      </c>
      <c r="G256" s="14" t="s">
        <v>200</v>
      </c>
      <c r="H256" s="14" t="s">
        <v>193</v>
      </c>
      <c r="I256" s="14" t="b">
        <v>0</v>
      </c>
      <c r="J256" s="14">
        <v>399</v>
      </c>
      <c r="K256" s="14">
        <v>37.549999999999997</v>
      </c>
      <c r="L256" s="15">
        <v>15336900</v>
      </c>
      <c r="M256" s="15">
        <v>1.7697643044148229E+18</v>
      </c>
      <c r="N256" s="14" t="s">
        <v>355</v>
      </c>
      <c r="O256" s="14"/>
    </row>
    <row r="257" spans="1:15">
      <c r="A257" s="14"/>
      <c r="B257" s="14" t="s">
        <v>349</v>
      </c>
      <c r="C257" s="14" t="s">
        <v>350</v>
      </c>
      <c r="D257" s="14" t="s">
        <v>346</v>
      </c>
      <c r="E257" s="14" t="s">
        <v>142</v>
      </c>
      <c r="F257" s="14" t="s">
        <v>143</v>
      </c>
      <c r="G257" s="14" t="s">
        <v>143</v>
      </c>
      <c r="H257" s="14" t="s">
        <v>144</v>
      </c>
      <c r="I257" s="14" t="b">
        <v>0</v>
      </c>
      <c r="J257" s="14">
        <v>56</v>
      </c>
      <c r="K257" s="14">
        <v>449.2</v>
      </c>
      <c r="L257" s="15">
        <v>7774549</v>
      </c>
      <c r="M257" s="15">
        <v>1000000073240827</v>
      </c>
      <c r="N257" s="14" t="s">
        <v>356</v>
      </c>
      <c r="O257" s="14"/>
    </row>
    <row r="258" spans="1:15">
      <c r="A258" s="14"/>
      <c r="B258" s="14" t="s">
        <v>182</v>
      </c>
      <c r="C258" s="14" t="s">
        <v>183</v>
      </c>
      <c r="D258" s="14" t="s">
        <v>357</v>
      </c>
      <c r="E258" s="14" t="s">
        <v>142</v>
      </c>
      <c r="F258" s="14" t="s">
        <v>143</v>
      </c>
      <c r="G258" s="14" t="s">
        <v>143</v>
      </c>
      <c r="H258" s="14" t="s">
        <v>193</v>
      </c>
      <c r="I258" s="14" t="b">
        <v>0</v>
      </c>
      <c r="J258" s="14">
        <v>216</v>
      </c>
      <c r="K258" s="14">
        <v>140.33000000000001</v>
      </c>
      <c r="L258" s="15">
        <v>138516</v>
      </c>
      <c r="M258" s="15">
        <v>1000000000842622</v>
      </c>
      <c r="N258" s="14" t="s">
        <v>358</v>
      </c>
      <c r="O258" s="14"/>
    </row>
    <row r="259" spans="1:15">
      <c r="A259" s="14"/>
      <c r="B259" s="14" t="s">
        <v>182</v>
      </c>
      <c r="C259" s="14" t="s">
        <v>183</v>
      </c>
      <c r="D259" s="14" t="s">
        <v>357</v>
      </c>
      <c r="E259" s="14" t="s">
        <v>142</v>
      </c>
      <c r="F259" s="14" t="s">
        <v>143</v>
      </c>
      <c r="G259" s="14" t="s">
        <v>143</v>
      </c>
      <c r="H259" s="14" t="s">
        <v>193</v>
      </c>
      <c r="I259" s="14" t="b">
        <v>0</v>
      </c>
      <c r="J259" s="14">
        <v>25</v>
      </c>
      <c r="K259" s="14">
        <v>140.34</v>
      </c>
      <c r="L259" s="15">
        <v>138514</v>
      </c>
      <c r="M259" s="15">
        <v>1000000000842622</v>
      </c>
      <c r="N259" s="14" t="s">
        <v>358</v>
      </c>
      <c r="O259" s="14"/>
    </row>
    <row r="260" spans="1:15">
      <c r="A260" s="14"/>
      <c r="B260" s="14" t="s">
        <v>182</v>
      </c>
      <c r="C260" s="14" t="s">
        <v>183</v>
      </c>
      <c r="D260" s="14" t="s">
        <v>357</v>
      </c>
      <c r="E260" s="14" t="s">
        <v>142</v>
      </c>
      <c r="F260" s="14" t="s">
        <v>143</v>
      </c>
      <c r="G260" s="14" t="s">
        <v>143</v>
      </c>
      <c r="H260" s="14" t="s">
        <v>193</v>
      </c>
      <c r="I260" s="14" t="b">
        <v>0</v>
      </c>
      <c r="J260" s="14">
        <v>83</v>
      </c>
      <c r="K260" s="14">
        <v>140.34</v>
      </c>
      <c r="L260" s="15">
        <v>138515</v>
      </c>
      <c r="M260" s="15">
        <v>1000000000842622</v>
      </c>
      <c r="N260" s="14" t="s">
        <v>358</v>
      </c>
      <c r="O260" s="14"/>
    </row>
    <row r="261" spans="1:15">
      <c r="A261" s="14"/>
      <c r="B261" s="14" t="s">
        <v>217</v>
      </c>
      <c r="C261" s="14" t="s">
        <v>218</v>
      </c>
      <c r="D261" s="14" t="s">
        <v>357</v>
      </c>
      <c r="E261" s="14" t="s">
        <v>199</v>
      </c>
      <c r="F261" s="14" t="s">
        <v>143</v>
      </c>
      <c r="G261" s="14" t="s">
        <v>200</v>
      </c>
      <c r="H261" s="14" t="s">
        <v>193</v>
      </c>
      <c r="I261" s="14" t="b">
        <v>0</v>
      </c>
      <c r="J261" s="14">
        <v>94</v>
      </c>
      <c r="K261" s="14">
        <v>898.15</v>
      </c>
      <c r="L261" s="15">
        <v>792900</v>
      </c>
      <c r="M261" s="15">
        <v>1.7700030001372119E+18</v>
      </c>
      <c r="N261" s="14" t="s">
        <v>359</v>
      </c>
      <c r="O261" s="14"/>
    </row>
    <row r="262" spans="1:15">
      <c r="A262" s="14"/>
      <c r="B262" s="14" t="s">
        <v>257</v>
      </c>
      <c r="C262" s="14" t="s">
        <v>258</v>
      </c>
      <c r="D262" s="14" t="s">
        <v>357</v>
      </c>
      <c r="E262" s="14" t="s">
        <v>142</v>
      </c>
      <c r="F262" s="14" t="s">
        <v>143</v>
      </c>
      <c r="G262" s="14" t="s">
        <v>143</v>
      </c>
      <c r="H262" s="14" t="s">
        <v>193</v>
      </c>
      <c r="I262" s="14" t="b">
        <v>0</v>
      </c>
      <c r="J262" s="14">
        <v>10</v>
      </c>
      <c r="K262" s="14">
        <v>271.55</v>
      </c>
      <c r="L262" s="15">
        <v>3556964</v>
      </c>
      <c r="M262" s="15">
        <v>1000000039324729</v>
      </c>
      <c r="N262" s="14" t="s">
        <v>360</v>
      </c>
      <c r="O262" s="14"/>
    </row>
    <row r="263" spans="1:15">
      <c r="A263" s="14"/>
      <c r="B263" s="14" t="s">
        <v>257</v>
      </c>
      <c r="C263" s="14" t="s">
        <v>258</v>
      </c>
      <c r="D263" s="14" t="s">
        <v>357</v>
      </c>
      <c r="E263" s="14" t="s">
        <v>142</v>
      </c>
      <c r="F263" s="14" t="s">
        <v>143</v>
      </c>
      <c r="G263" s="14" t="s">
        <v>143</v>
      </c>
      <c r="H263" s="14" t="s">
        <v>193</v>
      </c>
      <c r="I263" s="14" t="b">
        <v>0</v>
      </c>
      <c r="J263" s="14">
        <v>31</v>
      </c>
      <c r="K263" s="14">
        <v>271.60000000000002</v>
      </c>
      <c r="L263" s="15">
        <v>3556962</v>
      </c>
      <c r="M263" s="15">
        <v>1000000039324729</v>
      </c>
      <c r="N263" s="14" t="s">
        <v>360</v>
      </c>
      <c r="O263" s="14"/>
    </row>
    <row r="264" spans="1:15">
      <c r="A264" s="14"/>
      <c r="B264" s="14" t="s">
        <v>257</v>
      </c>
      <c r="C264" s="14" t="s">
        <v>258</v>
      </c>
      <c r="D264" s="14" t="s">
        <v>357</v>
      </c>
      <c r="E264" s="14" t="s">
        <v>142</v>
      </c>
      <c r="F264" s="14" t="s">
        <v>143</v>
      </c>
      <c r="G264" s="14" t="s">
        <v>143</v>
      </c>
      <c r="H264" s="14" t="s">
        <v>193</v>
      </c>
      <c r="I264" s="14" t="b">
        <v>0</v>
      </c>
      <c r="J264" s="14">
        <v>59</v>
      </c>
      <c r="K264" s="14">
        <v>271.55</v>
      </c>
      <c r="L264" s="15">
        <v>3556968</v>
      </c>
      <c r="M264" s="15">
        <v>1000000039324729</v>
      </c>
      <c r="N264" s="14" t="s">
        <v>360</v>
      </c>
      <c r="O264" s="14"/>
    </row>
    <row r="265" spans="1:15">
      <c r="A265" s="14"/>
      <c r="B265" s="14" t="s">
        <v>257</v>
      </c>
      <c r="C265" s="14" t="s">
        <v>258</v>
      </c>
      <c r="D265" s="14" t="s">
        <v>357</v>
      </c>
      <c r="E265" s="14" t="s">
        <v>142</v>
      </c>
      <c r="F265" s="14" t="s">
        <v>143</v>
      </c>
      <c r="G265" s="14" t="s">
        <v>143</v>
      </c>
      <c r="H265" s="14" t="s">
        <v>193</v>
      </c>
      <c r="I265" s="14" t="b">
        <v>0</v>
      </c>
      <c r="J265" s="14">
        <v>70</v>
      </c>
      <c r="K265" s="14">
        <v>271.55</v>
      </c>
      <c r="L265" s="15">
        <v>3556963</v>
      </c>
      <c r="M265" s="15">
        <v>1000000039324729</v>
      </c>
      <c r="N265" s="14" t="s">
        <v>360</v>
      </c>
      <c r="O265" s="14"/>
    </row>
    <row r="266" spans="1:15">
      <c r="A266" s="14"/>
      <c r="B266" s="14" t="s">
        <v>327</v>
      </c>
      <c r="C266" s="14" t="s">
        <v>328</v>
      </c>
      <c r="D266" s="14" t="s">
        <v>357</v>
      </c>
      <c r="E266" s="14" t="s">
        <v>142</v>
      </c>
      <c r="F266" s="14" t="s">
        <v>143</v>
      </c>
      <c r="G266" s="14" t="s">
        <v>143</v>
      </c>
      <c r="H266" s="14" t="s">
        <v>193</v>
      </c>
      <c r="I266" s="14" t="b">
        <v>0</v>
      </c>
      <c r="J266" s="14">
        <v>200</v>
      </c>
      <c r="K266" s="14">
        <v>119.56</v>
      </c>
      <c r="L266" s="15">
        <v>404684795</v>
      </c>
      <c r="M266" s="15">
        <v>1200000051538381</v>
      </c>
      <c r="N266" s="14" t="s">
        <v>361</v>
      </c>
      <c r="O266" s="14"/>
    </row>
    <row r="267" spans="1:15">
      <c r="A267" s="14"/>
      <c r="B267" s="14" t="s">
        <v>146</v>
      </c>
      <c r="C267" s="14" t="s">
        <v>147</v>
      </c>
      <c r="D267" s="14" t="s">
        <v>357</v>
      </c>
      <c r="E267" s="14" t="s">
        <v>142</v>
      </c>
      <c r="F267" s="14" t="s">
        <v>143</v>
      </c>
      <c r="G267" s="14" t="s">
        <v>143</v>
      </c>
      <c r="H267" s="14" t="s">
        <v>193</v>
      </c>
      <c r="I267" s="14" t="b">
        <v>0</v>
      </c>
      <c r="J267" s="14">
        <v>1</v>
      </c>
      <c r="K267" s="14">
        <v>1299.4000000000001</v>
      </c>
      <c r="L267" s="15">
        <v>4407181</v>
      </c>
      <c r="M267" s="15">
        <v>1000000050030745</v>
      </c>
      <c r="N267" s="14" t="s">
        <v>362</v>
      </c>
      <c r="O267" s="14"/>
    </row>
    <row r="268" spans="1:15">
      <c r="A268" s="14"/>
      <c r="B268" s="14" t="s">
        <v>146</v>
      </c>
      <c r="C268" s="14" t="s">
        <v>147</v>
      </c>
      <c r="D268" s="14" t="s">
        <v>357</v>
      </c>
      <c r="E268" s="14" t="s">
        <v>142</v>
      </c>
      <c r="F268" s="14" t="s">
        <v>143</v>
      </c>
      <c r="G268" s="14" t="s">
        <v>143</v>
      </c>
      <c r="H268" s="14" t="s">
        <v>193</v>
      </c>
      <c r="I268" s="14" t="b">
        <v>0</v>
      </c>
      <c r="J268" s="14">
        <v>12</v>
      </c>
      <c r="K268" s="14">
        <v>1299.4000000000001</v>
      </c>
      <c r="L268" s="15">
        <v>4407183</v>
      </c>
      <c r="M268" s="15">
        <v>1000000050030745</v>
      </c>
      <c r="N268" s="14" t="s">
        <v>362</v>
      </c>
      <c r="O268" s="14"/>
    </row>
    <row r="269" spans="1:15">
      <c r="A269" s="14"/>
      <c r="B269" s="14" t="s">
        <v>146</v>
      </c>
      <c r="C269" s="14" t="s">
        <v>147</v>
      </c>
      <c r="D269" s="14" t="s">
        <v>357</v>
      </c>
      <c r="E269" s="14" t="s">
        <v>142</v>
      </c>
      <c r="F269" s="14" t="s">
        <v>143</v>
      </c>
      <c r="G269" s="14" t="s">
        <v>143</v>
      </c>
      <c r="H269" s="14" t="s">
        <v>193</v>
      </c>
      <c r="I269" s="14" t="b">
        <v>0</v>
      </c>
      <c r="J269" s="14">
        <v>15</v>
      </c>
      <c r="K269" s="14">
        <v>1299.4000000000001</v>
      </c>
      <c r="L269" s="15">
        <v>4407180</v>
      </c>
      <c r="M269" s="15">
        <v>1000000050030745</v>
      </c>
      <c r="N269" s="14" t="s">
        <v>362</v>
      </c>
      <c r="O269" s="14"/>
    </row>
    <row r="270" spans="1:15">
      <c r="A270" s="14"/>
      <c r="B270" s="14" t="s">
        <v>146</v>
      </c>
      <c r="C270" s="14" t="s">
        <v>147</v>
      </c>
      <c r="D270" s="14" t="s">
        <v>357</v>
      </c>
      <c r="E270" s="14" t="s">
        <v>142</v>
      </c>
      <c r="F270" s="14" t="s">
        <v>143</v>
      </c>
      <c r="G270" s="14" t="s">
        <v>143</v>
      </c>
      <c r="H270" s="14" t="s">
        <v>193</v>
      </c>
      <c r="I270" s="14" t="b">
        <v>0</v>
      </c>
      <c r="J270" s="14">
        <v>2</v>
      </c>
      <c r="K270" s="14">
        <v>1299.4000000000001</v>
      </c>
      <c r="L270" s="15">
        <v>4407179</v>
      </c>
      <c r="M270" s="15">
        <v>1000000050030745</v>
      </c>
      <c r="N270" s="14" t="s">
        <v>362</v>
      </c>
      <c r="O270" s="14"/>
    </row>
    <row r="271" spans="1:15">
      <c r="A271" s="14"/>
      <c r="B271" s="14" t="s">
        <v>146</v>
      </c>
      <c r="C271" s="14" t="s">
        <v>147</v>
      </c>
      <c r="D271" s="14" t="s">
        <v>357</v>
      </c>
      <c r="E271" s="14" t="s">
        <v>142</v>
      </c>
      <c r="F271" s="14" t="s">
        <v>143</v>
      </c>
      <c r="G271" s="14" t="s">
        <v>143</v>
      </c>
      <c r="H271" s="14" t="s">
        <v>193</v>
      </c>
      <c r="I271" s="14" t="b">
        <v>0</v>
      </c>
      <c r="J271" s="14">
        <v>28</v>
      </c>
      <c r="K271" s="14">
        <v>1299.4000000000001</v>
      </c>
      <c r="L271" s="15">
        <v>4407182</v>
      </c>
      <c r="M271" s="15">
        <v>1000000050030745</v>
      </c>
      <c r="N271" s="14" t="s">
        <v>362</v>
      </c>
      <c r="O271" s="14"/>
    </row>
    <row r="272" spans="1:15">
      <c r="A272" s="14"/>
      <c r="B272" s="14" t="s">
        <v>146</v>
      </c>
      <c r="C272" s="14" t="s">
        <v>147</v>
      </c>
      <c r="D272" s="14" t="s">
        <v>357</v>
      </c>
      <c r="E272" s="14" t="s">
        <v>142</v>
      </c>
      <c r="F272" s="14" t="s">
        <v>143</v>
      </c>
      <c r="G272" s="14" t="s">
        <v>143</v>
      </c>
      <c r="H272" s="14" t="s">
        <v>193</v>
      </c>
      <c r="I272" s="14" t="b">
        <v>0</v>
      </c>
      <c r="J272" s="14">
        <v>5</v>
      </c>
      <c r="K272" s="14">
        <v>1299.4000000000001</v>
      </c>
      <c r="L272" s="15">
        <v>4407185</v>
      </c>
      <c r="M272" s="15">
        <v>1000000050030745</v>
      </c>
      <c r="N272" s="14" t="s">
        <v>362</v>
      </c>
      <c r="O272" s="14"/>
    </row>
    <row r="273" spans="1:15">
      <c r="A273" s="14"/>
      <c r="B273" s="14" t="s">
        <v>271</v>
      </c>
      <c r="C273" s="14" t="s">
        <v>363</v>
      </c>
      <c r="D273" s="14" t="s">
        <v>357</v>
      </c>
      <c r="E273" s="14" t="s">
        <v>142</v>
      </c>
      <c r="F273" s="14" t="s">
        <v>143</v>
      </c>
      <c r="G273" s="14" t="s">
        <v>143</v>
      </c>
      <c r="H273" s="14" t="s">
        <v>193</v>
      </c>
      <c r="I273" s="14" t="b">
        <v>0</v>
      </c>
      <c r="J273" s="14">
        <v>32</v>
      </c>
      <c r="K273" s="14">
        <v>1416.6</v>
      </c>
      <c r="L273" s="15">
        <v>5956220</v>
      </c>
      <c r="M273" s="15">
        <v>1000000069738672</v>
      </c>
      <c r="N273" s="14" t="s">
        <v>364</v>
      </c>
      <c r="O273" s="14"/>
    </row>
    <row r="274" spans="1:15">
      <c r="A274" s="14"/>
      <c r="B274" s="14" t="s">
        <v>271</v>
      </c>
      <c r="C274" s="14" t="s">
        <v>363</v>
      </c>
      <c r="D274" s="14" t="s">
        <v>357</v>
      </c>
      <c r="E274" s="14" t="s">
        <v>142</v>
      </c>
      <c r="F274" s="14" t="s">
        <v>143</v>
      </c>
      <c r="G274" s="14" t="s">
        <v>143</v>
      </c>
      <c r="H274" s="14" t="s">
        <v>193</v>
      </c>
      <c r="I274" s="14" t="b">
        <v>0</v>
      </c>
      <c r="J274" s="14">
        <v>4</v>
      </c>
      <c r="K274" s="14">
        <v>1416.6</v>
      </c>
      <c r="L274" s="15">
        <v>5956219</v>
      </c>
      <c r="M274" s="15">
        <v>1000000069738672</v>
      </c>
      <c r="N274" s="14" t="s">
        <v>364</v>
      </c>
      <c r="O274" s="14"/>
    </row>
    <row r="275" spans="1:15">
      <c r="A275" s="14"/>
      <c r="B275" s="14" t="s">
        <v>330</v>
      </c>
      <c r="C275" s="14" t="s">
        <v>331</v>
      </c>
      <c r="D275" s="14" t="s">
        <v>365</v>
      </c>
      <c r="E275" s="14" t="s">
        <v>142</v>
      </c>
      <c r="F275" s="14" t="s">
        <v>143</v>
      </c>
      <c r="G275" s="14" t="s">
        <v>143</v>
      </c>
      <c r="H275" s="14" t="s">
        <v>144</v>
      </c>
      <c r="I275" s="14" t="b">
        <v>0</v>
      </c>
      <c r="J275" s="14">
        <v>305</v>
      </c>
      <c r="K275" s="14">
        <v>163.99</v>
      </c>
      <c r="L275" s="15">
        <v>5395551</v>
      </c>
      <c r="M275" s="15">
        <v>1000000062502140</v>
      </c>
      <c r="N275" s="14" t="s">
        <v>366</v>
      </c>
      <c r="O275" s="14"/>
    </row>
    <row r="276" spans="1:15">
      <c r="A276" s="14"/>
      <c r="B276" s="14" t="s">
        <v>52</v>
      </c>
      <c r="C276" s="14" t="s">
        <v>367</v>
      </c>
      <c r="D276" s="14" t="s">
        <v>368</v>
      </c>
      <c r="E276" s="14" t="s">
        <v>142</v>
      </c>
      <c r="F276" s="14" t="s">
        <v>143</v>
      </c>
      <c r="G276" s="14" t="s">
        <v>143</v>
      </c>
      <c r="H276" s="14" t="s">
        <v>144</v>
      </c>
      <c r="I276" s="14" t="b">
        <v>0</v>
      </c>
      <c r="J276" s="14">
        <v>45</v>
      </c>
      <c r="K276" s="14">
        <v>2237.6001000000001</v>
      </c>
      <c r="L276" s="15">
        <v>5804977</v>
      </c>
      <c r="M276" s="15">
        <v>1000000059786587</v>
      </c>
      <c r="N276" s="14" t="s">
        <v>369</v>
      </c>
      <c r="O276" s="14"/>
    </row>
    <row r="277" spans="1:15">
      <c r="A277" s="14"/>
      <c r="B277" s="14" t="s">
        <v>37</v>
      </c>
      <c r="C277" s="14" t="s">
        <v>370</v>
      </c>
      <c r="D277" s="14" t="s">
        <v>371</v>
      </c>
      <c r="E277" s="14" t="s">
        <v>142</v>
      </c>
      <c r="F277" s="14" t="s">
        <v>143</v>
      </c>
      <c r="G277" s="14" t="s">
        <v>143</v>
      </c>
      <c r="H277" s="14" t="s">
        <v>144</v>
      </c>
      <c r="I277" s="14" t="b">
        <v>0</v>
      </c>
      <c r="J277" s="14">
        <v>10</v>
      </c>
      <c r="K277" s="14">
        <v>853.85</v>
      </c>
      <c r="L277" s="15">
        <v>606300119</v>
      </c>
      <c r="M277" s="15">
        <v>1300000062934832</v>
      </c>
      <c r="N277" s="14" t="s">
        <v>372</v>
      </c>
      <c r="O277" s="14"/>
    </row>
    <row r="278" spans="1:15">
      <c r="A278" s="14"/>
      <c r="B278" s="14" t="s">
        <v>86</v>
      </c>
      <c r="C278" s="14" t="s">
        <v>175</v>
      </c>
      <c r="D278" s="14" t="s">
        <v>371</v>
      </c>
      <c r="E278" s="14" t="s">
        <v>142</v>
      </c>
      <c r="F278" s="14" t="s">
        <v>143</v>
      </c>
      <c r="G278" s="14" t="s">
        <v>143</v>
      </c>
      <c r="H278" s="14" t="s">
        <v>144</v>
      </c>
      <c r="I278" s="14" t="b">
        <v>0</v>
      </c>
      <c r="J278" s="14">
        <v>10</v>
      </c>
      <c r="K278" s="14">
        <v>684</v>
      </c>
      <c r="L278" s="15">
        <v>4236742</v>
      </c>
      <c r="M278" s="15">
        <v>1000000047242522</v>
      </c>
      <c r="N278" s="14" t="s">
        <v>373</v>
      </c>
      <c r="O278" s="14"/>
    </row>
    <row r="279" spans="1:15">
      <c r="A279" s="14"/>
      <c r="B279" s="14" t="s">
        <v>374</v>
      </c>
      <c r="C279" s="14" t="s">
        <v>375</v>
      </c>
      <c r="D279" s="14" t="s">
        <v>371</v>
      </c>
      <c r="E279" s="14" t="s">
        <v>142</v>
      </c>
      <c r="F279" s="14" t="s">
        <v>143</v>
      </c>
      <c r="G279" s="14" t="s">
        <v>143</v>
      </c>
      <c r="H279" s="14" t="s">
        <v>144</v>
      </c>
      <c r="I279" s="14" t="b">
        <v>0</v>
      </c>
      <c r="J279" s="14">
        <v>10</v>
      </c>
      <c r="K279" s="14">
        <v>483.55</v>
      </c>
      <c r="L279" s="15">
        <v>606313822</v>
      </c>
      <c r="M279" s="15">
        <v>1300000063069924</v>
      </c>
      <c r="N279" s="14" t="s">
        <v>376</v>
      </c>
      <c r="O279" s="14"/>
    </row>
    <row r="280" spans="1:15">
      <c r="A280" s="14"/>
      <c r="B280" s="14" t="s">
        <v>352</v>
      </c>
      <c r="C280" s="14" t="s">
        <v>353</v>
      </c>
      <c r="D280" s="14" t="s">
        <v>371</v>
      </c>
      <c r="E280" s="14" t="s">
        <v>142</v>
      </c>
      <c r="F280" s="14" t="s">
        <v>143</v>
      </c>
      <c r="G280" s="14" t="s">
        <v>143</v>
      </c>
      <c r="H280" s="14" t="s">
        <v>144</v>
      </c>
      <c r="I280" s="14" t="b">
        <v>0</v>
      </c>
      <c r="J280" s="14">
        <v>10</v>
      </c>
      <c r="K280" s="14">
        <v>1368</v>
      </c>
      <c r="L280" s="15">
        <v>608157505</v>
      </c>
      <c r="M280" s="15">
        <v>1300000081645901</v>
      </c>
      <c r="N280" s="14" t="s">
        <v>377</v>
      </c>
      <c r="O280" s="14"/>
    </row>
    <row r="281" spans="1:15">
      <c r="A281" s="14"/>
      <c r="B281" s="14" t="s">
        <v>352</v>
      </c>
      <c r="C281" s="14" t="s">
        <v>353</v>
      </c>
      <c r="D281" s="14" t="s">
        <v>378</v>
      </c>
      <c r="E281" s="14" t="s">
        <v>142</v>
      </c>
      <c r="F281" s="14" t="s">
        <v>143</v>
      </c>
      <c r="G281" s="14" t="s">
        <v>143</v>
      </c>
      <c r="H281" s="14" t="s">
        <v>144</v>
      </c>
      <c r="I281" s="14" t="b">
        <v>0</v>
      </c>
      <c r="J281" s="14">
        <v>2</v>
      </c>
      <c r="K281" s="14">
        <v>1380.6</v>
      </c>
      <c r="L281" s="15">
        <v>608658740</v>
      </c>
      <c r="M281" s="15">
        <v>1300000087615108</v>
      </c>
      <c r="N281" s="14" t="s">
        <v>379</v>
      </c>
      <c r="O281" s="14"/>
    </row>
    <row r="282" spans="1:15">
      <c r="A282" s="14"/>
      <c r="B282" s="14" t="s">
        <v>352</v>
      </c>
      <c r="C282" s="14" t="s">
        <v>353</v>
      </c>
      <c r="D282" s="14" t="s">
        <v>378</v>
      </c>
      <c r="E282" s="14" t="s">
        <v>142</v>
      </c>
      <c r="F282" s="14" t="s">
        <v>143</v>
      </c>
      <c r="G282" s="14" t="s">
        <v>143</v>
      </c>
      <c r="H282" s="14" t="s">
        <v>144</v>
      </c>
      <c r="I282" s="14" t="b">
        <v>0</v>
      </c>
      <c r="J282" s="14">
        <v>3</v>
      </c>
      <c r="K282" s="14">
        <v>1380.6</v>
      </c>
      <c r="L282" s="15">
        <v>608658741</v>
      </c>
      <c r="M282" s="15">
        <v>1300000087615108</v>
      </c>
      <c r="N282" s="14" t="s">
        <v>379</v>
      </c>
      <c r="O282" s="14"/>
    </row>
    <row r="283" spans="1:15">
      <c r="A283" s="14"/>
      <c r="B283" s="14" t="s">
        <v>352</v>
      </c>
      <c r="C283" s="14" t="s">
        <v>353</v>
      </c>
      <c r="D283" s="14" t="s">
        <v>378</v>
      </c>
      <c r="E283" s="14" t="s">
        <v>142</v>
      </c>
      <c r="F283" s="14" t="s">
        <v>143</v>
      </c>
      <c r="G283" s="14" t="s">
        <v>143</v>
      </c>
      <c r="H283" s="14" t="s">
        <v>144</v>
      </c>
      <c r="I283" s="14" t="b">
        <v>0</v>
      </c>
      <c r="J283" s="14">
        <v>4</v>
      </c>
      <c r="K283" s="14">
        <v>1380.7</v>
      </c>
      <c r="L283" s="15">
        <v>608658742</v>
      </c>
      <c r="M283" s="15">
        <v>1300000087615108</v>
      </c>
      <c r="N283" s="14" t="s">
        <v>379</v>
      </c>
      <c r="O283" s="14"/>
    </row>
    <row r="284" spans="1:15">
      <c r="A284" s="14"/>
      <c r="B284" s="14" t="s">
        <v>352</v>
      </c>
      <c r="C284" s="14" t="s">
        <v>353</v>
      </c>
      <c r="D284" s="14" t="s">
        <v>378</v>
      </c>
      <c r="E284" s="14" t="s">
        <v>142</v>
      </c>
      <c r="F284" s="14" t="s">
        <v>143</v>
      </c>
      <c r="G284" s="14" t="s">
        <v>143</v>
      </c>
      <c r="H284" s="14" t="s">
        <v>144</v>
      </c>
      <c r="I284" s="14" t="b">
        <v>0</v>
      </c>
      <c r="J284" s="14">
        <v>5</v>
      </c>
      <c r="K284" s="14">
        <v>1380.7</v>
      </c>
      <c r="L284" s="15">
        <v>608658743</v>
      </c>
      <c r="M284" s="15">
        <v>1300000087615108</v>
      </c>
      <c r="N284" s="14" t="s">
        <v>379</v>
      </c>
      <c r="O284" s="14"/>
    </row>
    <row r="285" spans="1:15">
      <c r="A285" s="14"/>
      <c r="B285" s="14" t="s">
        <v>86</v>
      </c>
      <c r="C285" s="14" t="s">
        <v>175</v>
      </c>
      <c r="D285" s="14" t="s">
        <v>380</v>
      </c>
      <c r="E285" s="14" t="s">
        <v>142</v>
      </c>
      <c r="F285" s="14" t="s">
        <v>143</v>
      </c>
      <c r="G285" s="14" t="s">
        <v>143</v>
      </c>
      <c r="H285" s="14" t="s">
        <v>144</v>
      </c>
      <c r="I285" s="14" t="b">
        <v>0</v>
      </c>
      <c r="J285" s="14">
        <v>12</v>
      </c>
      <c r="K285" s="14">
        <v>714.9</v>
      </c>
      <c r="L285" s="15">
        <v>4580522</v>
      </c>
      <c r="M285" s="15">
        <v>1000000061460854</v>
      </c>
      <c r="N285" s="14" t="s">
        <v>381</v>
      </c>
      <c r="O285" s="14"/>
    </row>
    <row r="286" spans="1:15">
      <c r="A286" s="14"/>
      <c r="B286" s="14" t="s">
        <v>86</v>
      </c>
      <c r="C286" s="14" t="s">
        <v>175</v>
      </c>
      <c r="D286" s="14" t="s">
        <v>380</v>
      </c>
      <c r="E286" s="14" t="s">
        <v>142</v>
      </c>
      <c r="F286" s="14" t="s">
        <v>143</v>
      </c>
      <c r="G286" s="14" t="s">
        <v>143</v>
      </c>
      <c r="H286" s="14" t="s">
        <v>144</v>
      </c>
      <c r="I286" s="14" t="b">
        <v>0</v>
      </c>
      <c r="J286" s="14">
        <v>15</v>
      </c>
      <c r="K286" s="14">
        <v>714.9</v>
      </c>
      <c r="L286" s="15">
        <v>4580523</v>
      </c>
      <c r="M286" s="15">
        <v>1000000061460854</v>
      </c>
      <c r="N286" s="14" t="s">
        <v>381</v>
      </c>
      <c r="O286" s="14"/>
    </row>
    <row r="287" spans="1:15">
      <c r="A287" s="14"/>
      <c r="B287" s="14" t="s">
        <v>254</v>
      </c>
      <c r="C287" s="14" t="s">
        <v>255</v>
      </c>
      <c r="D287" s="14" t="s">
        <v>380</v>
      </c>
      <c r="E287" s="14" t="s">
        <v>199</v>
      </c>
      <c r="F287" s="14" t="s">
        <v>143</v>
      </c>
      <c r="G287" s="14" t="s">
        <v>200</v>
      </c>
      <c r="H287" s="14" t="s">
        <v>144</v>
      </c>
      <c r="I287" s="14" t="b">
        <v>0</v>
      </c>
      <c r="J287" s="14">
        <v>28</v>
      </c>
      <c r="K287" s="14">
        <v>1213.95</v>
      </c>
      <c r="L287" s="15">
        <v>13253100</v>
      </c>
      <c r="M287" s="15">
        <v>1.771577768926583E+18</v>
      </c>
      <c r="N287" s="14" t="s">
        <v>382</v>
      </c>
      <c r="O287" s="14"/>
    </row>
    <row r="288" spans="1:15">
      <c r="A288" s="14"/>
      <c r="B288" s="14" t="s">
        <v>254</v>
      </c>
      <c r="C288" s="14" t="s">
        <v>255</v>
      </c>
      <c r="D288" s="14" t="s">
        <v>380</v>
      </c>
      <c r="E288" s="14" t="s">
        <v>199</v>
      </c>
      <c r="F288" s="14" t="s">
        <v>143</v>
      </c>
      <c r="G288" s="14" t="s">
        <v>200</v>
      </c>
      <c r="H288" s="14" t="s">
        <v>144</v>
      </c>
      <c r="I288" s="14" t="b">
        <v>0</v>
      </c>
      <c r="J288" s="14">
        <v>49</v>
      </c>
      <c r="K288" s="14">
        <v>1213.5999999999999</v>
      </c>
      <c r="L288" s="15">
        <v>13252800</v>
      </c>
      <c r="M288" s="15">
        <v>1.771577768926583E+18</v>
      </c>
      <c r="N288" s="14" t="s">
        <v>382</v>
      </c>
      <c r="O288" s="14"/>
    </row>
    <row r="289" spans="1:15">
      <c r="A289" s="14"/>
      <c r="B289" s="14" t="s">
        <v>254</v>
      </c>
      <c r="C289" s="14" t="s">
        <v>255</v>
      </c>
      <c r="D289" s="14" t="s">
        <v>380</v>
      </c>
      <c r="E289" s="14" t="s">
        <v>199</v>
      </c>
      <c r="F289" s="14" t="s">
        <v>143</v>
      </c>
      <c r="G289" s="14" t="s">
        <v>200</v>
      </c>
      <c r="H289" s="14" t="s">
        <v>144</v>
      </c>
      <c r="I289" s="14" t="b">
        <v>0</v>
      </c>
      <c r="J289" s="14">
        <v>5</v>
      </c>
      <c r="K289" s="14">
        <v>1214</v>
      </c>
      <c r="L289" s="15">
        <v>13253400</v>
      </c>
      <c r="M289" s="15">
        <v>1.771577768926583E+18</v>
      </c>
      <c r="N289" s="14" t="s">
        <v>382</v>
      </c>
      <c r="O289" s="14"/>
    </row>
    <row r="290" spans="1:15">
      <c r="A290" s="14"/>
      <c r="B290" s="14" t="s">
        <v>291</v>
      </c>
      <c r="C290" s="14" t="s">
        <v>292</v>
      </c>
      <c r="D290" s="14" t="s">
        <v>380</v>
      </c>
      <c r="E290" s="14" t="s">
        <v>199</v>
      </c>
      <c r="F290" s="14" t="s">
        <v>143</v>
      </c>
      <c r="G290" s="14" t="s">
        <v>200</v>
      </c>
      <c r="H290" s="14" t="s">
        <v>144</v>
      </c>
      <c r="I290" s="14" t="b">
        <v>0</v>
      </c>
      <c r="J290" s="14">
        <v>14</v>
      </c>
      <c r="K290" s="14">
        <v>538.9</v>
      </c>
      <c r="L290" s="15">
        <v>11077300</v>
      </c>
      <c r="M290" s="15">
        <v>1.77157744033997E+18</v>
      </c>
      <c r="N290" s="14" t="s">
        <v>383</v>
      </c>
      <c r="O290" s="14"/>
    </row>
    <row r="291" spans="1:15">
      <c r="A291" s="14"/>
      <c r="B291" s="14" t="s">
        <v>291</v>
      </c>
      <c r="C291" s="14" t="s">
        <v>292</v>
      </c>
      <c r="D291" s="14" t="s">
        <v>380</v>
      </c>
      <c r="E291" s="14" t="s">
        <v>199</v>
      </c>
      <c r="F291" s="14" t="s">
        <v>143</v>
      </c>
      <c r="G291" s="14" t="s">
        <v>200</v>
      </c>
      <c r="H291" s="14" t="s">
        <v>144</v>
      </c>
      <c r="I291" s="14" t="b">
        <v>0</v>
      </c>
      <c r="J291" s="14">
        <v>23</v>
      </c>
      <c r="K291" s="14">
        <v>538.85</v>
      </c>
      <c r="L291" s="15">
        <v>11077100</v>
      </c>
      <c r="M291" s="15">
        <v>1.77157744033997E+18</v>
      </c>
      <c r="N291" s="14" t="s">
        <v>383</v>
      </c>
      <c r="O291" s="14"/>
    </row>
    <row r="292" spans="1:15">
      <c r="A292" s="14"/>
      <c r="B292" s="14" t="s">
        <v>291</v>
      </c>
      <c r="C292" s="14" t="s">
        <v>292</v>
      </c>
      <c r="D292" s="14" t="s">
        <v>380</v>
      </c>
      <c r="E292" s="14" t="s">
        <v>199</v>
      </c>
      <c r="F292" s="14" t="s">
        <v>143</v>
      </c>
      <c r="G292" s="14" t="s">
        <v>200</v>
      </c>
      <c r="H292" s="14" t="s">
        <v>144</v>
      </c>
      <c r="I292" s="14" t="b">
        <v>0</v>
      </c>
      <c r="J292" s="14">
        <v>56</v>
      </c>
      <c r="K292" s="14">
        <v>538.95000000000005</v>
      </c>
      <c r="L292" s="15">
        <v>11077500</v>
      </c>
      <c r="M292" s="15">
        <v>1.77157744033997E+18</v>
      </c>
      <c r="N292" s="14" t="s">
        <v>383</v>
      </c>
      <c r="O292" s="14"/>
    </row>
    <row r="293" spans="1:15">
      <c r="A293" s="14"/>
      <c r="B293" s="14" t="s">
        <v>384</v>
      </c>
      <c r="C293" s="14" t="s">
        <v>385</v>
      </c>
      <c r="D293" s="14" t="s">
        <v>380</v>
      </c>
      <c r="E293" s="14" t="s">
        <v>142</v>
      </c>
      <c r="F293" s="14" t="s">
        <v>143</v>
      </c>
      <c r="G293" s="14" t="s">
        <v>143</v>
      </c>
      <c r="H293" s="14" t="s">
        <v>144</v>
      </c>
      <c r="I293" s="14" t="b">
        <v>0</v>
      </c>
      <c r="J293" s="14">
        <v>2</v>
      </c>
      <c r="K293" s="14">
        <v>314.69</v>
      </c>
      <c r="L293" s="15">
        <v>606311000</v>
      </c>
      <c r="M293" s="15">
        <v>1300000076352903</v>
      </c>
      <c r="N293" s="14" t="s">
        <v>386</v>
      </c>
      <c r="O293" s="14"/>
    </row>
    <row r="294" spans="1:15">
      <c r="A294" s="14"/>
      <c r="B294" s="14" t="s">
        <v>384</v>
      </c>
      <c r="C294" s="14" t="s">
        <v>385</v>
      </c>
      <c r="D294" s="14" t="s">
        <v>380</v>
      </c>
      <c r="E294" s="14" t="s">
        <v>142</v>
      </c>
      <c r="F294" s="14" t="s">
        <v>143</v>
      </c>
      <c r="G294" s="14" t="s">
        <v>143</v>
      </c>
      <c r="H294" s="14" t="s">
        <v>144</v>
      </c>
      <c r="I294" s="14" t="b">
        <v>0</v>
      </c>
      <c r="J294" s="14">
        <v>78</v>
      </c>
      <c r="K294" s="14">
        <v>314.7</v>
      </c>
      <c r="L294" s="15">
        <v>606311001</v>
      </c>
      <c r="M294" s="15">
        <v>1300000076352903</v>
      </c>
      <c r="N294" s="14" t="s">
        <v>386</v>
      </c>
      <c r="O294" s="14"/>
    </row>
    <row r="295" spans="1:15">
      <c r="A295" s="14"/>
      <c r="B295" s="14" t="s">
        <v>251</v>
      </c>
      <c r="C295" s="14" t="s">
        <v>252</v>
      </c>
      <c r="D295" s="14" t="s">
        <v>387</v>
      </c>
      <c r="E295" s="14" t="s">
        <v>199</v>
      </c>
      <c r="F295" s="14" t="s">
        <v>143</v>
      </c>
      <c r="G295" s="14" t="s">
        <v>200</v>
      </c>
      <c r="H295" s="14" t="s">
        <v>144</v>
      </c>
      <c r="I295" s="14" t="b">
        <v>0</v>
      </c>
      <c r="J295" s="14">
        <v>266</v>
      </c>
      <c r="K295" s="14">
        <v>188.15</v>
      </c>
      <c r="L295" s="15">
        <v>22055000</v>
      </c>
      <c r="M295" s="15">
        <v>1.772179817893634E+18</v>
      </c>
      <c r="N295" s="14" t="s">
        <v>388</v>
      </c>
      <c r="O295" s="14"/>
    </row>
    <row r="296" spans="1:15">
      <c r="A296" s="14"/>
      <c r="B296" s="14" t="s">
        <v>37</v>
      </c>
      <c r="C296" s="14" t="s">
        <v>370</v>
      </c>
      <c r="D296" s="14" t="s">
        <v>387</v>
      </c>
      <c r="E296" s="14" t="s">
        <v>199</v>
      </c>
      <c r="F296" s="14" t="s">
        <v>143</v>
      </c>
      <c r="G296" s="14" t="s">
        <v>200</v>
      </c>
      <c r="H296" s="14" t="s">
        <v>144</v>
      </c>
      <c r="I296" s="14" t="b">
        <v>0</v>
      </c>
      <c r="J296" s="14">
        <v>45</v>
      </c>
      <c r="K296" s="14">
        <v>908</v>
      </c>
      <c r="L296" s="15">
        <v>6795400</v>
      </c>
      <c r="M296" s="15">
        <v>1.7721776639566021E+18</v>
      </c>
      <c r="N296" s="14" t="s">
        <v>389</v>
      </c>
      <c r="O296" s="14"/>
    </row>
    <row r="297" spans="1:15">
      <c r="A297" s="14"/>
      <c r="B297" s="14" t="s">
        <v>374</v>
      </c>
      <c r="C297" s="14" t="s">
        <v>375</v>
      </c>
      <c r="D297" s="14" t="s">
        <v>387</v>
      </c>
      <c r="E297" s="14" t="s">
        <v>199</v>
      </c>
      <c r="F297" s="14" t="s">
        <v>143</v>
      </c>
      <c r="G297" s="14" t="s">
        <v>322</v>
      </c>
      <c r="H297" s="14" t="s">
        <v>193</v>
      </c>
      <c r="I297" s="14" t="b">
        <v>0</v>
      </c>
      <c r="J297" s="14">
        <v>10</v>
      </c>
      <c r="K297" s="14">
        <v>419.3</v>
      </c>
      <c r="L297" s="15">
        <v>4846000</v>
      </c>
      <c r="M297" s="15">
        <v>1.7721796532175109E+18</v>
      </c>
      <c r="N297" s="14" t="s">
        <v>390</v>
      </c>
      <c r="O297" s="14"/>
    </row>
    <row r="298" spans="1:15">
      <c r="A298" s="14"/>
      <c r="B298" s="14" t="s">
        <v>333</v>
      </c>
      <c r="C298" s="14" t="s">
        <v>334</v>
      </c>
      <c r="D298" s="14" t="s">
        <v>387</v>
      </c>
      <c r="E298" s="14" t="s">
        <v>142</v>
      </c>
      <c r="F298" s="14" t="s">
        <v>143</v>
      </c>
      <c r="G298" s="14" t="s">
        <v>143</v>
      </c>
      <c r="H298" s="14" t="s">
        <v>144</v>
      </c>
      <c r="I298" s="14" t="b">
        <v>0</v>
      </c>
      <c r="J298" s="14">
        <v>340</v>
      </c>
      <c r="K298" s="14">
        <v>75</v>
      </c>
      <c r="L298" s="15">
        <v>406697576</v>
      </c>
      <c r="M298" s="15">
        <v>1200000075865702</v>
      </c>
      <c r="N298" s="14" t="s">
        <v>391</v>
      </c>
      <c r="O298" s="14"/>
    </row>
    <row r="299" spans="1:15">
      <c r="A299" s="14"/>
      <c r="B299" s="14" t="s">
        <v>291</v>
      </c>
      <c r="C299" s="14" t="s">
        <v>292</v>
      </c>
      <c r="D299" s="14" t="s">
        <v>392</v>
      </c>
      <c r="E299" s="14" t="s">
        <v>199</v>
      </c>
      <c r="F299" s="14" t="s">
        <v>143</v>
      </c>
      <c r="G299" s="14" t="s">
        <v>200</v>
      </c>
      <c r="H299" s="14" t="s">
        <v>193</v>
      </c>
      <c r="I299" s="14" t="b">
        <v>0</v>
      </c>
      <c r="J299" s="14">
        <v>196</v>
      </c>
      <c r="K299" s="14">
        <v>420.4</v>
      </c>
      <c r="L299" s="15">
        <v>81200</v>
      </c>
      <c r="M299" s="15">
        <v>1.7724222003260019E+18</v>
      </c>
      <c r="N299" s="14" t="s">
        <v>393</v>
      </c>
      <c r="O299" s="14"/>
    </row>
    <row r="300" spans="1:15">
      <c r="A300" s="14"/>
      <c r="B300" s="14" t="s">
        <v>349</v>
      </c>
      <c r="C300" s="14" t="s">
        <v>350</v>
      </c>
      <c r="D300" s="14" t="s">
        <v>394</v>
      </c>
      <c r="E300" s="14" t="s">
        <v>199</v>
      </c>
      <c r="F300" s="14" t="s">
        <v>143</v>
      </c>
      <c r="G300" s="14" t="s">
        <v>200</v>
      </c>
      <c r="H300" s="14" t="s">
        <v>144</v>
      </c>
      <c r="I300" s="14" t="b">
        <v>0</v>
      </c>
      <c r="J300" s="14">
        <v>54</v>
      </c>
      <c r="K300" s="14">
        <v>468.3</v>
      </c>
      <c r="L300" s="15">
        <v>12056500</v>
      </c>
      <c r="M300" s="15">
        <v>1.7727866281458839E+18</v>
      </c>
      <c r="N300" s="14" t="s">
        <v>395</v>
      </c>
      <c r="O300" s="14"/>
    </row>
    <row r="301" spans="1:15">
      <c r="A301" s="14"/>
      <c r="B301" s="14" t="s">
        <v>396</v>
      </c>
      <c r="C301" s="14" t="s">
        <v>397</v>
      </c>
      <c r="D301" s="14" t="s">
        <v>394</v>
      </c>
      <c r="E301" s="14" t="s">
        <v>142</v>
      </c>
      <c r="F301" s="14" t="s">
        <v>143</v>
      </c>
      <c r="G301" s="14" t="s">
        <v>143</v>
      </c>
      <c r="H301" s="14" t="s">
        <v>144</v>
      </c>
      <c r="I301" s="14" t="b">
        <v>0</v>
      </c>
      <c r="J301" s="14">
        <v>42</v>
      </c>
      <c r="K301" s="14">
        <v>206.6</v>
      </c>
      <c r="L301" s="15">
        <v>408247693</v>
      </c>
      <c r="M301" s="15">
        <v>1200000077068736</v>
      </c>
      <c r="N301" s="14" t="s">
        <v>398</v>
      </c>
      <c r="O301" s="14"/>
    </row>
    <row r="302" spans="1:15">
      <c r="A302" s="14"/>
      <c r="B302" s="14" t="s">
        <v>396</v>
      </c>
      <c r="C302" s="14" t="s">
        <v>397</v>
      </c>
      <c r="D302" s="14" t="s">
        <v>394</v>
      </c>
      <c r="E302" s="14" t="s">
        <v>142</v>
      </c>
      <c r="F302" s="14" t="s">
        <v>143</v>
      </c>
      <c r="G302" s="14" t="s">
        <v>143</v>
      </c>
      <c r="H302" s="14" t="s">
        <v>144</v>
      </c>
      <c r="I302" s="14" t="b">
        <v>0</v>
      </c>
      <c r="J302" s="14">
        <v>79</v>
      </c>
      <c r="K302" s="14">
        <v>206.6</v>
      </c>
      <c r="L302" s="15">
        <v>408247694</v>
      </c>
      <c r="M302" s="15">
        <v>1200000077068736</v>
      </c>
      <c r="N302" s="14" t="s">
        <v>398</v>
      </c>
      <c r="O302" s="14"/>
    </row>
    <row r="303" spans="1:15">
      <c r="A303" s="14"/>
      <c r="B303" s="14" t="s">
        <v>152</v>
      </c>
      <c r="C303" s="14" t="s">
        <v>153</v>
      </c>
      <c r="D303" s="14" t="s">
        <v>192</v>
      </c>
      <c r="E303" s="14" t="s">
        <v>142</v>
      </c>
      <c r="F303" s="14" t="s">
        <v>143</v>
      </c>
      <c r="G303" s="14" t="s">
        <v>143</v>
      </c>
      <c r="H303" s="14" t="s">
        <v>193</v>
      </c>
      <c r="I303" s="14" t="b">
        <v>0</v>
      </c>
      <c r="J303" s="14">
        <v>2</v>
      </c>
      <c r="K303" s="14">
        <v>4180.2002000000002</v>
      </c>
      <c r="L303" s="15">
        <v>602393096</v>
      </c>
      <c r="M303" s="15">
        <v>1300000019368715</v>
      </c>
      <c r="N303" s="14" t="s">
        <v>195</v>
      </c>
      <c r="O303" s="14"/>
    </row>
    <row r="304" spans="1:15">
      <c r="A304" s="14"/>
      <c r="B304" s="14" t="s">
        <v>152</v>
      </c>
      <c r="C304" s="14" t="s">
        <v>153</v>
      </c>
      <c r="D304" s="14" t="s">
        <v>192</v>
      </c>
      <c r="E304" s="14" t="s">
        <v>142</v>
      </c>
      <c r="F304" s="14" t="s">
        <v>143</v>
      </c>
      <c r="G304" s="14" t="s">
        <v>143</v>
      </c>
      <c r="H304" s="14" t="s">
        <v>193</v>
      </c>
      <c r="I304" s="14" t="b">
        <v>0</v>
      </c>
      <c r="J304" s="14">
        <v>1</v>
      </c>
      <c r="K304" s="14">
        <v>4180.2002000000002</v>
      </c>
      <c r="L304" s="15">
        <v>602393097</v>
      </c>
      <c r="M304" s="15">
        <v>1300000019368715</v>
      </c>
      <c r="N304" s="14" t="s">
        <v>195</v>
      </c>
      <c r="O304" s="14"/>
    </row>
    <row r="305" spans="1:15">
      <c r="A305" s="14"/>
      <c r="B305" s="14" t="s">
        <v>152</v>
      </c>
      <c r="C305" s="14" t="s">
        <v>153</v>
      </c>
      <c r="D305" s="14" t="s">
        <v>192</v>
      </c>
      <c r="E305" s="14" t="s">
        <v>142</v>
      </c>
      <c r="F305" s="14" t="s">
        <v>143</v>
      </c>
      <c r="G305" s="14" t="s">
        <v>143</v>
      </c>
      <c r="H305" s="14" t="s">
        <v>193</v>
      </c>
      <c r="I305" s="14" t="b">
        <v>0</v>
      </c>
      <c r="J305" s="14">
        <v>1</v>
      </c>
      <c r="K305" s="14">
        <v>4180.2002000000002</v>
      </c>
      <c r="L305" s="15">
        <v>602393094</v>
      </c>
      <c r="M305" s="15">
        <v>1300000019368715</v>
      </c>
      <c r="N305" s="14" t="s">
        <v>195</v>
      </c>
      <c r="O305" s="14"/>
    </row>
    <row r="306" spans="1:15">
      <c r="A306" s="14"/>
      <c r="B306" s="14" t="s">
        <v>146</v>
      </c>
      <c r="C306" s="14" t="s">
        <v>147</v>
      </c>
      <c r="D306" s="14" t="s">
        <v>357</v>
      </c>
      <c r="E306" s="14" t="s">
        <v>142</v>
      </c>
      <c r="F306" s="14" t="s">
        <v>143</v>
      </c>
      <c r="G306" s="14" t="s">
        <v>143</v>
      </c>
      <c r="H306" s="14" t="s">
        <v>193</v>
      </c>
      <c r="I306" s="14" t="b">
        <v>0</v>
      </c>
      <c r="J306" s="14">
        <v>1</v>
      </c>
      <c r="K306" s="14">
        <v>1299.4000000000001</v>
      </c>
      <c r="L306" s="15">
        <v>4407184</v>
      </c>
      <c r="M306" s="15">
        <v>1000000050030745</v>
      </c>
      <c r="N306" s="14" t="s">
        <v>362</v>
      </c>
      <c r="O306" s="14"/>
    </row>
    <row r="307" spans="1:15">
      <c r="A307" s="14"/>
      <c r="B307" s="14" t="s">
        <v>202</v>
      </c>
      <c r="C307" s="14" t="s">
        <v>203</v>
      </c>
      <c r="D307" s="14" t="s">
        <v>234</v>
      </c>
      <c r="E307" s="14" t="s">
        <v>142</v>
      </c>
      <c r="F307" s="14" t="s">
        <v>143</v>
      </c>
      <c r="G307" s="14" t="s">
        <v>143</v>
      </c>
      <c r="H307" s="14" t="s">
        <v>193</v>
      </c>
      <c r="I307" s="14" t="b">
        <v>0</v>
      </c>
      <c r="J307" s="14">
        <v>2</v>
      </c>
      <c r="K307" s="14">
        <v>482.05</v>
      </c>
      <c r="L307" s="15">
        <v>400073760</v>
      </c>
      <c r="M307" s="15">
        <v>1200000000472402</v>
      </c>
      <c r="N307" s="14" t="s">
        <v>235</v>
      </c>
      <c r="O307" s="14"/>
    </row>
    <row r="308" spans="1:15">
      <c r="A308" s="14"/>
      <c r="B308" s="14" t="s">
        <v>202</v>
      </c>
      <c r="C308" s="14" t="s">
        <v>203</v>
      </c>
      <c r="D308" s="14" t="s">
        <v>234</v>
      </c>
      <c r="E308" s="14" t="s">
        <v>142</v>
      </c>
      <c r="F308" s="14" t="s">
        <v>143</v>
      </c>
      <c r="G308" s="14" t="s">
        <v>143</v>
      </c>
      <c r="H308" s="14" t="s">
        <v>193</v>
      </c>
      <c r="I308" s="14" t="b">
        <v>0</v>
      </c>
      <c r="J308" s="14">
        <v>2</v>
      </c>
      <c r="K308" s="14">
        <v>482</v>
      </c>
      <c r="L308" s="15">
        <v>400073765</v>
      </c>
      <c r="M308" s="15">
        <v>1200000000472402</v>
      </c>
      <c r="N308" s="14" t="s">
        <v>235</v>
      </c>
      <c r="O308" s="14"/>
    </row>
    <row r="309" spans="1:15">
      <c r="A309" s="14"/>
      <c r="B309" s="14" t="s">
        <v>202</v>
      </c>
      <c r="C309" s="14" t="s">
        <v>203</v>
      </c>
      <c r="D309" s="14" t="s">
        <v>234</v>
      </c>
      <c r="E309" s="14" t="s">
        <v>142</v>
      </c>
      <c r="F309" s="14" t="s">
        <v>143</v>
      </c>
      <c r="G309" s="14" t="s">
        <v>143</v>
      </c>
      <c r="H309" s="14" t="s">
        <v>193</v>
      </c>
      <c r="I309" s="14" t="b">
        <v>0</v>
      </c>
      <c r="J309" s="14">
        <v>2</v>
      </c>
      <c r="K309" s="14">
        <v>482.05</v>
      </c>
      <c r="L309" s="15">
        <v>400073754</v>
      </c>
      <c r="M309" s="15">
        <v>1200000000472402</v>
      </c>
      <c r="N309" s="14" t="s">
        <v>235</v>
      </c>
      <c r="O309" s="14"/>
    </row>
    <row r="310" spans="1:15">
      <c r="A310" s="14"/>
      <c r="B310" s="14" t="s">
        <v>202</v>
      </c>
      <c r="C310" s="14" t="s">
        <v>203</v>
      </c>
      <c r="D310" s="14" t="s">
        <v>234</v>
      </c>
      <c r="E310" s="14" t="s">
        <v>142</v>
      </c>
      <c r="F310" s="14" t="s">
        <v>143</v>
      </c>
      <c r="G310" s="14" t="s">
        <v>143</v>
      </c>
      <c r="H310" s="14" t="s">
        <v>193</v>
      </c>
      <c r="I310" s="14" t="b">
        <v>0</v>
      </c>
      <c r="J310" s="14">
        <v>17</v>
      </c>
      <c r="K310" s="14">
        <v>482.05</v>
      </c>
      <c r="L310" s="15">
        <v>400073757</v>
      </c>
      <c r="M310" s="15">
        <v>1200000000472402</v>
      </c>
      <c r="N310" s="14" t="s">
        <v>235</v>
      </c>
      <c r="O310" s="14"/>
    </row>
    <row r="311" spans="1:15">
      <c r="A311" s="14"/>
      <c r="B311" s="14" t="s">
        <v>202</v>
      </c>
      <c r="C311" s="14" t="s">
        <v>203</v>
      </c>
      <c r="D311" s="14" t="s">
        <v>234</v>
      </c>
      <c r="E311" s="14" t="s">
        <v>142</v>
      </c>
      <c r="F311" s="14" t="s">
        <v>143</v>
      </c>
      <c r="G311" s="14" t="s">
        <v>143</v>
      </c>
      <c r="H311" s="14" t="s">
        <v>193</v>
      </c>
      <c r="I311" s="14" t="b">
        <v>0</v>
      </c>
      <c r="J311" s="14">
        <v>2</v>
      </c>
      <c r="K311" s="14">
        <v>482.05</v>
      </c>
      <c r="L311" s="15">
        <v>400073758</v>
      </c>
      <c r="M311" s="15">
        <v>1200000000472402</v>
      </c>
      <c r="N311" s="14" t="s">
        <v>235</v>
      </c>
      <c r="O311" s="14"/>
    </row>
    <row r="312" spans="1:15">
      <c r="A312" s="14"/>
      <c r="B312" s="14" t="s">
        <v>37</v>
      </c>
      <c r="C312" s="14" t="s">
        <v>370</v>
      </c>
      <c r="D312" s="14" t="s">
        <v>399</v>
      </c>
      <c r="E312" s="14" t="s">
        <v>199</v>
      </c>
      <c r="F312" s="14" t="s">
        <v>143</v>
      </c>
      <c r="G312" s="14" t="s">
        <v>200</v>
      </c>
      <c r="H312" s="14" t="s">
        <v>144</v>
      </c>
      <c r="I312" s="14" t="b">
        <v>0</v>
      </c>
      <c r="J312" s="14">
        <v>14</v>
      </c>
      <c r="K312" s="14">
        <v>846.65</v>
      </c>
      <c r="L312" s="15">
        <v>12948500</v>
      </c>
      <c r="M312" s="15">
        <v>1.7730484151741571E+18</v>
      </c>
      <c r="N312" s="14" t="s">
        <v>400</v>
      </c>
      <c r="O312" s="14"/>
    </row>
    <row r="313" spans="1:15">
      <c r="A313" s="14"/>
      <c r="B313" s="14" t="s">
        <v>37</v>
      </c>
      <c r="C313" s="14" t="s">
        <v>370</v>
      </c>
      <c r="D313" s="14" t="s">
        <v>399</v>
      </c>
      <c r="E313" s="14" t="s">
        <v>199</v>
      </c>
      <c r="F313" s="14" t="s">
        <v>143</v>
      </c>
      <c r="G313" s="14" t="s">
        <v>200</v>
      </c>
      <c r="H313" s="14" t="s">
        <v>144</v>
      </c>
      <c r="I313" s="14" t="b">
        <v>0</v>
      </c>
      <c r="J313" s="14">
        <v>14</v>
      </c>
      <c r="K313" s="14">
        <v>847.3</v>
      </c>
      <c r="L313" s="15">
        <v>12949700</v>
      </c>
      <c r="M313" s="15">
        <v>1.7730484151741571E+18</v>
      </c>
      <c r="N313" s="14" t="s">
        <v>400</v>
      </c>
      <c r="O313" s="14"/>
    </row>
    <row r="314" spans="1:15">
      <c r="A314" s="14"/>
      <c r="B314" s="14" t="s">
        <v>37</v>
      </c>
      <c r="C314" s="14" t="s">
        <v>370</v>
      </c>
      <c r="D314" s="14" t="s">
        <v>399</v>
      </c>
      <c r="E314" s="14" t="s">
        <v>199</v>
      </c>
      <c r="F314" s="14" t="s">
        <v>143</v>
      </c>
      <c r="G314" s="14" t="s">
        <v>200</v>
      </c>
      <c r="H314" s="14" t="s">
        <v>144</v>
      </c>
      <c r="I314" s="14" t="b">
        <v>0</v>
      </c>
      <c r="J314" s="14">
        <v>20</v>
      </c>
      <c r="K314" s="14">
        <v>847.15</v>
      </c>
      <c r="L314" s="15">
        <v>12949500</v>
      </c>
      <c r="M314" s="15">
        <v>1.7730484151741571E+18</v>
      </c>
      <c r="N314" s="14" t="s">
        <v>400</v>
      </c>
      <c r="O314" s="14"/>
    </row>
    <row r="315" spans="1:15">
      <c r="A315" s="14"/>
      <c r="B315" s="14" t="s">
        <v>37</v>
      </c>
      <c r="C315" s="14" t="s">
        <v>370</v>
      </c>
      <c r="D315" s="14" t="s">
        <v>399</v>
      </c>
      <c r="E315" s="14" t="s">
        <v>199</v>
      </c>
      <c r="F315" s="14" t="s">
        <v>143</v>
      </c>
      <c r="G315" s="14" t="s">
        <v>200</v>
      </c>
      <c r="H315" s="14" t="s">
        <v>144</v>
      </c>
      <c r="I315" s="14" t="b">
        <v>0</v>
      </c>
      <c r="J315" s="14">
        <v>27</v>
      </c>
      <c r="K315" s="14">
        <v>846.75</v>
      </c>
      <c r="L315" s="15">
        <v>12948800</v>
      </c>
      <c r="M315" s="15">
        <v>1.7730484151741571E+18</v>
      </c>
      <c r="N315" s="14" t="s">
        <v>400</v>
      </c>
      <c r="O315" s="14"/>
    </row>
    <row r="316" spans="1:15">
      <c r="A316" s="14"/>
      <c r="B316" s="14" t="s">
        <v>37</v>
      </c>
      <c r="C316" s="14" t="s">
        <v>370</v>
      </c>
      <c r="D316" s="14" t="s">
        <v>399</v>
      </c>
      <c r="E316" s="14" t="s">
        <v>199</v>
      </c>
      <c r="F316" s="14" t="s">
        <v>143</v>
      </c>
      <c r="G316" s="14" t="s">
        <v>200</v>
      </c>
      <c r="H316" s="14" t="s">
        <v>144</v>
      </c>
      <c r="I316" s="14" t="b">
        <v>0</v>
      </c>
      <c r="J316" s="14">
        <v>28</v>
      </c>
      <c r="K316" s="14">
        <v>846.9</v>
      </c>
      <c r="L316" s="15">
        <v>12949300</v>
      </c>
      <c r="M316" s="15">
        <v>1.7730484151741571E+18</v>
      </c>
      <c r="N316" s="14" t="s">
        <v>400</v>
      </c>
      <c r="O316" s="14"/>
    </row>
    <row r="317" spans="1:15">
      <c r="A317" s="14"/>
      <c r="B317" s="14" t="s">
        <v>37</v>
      </c>
      <c r="C317" s="14" t="s">
        <v>370</v>
      </c>
      <c r="D317" s="14" t="s">
        <v>399</v>
      </c>
      <c r="E317" s="14" t="s">
        <v>199</v>
      </c>
      <c r="F317" s="14" t="s">
        <v>143</v>
      </c>
      <c r="G317" s="14" t="s">
        <v>200</v>
      </c>
      <c r="H317" s="14" t="s">
        <v>144</v>
      </c>
      <c r="I317" s="14" t="b">
        <v>0</v>
      </c>
      <c r="J317" s="14">
        <v>6</v>
      </c>
      <c r="K317" s="14">
        <v>846.85</v>
      </c>
      <c r="L317" s="15">
        <v>12949000</v>
      </c>
      <c r="M317" s="15">
        <v>1.7730484151741571E+18</v>
      </c>
      <c r="N317" s="14" t="s">
        <v>400</v>
      </c>
      <c r="O317" s="14"/>
    </row>
    <row r="318" spans="1:15">
      <c r="A318" s="14"/>
      <c r="B318" s="14" t="s">
        <v>37</v>
      </c>
      <c r="C318" s="14" t="s">
        <v>370</v>
      </c>
      <c r="D318" s="14" t="s">
        <v>399</v>
      </c>
      <c r="E318" s="14" t="s">
        <v>199</v>
      </c>
      <c r="F318" s="14" t="s">
        <v>143</v>
      </c>
      <c r="G318" s="14" t="s">
        <v>200</v>
      </c>
      <c r="H318" s="14" t="s">
        <v>144</v>
      </c>
      <c r="I318" s="14" t="b">
        <v>0</v>
      </c>
      <c r="J318" s="14">
        <v>9</v>
      </c>
      <c r="K318" s="14">
        <v>847.35</v>
      </c>
      <c r="L318" s="15">
        <v>12949900</v>
      </c>
      <c r="M318" s="15">
        <v>1.7730484151741571E+18</v>
      </c>
      <c r="N318" s="14" t="s">
        <v>400</v>
      </c>
      <c r="O318" s="14"/>
    </row>
    <row r="319" spans="1:15">
      <c r="A319" s="14"/>
      <c r="B319" s="14" t="s">
        <v>401</v>
      </c>
      <c r="C319" s="14" t="s">
        <v>402</v>
      </c>
      <c r="D319" s="14" t="s">
        <v>399</v>
      </c>
      <c r="E319" s="14" t="s">
        <v>142</v>
      </c>
      <c r="F319" s="14" t="s">
        <v>143</v>
      </c>
      <c r="G319" s="14" t="s">
        <v>143</v>
      </c>
      <c r="H319" s="14" t="s">
        <v>144</v>
      </c>
      <c r="I319" s="14" t="b">
        <v>0</v>
      </c>
      <c r="J319" s="14">
        <v>92</v>
      </c>
      <c r="K319" s="14">
        <v>272.58999999999997</v>
      </c>
      <c r="L319" s="15">
        <v>408679913</v>
      </c>
      <c r="M319" s="15">
        <v>1200000090521780</v>
      </c>
      <c r="N319" s="14" t="s">
        <v>403</v>
      </c>
      <c r="O319" s="14"/>
    </row>
    <row r="320" spans="1:15">
      <c r="A320" s="14"/>
      <c r="B320" s="14" t="s">
        <v>39</v>
      </c>
      <c r="C320" s="14" t="s">
        <v>140</v>
      </c>
      <c r="D320" s="14" t="s">
        <v>399</v>
      </c>
      <c r="E320" s="14" t="s">
        <v>142</v>
      </c>
      <c r="F320" s="14" t="s">
        <v>143</v>
      </c>
      <c r="G320" s="14" t="s">
        <v>143</v>
      </c>
      <c r="H320" s="14" t="s">
        <v>144</v>
      </c>
      <c r="I320" s="14" t="b">
        <v>0</v>
      </c>
      <c r="J320" s="14">
        <v>12</v>
      </c>
      <c r="K320" s="14">
        <v>8230.5</v>
      </c>
      <c r="L320" s="15">
        <v>409007482</v>
      </c>
      <c r="M320" s="15">
        <v>1200000092616711</v>
      </c>
      <c r="N320" s="14" t="s">
        <v>404</v>
      </c>
      <c r="O320" s="14"/>
    </row>
    <row r="321" spans="1:15">
      <c r="A321" s="14"/>
      <c r="B321" s="14" t="s">
        <v>405</v>
      </c>
      <c r="C321" s="14" t="s">
        <v>406</v>
      </c>
      <c r="D321" s="14" t="s">
        <v>399</v>
      </c>
      <c r="E321" s="14" t="s">
        <v>142</v>
      </c>
      <c r="F321" s="14" t="s">
        <v>143</v>
      </c>
      <c r="G321" s="14" t="s">
        <v>143</v>
      </c>
      <c r="H321" s="14" t="s">
        <v>144</v>
      </c>
      <c r="I321" s="14" t="b">
        <v>0</v>
      </c>
      <c r="J321" s="14">
        <v>20</v>
      </c>
      <c r="K321" s="14">
        <v>1033.0999999999999</v>
      </c>
      <c r="L321" s="15">
        <v>8272775</v>
      </c>
      <c r="M321" s="15">
        <v>1000000076102617</v>
      </c>
      <c r="N321" s="14" t="s">
        <v>407</v>
      </c>
      <c r="O321" s="14"/>
    </row>
    <row r="322" spans="1:15">
      <c r="A322" s="14"/>
      <c r="B322" s="14" t="s">
        <v>405</v>
      </c>
      <c r="C322" s="14" t="s">
        <v>406</v>
      </c>
      <c r="D322" s="14" t="s">
        <v>399</v>
      </c>
      <c r="E322" s="14" t="s">
        <v>142</v>
      </c>
      <c r="F322" s="14" t="s">
        <v>143</v>
      </c>
      <c r="G322" s="14" t="s">
        <v>143</v>
      </c>
      <c r="H322" s="14" t="s">
        <v>144</v>
      </c>
      <c r="I322" s="14" t="b">
        <v>0</v>
      </c>
      <c r="J322" s="14">
        <v>2</v>
      </c>
      <c r="K322" s="14">
        <v>1033.0999999999999</v>
      </c>
      <c r="L322" s="15">
        <v>8272774</v>
      </c>
      <c r="M322" s="15">
        <v>1000000076102617</v>
      </c>
      <c r="N322" s="14" t="s">
        <v>407</v>
      </c>
      <c r="O322" s="14"/>
    </row>
    <row r="323" spans="1:15">
      <c r="A323" s="14"/>
      <c r="B323" s="14" t="s">
        <v>405</v>
      </c>
      <c r="C323" s="14" t="s">
        <v>406</v>
      </c>
      <c r="D323" s="14" t="s">
        <v>399</v>
      </c>
      <c r="E323" s="14" t="s">
        <v>142</v>
      </c>
      <c r="F323" s="14" t="s">
        <v>143</v>
      </c>
      <c r="G323" s="14" t="s">
        <v>143</v>
      </c>
      <c r="H323" s="14" t="s">
        <v>144</v>
      </c>
      <c r="I323" s="14" t="b">
        <v>0</v>
      </c>
      <c r="J323" s="14">
        <v>27</v>
      </c>
      <c r="K323" s="14">
        <v>1033.2</v>
      </c>
      <c r="L323" s="15">
        <v>8272776</v>
      </c>
      <c r="M323" s="15">
        <v>1000000076102617</v>
      </c>
      <c r="N323" s="14" t="s">
        <v>407</v>
      </c>
      <c r="O323" s="14"/>
    </row>
    <row r="324" spans="1:15">
      <c r="A324" s="14"/>
      <c r="B324" s="14" t="s">
        <v>408</v>
      </c>
      <c r="C324" s="14" t="s">
        <v>409</v>
      </c>
      <c r="D324" s="14" t="s">
        <v>399</v>
      </c>
      <c r="E324" s="14" t="s">
        <v>142</v>
      </c>
      <c r="F324" s="14" t="s">
        <v>143</v>
      </c>
      <c r="G324" s="14" t="s">
        <v>143</v>
      </c>
      <c r="H324" s="14" t="s">
        <v>144</v>
      </c>
      <c r="I324" s="14" t="b">
        <v>0</v>
      </c>
      <c r="J324" s="14">
        <v>1</v>
      </c>
      <c r="K324" s="14">
        <v>3775.7</v>
      </c>
      <c r="L324" s="15">
        <v>211697566</v>
      </c>
      <c r="M324" s="15">
        <v>1100000104870322</v>
      </c>
      <c r="N324" s="14" t="s">
        <v>410</v>
      </c>
      <c r="O324" s="14"/>
    </row>
    <row r="325" spans="1:15">
      <c r="A325" s="14"/>
      <c r="B325" s="14" t="s">
        <v>408</v>
      </c>
      <c r="C325" s="14" t="s">
        <v>409</v>
      </c>
      <c r="D325" s="14" t="s">
        <v>399</v>
      </c>
      <c r="E325" s="14" t="s">
        <v>142</v>
      </c>
      <c r="F325" s="14" t="s">
        <v>143</v>
      </c>
      <c r="G325" s="14" t="s">
        <v>143</v>
      </c>
      <c r="H325" s="14" t="s">
        <v>144</v>
      </c>
      <c r="I325" s="14" t="b">
        <v>0</v>
      </c>
      <c r="J325" s="14">
        <v>3</v>
      </c>
      <c r="K325" s="14">
        <v>3775.7</v>
      </c>
      <c r="L325" s="15">
        <v>211697563</v>
      </c>
      <c r="M325" s="15">
        <v>1100000104870322</v>
      </c>
      <c r="N325" s="14" t="s">
        <v>410</v>
      </c>
      <c r="O325" s="14"/>
    </row>
    <row r="326" spans="1:15">
      <c r="A326" s="14"/>
      <c r="B326" s="14" t="s">
        <v>408</v>
      </c>
      <c r="C326" s="14" t="s">
        <v>409</v>
      </c>
      <c r="D326" s="14" t="s">
        <v>399</v>
      </c>
      <c r="E326" s="14" t="s">
        <v>142</v>
      </c>
      <c r="F326" s="14" t="s">
        <v>143</v>
      </c>
      <c r="G326" s="14" t="s">
        <v>143</v>
      </c>
      <c r="H326" s="14" t="s">
        <v>144</v>
      </c>
      <c r="I326" s="14" t="b">
        <v>0</v>
      </c>
      <c r="J326" s="14">
        <v>4</v>
      </c>
      <c r="K326" s="14">
        <v>3775.7</v>
      </c>
      <c r="L326" s="15">
        <v>211697565</v>
      </c>
      <c r="M326" s="15">
        <v>1100000104870322</v>
      </c>
      <c r="N326" s="14" t="s">
        <v>410</v>
      </c>
      <c r="O326" s="14"/>
    </row>
    <row r="327" spans="1:15">
      <c r="A327" s="14"/>
      <c r="B327" s="14" t="s">
        <v>408</v>
      </c>
      <c r="C327" s="14" t="s">
        <v>409</v>
      </c>
      <c r="D327" s="14" t="s">
        <v>399</v>
      </c>
      <c r="E327" s="14" t="s">
        <v>142</v>
      </c>
      <c r="F327" s="14" t="s">
        <v>143</v>
      </c>
      <c r="G327" s="14" t="s">
        <v>143</v>
      </c>
      <c r="H327" s="14" t="s">
        <v>144</v>
      </c>
      <c r="I327" s="14" t="b">
        <v>0</v>
      </c>
      <c r="J327" s="14">
        <v>5</v>
      </c>
      <c r="K327" s="14">
        <v>3775.7</v>
      </c>
      <c r="L327" s="15">
        <v>211697564</v>
      </c>
      <c r="M327" s="15">
        <v>1100000104870322</v>
      </c>
      <c r="N327" s="14" t="s">
        <v>410</v>
      </c>
      <c r="O327" s="14"/>
    </row>
    <row r="328" spans="1:15">
      <c r="A328" s="14"/>
      <c r="B328" s="14" t="s">
        <v>76</v>
      </c>
      <c r="C328" s="14" t="s">
        <v>173</v>
      </c>
      <c r="D328" s="14" t="s">
        <v>192</v>
      </c>
      <c r="E328" s="14" t="s">
        <v>142</v>
      </c>
      <c r="F328" s="14" t="s">
        <v>143</v>
      </c>
      <c r="G328" s="14" t="s">
        <v>143</v>
      </c>
      <c r="H328" s="14" t="s">
        <v>193</v>
      </c>
      <c r="I328" s="14" t="b">
        <v>0</v>
      </c>
      <c r="J328" s="14">
        <v>4</v>
      </c>
      <c r="K328" s="14">
        <v>1477.1</v>
      </c>
      <c r="L328" s="15">
        <v>402016993</v>
      </c>
      <c r="M328" s="15">
        <v>1200000018561473</v>
      </c>
      <c r="N328" s="14" t="s">
        <v>196</v>
      </c>
      <c r="O328" s="14"/>
    </row>
    <row r="329" spans="1:15">
      <c r="A329" s="14"/>
      <c r="B329" s="14" t="s">
        <v>76</v>
      </c>
      <c r="C329" s="14" t="s">
        <v>173</v>
      </c>
      <c r="D329" s="14" t="s">
        <v>192</v>
      </c>
      <c r="E329" s="14" t="s">
        <v>142</v>
      </c>
      <c r="F329" s="14" t="s">
        <v>143</v>
      </c>
      <c r="G329" s="14" t="s">
        <v>143</v>
      </c>
      <c r="H329" s="14" t="s">
        <v>193</v>
      </c>
      <c r="I329" s="14" t="b">
        <v>0</v>
      </c>
      <c r="J329" s="14">
        <v>4</v>
      </c>
      <c r="K329" s="14">
        <v>1477.1</v>
      </c>
      <c r="L329" s="15">
        <v>402016995</v>
      </c>
      <c r="M329" s="15">
        <v>1200000018561473</v>
      </c>
      <c r="N329" s="14" t="s">
        <v>196</v>
      </c>
      <c r="O329" s="14"/>
    </row>
    <row r="330" spans="1:15">
      <c r="A330" s="14"/>
      <c r="B330" s="14" t="s">
        <v>330</v>
      </c>
      <c r="C330" s="14" t="s">
        <v>331</v>
      </c>
      <c r="D330" s="14" t="s">
        <v>411</v>
      </c>
      <c r="E330" s="14" t="s">
        <v>199</v>
      </c>
      <c r="F330" s="14" t="s">
        <v>143</v>
      </c>
      <c r="G330" s="14" t="s">
        <v>200</v>
      </c>
      <c r="H330" s="14" t="s">
        <v>193</v>
      </c>
      <c r="I330" s="14" t="b">
        <v>0</v>
      </c>
      <c r="J330" s="14">
        <v>368</v>
      </c>
      <c r="K330" s="14">
        <v>152.80000000000001</v>
      </c>
      <c r="L330" s="15">
        <v>1999700</v>
      </c>
      <c r="M330" s="15">
        <v>1.7738046000148769E+18</v>
      </c>
      <c r="N330" s="14" t="s">
        <v>412</v>
      </c>
      <c r="O330" s="14"/>
    </row>
    <row r="331" spans="1:15">
      <c r="A331" s="14"/>
      <c r="B331" s="14" t="s">
        <v>330</v>
      </c>
      <c r="C331" s="14" t="s">
        <v>331</v>
      </c>
      <c r="D331" s="14" t="s">
        <v>411</v>
      </c>
      <c r="E331" s="14" t="s">
        <v>199</v>
      </c>
      <c r="F331" s="14" t="s">
        <v>143</v>
      </c>
      <c r="G331" s="14" t="s">
        <v>200</v>
      </c>
      <c r="H331" s="14" t="s">
        <v>193</v>
      </c>
      <c r="I331" s="14" t="b">
        <v>0</v>
      </c>
      <c r="J331" s="14">
        <v>97</v>
      </c>
      <c r="K331" s="14">
        <v>152.85</v>
      </c>
      <c r="L331" s="15">
        <v>1999000</v>
      </c>
      <c r="M331" s="15">
        <v>1.7738046000148769E+18</v>
      </c>
      <c r="N331" s="14" t="s">
        <v>412</v>
      </c>
      <c r="O331" s="14"/>
    </row>
    <row r="332" spans="1:15">
      <c r="A332" s="14"/>
      <c r="B332" s="14" t="s">
        <v>37</v>
      </c>
      <c r="C332" s="14" t="s">
        <v>370</v>
      </c>
      <c r="D332" s="14" t="s">
        <v>413</v>
      </c>
      <c r="E332" s="14" t="s">
        <v>142</v>
      </c>
      <c r="F332" s="14" t="s">
        <v>143</v>
      </c>
      <c r="G332" s="14" t="s">
        <v>143</v>
      </c>
      <c r="H332" s="14" t="s">
        <v>144</v>
      </c>
      <c r="I332" s="14" t="b">
        <v>0</v>
      </c>
      <c r="J332" s="14">
        <v>12</v>
      </c>
      <c r="K332" s="14">
        <v>862.95</v>
      </c>
      <c r="L332" s="15">
        <v>606850025</v>
      </c>
      <c r="M332" s="15">
        <v>1300000087261603</v>
      </c>
      <c r="N332" s="14" t="s">
        <v>414</v>
      </c>
      <c r="O332" s="14"/>
    </row>
    <row r="333" spans="1:15">
      <c r="A333" s="14"/>
      <c r="B333" s="14" t="s">
        <v>37</v>
      </c>
      <c r="C333" s="14" t="s">
        <v>370</v>
      </c>
      <c r="D333" s="14" t="s">
        <v>413</v>
      </c>
      <c r="E333" s="14" t="s">
        <v>142</v>
      </c>
      <c r="F333" s="14" t="s">
        <v>143</v>
      </c>
      <c r="G333" s="14" t="s">
        <v>143</v>
      </c>
      <c r="H333" s="14" t="s">
        <v>144</v>
      </c>
      <c r="I333" s="14" t="b">
        <v>0</v>
      </c>
      <c r="J333" s="14">
        <v>2</v>
      </c>
      <c r="K333" s="14">
        <v>862.95</v>
      </c>
      <c r="L333" s="15">
        <v>606850024</v>
      </c>
      <c r="M333" s="15">
        <v>1300000087261603</v>
      </c>
      <c r="N333" s="14" t="s">
        <v>414</v>
      </c>
      <c r="O333" s="14"/>
    </row>
    <row r="334" spans="1:15">
      <c r="A334" s="14"/>
      <c r="B334" s="14" t="s">
        <v>37</v>
      </c>
      <c r="C334" s="14" t="s">
        <v>370</v>
      </c>
      <c r="D334" s="14" t="s">
        <v>413</v>
      </c>
      <c r="E334" s="14" t="s">
        <v>142</v>
      </c>
      <c r="F334" s="14" t="s">
        <v>143</v>
      </c>
      <c r="G334" s="14" t="s">
        <v>143</v>
      </c>
      <c r="H334" s="14" t="s">
        <v>144</v>
      </c>
      <c r="I334" s="14" t="b">
        <v>0</v>
      </c>
      <c r="J334" s="14">
        <v>26</v>
      </c>
      <c r="K334" s="14">
        <v>862.95</v>
      </c>
      <c r="L334" s="15">
        <v>606850023</v>
      </c>
      <c r="M334" s="15">
        <v>1300000087261603</v>
      </c>
      <c r="N334" s="14" t="s">
        <v>414</v>
      </c>
      <c r="O334" s="14"/>
    </row>
    <row r="335" spans="1:15">
      <c r="A335" s="14"/>
      <c r="B335" s="14" t="s">
        <v>37</v>
      </c>
      <c r="C335" s="14" t="s">
        <v>370</v>
      </c>
      <c r="D335" s="14" t="s">
        <v>413</v>
      </c>
      <c r="E335" s="14" t="s">
        <v>142</v>
      </c>
      <c r="F335" s="14" t="s">
        <v>143</v>
      </c>
      <c r="G335" s="14" t="s">
        <v>143</v>
      </c>
      <c r="H335" s="14" t="s">
        <v>144</v>
      </c>
      <c r="I335" s="14" t="b">
        <v>0</v>
      </c>
      <c r="J335" s="14">
        <v>9</v>
      </c>
      <c r="K335" s="14">
        <v>862.95</v>
      </c>
      <c r="L335" s="15">
        <v>606850022</v>
      </c>
      <c r="M335" s="15">
        <v>1300000087261603</v>
      </c>
      <c r="N335" s="14" t="s">
        <v>414</v>
      </c>
      <c r="O335" s="14"/>
    </row>
    <row r="336" spans="1:15">
      <c r="A336" s="14"/>
      <c r="B336" s="14" t="s">
        <v>37</v>
      </c>
      <c r="C336" s="14" t="s">
        <v>370</v>
      </c>
      <c r="D336" s="14" t="s">
        <v>413</v>
      </c>
      <c r="E336" s="14" t="s">
        <v>142</v>
      </c>
      <c r="F336" s="14" t="s">
        <v>143</v>
      </c>
      <c r="G336" s="14" t="s">
        <v>143</v>
      </c>
      <c r="H336" s="14" t="s">
        <v>144</v>
      </c>
      <c r="I336" s="14" t="b">
        <v>0</v>
      </c>
      <c r="J336" s="14">
        <v>9</v>
      </c>
      <c r="K336" s="14">
        <v>862.95</v>
      </c>
      <c r="L336" s="15">
        <v>606850026</v>
      </c>
      <c r="M336" s="15">
        <v>1300000087261603</v>
      </c>
      <c r="N336" s="14" t="s">
        <v>414</v>
      </c>
      <c r="O336" s="14"/>
    </row>
    <row r="337" spans="1:15">
      <c r="A337" s="14"/>
      <c r="B337" s="14" t="s">
        <v>149</v>
      </c>
      <c r="C337" s="14" t="s">
        <v>150</v>
      </c>
      <c r="D337" s="14" t="s">
        <v>413</v>
      </c>
      <c r="E337" s="14" t="s">
        <v>142</v>
      </c>
      <c r="F337" s="14" t="s">
        <v>143</v>
      </c>
      <c r="G337" s="14" t="s">
        <v>143</v>
      </c>
      <c r="H337" s="14" t="s">
        <v>193</v>
      </c>
      <c r="I337" s="14" t="b">
        <v>0</v>
      </c>
      <c r="J337" s="14">
        <v>3</v>
      </c>
      <c r="K337" s="14">
        <v>661.7</v>
      </c>
      <c r="L337" s="15">
        <v>209509049</v>
      </c>
      <c r="M337" s="15">
        <v>1100000108860545</v>
      </c>
      <c r="N337" s="14" t="s">
        <v>415</v>
      </c>
      <c r="O337" s="14"/>
    </row>
    <row r="338" spans="1:15">
      <c r="A338" s="14"/>
      <c r="B338" s="14" t="s">
        <v>149</v>
      </c>
      <c r="C338" s="14" t="s">
        <v>150</v>
      </c>
      <c r="D338" s="14" t="s">
        <v>413</v>
      </c>
      <c r="E338" s="14" t="s">
        <v>142</v>
      </c>
      <c r="F338" s="14" t="s">
        <v>143</v>
      </c>
      <c r="G338" s="14" t="s">
        <v>143</v>
      </c>
      <c r="H338" s="14" t="s">
        <v>193</v>
      </c>
      <c r="I338" s="14" t="b">
        <v>0</v>
      </c>
      <c r="J338" s="14">
        <v>10</v>
      </c>
      <c r="K338" s="14">
        <v>661.7</v>
      </c>
      <c r="L338" s="15">
        <v>209509052</v>
      </c>
      <c r="M338" s="15">
        <v>1100000108860545</v>
      </c>
      <c r="N338" s="14" t="s">
        <v>415</v>
      </c>
      <c r="O338" s="14"/>
    </row>
    <row r="339" spans="1:15">
      <c r="A339" s="14"/>
      <c r="B339" s="14" t="s">
        <v>149</v>
      </c>
      <c r="C339" s="14" t="s">
        <v>150</v>
      </c>
      <c r="D339" s="14" t="s">
        <v>413</v>
      </c>
      <c r="E339" s="14" t="s">
        <v>142</v>
      </c>
      <c r="F339" s="14" t="s">
        <v>143</v>
      </c>
      <c r="G339" s="14" t="s">
        <v>143</v>
      </c>
      <c r="H339" s="14" t="s">
        <v>193</v>
      </c>
      <c r="I339" s="14" t="b">
        <v>0</v>
      </c>
      <c r="J339" s="14">
        <v>11</v>
      </c>
      <c r="K339" s="14">
        <v>662</v>
      </c>
      <c r="L339" s="15">
        <v>209509041</v>
      </c>
      <c r="M339" s="15">
        <v>1100000108860545</v>
      </c>
      <c r="N339" s="14" t="s">
        <v>415</v>
      </c>
      <c r="O339" s="14"/>
    </row>
    <row r="340" spans="1:15">
      <c r="A340" s="14"/>
      <c r="B340" s="14" t="s">
        <v>149</v>
      </c>
      <c r="C340" s="14" t="s">
        <v>150</v>
      </c>
      <c r="D340" s="14" t="s">
        <v>413</v>
      </c>
      <c r="E340" s="14" t="s">
        <v>142</v>
      </c>
      <c r="F340" s="14" t="s">
        <v>143</v>
      </c>
      <c r="G340" s="14" t="s">
        <v>143</v>
      </c>
      <c r="H340" s="14" t="s">
        <v>193</v>
      </c>
      <c r="I340" s="14" t="b">
        <v>0</v>
      </c>
      <c r="J340" s="14">
        <v>1</v>
      </c>
      <c r="K340" s="14">
        <v>661.7</v>
      </c>
      <c r="L340" s="15">
        <v>209509053</v>
      </c>
      <c r="M340" s="15">
        <v>1100000108860545</v>
      </c>
      <c r="N340" s="14" t="s">
        <v>415</v>
      </c>
      <c r="O340" s="14"/>
    </row>
    <row r="341" spans="1:15">
      <c r="A341" s="14"/>
      <c r="B341" s="14" t="s">
        <v>149</v>
      </c>
      <c r="C341" s="14" t="s">
        <v>150</v>
      </c>
      <c r="D341" s="14" t="s">
        <v>413</v>
      </c>
      <c r="E341" s="14" t="s">
        <v>142</v>
      </c>
      <c r="F341" s="14" t="s">
        <v>143</v>
      </c>
      <c r="G341" s="14" t="s">
        <v>143</v>
      </c>
      <c r="H341" s="14" t="s">
        <v>193</v>
      </c>
      <c r="I341" s="14" t="b">
        <v>0</v>
      </c>
      <c r="J341" s="14">
        <v>1</v>
      </c>
      <c r="K341" s="14">
        <v>662.1</v>
      </c>
      <c r="L341" s="15">
        <v>209509040</v>
      </c>
      <c r="M341" s="15">
        <v>1100000108860545</v>
      </c>
      <c r="N341" s="14" t="s">
        <v>415</v>
      </c>
      <c r="O341" s="14"/>
    </row>
    <row r="342" spans="1:15">
      <c r="A342" s="14"/>
      <c r="B342" s="14" t="s">
        <v>149</v>
      </c>
      <c r="C342" s="14" t="s">
        <v>150</v>
      </c>
      <c r="D342" s="14" t="s">
        <v>413</v>
      </c>
      <c r="E342" s="14" t="s">
        <v>142</v>
      </c>
      <c r="F342" s="14" t="s">
        <v>143</v>
      </c>
      <c r="G342" s="14" t="s">
        <v>143</v>
      </c>
      <c r="H342" s="14" t="s">
        <v>193</v>
      </c>
      <c r="I342" s="14" t="b">
        <v>0</v>
      </c>
      <c r="J342" s="14">
        <v>21</v>
      </c>
      <c r="K342" s="14">
        <v>661.75</v>
      </c>
      <c r="L342" s="15">
        <v>209509047</v>
      </c>
      <c r="M342" s="15">
        <v>1100000108860545</v>
      </c>
      <c r="N342" s="14" t="s">
        <v>415</v>
      </c>
      <c r="O342" s="14"/>
    </row>
    <row r="343" spans="1:15">
      <c r="A343" s="14"/>
      <c r="B343" s="14" t="s">
        <v>149</v>
      </c>
      <c r="C343" s="14" t="s">
        <v>150</v>
      </c>
      <c r="D343" s="14" t="s">
        <v>413</v>
      </c>
      <c r="E343" s="14" t="s">
        <v>142</v>
      </c>
      <c r="F343" s="14" t="s">
        <v>143</v>
      </c>
      <c r="G343" s="14" t="s">
        <v>143</v>
      </c>
      <c r="H343" s="14" t="s">
        <v>193</v>
      </c>
      <c r="I343" s="14" t="b">
        <v>0</v>
      </c>
      <c r="J343" s="14">
        <v>22</v>
      </c>
      <c r="K343" s="14">
        <v>661.8</v>
      </c>
      <c r="L343" s="15">
        <v>209509043</v>
      </c>
      <c r="M343" s="15">
        <v>1100000108860545</v>
      </c>
      <c r="N343" s="14" t="s">
        <v>415</v>
      </c>
      <c r="O343" s="14"/>
    </row>
    <row r="344" spans="1:15">
      <c r="A344" s="14"/>
      <c r="B344" s="14" t="s">
        <v>149</v>
      </c>
      <c r="C344" s="14" t="s">
        <v>150</v>
      </c>
      <c r="D344" s="14" t="s">
        <v>413</v>
      </c>
      <c r="E344" s="14" t="s">
        <v>142</v>
      </c>
      <c r="F344" s="14" t="s">
        <v>143</v>
      </c>
      <c r="G344" s="14" t="s">
        <v>143</v>
      </c>
      <c r="H344" s="14" t="s">
        <v>193</v>
      </c>
      <c r="I344" s="14" t="b">
        <v>0</v>
      </c>
      <c r="J344" s="14">
        <v>10</v>
      </c>
      <c r="K344" s="14">
        <v>661.7</v>
      </c>
      <c r="L344" s="15">
        <v>209509050</v>
      </c>
      <c r="M344" s="15">
        <v>1100000108860545</v>
      </c>
      <c r="N344" s="14" t="s">
        <v>415</v>
      </c>
      <c r="O344" s="14"/>
    </row>
    <row r="345" spans="1:15">
      <c r="A345" s="14"/>
      <c r="B345" s="14" t="s">
        <v>149</v>
      </c>
      <c r="C345" s="14" t="s">
        <v>150</v>
      </c>
      <c r="D345" s="14" t="s">
        <v>413</v>
      </c>
      <c r="E345" s="14" t="s">
        <v>142</v>
      </c>
      <c r="F345" s="14" t="s">
        <v>143</v>
      </c>
      <c r="G345" s="14" t="s">
        <v>143</v>
      </c>
      <c r="H345" s="14" t="s">
        <v>193</v>
      </c>
      <c r="I345" s="14" t="b">
        <v>0</v>
      </c>
      <c r="J345" s="14">
        <v>3</v>
      </c>
      <c r="K345" s="14">
        <v>661.7</v>
      </c>
      <c r="L345" s="15">
        <v>209509051</v>
      </c>
      <c r="M345" s="15">
        <v>1100000108860545</v>
      </c>
      <c r="N345" s="14" t="s">
        <v>415</v>
      </c>
      <c r="O345" s="14"/>
    </row>
    <row r="346" spans="1:15">
      <c r="A346" s="14"/>
      <c r="B346" s="14" t="s">
        <v>149</v>
      </c>
      <c r="C346" s="14" t="s">
        <v>150</v>
      </c>
      <c r="D346" s="14" t="s">
        <v>413</v>
      </c>
      <c r="E346" s="14" t="s">
        <v>142</v>
      </c>
      <c r="F346" s="14" t="s">
        <v>143</v>
      </c>
      <c r="G346" s="14" t="s">
        <v>143</v>
      </c>
      <c r="H346" s="14" t="s">
        <v>193</v>
      </c>
      <c r="I346" s="14" t="b">
        <v>0</v>
      </c>
      <c r="J346" s="14">
        <v>3</v>
      </c>
      <c r="K346" s="14">
        <v>661.75</v>
      </c>
      <c r="L346" s="15">
        <v>209509045</v>
      </c>
      <c r="M346" s="15">
        <v>1100000108860545</v>
      </c>
      <c r="N346" s="14" t="s">
        <v>415</v>
      </c>
      <c r="O346" s="14"/>
    </row>
    <row r="347" spans="1:15">
      <c r="A347" s="14"/>
      <c r="B347" s="14" t="s">
        <v>149</v>
      </c>
      <c r="C347" s="14" t="s">
        <v>150</v>
      </c>
      <c r="D347" s="14" t="s">
        <v>413</v>
      </c>
      <c r="E347" s="14" t="s">
        <v>142</v>
      </c>
      <c r="F347" s="14" t="s">
        <v>143</v>
      </c>
      <c r="G347" s="14" t="s">
        <v>143</v>
      </c>
      <c r="H347" s="14" t="s">
        <v>193</v>
      </c>
      <c r="I347" s="14" t="b">
        <v>0</v>
      </c>
      <c r="J347" s="14">
        <v>60</v>
      </c>
      <c r="K347" s="14">
        <v>661.75</v>
      </c>
      <c r="L347" s="15">
        <v>209509046</v>
      </c>
      <c r="M347" s="15">
        <v>1100000108860545</v>
      </c>
      <c r="N347" s="14" t="s">
        <v>415</v>
      </c>
      <c r="O347" s="14"/>
    </row>
    <row r="348" spans="1:15">
      <c r="A348" s="14"/>
      <c r="B348" s="14" t="s">
        <v>149</v>
      </c>
      <c r="C348" s="14" t="s">
        <v>150</v>
      </c>
      <c r="D348" s="14" t="s">
        <v>413</v>
      </c>
      <c r="E348" s="14" t="s">
        <v>142</v>
      </c>
      <c r="F348" s="14" t="s">
        <v>143</v>
      </c>
      <c r="G348" s="14" t="s">
        <v>143</v>
      </c>
      <c r="H348" s="14" t="s">
        <v>193</v>
      </c>
      <c r="I348" s="14" t="b">
        <v>0</v>
      </c>
      <c r="J348" s="14">
        <v>64</v>
      </c>
      <c r="K348" s="14">
        <v>661.8</v>
      </c>
      <c r="L348" s="15">
        <v>209509044</v>
      </c>
      <c r="M348" s="15">
        <v>1100000108860545</v>
      </c>
      <c r="N348" s="14" t="s">
        <v>415</v>
      </c>
      <c r="O348" s="14"/>
    </row>
    <row r="349" spans="1:15">
      <c r="A349" s="14"/>
      <c r="B349" s="14" t="s">
        <v>149</v>
      </c>
      <c r="C349" s="14" t="s">
        <v>150</v>
      </c>
      <c r="D349" s="14" t="s">
        <v>413</v>
      </c>
      <c r="E349" s="14" t="s">
        <v>142</v>
      </c>
      <c r="F349" s="14" t="s">
        <v>143</v>
      </c>
      <c r="G349" s="14" t="s">
        <v>143</v>
      </c>
      <c r="H349" s="14" t="s">
        <v>193</v>
      </c>
      <c r="I349" s="14" t="b">
        <v>0</v>
      </c>
      <c r="J349" s="14">
        <v>8</v>
      </c>
      <c r="K349" s="14">
        <v>661.75</v>
      </c>
      <c r="L349" s="15">
        <v>209509048</v>
      </c>
      <c r="M349" s="15">
        <v>1100000108860545</v>
      </c>
      <c r="N349" s="14" t="s">
        <v>415</v>
      </c>
      <c r="O349" s="14"/>
    </row>
    <row r="350" spans="1:15">
      <c r="A350" s="14"/>
      <c r="B350" s="14" t="s">
        <v>149</v>
      </c>
      <c r="C350" s="14" t="s">
        <v>150</v>
      </c>
      <c r="D350" s="14" t="s">
        <v>413</v>
      </c>
      <c r="E350" s="14" t="s">
        <v>142</v>
      </c>
      <c r="F350" s="14" t="s">
        <v>143</v>
      </c>
      <c r="G350" s="14" t="s">
        <v>143</v>
      </c>
      <c r="H350" s="14" t="s">
        <v>193</v>
      </c>
      <c r="I350" s="14" t="b">
        <v>0</v>
      </c>
      <c r="J350" s="14">
        <v>9</v>
      </c>
      <c r="K350" s="14">
        <v>661.85</v>
      </c>
      <c r="L350" s="15">
        <v>209509042</v>
      </c>
      <c r="M350" s="15">
        <v>1100000108860545</v>
      </c>
      <c r="N350" s="14" t="s">
        <v>415</v>
      </c>
      <c r="O350" s="14"/>
    </row>
    <row r="351" spans="1:15">
      <c r="A351" s="14"/>
      <c r="B351" s="14" t="s">
        <v>408</v>
      </c>
      <c r="C351" s="14" t="s">
        <v>409</v>
      </c>
      <c r="D351" s="14" t="s">
        <v>413</v>
      </c>
      <c r="E351" s="14" t="s">
        <v>142</v>
      </c>
      <c r="F351" s="14" t="s">
        <v>143</v>
      </c>
      <c r="G351" s="14" t="s">
        <v>143</v>
      </c>
      <c r="H351" s="14" t="s">
        <v>144</v>
      </c>
      <c r="I351" s="14" t="b">
        <v>0</v>
      </c>
      <c r="J351" s="14">
        <v>14</v>
      </c>
      <c r="K351" s="14">
        <v>3676.8</v>
      </c>
      <c r="L351" s="15">
        <v>209534085</v>
      </c>
      <c r="M351" s="15">
        <v>1100000109127675</v>
      </c>
      <c r="N351" s="14" t="s">
        <v>416</v>
      </c>
      <c r="O351" s="14"/>
    </row>
    <row r="352" spans="1:15">
      <c r="A352" s="14"/>
      <c r="B352" s="14" t="s">
        <v>52</v>
      </c>
      <c r="C352" s="14" t="s">
        <v>367</v>
      </c>
      <c r="D352" s="14" t="s">
        <v>413</v>
      </c>
      <c r="E352" s="14" t="s">
        <v>142</v>
      </c>
      <c r="F352" s="14" t="s">
        <v>143</v>
      </c>
      <c r="G352" s="14" t="s">
        <v>143</v>
      </c>
      <c r="H352" s="14" t="s">
        <v>144</v>
      </c>
      <c r="I352" s="14" t="b">
        <v>0</v>
      </c>
      <c r="J352" s="14">
        <v>15</v>
      </c>
      <c r="K352" s="14">
        <v>1980.1</v>
      </c>
      <c r="L352" s="15">
        <v>5422345</v>
      </c>
      <c r="M352" s="15">
        <v>1000000073661560</v>
      </c>
      <c r="N352" s="14" t="s">
        <v>417</v>
      </c>
      <c r="O352" s="14"/>
    </row>
    <row r="353" spans="1:15">
      <c r="A353" s="14"/>
      <c r="B353" s="14" t="s">
        <v>52</v>
      </c>
      <c r="C353" s="14" t="s">
        <v>367</v>
      </c>
      <c r="D353" s="14" t="s">
        <v>413</v>
      </c>
      <c r="E353" s="14" t="s">
        <v>142</v>
      </c>
      <c r="F353" s="14" t="s">
        <v>143</v>
      </c>
      <c r="G353" s="14" t="s">
        <v>143</v>
      </c>
      <c r="H353" s="14" t="s">
        <v>144</v>
      </c>
      <c r="I353" s="14" t="b">
        <v>0</v>
      </c>
      <c r="J353" s="14">
        <v>31</v>
      </c>
      <c r="K353" s="14">
        <v>1980.1</v>
      </c>
      <c r="L353" s="15">
        <v>5422346</v>
      </c>
      <c r="M353" s="15">
        <v>1000000073661560</v>
      </c>
      <c r="N353" s="14" t="s">
        <v>417</v>
      </c>
      <c r="O353" s="14"/>
    </row>
    <row r="354" spans="1:15">
      <c r="A354" s="14"/>
      <c r="B354" s="14" t="s">
        <v>52</v>
      </c>
      <c r="C354" s="14" t="s">
        <v>367</v>
      </c>
      <c r="D354" s="14" t="s">
        <v>413</v>
      </c>
      <c r="E354" s="14" t="s">
        <v>142</v>
      </c>
      <c r="F354" s="14" t="s">
        <v>143</v>
      </c>
      <c r="G354" s="14" t="s">
        <v>143</v>
      </c>
      <c r="H354" s="14" t="s">
        <v>144</v>
      </c>
      <c r="I354" s="14" t="b">
        <v>0</v>
      </c>
      <c r="J354" s="14">
        <v>5</v>
      </c>
      <c r="K354" s="14">
        <v>1980.1</v>
      </c>
      <c r="L354" s="15">
        <v>5422347</v>
      </c>
      <c r="M354" s="15">
        <v>1000000073661560</v>
      </c>
      <c r="N354" s="14" t="s">
        <v>417</v>
      </c>
      <c r="O354" s="14"/>
    </row>
    <row r="355" spans="1:15">
      <c r="A355" s="14"/>
      <c r="B355" s="14" t="s">
        <v>418</v>
      </c>
      <c r="C355" s="14" t="s">
        <v>419</v>
      </c>
      <c r="D355" s="14" t="s">
        <v>413</v>
      </c>
      <c r="E355" s="14" t="s">
        <v>142</v>
      </c>
      <c r="F355" s="14" t="s">
        <v>143</v>
      </c>
      <c r="G355" s="14" t="s">
        <v>143</v>
      </c>
      <c r="H355" s="14" t="s">
        <v>144</v>
      </c>
      <c r="I355" s="14" t="b">
        <v>0</v>
      </c>
      <c r="J355" s="14">
        <v>1</v>
      </c>
      <c r="K355" s="14">
        <v>13020</v>
      </c>
      <c r="L355" s="15">
        <v>607146405</v>
      </c>
      <c r="M355" s="15">
        <v>1300000090848577</v>
      </c>
      <c r="N355" s="14" t="s">
        <v>420</v>
      </c>
      <c r="O355" s="14"/>
    </row>
    <row r="356" spans="1:15">
      <c r="A356" s="14"/>
      <c r="B356" s="14" t="s">
        <v>418</v>
      </c>
      <c r="C356" s="14" t="s">
        <v>419</v>
      </c>
      <c r="D356" s="14" t="s">
        <v>413</v>
      </c>
      <c r="E356" s="14" t="s">
        <v>142</v>
      </c>
      <c r="F356" s="14" t="s">
        <v>143</v>
      </c>
      <c r="G356" s="14" t="s">
        <v>143</v>
      </c>
      <c r="H356" s="14" t="s">
        <v>144</v>
      </c>
      <c r="I356" s="14" t="b">
        <v>0</v>
      </c>
      <c r="J356" s="14">
        <v>1</v>
      </c>
      <c r="K356" s="14">
        <v>13022</v>
      </c>
      <c r="L356" s="15">
        <v>607146406</v>
      </c>
      <c r="M356" s="15">
        <v>1300000090848577</v>
      </c>
      <c r="N356" s="14" t="s">
        <v>420</v>
      </c>
      <c r="O356" s="14"/>
    </row>
    <row r="357" spans="1:15">
      <c r="A357" s="14"/>
      <c r="B357" s="14" t="s">
        <v>352</v>
      </c>
      <c r="C357" s="14" t="s">
        <v>353</v>
      </c>
      <c r="D357" s="14" t="s">
        <v>413</v>
      </c>
      <c r="E357" s="14" t="s">
        <v>142</v>
      </c>
      <c r="F357" s="14" t="s">
        <v>143</v>
      </c>
      <c r="G357" s="14" t="s">
        <v>143</v>
      </c>
      <c r="H357" s="14" t="s">
        <v>144</v>
      </c>
      <c r="I357" s="14" t="b">
        <v>0</v>
      </c>
      <c r="J357" s="14">
        <v>8</v>
      </c>
      <c r="K357" s="14">
        <v>1378.7</v>
      </c>
      <c r="L357" s="15">
        <v>608752169</v>
      </c>
      <c r="M357" s="15">
        <v>1300000102008239</v>
      </c>
      <c r="N357" s="14" t="s">
        <v>421</v>
      </c>
      <c r="O357" s="14"/>
    </row>
    <row r="358" spans="1:15">
      <c r="A358" s="14"/>
      <c r="B358" s="14" t="s">
        <v>422</v>
      </c>
      <c r="C358" s="14" t="s">
        <v>423</v>
      </c>
      <c r="D358" s="14" t="s">
        <v>424</v>
      </c>
      <c r="E358" s="14" t="s">
        <v>142</v>
      </c>
      <c r="F358" s="14" t="s">
        <v>143</v>
      </c>
      <c r="G358" s="14" t="s">
        <v>143</v>
      </c>
      <c r="H358" s="14" t="s">
        <v>144</v>
      </c>
      <c r="I358" s="14" t="b">
        <v>0</v>
      </c>
      <c r="J358" s="14">
        <v>19</v>
      </c>
      <c r="K358" s="14">
        <v>2683</v>
      </c>
      <c r="L358" s="15">
        <v>406774172</v>
      </c>
      <c r="M358" s="15">
        <v>1200000087322430</v>
      </c>
      <c r="N358" s="14" t="s">
        <v>425</v>
      </c>
      <c r="O358" s="14"/>
    </row>
    <row r="359" spans="1:15">
      <c r="A359" s="14"/>
      <c r="B359" s="14" t="s">
        <v>110</v>
      </c>
      <c r="C359" s="14" t="s">
        <v>426</v>
      </c>
      <c r="D359" s="14" t="s">
        <v>424</v>
      </c>
      <c r="E359" s="14" t="s">
        <v>142</v>
      </c>
      <c r="F359" s="14" t="s">
        <v>143</v>
      </c>
      <c r="G359" s="14" t="s">
        <v>143</v>
      </c>
      <c r="H359" s="14" t="s">
        <v>144</v>
      </c>
      <c r="I359" s="14" t="b">
        <v>0</v>
      </c>
      <c r="J359" s="14">
        <v>44</v>
      </c>
      <c r="K359" s="14">
        <v>1141.55</v>
      </c>
      <c r="L359" s="15">
        <v>6545076</v>
      </c>
      <c r="M359" s="15">
        <v>1000000074468622</v>
      </c>
      <c r="N359" s="14" t="s">
        <v>427</v>
      </c>
      <c r="O359" s="14"/>
    </row>
    <row r="360" spans="1:15">
      <c r="A360" s="14"/>
      <c r="B360" s="14" t="s">
        <v>248</v>
      </c>
      <c r="C360" s="14" t="s">
        <v>249</v>
      </c>
      <c r="D360" s="14" t="s">
        <v>428</v>
      </c>
      <c r="E360" s="14" t="s">
        <v>142</v>
      </c>
      <c r="F360" s="14" t="s">
        <v>143</v>
      </c>
      <c r="G360" s="14" t="s">
        <v>143</v>
      </c>
      <c r="H360" s="14" t="s">
        <v>193</v>
      </c>
      <c r="I360" s="14" t="b">
        <v>0</v>
      </c>
      <c r="J360" s="14">
        <v>6</v>
      </c>
      <c r="K360" s="14">
        <v>301.64999999999998</v>
      </c>
      <c r="L360" s="15">
        <v>8430924</v>
      </c>
      <c r="M360" s="15">
        <v>1000000084813264</v>
      </c>
      <c r="N360" s="14" t="s">
        <v>429</v>
      </c>
      <c r="O360" s="14"/>
    </row>
    <row r="361" spans="1:15">
      <c r="A361" s="14"/>
      <c r="B361" s="14" t="s">
        <v>248</v>
      </c>
      <c r="C361" s="14" t="s">
        <v>249</v>
      </c>
      <c r="D361" s="14" t="s">
        <v>428</v>
      </c>
      <c r="E361" s="14" t="s">
        <v>142</v>
      </c>
      <c r="F361" s="14" t="s">
        <v>143</v>
      </c>
      <c r="G361" s="14" t="s">
        <v>143</v>
      </c>
      <c r="H361" s="14" t="s">
        <v>193</v>
      </c>
      <c r="I361" s="14" t="b">
        <v>0</v>
      </c>
      <c r="J361" s="14">
        <v>76</v>
      </c>
      <c r="K361" s="14">
        <v>301.64999999999998</v>
      </c>
      <c r="L361" s="15">
        <v>8430923</v>
      </c>
      <c r="M361" s="15">
        <v>1000000084813264</v>
      </c>
      <c r="N361" s="14" t="s">
        <v>429</v>
      </c>
      <c r="O361" s="14"/>
    </row>
    <row r="362" spans="1:15">
      <c r="A362" s="14"/>
      <c r="B362" s="14" t="s">
        <v>396</v>
      </c>
      <c r="C362" s="14" t="s">
        <v>397</v>
      </c>
      <c r="D362" s="14" t="s">
        <v>428</v>
      </c>
      <c r="E362" s="14" t="s">
        <v>199</v>
      </c>
      <c r="F362" s="14" t="s">
        <v>143</v>
      </c>
      <c r="G362" s="14" t="s">
        <v>200</v>
      </c>
      <c r="H362" s="14" t="s">
        <v>193</v>
      </c>
      <c r="I362" s="14" t="b">
        <v>0</v>
      </c>
      <c r="J362" s="14">
        <v>23</v>
      </c>
      <c r="K362" s="14">
        <v>159.5</v>
      </c>
      <c r="L362" s="15">
        <v>5853700</v>
      </c>
      <c r="M362" s="15">
        <v>1.777882835281353E+18</v>
      </c>
      <c r="N362" s="14" t="s">
        <v>430</v>
      </c>
      <c r="O362" s="14"/>
    </row>
    <row r="363" spans="1:15">
      <c r="A363" s="14"/>
      <c r="B363" s="14" t="s">
        <v>396</v>
      </c>
      <c r="C363" s="14" t="s">
        <v>397</v>
      </c>
      <c r="D363" s="14" t="s">
        <v>428</v>
      </c>
      <c r="E363" s="14" t="s">
        <v>199</v>
      </c>
      <c r="F363" s="14" t="s">
        <v>143</v>
      </c>
      <c r="G363" s="14" t="s">
        <v>200</v>
      </c>
      <c r="H363" s="14" t="s">
        <v>193</v>
      </c>
      <c r="I363" s="14" t="b">
        <v>0</v>
      </c>
      <c r="J363" s="14">
        <v>98</v>
      </c>
      <c r="K363" s="14">
        <v>159.44999999999999</v>
      </c>
      <c r="L363" s="15">
        <v>5854000</v>
      </c>
      <c r="M363" s="15">
        <v>1.777882835281353E+18</v>
      </c>
      <c r="N363" s="14" t="s">
        <v>430</v>
      </c>
      <c r="O363" s="14"/>
    </row>
    <row r="364" spans="1:15">
      <c r="A364" s="14"/>
      <c r="B364" s="14" t="s">
        <v>50</v>
      </c>
      <c r="C364" s="14" t="s">
        <v>431</v>
      </c>
      <c r="D364" s="14" t="s">
        <v>428</v>
      </c>
      <c r="E364" s="14" t="s">
        <v>142</v>
      </c>
      <c r="F364" s="14" t="s">
        <v>143</v>
      </c>
      <c r="G364" s="14" t="s">
        <v>143</v>
      </c>
      <c r="H364" s="14" t="s">
        <v>144</v>
      </c>
      <c r="I364" s="14" t="b">
        <v>0</v>
      </c>
      <c r="J364" s="14">
        <v>17</v>
      </c>
      <c r="K364" s="14">
        <v>1375</v>
      </c>
      <c r="L364" s="15">
        <v>408376134</v>
      </c>
      <c r="M364" s="15">
        <v>1200000088766497</v>
      </c>
      <c r="N364" s="14" t="s">
        <v>432</v>
      </c>
      <c r="O364" s="14"/>
    </row>
    <row r="365" spans="1:15">
      <c r="A365" s="14"/>
      <c r="B365" s="14" t="s">
        <v>50</v>
      </c>
      <c r="C365" s="14" t="s">
        <v>431</v>
      </c>
      <c r="D365" s="14" t="s">
        <v>428</v>
      </c>
      <c r="E365" s="14" t="s">
        <v>142</v>
      </c>
      <c r="F365" s="14" t="s">
        <v>143</v>
      </c>
      <c r="G365" s="14" t="s">
        <v>143</v>
      </c>
      <c r="H365" s="14" t="s">
        <v>144</v>
      </c>
      <c r="I365" s="14" t="b">
        <v>0</v>
      </c>
      <c r="J365" s="14">
        <v>37</v>
      </c>
      <c r="K365" s="14">
        <v>1375</v>
      </c>
      <c r="L365" s="15">
        <v>408376133</v>
      </c>
      <c r="M365" s="15">
        <v>1200000088766497</v>
      </c>
      <c r="N365" s="14" t="s">
        <v>432</v>
      </c>
      <c r="O365" s="14"/>
    </row>
    <row r="366" spans="1:15">
      <c r="A366" s="14"/>
      <c r="B366" s="14" t="s">
        <v>109</v>
      </c>
      <c r="C366" s="14" t="s">
        <v>433</v>
      </c>
      <c r="D366" s="14" t="s">
        <v>428</v>
      </c>
      <c r="E366" s="14" t="s">
        <v>142</v>
      </c>
      <c r="F366" s="14" t="s">
        <v>143</v>
      </c>
      <c r="G366" s="14" t="s">
        <v>143</v>
      </c>
      <c r="H366" s="14" t="s">
        <v>144</v>
      </c>
      <c r="I366" s="14" t="b">
        <v>0</v>
      </c>
      <c r="J366" s="14">
        <v>3</v>
      </c>
      <c r="K366" s="14">
        <v>293.85000000000002</v>
      </c>
      <c r="L366" s="15">
        <v>8522751</v>
      </c>
      <c r="M366" s="15">
        <v>1000000085710219</v>
      </c>
      <c r="N366" s="14" t="s">
        <v>434</v>
      </c>
      <c r="O366" s="14"/>
    </row>
    <row r="367" spans="1:15">
      <c r="A367" s="14"/>
      <c r="B367" s="14" t="s">
        <v>109</v>
      </c>
      <c r="C367" s="14" t="s">
        <v>433</v>
      </c>
      <c r="D367" s="14" t="s">
        <v>428</v>
      </c>
      <c r="E367" s="14" t="s">
        <v>142</v>
      </c>
      <c r="F367" s="14" t="s">
        <v>143</v>
      </c>
      <c r="G367" s="14" t="s">
        <v>143</v>
      </c>
      <c r="H367" s="14" t="s">
        <v>144</v>
      </c>
      <c r="I367" s="14" t="b">
        <v>0</v>
      </c>
      <c r="J367" s="14">
        <v>72</v>
      </c>
      <c r="K367" s="14">
        <v>293.85000000000002</v>
      </c>
      <c r="L367" s="15">
        <v>8522752</v>
      </c>
      <c r="M367" s="15">
        <v>1000000085710219</v>
      </c>
      <c r="N367" s="14" t="s">
        <v>434</v>
      </c>
      <c r="O367" s="14"/>
    </row>
    <row r="368" spans="1:15">
      <c r="A368" s="14"/>
      <c r="B368" s="14" t="s">
        <v>109</v>
      </c>
      <c r="C368" s="14" t="s">
        <v>433</v>
      </c>
      <c r="D368" s="14" t="s">
        <v>428</v>
      </c>
      <c r="E368" s="14" t="s">
        <v>142</v>
      </c>
      <c r="F368" s="14" t="s">
        <v>143</v>
      </c>
      <c r="G368" s="14" t="s">
        <v>143</v>
      </c>
      <c r="H368" s="14" t="s">
        <v>144</v>
      </c>
      <c r="I368" s="14" t="b">
        <v>0</v>
      </c>
      <c r="J368" s="14">
        <v>96</v>
      </c>
      <c r="K368" s="14">
        <v>293.85000000000002</v>
      </c>
      <c r="L368" s="15">
        <v>8522750</v>
      </c>
      <c r="M368" s="15">
        <v>1000000085710219</v>
      </c>
      <c r="N368" s="14" t="s">
        <v>434</v>
      </c>
      <c r="O368" s="14"/>
    </row>
    <row r="369" spans="1:15">
      <c r="A369" s="14"/>
      <c r="B369" s="14" t="s">
        <v>435</v>
      </c>
      <c r="C369" s="14" t="s">
        <v>436</v>
      </c>
      <c r="D369" s="14" t="s">
        <v>437</v>
      </c>
      <c r="E369" s="14" t="s">
        <v>142</v>
      </c>
      <c r="F369" s="14" t="s">
        <v>143</v>
      </c>
      <c r="G369" s="14" t="s">
        <v>143</v>
      </c>
      <c r="H369" s="14" t="s">
        <v>144</v>
      </c>
      <c r="I369" s="14" t="b">
        <v>0</v>
      </c>
      <c r="J369" s="14">
        <v>10</v>
      </c>
      <c r="K369" s="14">
        <v>10033</v>
      </c>
      <c r="L369" s="15">
        <v>607637537</v>
      </c>
      <c r="M369" s="15">
        <v>1300000082781863</v>
      </c>
      <c r="N369" s="14" t="s">
        <v>438</v>
      </c>
      <c r="O369" s="14"/>
    </row>
    <row r="370" spans="1:15">
      <c r="A370" s="14"/>
      <c r="B370" s="14" t="s">
        <v>435</v>
      </c>
      <c r="C370" s="14" t="s">
        <v>436</v>
      </c>
      <c r="D370" s="14" t="s">
        <v>439</v>
      </c>
      <c r="E370" s="14" t="s">
        <v>142</v>
      </c>
      <c r="F370" s="14" t="s">
        <v>143</v>
      </c>
      <c r="G370" s="14" t="s">
        <v>143</v>
      </c>
      <c r="H370" s="14" t="s">
        <v>193</v>
      </c>
      <c r="I370" s="14" t="b">
        <v>0</v>
      </c>
      <c r="J370" s="14">
        <v>10</v>
      </c>
      <c r="K370" s="14">
        <v>9901</v>
      </c>
      <c r="L370" s="15">
        <v>600356889</v>
      </c>
      <c r="M370" s="15">
        <v>1300000002487452</v>
      </c>
      <c r="N370" s="14" t="s">
        <v>440</v>
      </c>
      <c r="O370" s="14"/>
    </row>
    <row r="371" spans="1:15">
      <c r="A371" s="14"/>
      <c r="B371" s="14" t="s">
        <v>170</v>
      </c>
      <c r="C371" s="14" t="s">
        <v>171</v>
      </c>
      <c r="D371" s="14" t="s">
        <v>439</v>
      </c>
      <c r="E371" s="14" t="s">
        <v>142</v>
      </c>
      <c r="F371" s="14" t="s">
        <v>143</v>
      </c>
      <c r="G371" s="14" t="s">
        <v>143</v>
      </c>
      <c r="H371" s="14" t="s">
        <v>193</v>
      </c>
      <c r="I371" s="14" t="b">
        <v>0</v>
      </c>
      <c r="J371" s="14">
        <v>71</v>
      </c>
      <c r="K371" s="14">
        <v>1091.8</v>
      </c>
      <c r="L371" s="15">
        <v>601225185</v>
      </c>
      <c r="M371" s="15">
        <v>1300000010227980</v>
      </c>
      <c r="N371" s="14" t="s">
        <v>441</v>
      </c>
      <c r="O371" s="14"/>
    </row>
    <row r="372" spans="1:15">
      <c r="A372" s="14"/>
      <c r="B372" s="14" t="s">
        <v>37</v>
      </c>
      <c r="C372" s="14" t="s">
        <v>370</v>
      </c>
      <c r="D372" s="14" t="s">
        <v>439</v>
      </c>
      <c r="E372" s="14" t="s">
        <v>199</v>
      </c>
      <c r="F372" s="14" t="s">
        <v>143</v>
      </c>
      <c r="G372" s="14" t="s">
        <v>200</v>
      </c>
      <c r="H372" s="14" t="s">
        <v>144</v>
      </c>
      <c r="I372" s="14" t="b">
        <v>0</v>
      </c>
      <c r="J372" s="14">
        <v>1</v>
      </c>
      <c r="K372" s="14">
        <v>1159.9000000000001</v>
      </c>
      <c r="L372" s="15">
        <v>2757900</v>
      </c>
      <c r="M372" s="15">
        <v>1.7780382000158469E+18</v>
      </c>
      <c r="N372" s="14" t="s">
        <v>442</v>
      </c>
      <c r="O372" s="14"/>
    </row>
    <row r="373" spans="1:15">
      <c r="A373" s="14"/>
      <c r="B373" s="14" t="s">
        <v>37</v>
      </c>
      <c r="C373" s="14" t="s">
        <v>370</v>
      </c>
      <c r="D373" s="14" t="s">
        <v>439</v>
      </c>
      <c r="E373" s="14" t="s">
        <v>199</v>
      </c>
      <c r="F373" s="14" t="s">
        <v>143</v>
      </c>
      <c r="G373" s="14" t="s">
        <v>200</v>
      </c>
      <c r="H373" s="14" t="s">
        <v>144</v>
      </c>
      <c r="I373" s="14" t="b">
        <v>0</v>
      </c>
      <c r="J373" s="14">
        <v>12</v>
      </c>
      <c r="K373" s="14">
        <v>1160</v>
      </c>
      <c r="L373" s="15">
        <v>2758100</v>
      </c>
      <c r="M373" s="15">
        <v>1.7780382000158469E+18</v>
      </c>
      <c r="N373" s="14" t="s">
        <v>442</v>
      </c>
      <c r="O373" s="14"/>
    </row>
    <row r="374" spans="1:15">
      <c r="A374" s="14"/>
      <c r="B374" s="14" t="s">
        <v>37</v>
      </c>
      <c r="C374" s="14" t="s">
        <v>370</v>
      </c>
      <c r="D374" s="14" t="s">
        <v>439</v>
      </c>
      <c r="E374" s="14" t="s">
        <v>199</v>
      </c>
      <c r="F374" s="14" t="s">
        <v>143</v>
      </c>
      <c r="G374" s="14" t="s">
        <v>200</v>
      </c>
      <c r="H374" s="14" t="s">
        <v>144</v>
      </c>
      <c r="I374" s="14" t="b">
        <v>0</v>
      </c>
      <c r="J374" s="14">
        <v>3</v>
      </c>
      <c r="K374" s="14">
        <v>1159.6500000000001</v>
      </c>
      <c r="L374" s="15">
        <v>2757400</v>
      </c>
      <c r="M374" s="15">
        <v>1.7780382000158469E+18</v>
      </c>
      <c r="N374" s="14" t="s">
        <v>442</v>
      </c>
      <c r="O374" s="14"/>
    </row>
    <row r="375" spans="1:15">
      <c r="A375" s="14"/>
      <c r="B375" s="14" t="s">
        <v>37</v>
      </c>
      <c r="C375" s="14" t="s">
        <v>370</v>
      </c>
      <c r="D375" s="14" t="s">
        <v>439</v>
      </c>
      <c r="E375" s="14" t="s">
        <v>199</v>
      </c>
      <c r="F375" s="14" t="s">
        <v>143</v>
      </c>
      <c r="G375" s="14" t="s">
        <v>200</v>
      </c>
      <c r="H375" s="14" t="s">
        <v>144</v>
      </c>
      <c r="I375" s="14" t="b">
        <v>0</v>
      </c>
      <c r="J375" s="14">
        <v>49</v>
      </c>
      <c r="K375" s="14">
        <v>1159.7</v>
      </c>
      <c r="L375" s="15">
        <v>2757700</v>
      </c>
      <c r="M375" s="15">
        <v>1.7780382000158469E+18</v>
      </c>
      <c r="N375" s="14" t="s">
        <v>442</v>
      </c>
      <c r="O375" s="14"/>
    </row>
    <row r="376" spans="1:15">
      <c r="A376" s="14"/>
      <c r="B376" s="14" t="s">
        <v>333</v>
      </c>
      <c r="C376" s="14" t="s">
        <v>334</v>
      </c>
      <c r="D376" s="14" t="s">
        <v>443</v>
      </c>
      <c r="E376" s="14" t="s">
        <v>199</v>
      </c>
      <c r="F376" s="14" t="s">
        <v>143</v>
      </c>
      <c r="G376" s="14" t="s">
        <v>200</v>
      </c>
      <c r="H376" s="14" t="s">
        <v>144</v>
      </c>
      <c r="I376" s="14" t="b">
        <v>0</v>
      </c>
      <c r="J376" s="14">
        <v>204</v>
      </c>
      <c r="K376" s="14">
        <v>84.04</v>
      </c>
      <c r="L376" s="15">
        <v>16785300</v>
      </c>
      <c r="M376" s="15">
        <v>1.7782300901514481E+18</v>
      </c>
      <c r="N376" s="14" t="s">
        <v>444</v>
      </c>
      <c r="O376" s="14"/>
    </row>
    <row r="377" spans="1:15">
      <c r="A377" s="14"/>
      <c r="B377" s="14" t="s">
        <v>333</v>
      </c>
      <c r="C377" s="14" t="s">
        <v>334</v>
      </c>
      <c r="D377" s="14" t="s">
        <v>443</v>
      </c>
      <c r="E377" s="14" t="s">
        <v>199</v>
      </c>
      <c r="F377" s="14" t="s">
        <v>143</v>
      </c>
      <c r="G377" s="14" t="s">
        <v>200</v>
      </c>
      <c r="H377" s="14" t="s">
        <v>144</v>
      </c>
      <c r="I377" s="14" t="b">
        <v>0</v>
      </c>
      <c r="J377" s="14">
        <v>391</v>
      </c>
      <c r="K377" s="14">
        <v>84.05</v>
      </c>
      <c r="L377" s="15">
        <v>16785600</v>
      </c>
      <c r="M377" s="15">
        <v>1.7782300901514481E+18</v>
      </c>
      <c r="N377" s="14" t="s">
        <v>444</v>
      </c>
      <c r="O377" s="14"/>
    </row>
    <row r="378" spans="1:15">
      <c r="A378" s="14"/>
      <c r="B378" s="14" t="s">
        <v>86</v>
      </c>
      <c r="C378" s="14" t="s">
        <v>175</v>
      </c>
      <c r="D378" s="14" t="s">
        <v>443</v>
      </c>
      <c r="E378" s="14" t="s">
        <v>142</v>
      </c>
      <c r="F378" s="14" t="s">
        <v>143</v>
      </c>
      <c r="G378" s="14" t="s">
        <v>143</v>
      </c>
      <c r="H378" s="14" t="s">
        <v>144</v>
      </c>
      <c r="I378" s="14" t="b">
        <v>0</v>
      </c>
      <c r="J378" s="14">
        <v>17</v>
      </c>
      <c r="K378" s="14">
        <v>870.95</v>
      </c>
      <c r="L378" s="15">
        <v>7993096</v>
      </c>
      <c r="M378" s="15">
        <v>1000000080642240</v>
      </c>
      <c r="N378" s="14" t="s">
        <v>445</v>
      </c>
      <c r="O378" s="14"/>
    </row>
    <row r="379" spans="1:15">
      <c r="A379" s="14"/>
      <c r="B379" s="14" t="s">
        <v>86</v>
      </c>
      <c r="C379" s="14" t="s">
        <v>175</v>
      </c>
      <c r="D379" s="14" t="s">
        <v>443</v>
      </c>
      <c r="E379" s="14" t="s">
        <v>142</v>
      </c>
      <c r="F379" s="14" t="s">
        <v>143</v>
      </c>
      <c r="G379" s="14" t="s">
        <v>143</v>
      </c>
      <c r="H379" s="14" t="s">
        <v>144</v>
      </c>
      <c r="I379" s="14" t="b">
        <v>0</v>
      </c>
      <c r="J379" s="14">
        <v>18</v>
      </c>
      <c r="K379" s="14">
        <v>870.95</v>
      </c>
      <c r="L379" s="15">
        <v>7993097</v>
      </c>
      <c r="M379" s="15">
        <v>1000000080642240</v>
      </c>
      <c r="N379" s="14" t="s">
        <v>445</v>
      </c>
      <c r="O379" s="14"/>
    </row>
    <row r="380" spans="1:15">
      <c r="A380" s="14"/>
      <c r="B380" s="14" t="s">
        <v>86</v>
      </c>
      <c r="C380" s="14" t="s">
        <v>175</v>
      </c>
      <c r="D380" s="14" t="s">
        <v>443</v>
      </c>
      <c r="E380" s="14" t="s">
        <v>142</v>
      </c>
      <c r="F380" s="14" t="s">
        <v>143</v>
      </c>
      <c r="G380" s="14" t="s">
        <v>143</v>
      </c>
      <c r="H380" s="14" t="s">
        <v>144</v>
      </c>
      <c r="I380" s="14" t="b">
        <v>0</v>
      </c>
      <c r="J380" s="14">
        <v>22</v>
      </c>
      <c r="K380" s="14">
        <v>870.95</v>
      </c>
      <c r="L380" s="15">
        <v>7993098</v>
      </c>
      <c r="M380" s="15">
        <v>1000000080642240</v>
      </c>
      <c r="N380" s="14" t="s">
        <v>445</v>
      </c>
      <c r="O380" s="14"/>
    </row>
    <row r="381" spans="1:15">
      <c r="A381" s="14"/>
      <c r="B381" s="14" t="s">
        <v>333</v>
      </c>
      <c r="C381" s="14" t="s">
        <v>334</v>
      </c>
      <c r="D381" s="14" t="s">
        <v>443</v>
      </c>
      <c r="E381" s="14" t="s">
        <v>199</v>
      </c>
      <c r="F381" s="14" t="s">
        <v>143</v>
      </c>
      <c r="G381" s="14" t="s">
        <v>200</v>
      </c>
      <c r="H381" s="14" t="s">
        <v>193</v>
      </c>
      <c r="I381" s="14" t="b">
        <v>0</v>
      </c>
      <c r="J381" s="14">
        <v>535</v>
      </c>
      <c r="K381" s="14">
        <v>83.95</v>
      </c>
      <c r="L381" s="15">
        <v>16855200</v>
      </c>
      <c r="M381" s="15">
        <v>1.7782300901514501E+18</v>
      </c>
      <c r="N381" s="14" t="s">
        <v>446</v>
      </c>
      <c r="O381" s="14"/>
    </row>
    <row r="382" spans="1:15">
      <c r="A382" s="14"/>
      <c r="B382" s="14" t="s">
        <v>333</v>
      </c>
      <c r="C382" s="14" t="s">
        <v>334</v>
      </c>
      <c r="D382" s="14" t="s">
        <v>443</v>
      </c>
      <c r="E382" s="14" t="s">
        <v>199</v>
      </c>
      <c r="F382" s="14" t="s">
        <v>143</v>
      </c>
      <c r="G382" s="14" t="s">
        <v>200</v>
      </c>
      <c r="H382" s="14" t="s">
        <v>193</v>
      </c>
      <c r="I382" s="14" t="b">
        <v>0</v>
      </c>
      <c r="J382" s="14">
        <v>60</v>
      </c>
      <c r="K382" s="14">
        <v>83.96</v>
      </c>
      <c r="L382" s="15">
        <v>16854900</v>
      </c>
      <c r="M382" s="15">
        <v>1.7782300901514501E+18</v>
      </c>
      <c r="N382" s="14" t="s">
        <v>446</v>
      </c>
      <c r="O382" s="14"/>
    </row>
    <row r="383" spans="1:15">
      <c r="A383" s="14"/>
      <c r="B383" s="14" t="s">
        <v>408</v>
      </c>
      <c r="C383" s="14" t="s">
        <v>409</v>
      </c>
      <c r="D383" s="14" t="s">
        <v>439</v>
      </c>
      <c r="E383" s="14" t="s">
        <v>199</v>
      </c>
      <c r="F383" s="14" t="s">
        <v>143</v>
      </c>
      <c r="G383" s="14" t="s">
        <v>200</v>
      </c>
      <c r="H383" s="14" t="s">
        <v>144</v>
      </c>
      <c r="I383" s="14" t="b">
        <v>0</v>
      </c>
      <c r="J383" s="14">
        <v>1</v>
      </c>
      <c r="K383" s="14">
        <v>4534.5</v>
      </c>
      <c r="L383" s="15">
        <v>2301600</v>
      </c>
      <c r="M383" s="15">
        <v>1.7780382000125921E+18</v>
      </c>
      <c r="N383" s="14" t="s">
        <v>447</v>
      </c>
      <c r="O383" s="14"/>
    </row>
    <row r="384" spans="1:15">
      <c r="A384" s="14"/>
      <c r="B384" s="14" t="s">
        <v>408</v>
      </c>
      <c r="C384" s="14" t="s">
        <v>409</v>
      </c>
      <c r="D384" s="14" t="s">
        <v>439</v>
      </c>
      <c r="E384" s="14" t="s">
        <v>199</v>
      </c>
      <c r="F384" s="14" t="s">
        <v>143</v>
      </c>
      <c r="G384" s="14" t="s">
        <v>200</v>
      </c>
      <c r="H384" s="14" t="s">
        <v>144</v>
      </c>
      <c r="I384" s="14" t="b">
        <v>0</v>
      </c>
      <c r="J384" s="14">
        <v>1</v>
      </c>
      <c r="K384" s="14">
        <v>4534.7997999999998</v>
      </c>
      <c r="L384" s="15">
        <v>2302000</v>
      </c>
      <c r="M384" s="15">
        <v>1.7780382000125921E+18</v>
      </c>
      <c r="N384" s="14" t="s">
        <v>447</v>
      </c>
      <c r="O384" s="14"/>
    </row>
    <row r="385" spans="1:15">
      <c r="A385" s="14"/>
      <c r="B385" s="14" t="s">
        <v>408</v>
      </c>
      <c r="C385" s="14" t="s">
        <v>409</v>
      </c>
      <c r="D385" s="14" t="s">
        <v>439</v>
      </c>
      <c r="E385" s="14" t="s">
        <v>199</v>
      </c>
      <c r="F385" s="14" t="s">
        <v>143</v>
      </c>
      <c r="G385" s="14" t="s">
        <v>200</v>
      </c>
      <c r="H385" s="14" t="s">
        <v>144</v>
      </c>
      <c r="I385" s="14" t="b">
        <v>0</v>
      </c>
      <c r="J385" s="14">
        <v>5</v>
      </c>
      <c r="K385" s="14">
        <v>4534.7002000000002</v>
      </c>
      <c r="L385" s="15">
        <v>2301800</v>
      </c>
      <c r="M385" s="15">
        <v>1.7780382000125921E+18</v>
      </c>
      <c r="N385" s="14" t="s">
        <v>447</v>
      </c>
      <c r="O385" s="14"/>
    </row>
    <row r="386" spans="1:15">
      <c r="A386" s="14"/>
      <c r="B386" s="14" t="s">
        <v>408</v>
      </c>
      <c r="C386" s="14" t="s">
        <v>409</v>
      </c>
      <c r="D386" s="14" t="s">
        <v>439</v>
      </c>
      <c r="E386" s="14" t="s">
        <v>199</v>
      </c>
      <c r="F386" s="14" t="s">
        <v>143</v>
      </c>
      <c r="G386" s="14" t="s">
        <v>200</v>
      </c>
      <c r="H386" s="14" t="s">
        <v>144</v>
      </c>
      <c r="I386" s="14" t="b">
        <v>0</v>
      </c>
      <c r="J386" s="14">
        <v>6</v>
      </c>
      <c r="K386" s="14">
        <v>4534.4502000000002</v>
      </c>
      <c r="L386" s="15">
        <v>2301400</v>
      </c>
      <c r="M386" s="15">
        <v>1.7780382000125921E+18</v>
      </c>
      <c r="N386" s="14" t="s">
        <v>447</v>
      </c>
      <c r="O386" s="14"/>
    </row>
    <row r="387" spans="1:15">
      <c r="A387" s="14"/>
      <c r="B387" s="14" t="s">
        <v>408</v>
      </c>
      <c r="C387" s="14" t="s">
        <v>409</v>
      </c>
      <c r="D387" s="14" t="s">
        <v>439</v>
      </c>
      <c r="E387" s="14" t="s">
        <v>199</v>
      </c>
      <c r="F387" s="14" t="s">
        <v>143</v>
      </c>
      <c r="G387" s="14" t="s">
        <v>200</v>
      </c>
      <c r="H387" s="14" t="s">
        <v>144</v>
      </c>
      <c r="I387" s="14" t="b">
        <v>0</v>
      </c>
      <c r="J387" s="14">
        <v>9</v>
      </c>
      <c r="K387" s="14">
        <v>4535</v>
      </c>
      <c r="L387" s="15">
        <v>2302200</v>
      </c>
      <c r="M387" s="15">
        <v>1.7780382000125921E+18</v>
      </c>
      <c r="N387" s="14" t="s">
        <v>447</v>
      </c>
      <c r="O387" s="14"/>
    </row>
    <row r="388" spans="1:15">
      <c r="A388" s="14"/>
      <c r="B388" s="14" t="s">
        <v>349</v>
      </c>
      <c r="C388" s="14" t="s">
        <v>350</v>
      </c>
      <c r="D388" s="14" t="s">
        <v>448</v>
      </c>
      <c r="E388" s="14" t="s">
        <v>199</v>
      </c>
      <c r="F388" s="14" t="s">
        <v>143</v>
      </c>
      <c r="G388" s="14" t="s">
        <v>200</v>
      </c>
      <c r="H388" s="14" t="s">
        <v>193</v>
      </c>
      <c r="I388" s="14" t="b">
        <v>0</v>
      </c>
      <c r="J388" s="14">
        <v>222</v>
      </c>
      <c r="K388" s="14">
        <v>425.25</v>
      </c>
      <c r="L388" s="15">
        <v>19706700</v>
      </c>
      <c r="M388" s="15">
        <v>1.7788293053555899E+18</v>
      </c>
      <c r="N388" s="14" t="s">
        <v>449</v>
      </c>
      <c r="O388" s="14"/>
    </row>
    <row r="389" spans="1:15">
      <c r="A389" s="14"/>
      <c r="B389" s="14" t="s">
        <v>422</v>
      </c>
      <c r="C389" s="14" t="s">
        <v>423</v>
      </c>
      <c r="D389" s="14" t="s">
        <v>448</v>
      </c>
      <c r="E389" s="14" t="s">
        <v>199</v>
      </c>
      <c r="F389" s="14" t="s">
        <v>143</v>
      </c>
      <c r="G389" s="14" t="s">
        <v>200</v>
      </c>
      <c r="H389" s="14" t="s">
        <v>193</v>
      </c>
      <c r="I389" s="14" t="b">
        <v>0</v>
      </c>
      <c r="J389" s="14">
        <v>1</v>
      </c>
      <c r="K389" s="14">
        <v>2505.8501000000001</v>
      </c>
      <c r="L389" s="15">
        <v>8437100</v>
      </c>
      <c r="M389" s="15">
        <v>1.7788291752655501E+18</v>
      </c>
      <c r="N389" s="14" t="s">
        <v>450</v>
      </c>
      <c r="O389" s="14"/>
    </row>
    <row r="390" spans="1:15">
      <c r="A390" s="14"/>
      <c r="B390" s="14" t="s">
        <v>422</v>
      </c>
      <c r="C390" s="14" t="s">
        <v>423</v>
      </c>
      <c r="D390" s="14" t="s">
        <v>448</v>
      </c>
      <c r="E390" s="14" t="s">
        <v>199</v>
      </c>
      <c r="F390" s="14" t="s">
        <v>143</v>
      </c>
      <c r="G390" s="14" t="s">
        <v>200</v>
      </c>
      <c r="H390" s="14" t="s">
        <v>193</v>
      </c>
      <c r="I390" s="14" t="b">
        <v>0</v>
      </c>
      <c r="J390" s="14">
        <v>18</v>
      </c>
      <c r="K390" s="14">
        <v>2505.8998999999999</v>
      </c>
      <c r="L390" s="15">
        <v>8436900</v>
      </c>
      <c r="M390" s="15">
        <v>1.7788291752655501E+18</v>
      </c>
      <c r="N390" s="14" t="s">
        <v>450</v>
      </c>
      <c r="O390" s="14"/>
    </row>
    <row r="391" spans="1:15">
      <c r="A391" s="14"/>
      <c r="B391" s="14" t="s">
        <v>254</v>
      </c>
      <c r="C391" s="14" t="s">
        <v>255</v>
      </c>
      <c r="D391" s="14" t="s">
        <v>448</v>
      </c>
      <c r="E391" s="14" t="s">
        <v>142</v>
      </c>
      <c r="F391" s="14" t="s">
        <v>143</v>
      </c>
      <c r="G391" s="14" t="s">
        <v>143</v>
      </c>
      <c r="H391" s="14" t="s">
        <v>193</v>
      </c>
      <c r="I391" s="14" t="b">
        <v>0</v>
      </c>
      <c r="J391" s="14">
        <v>139</v>
      </c>
      <c r="K391" s="14">
        <v>970.2</v>
      </c>
      <c r="L391" s="15">
        <v>607127058</v>
      </c>
      <c r="M391" s="15">
        <v>1300000075009446</v>
      </c>
      <c r="N391" s="14" t="s">
        <v>451</v>
      </c>
      <c r="O391" s="14"/>
    </row>
    <row r="392" spans="1:15">
      <c r="A392" s="14"/>
      <c r="B392" s="14" t="s">
        <v>254</v>
      </c>
      <c r="C392" s="14" t="s">
        <v>255</v>
      </c>
      <c r="D392" s="14" t="s">
        <v>448</v>
      </c>
      <c r="E392" s="14" t="s">
        <v>142</v>
      </c>
      <c r="F392" s="14" t="s">
        <v>143</v>
      </c>
      <c r="G392" s="14" t="s">
        <v>143</v>
      </c>
      <c r="H392" s="14" t="s">
        <v>193</v>
      </c>
      <c r="I392" s="14" t="b">
        <v>0</v>
      </c>
      <c r="J392" s="14">
        <v>139</v>
      </c>
      <c r="K392" s="14">
        <v>970.4</v>
      </c>
      <c r="L392" s="15">
        <v>607127057</v>
      </c>
      <c r="M392" s="15">
        <v>1300000075009446</v>
      </c>
      <c r="N392" s="14" t="s">
        <v>451</v>
      </c>
      <c r="O392" s="14"/>
    </row>
    <row r="393" spans="1:15">
      <c r="A393" s="14"/>
      <c r="B393" s="14" t="s">
        <v>384</v>
      </c>
      <c r="C393" s="14" t="s">
        <v>385</v>
      </c>
      <c r="D393" s="14" t="s">
        <v>448</v>
      </c>
      <c r="E393" s="14" t="s">
        <v>142</v>
      </c>
      <c r="F393" s="14" t="s">
        <v>143</v>
      </c>
      <c r="G393" s="14" t="s">
        <v>143</v>
      </c>
      <c r="H393" s="14" t="s">
        <v>193</v>
      </c>
      <c r="I393" s="14" t="b">
        <v>0</v>
      </c>
      <c r="J393" s="14">
        <v>80</v>
      </c>
      <c r="K393" s="14">
        <v>304.10000000000002</v>
      </c>
      <c r="L393" s="15">
        <v>607151187</v>
      </c>
      <c r="M393" s="15">
        <v>1300000075257931</v>
      </c>
      <c r="N393" s="14" t="s">
        <v>452</v>
      </c>
      <c r="O393" s="14"/>
    </row>
    <row r="394" spans="1:15">
      <c r="A394" s="14"/>
      <c r="B394" s="14" t="s">
        <v>241</v>
      </c>
      <c r="C394" s="14" t="s">
        <v>242</v>
      </c>
      <c r="D394" s="14" t="s">
        <v>448</v>
      </c>
      <c r="E394" s="14" t="s">
        <v>142</v>
      </c>
      <c r="F394" s="14" t="s">
        <v>143</v>
      </c>
      <c r="G394" s="14" t="s">
        <v>143</v>
      </c>
      <c r="H394" s="14" t="s">
        <v>193</v>
      </c>
      <c r="I394" s="14" t="b">
        <v>0</v>
      </c>
      <c r="J394" s="14">
        <v>100</v>
      </c>
      <c r="K394" s="14">
        <v>367</v>
      </c>
      <c r="L394" s="15">
        <v>206749723</v>
      </c>
      <c r="M394" s="15">
        <v>1100000069714916</v>
      </c>
      <c r="N394" s="14" t="s">
        <v>453</v>
      </c>
      <c r="O394" s="14"/>
    </row>
    <row r="395" spans="1:15">
      <c r="A395" s="14"/>
      <c r="B395" s="14" t="s">
        <v>241</v>
      </c>
      <c r="C395" s="14" t="s">
        <v>242</v>
      </c>
      <c r="D395" s="14" t="s">
        <v>448</v>
      </c>
      <c r="E395" s="14" t="s">
        <v>142</v>
      </c>
      <c r="F395" s="14" t="s">
        <v>143</v>
      </c>
      <c r="G395" s="14" t="s">
        <v>143</v>
      </c>
      <c r="H395" s="14" t="s">
        <v>193</v>
      </c>
      <c r="I395" s="14" t="b">
        <v>0</v>
      </c>
      <c r="J395" s="14">
        <v>41</v>
      </c>
      <c r="K395" s="14">
        <v>367</v>
      </c>
      <c r="L395" s="15">
        <v>206749724</v>
      </c>
      <c r="M395" s="15">
        <v>1100000069714916</v>
      </c>
      <c r="N395" s="14" t="s">
        <v>453</v>
      </c>
      <c r="O395" s="14"/>
    </row>
    <row r="396" spans="1:15">
      <c r="A396" s="14"/>
      <c r="B396" s="14" t="s">
        <v>241</v>
      </c>
      <c r="C396" s="14" t="s">
        <v>242</v>
      </c>
      <c r="D396" s="14" t="s">
        <v>448</v>
      </c>
      <c r="E396" s="14" t="s">
        <v>142</v>
      </c>
      <c r="F396" s="14" t="s">
        <v>143</v>
      </c>
      <c r="G396" s="14" t="s">
        <v>143</v>
      </c>
      <c r="H396" s="14" t="s">
        <v>193</v>
      </c>
      <c r="I396" s="14" t="b">
        <v>0</v>
      </c>
      <c r="J396" s="14">
        <v>64</v>
      </c>
      <c r="K396" s="14">
        <v>367</v>
      </c>
      <c r="L396" s="15">
        <v>206749722</v>
      </c>
      <c r="M396" s="15">
        <v>1100000069714916</v>
      </c>
      <c r="N396" s="14" t="s">
        <v>453</v>
      </c>
      <c r="O396" s="14"/>
    </row>
    <row r="397" spans="1:15">
      <c r="A397" s="14"/>
      <c r="B397" s="14" t="s">
        <v>251</v>
      </c>
      <c r="C397" s="14" t="s">
        <v>252</v>
      </c>
      <c r="D397" s="14" t="s">
        <v>448</v>
      </c>
      <c r="E397" s="14" t="s">
        <v>142</v>
      </c>
      <c r="F397" s="14" t="s">
        <v>143</v>
      </c>
      <c r="G397" s="14" t="s">
        <v>143</v>
      </c>
      <c r="H397" s="14" t="s">
        <v>193</v>
      </c>
      <c r="I397" s="14" t="b">
        <v>0</v>
      </c>
      <c r="J397" s="14">
        <v>49</v>
      </c>
      <c r="K397" s="14">
        <v>136.25</v>
      </c>
      <c r="L397" s="15">
        <v>206751108</v>
      </c>
      <c r="M397" s="15">
        <v>1100000069734612</v>
      </c>
      <c r="N397" s="14" t="s">
        <v>454</v>
      </c>
      <c r="O397" s="14"/>
    </row>
    <row r="398" spans="1:15">
      <c r="A398" s="14"/>
      <c r="B398" s="14" t="s">
        <v>251</v>
      </c>
      <c r="C398" s="14" t="s">
        <v>252</v>
      </c>
      <c r="D398" s="14" t="s">
        <v>448</v>
      </c>
      <c r="E398" s="14" t="s">
        <v>142</v>
      </c>
      <c r="F398" s="14" t="s">
        <v>143</v>
      </c>
      <c r="G398" s="14" t="s">
        <v>143</v>
      </c>
      <c r="H398" s="14" t="s">
        <v>193</v>
      </c>
      <c r="I398" s="14" t="b">
        <v>0</v>
      </c>
      <c r="J398" s="14">
        <v>201</v>
      </c>
      <c r="K398" s="14">
        <v>136.25</v>
      </c>
      <c r="L398" s="15">
        <v>206751110</v>
      </c>
      <c r="M398" s="15">
        <v>1100000069734612</v>
      </c>
      <c r="N398" s="14" t="s">
        <v>454</v>
      </c>
      <c r="O398" s="14"/>
    </row>
    <row r="399" spans="1:15">
      <c r="A399" s="14"/>
      <c r="B399" s="14" t="s">
        <v>251</v>
      </c>
      <c r="C399" s="14" t="s">
        <v>252</v>
      </c>
      <c r="D399" s="14" t="s">
        <v>448</v>
      </c>
      <c r="E399" s="14" t="s">
        <v>142</v>
      </c>
      <c r="F399" s="14" t="s">
        <v>143</v>
      </c>
      <c r="G399" s="14" t="s">
        <v>143</v>
      </c>
      <c r="H399" s="14" t="s">
        <v>193</v>
      </c>
      <c r="I399" s="14" t="b">
        <v>0</v>
      </c>
      <c r="J399" s="14">
        <v>33</v>
      </c>
      <c r="K399" s="14">
        <v>136.25</v>
      </c>
      <c r="L399" s="15">
        <v>206751111</v>
      </c>
      <c r="M399" s="15">
        <v>1100000069734612</v>
      </c>
      <c r="N399" s="14" t="s">
        <v>454</v>
      </c>
      <c r="O399" s="14"/>
    </row>
    <row r="400" spans="1:15">
      <c r="A400" s="14"/>
      <c r="B400" s="14" t="s">
        <v>251</v>
      </c>
      <c r="C400" s="14" t="s">
        <v>252</v>
      </c>
      <c r="D400" s="14" t="s">
        <v>448</v>
      </c>
      <c r="E400" s="14" t="s">
        <v>142</v>
      </c>
      <c r="F400" s="14" t="s">
        <v>143</v>
      </c>
      <c r="G400" s="14" t="s">
        <v>143</v>
      </c>
      <c r="H400" s="14" t="s">
        <v>193</v>
      </c>
      <c r="I400" s="14" t="b">
        <v>0</v>
      </c>
      <c r="J400" s="14">
        <v>103</v>
      </c>
      <c r="K400" s="14">
        <v>136.25</v>
      </c>
      <c r="L400" s="15">
        <v>206751109</v>
      </c>
      <c r="M400" s="15">
        <v>1100000069734612</v>
      </c>
      <c r="N400" s="14" t="s">
        <v>454</v>
      </c>
      <c r="O400" s="14"/>
    </row>
    <row r="401" spans="1:15">
      <c r="A401" s="14"/>
      <c r="B401" s="14" t="s">
        <v>50</v>
      </c>
      <c r="C401" s="14" t="s">
        <v>431</v>
      </c>
      <c r="D401" s="14" t="s">
        <v>448</v>
      </c>
      <c r="E401" s="14" t="s">
        <v>142</v>
      </c>
      <c r="F401" s="14" t="s">
        <v>143</v>
      </c>
      <c r="G401" s="14" t="s">
        <v>143</v>
      </c>
      <c r="H401" s="14" t="s">
        <v>144</v>
      </c>
      <c r="I401" s="14" t="b">
        <v>0</v>
      </c>
      <c r="J401" s="14">
        <v>1</v>
      </c>
      <c r="K401" s="14">
        <v>1583.5</v>
      </c>
      <c r="L401" s="15">
        <v>406658173</v>
      </c>
      <c r="M401" s="15">
        <v>1200000075614562</v>
      </c>
      <c r="N401" s="14" t="s">
        <v>455</v>
      </c>
      <c r="O401" s="14"/>
    </row>
    <row r="402" spans="1:15">
      <c r="A402" s="14"/>
      <c r="B402" s="14" t="s">
        <v>50</v>
      </c>
      <c r="C402" s="14" t="s">
        <v>431</v>
      </c>
      <c r="D402" s="14" t="s">
        <v>448</v>
      </c>
      <c r="E402" s="14" t="s">
        <v>142</v>
      </c>
      <c r="F402" s="14" t="s">
        <v>143</v>
      </c>
      <c r="G402" s="14" t="s">
        <v>143</v>
      </c>
      <c r="H402" s="14" t="s">
        <v>144</v>
      </c>
      <c r="I402" s="14" t="b">
        <v>0</v>
      </c>
      <c r="J402" s="14">
        <v>3</v>
      </c>
      <c r="K402" s="14">
        <v>1583.3</v>
      </c>
      <c r="L402" s="15">
        <v>406658171</v>
      </c>
      <c r="M402" s="15">
        <v>1200000075614562</v>
      </c>
      <c r="N402" s="14" t="s">
        <v>455</v>
      </c>
      <c r="O402" s="14"/>
    </row>
    <row r="403" spans="1:15">
      <c r="A403" s="14"/>
      <c r="B403" s="14" t="s">
        <v>50</v>
      </c>
      <c r="C403" s="14" t="s">
        <v>431</v>
      </c>
      <c r="D403" s="14" t="s">
        <v>448</v>
      </c>
      <c r="E403" s="14" t="s">
        <v>142</v>
      </c>
      <c r="F403" s="14" t="s">
        <v>143</v>
      </c>
      <c r="G403" s="14" t="s">
        <v>143</v>
      </c>
      <c r="H403" s="14" t="s">
        <v>144</v>
      </c>
      <c r="I403" s="14" t="b">
        <v>0</v>
      </c>
      <c r="J403" s="14">
        <v>4</v>
      </c>
      <c r="K403" s="14">
        <v>1583.1</v>
      </c>
      <c r="L403" s="15">
        <v>406658169</v>
      </c>
      <c r="M403" s="15">
        <v>1200000075614562</v>
      </c>
      <c r="N403" s="14" t="s">
        <v>455</v>
      </c>
      <c r="O403" s="14"/>
    </row>
    <row r="404" spans="1:15">
      <c r="A404" s="14"/>
      <c r="B404" s="14" t="s">
        <v>50</v>
      </c>
      <c r="C404" s="14" t="s">
        <v>431</v>
      </c>
      <c r="D404" s="14" t="s">
        <v>448</v>
      </c>
      <c r="E404" s="14" t="s">
        <v>142</v>
      </c>
      <c r="F404" s="14" t="s">
        <v>143</v>
      </c>
      <c r="G404" s="14" t="s">
        <v>143</v>
      </c>
      <c r="H404" s="14" t="s">
        <v>144</v>
      </c>
      <c r="I404" s="14" t="b">
        <v>0</v>
      </c>
      <c r="J404" s="14">
        <v>4</v>
      </c>
      <c r="K404" s="14">
        <v>1583.3</v>
      </c>
      <c r="L404" s="15">
        <v>406658170</v>
      </c>
      <c r="M404" s="15">
        <v>1200000075614562</v>
      </c>
      <c r="N404" s="14" t="s">
        <v>455</v>
      </c>
      <c r="O404" s="14"/>
    </row>
    <row r="405" spans="1:15">
      <c r="A405" s="14"/>
      <c r="B405" s="14" t="s">
        <v>50</v>
      </c>
      <c r="C405" s="14" t="s">
        <v>431</v>
      </c>
      <c r="D405" s="14" t="s">
        <v>448</v>
      </c>
      <c r="E405" s="14" t="s">
        <v>142</v>
      </c>
      <c r="F405" s="14" t="s">
        <v>143</v>
      </c>
      <c r="G405" s="14" t="s">
        <v>143</v>
      </c>
      <c r="H405" s="14" t="s">
        <v>144</v>
      </c>
      <c r="I405" s="14" t="b">
        <v>0</v>
      </c>
      <c r="J405" s="14">
        <v>4</v>
      </c>
      <c r="K405" s="14">
        <v>1583.4</v>
      </c>
      <c r="L405" s="15">
        <v>406658172</v>
      </c>
      <c r="M405" s="15">
        <v>1200000075614562</v>
      </c>
      <c r="N405" s="14" t="s">
        <v>455</v>
      </c>
      <c r="O405" s="14"/>
    </row>
    <row r="406" spans="1:15">
      <c r="A406" s="14"/>
      <c r="B406" s="14" t="s">
        <v>114</v>
      </c>
      <c r="C406" s="14" t="s">
        <v>456</v>
      </c>
      <c r="D406" s="14" t="s">
        <v>448</v>
      </c>
      <c r="E406" s="14" t="s">
        <v>142</v>
      </c>
      <c r="F406" s="14" t="s">
        <v>143</v>
      </c>
      <c r="G406" s="14" t="s">
        <v>143</v>
      </c>
      <c r="H406" s="14" t="s">
        <v>144</v>
      </c>
      <c r="I406" s="14" t="b">
        <v>0</v>
      </c>
      <c r="J406" s="14">
        <v>38</v>
      </c>
      <c r="K406" s="14">
        <v>1325.5</v>
      </c>
      <c r="L406" s="15">
        <v>408006404</v>
      </c>
      <c r="M406" s="15">
        <v>1200000088607726</v>
      </c>
      <c r="N406" s="14" t="s">
        <v>457</v>
      </c>
      <c r="O406" s="14"/>
    </row>
    <row r="407" spans="1:15">
      <c r="A407" s="14"/>
      <c r="B407" s="14" t="s">
        <v>111</v>
      </c>
      <c r="C407" s="14" t="s">
        <v>458</v>
      </c>
      <c r="D407" s="14" t="s">
        <v>448</v>
      </c>
      <c r="E407" s="14" t="s">
        <v>142</v>
      </c>
      <c r="F407" s="14" t="s">
        <v>143</v>
      </c>
      <c r="G407" s="14" t="s">
        <v>143</v>
      </c>
      <c r="H407" s="14" t="s">
        <v>144</v>
      </c>
      <c r="I407" s="14" t="b">
        <v>0</v>
      </c>
      <c r="J407" s="14">
        <v>15</v>
      </c>
      <c r="K407" s="14">
        <v>2727.2</v>
      </c>
      <c r="L407" s="15">
        <v>7218708</v>
      </c>
      <c r="M407" s="15">
        <v>1000000079349236</v>
      </c>
      <c r="N407" s="14" t="s">
        <v>459</v>
      </c>
      <c r="O407" s="14"/>
    </row>
    <row r="408" spans="1:15">
      <c r="A408" s="14"/>
      <c r="B408" s="14" t="s">
        <v>111</v>
      </c>
      <c r="C408" s="14" t="s">
        <v>458</v>
      </c>
      <c r="D408" s="14" t="s">
        <v>448</v>
      </c>
      <c r="E408" s="14" t="s">
        <v>142</v>
      </c>
      <c r="F408" s="14" t="s">
        <v>143</v>
      </c>
      <c r="G408" s="14" t="s">
        <v>143</v>
      </c>
      <c r="H408" s="14" t="s">
        <v>144</v>
      </c>
      <c r="I408" s="14" t="b">
        <v>0</v>
      </c>
      <c r="J408" s="14">
        <v>4</v>
      </c>
      <c r="K408" s="14">
        <v>2727.2</v>
      </c>
      <c r="L408" s="15">
        <v>7218709</v>
      </c>
      <c r="M408" s="15">
        <v>1000000079349236</v>
      </c>
      <c r="N408" s="14" t="s">
        <v>459</v>
      </c>
      <c r="O408" s="14"/>
    </row>
    <row r="409" spans="1:15">
      <c r="A409" s="14"/>
      <c r="B409" s="14" t="s">
        <v>460</v>
      </c>
      <c r="C409" s="14" t="s">
        <v>461</v>
      </c>
      <c r="D409" s="14" t="s">
        <v>448</v>
      </c>
      <c r="E409" s="14" t="s">
        <v>142</v>
      </c>
      <c r="F409" s="14" t="s">
        <v>143</v>
      </c>
      <c r="G409" s="14" t="s">
        <v>143</v>
      </c>
      <c r="H409" s="14" t="s">
        <v>144</v>
      </c>
      <c r="I409" s="14" t="b">
        <v>0</v>
      </c>
      <c r="J409" s="14">
        <v>1</v>
      </c>
      <c r="K409" s="14">
        <v>2730</v>
      </c>
      <c r="L409" s="15">
        <v>7769815</v>
      </c>
      <c r="M409" s="15">
        <v>1000000082794405</v>
      </c>
      <c r="N409" s="14" t="s">
        <v>462</v>
      </c>
      <c r="O409" s="14"/>
    </row>
    <row r="410" spans="1:15">
      <c r="A410" s="14"/>
      <c r="B410" s="14" t="s">
        <v>460</v>
      </c>
      <c r="C410" s="14" t="s">
        <v>461</v>
      </c>
      <c r="D410" s="14" t="s">
        <v>448</v>
      </c>
      <c r="E410" s="14" t="s">
        <v>142</v>
      </c>
      <c r="F410" s="14" t="s">
        <v>143</v>
      </c>
      <c r="G410" s="14" t="s">
        <v>143</v>
      </c>
      <c r="H410" s="14" t="s">
        <v>144</v>
      </c>
      <c r="I410" s="14" t="b">
        <v>0</v>
      </c>
      <c r="J410" s="14">
        <v>17</v>
      </c>
      <c r="K410" s="14">
        <v>2730</v>
      </c>
      <c r="L410" s="15">
        <v>7769814</v>
      </c>
      <c r="M410" s="15">
        <v>1000000082794405</v>
      </c>
      <c r="N410" s="14" t="s">
        <v>462</v>
      </c>
      <c r="O410" s="14"/>
    </row>
    <row r="411" spans="1:15">
      <c r="A411" s="14"/>
      <c r="B411" s="14" t="s">
        <v>67</v>
      </c>
      <c r="C411" s="14" t="s">
        <v>463</v>
      </c>
      <c r="D411" s="14" t="s">
        <v>448</v>
      </c>
      <c r="E411" s="14" t="s">
        <v>142</v>
      </c>
      <c r="F411" s="14" t="s">
        <v>143</v>
      </c>
      <c r="G411" s="14" t="s">
        <v>143</v>
      </c>
      <c r="H411" s="14" t="s">
        <v>144</v>
      </c>
      <c r="I411" s="14" t="b">
        <v>0</v>
      </c>
      <c r="J411" s="14">
        <v>16</v>
      </c>
      <c r="K411" s="14">
        <v>3127</v>
      </c>
      <c r="L411" s="15">
        <v>408659311</v>
      </c>
      <c r="M411" s="15">
        <v>1200000092419234</v>
      </c>
      <c r="N411" s="14" t="s">
        <v>464</v>
      </c>
      <c r="O411" s="14"/>
    </row>
    <row r="412" spans="1:15">
      <c r="A412" s="14"/>
      <c r="B412" s="14" t="s">
        <v>46</v>
      </c>
      <c r="C412" s="14" t="s">
        <v>465</v>
      </c>
      <c r="D412" s="14" t="s">
        <v>466</v>
      </c>
      <c r="E412" s="14" t="s">
        <v>142</v>
      </c>
      <c r="F412" s="14" t="s">
        <v>143</v>
      </c>
      <c r="G412" s="14" t="s">
        <v>143</v>
      </c>
      <c r="H412" s="14" t="s">
        <v>144</v>
      </c>
      <c r="I412" s="14" t="b">
        <v>0</v>
      </c>
      <c r="J412" s="14">
        <v>10</v>
      </c>
      <c r="K412" s="14">
        <v>1505.6</v>
      </c>
      <c r="L412" s="15">
        <v>6180298</v>
      </c>
      <c r="M412" s="15">
        <v>1000000066826705</v>
      </c>
      <c r="N412" s="14" t="s">
        <v>467</v>
      </c>
      <c r="O412" s="14"/>
    </row>
    <row r="413" spans="1:15">
      <c r="A413" s="14"/>
      <c r="B413" s="14" t="s">
        <v>46</v>
      </c>
      <c r="C413" s="14" t="s">
        <v>465</v>
      </c>
      <c r="D413" s="14" t="s">
        <v>466</v>
      </c>
      <c r="E413" s="14" t="s">
        <v>142</v>
      </c>
      <c r="F413" s="14" t="s">
        <v>143</v>
      </c>
      <c r="G413" s="14" t="s">
        <v>143</v>
      </c>
      <c r="H413" s="14" t="s">
        <v>144</v>
      </c>
      <c r="I413" s="14" t="b">
        <v>0</v>
      </c>
      <c r="J413" s="14">
        <v>10</v>
      </c>
      <c r="K413" s="14">
        <v>1505.6</v>
      </c>
      <c r="L413" s="15">
        <v>6180301</v>
      </c>
      <c r="M413" s="15">
        <v>1000000066826705</v>
      </c>
      <c r="N413" s="14" t="s">
        <v>467</v>
      </c>
      <c r="O413" s="14"/>
    </row>
    <row r="414" spans="1:15">
      <c r="A414" s="14"/>
      <c r="B414" s="14" t="s">
        <v>46</v>
      </c>
      <c r="C414" s="14" t="s">
        <v>465</v>
      </c>
      <c r="D414" s="14" t="s">
        <v>466</v>
      </c>
      <c r="E414" s="14" t="s">
        <v>142</v>
      </c>
      <c r="F414" s="14" t="s">
        <v>143</v>
      </c>
      <c r="G414" s="14" t="s">
        <v>143</v>
      </c>
      <c r="H414" s="14" t="s">
        <v>144</v>
      </c>
      <c r="I414" s="14" t="b">
        <v>0</v>
      </c>
      <c r="J414" s="14">
        <v>1</v>
      </c>
      <c r="K414" s="14">
        <v>1505.6</v>
      </c>
      <c r="L414" s="15">
        <v>6180299</v>
      </c>
      <c r="M414" s="15">
        <v>1000000066826705</v>
      </c>
      <c r="N414" s="14" t="s">
        <v>467</v>
      </c>
      <c r="O414" s="14"/>
    </row>
    <row r="415" spans="1:15">
      <c r="A415" s="14"/>
      <c r="B415" s="14" t="s">
        <v>46</v>
      </c>
      <c r="C415" s="14" t="s">
        <v>465</v>
      </c>
      <c r="D415" s="14" t="s">
        <v>466</v>
      </c>
      <c r="E415" s="14" t="s">
        <v>142</v>
      </c>
      <c r="F415" s="14" t="s">
        <v>143</v>
      </c>
      <c r="G415" s="14" t="s">
        <v>143</v>
      </c>
      <c r="H415" s="14" t="s">
        <v>144</v>
      </c>
      <c r="I415" s="14" t="b">
        <v>0</v>
      </c>
      <c r="J415" s="14">
        <v>12</v>
      </c>
      <c r="K415" s="14">
        <v>1505.6</v>
      </c>
      <c r="L415" s="15">
        <v>6180300</v>
      </c>
      <c r="M415" s="15">
        <v>1000000066826705</v>
      </c>
      <c r="N415" s="14" t="s">
        <v>467</v>
      </c>
      <c r="O415" s="14"/>
    </row>
    <row r="416" spans="1:15">
      <c r="A416" s="14"/>
      <c r="B416" s="14" t="s">
        <v>113</v>
      </c>
      <c r="C416" s="14" t="s">
        <v>468</v>
      </c>
      <c r="D416" s="14" t="s">
        <v>466</v>
      </c>
      <c r="E416" s="14" t="s">
        <v>142</v>
      </c>
      <c r="F416" s="14" t="s">
        <v>143</v>
      </c>
      <c r="G416" s="14" t="s">
        <v>143</v>
      </c>
      <c r="H416" s="14" t="s">
        <v>144</v>
      </c>
      <c r="I416" s="14" t="b">
        <v>0</v>
      </c>
      <c r="J416" s="14">
        <v>10</v>
      </c>
      <c r="K416" s="14">
        <v>1713.2</v>
      </c>
      <c r="L416" s="15">
        <v>6186275</v>
      </c>
      <c r="M416" s="15">
        <v>1000000066876330</v>
      </c>
      <c r="N416" s="14" t="s">
        <v>469</v>
      </c>
      <c r="O416" s="14"/>
    </row>
    <row r="417" spans="1:15">
      <c r="A417" s="14"/>
      <c r="B417" s="14" t="s">
        <v>113</v>
      </c>
      <c r="C417" s="14" t="s">
        <v>468</v>
      </c>
      <c r="D417" s="14" t="s">
        <v>466</v>
      </c>
      <c r="E417" s="14" t="s">
        <v>142</v>
      </c>
      <c r="F417" s="14" t="s">
        <v>143</v>
      </c>
      <c r="G417" s="14" t="s">
        <v>143</v>
      </c>
      <c r="H417" s="14" t="s">
        <v>144</v>
      </c>
      <c r="I417" s="14" t="b">
        <v>0</v>
      </c>
      <c r="J417" s="14">
        <v>10</v>
      </c>
      <c r="K417" s="14">
        <v>1713.8</v>
      </c>
      <c r="L417" s="15">
        <v>6186277</v>
      </c>
      <c r="M417" s="15">
        <v>1000000066876330</v>
      </c>
      <c r="N417" s="14" t="s">
        <v>469</v>
      </c>
      <c r="O417" s="14"/>
    </row>
    <row r="418" spans="1:15">
      <c r="A418" s="14"/>
      <c r="B418" s="14" t="s">
        <v>113</v>
      </c>
      <c r="C418" s="14" t="s">
        <v>468</v>
      </c>
      <c r="D418" s="14" t="s">
        <v>466</v>
      </c>
      <c r="E418" s="14" t="s">
        <v>142</v>
      </c>
      <c r="F418" s="14" t="s">
        <v>143</v>
      </c>
      <c r="G418" s="14" t="s">
        <v>143</v>
      </c>
      <c r="H418" s="14" t="s">
        <v>144</v>
      </c>
      <c r="I418" s="14" t="b">
        <v>0</v>
      </c>
      <c r="J418" s="14">
        <v>1</v>
      </c>
      <c r="K418" s="14">
        <v>1712.9</v>
      </c>
      <c r="L418" s="15">
        <v>6186273</v>
      </c>
      <c r="M418" s="15">
        <v>1000000066876330</v>
      </c>
      <c r="N418" s="14" t="s">
        <v>469</v>
      </c>
      <c r="O418" s="14"/>
    </row>
    <row r="419" spans="1:15">
      <c r="A419" s="14"/>
      <c r="B419" s="14" t="s">
        <v>113</v>
      </c>
      <c r="C419" s="14" t="s">
        <v>468</v>
      </c>
      <c r="D419" s="14" t="s">
        <v>466</v>
      </c>
      <c r="E419" s="14" t="s">
        <v>142</v>
      </c>
      <c r="F419" s="14" t="s">
        <v>143</v>
      </c>
      <c r="G419" s="14" t="s">
        <v>143</v>
      </c>
      <c r="H419" s="14" t="s">
        <v>144</v>
      </c>
      <c r="I419" s="14" t="b">
        <v>0</v>
      </c>
      <c r="J419" s="14">
        <v>4</v>
      </c>
      <c r="K419" s="14">
        <v>1713</v>
      </c>
      <c r="L419" s="15">
        <v>6186274</v>
      </c>
      <c r="M419" s="15">
        <v>1000000066876330</v>
      </c>
      <c r="N419" s="14" t="s">
        <v>469</v>
      </c>
      <c r="O419" s="14"/>
    </row>
    <row r="420" spans="1:15">
      <c r="A420" s="14"/>
      <c r="B420" s="14" t="s">
        <v>113</v>
      </c>
      <c r="C420" s="14" t="s">
        <v>468</v>
      </c>
      <c r="D420" s="14" t="s">
        <v>466</v>
      </c>
      <c r="E420" s="14" t="s">
        <v>142</v>
      </c>
      <c r="F420" s="14" t="s">
        <v>143</v>
      </c>
      <c r="G420" s="14" t="s">
        <v>143</v>
      </c>
      <c r="H420" s="14" t="s">
        <v>144</v>
      </c>
      <c r="I420" s="14" t="b">
        <v>0</v>
      </c>
      <c r="J420" s="14">
        <v>4</v>
      </c>
      <c r="K420" s="14">
        <v>1713.6</v>
      </c>
      <c r="L420" s="15">
        <v>6186276</v>
      </c>
      <c r="M420" s="15">
        <v>1000000066876330</v>
      </c>
      <c r="N420" s="14" t="s">
        <v>469</v>
      </c>
      <c r="O420" s="14"/>
    </row>
    <row r="421" spans="1:15">
      <c r="A421" s="14"/>
      <c r="B421" s="14" t="s">
        <v>42</v>
      </c>
      <c r="C421" s="14" t="s">
        <v>308</v>
      </c>
      <c r="D421" s="14" t="s">
        <v>466</v>
      </c>
      <c r="E421" s="14" t="s">
        <v>199</v>
      </c>
      <c r="F421" s="14" t="s">
        <v>143</v>
      </c>
      <c r="G421" s="14" t="s">
        <v>322</v>
      </c>
      <c r="H421" s="14" t="s">
        <v>144</v>
      </c>
      <c r="I421" s="14" t="b">
        <v>0</v>
      </c>
      <c r="J421" s="14">
        <v>411</v>
      </c>
      <c r="K421" s="14">
        <v>121.7</v>
      </c>
      <c r="L421" s="15">
        <v>10509600</v>
      </c>
      <c r="M421" s="15">
        <v>1.7790926332850911E+18</v>
      </c>
      <c r="N421" s="14" t="s">
        <v>470</v>
      </c>
      <c r="O421" s="14"/>
    </row>
    <row r="422" spans="1:15">
      <c r="A422" s="14"/>
      <c r="B422" s="14" t="s">
        <v>44</v>
      </c>
      <c r="C422" s="14" t="s">
        <v>315</v>
      </c>
      <c r="D422" s="14" t="s">
        <v>466</v>
      </c>
      <c r="E422" s="14" t="s">
        <v>142</v>
      </c>
      <c r="F422" s="14" t="s">
        <v>143</v>
      </c>
      <c r="G422" s="14" t="s">
        <v>143</v>
      </c>
      <c r="H422" s="14" t="s">
        <v>144</v>
      </c>
      <c r="I422" s="14" t="b">
        <v>0</v>
      </c>
      <c r="J422" s="14">
        <v>10</v>
      </c>
      <c r="K422" s="14">
        <v>3214</v>
      </c>
      <c r="L422" s="15">
        <v>6654262</v>
      </c>
      <c r="M422" s="15">
        <v>1000000071638445</v>
      </c>
      <c r="N422" s="14" t="s">
        <v>471</v>
      </c>
      <c r="O422" s="14"/>
    </row>
    <row r="423" spans="1:15">
      <c r="A423" s="14"/>
      <c r="B423" s="14" t="s">
        <v>48</v>
      </c>
      <c r="C423" s="14" t="s">
        <v>472</v>
      </c>
      <c r="D423" s="14" t="s">
        <v>466</v>
      </c>
      <c r="E423" s="14" t="s">
        <v>142</v>
      </c>
      <c r="F423" s="14" t="s">
        <v>143</v>
      </c>
      <c r="G423" s="14" t="s">
        <v>143</v>
      </c>
      <c r="H423" s="14" t="s">
        <v>144</v>
      </c>
      <c r="I423" s="14" t="b">
        <v>0</v>
      </c>
      <c r="J423" s="14">
        <v>26</v>
      </c>
      <c r="K423" s="14">
        <v>1899.2</v>
      </c>
      <c r="L423" s="15">
        <v>609084122</v>
      </c>
      <c r="M423" s="15">
        <v>1300000096080231</v>
      </c>
      <c r="N423" s="14" t="s">
        <v>473</v>
      </c>
      <c r="O423" s="14"/>
    </row>
    <row r="424" spans="1:15">
      <c r="A424" s="14"/>
      <c r="B424" s="14" t="s">
        <v>257</v>
      </c>
      <c r="C424" s="14" t="s">
        <v>258</v>
      </c>
      <c r="D424" s="14" t="s">
        <v>357</v>
      </c>
      <c r="E424" s="14" t="s">
        <v>142</v>
      </c>
      <c r="F424" s="14" t="s">
        <v>143</v>
      </c>
      <c r="G424" s="14" t="s">
        <v>143</v>
      </c>
      <c r="H424" s="14" t="s">
        <v>193</v>
      </c>
      <c r="I424" s="14" t="b">
        <v>0</v>
      </c>
      <c r="J424" s="14">
        <v>10</v>
      </c>
      <c r="K424" s="14">
        <v>271.55</v>
      </c>
      <c r="L424" s="15">
        <v>3556965</v>
      </c>
      <c r="M424" s="15">
        <v>1000000039324729</v>
      </c>
      <c r="N424" s="14" t="s">
        <v>360</v>
      </c>
      <c r="O424" s="14"/>
    </row>
    <row r="425" spans="1:15">
      <c r="A425" s="14"/>
      <c r="B425" s="14" t="s">
        <v>257</v>
      </c>
      <c r="C425" s="14" t="s">
        <v>258</v>
      </c>
      <c r="D425" s="14" t="s">
        <v>357</v>
      </c>
      <c r="E425" s="14" t="s">
        <v>142</v>
      </c>
      <c r="F425" s="14" t="s">
        <v>143</v>
      </c>
      <c r="G425" s="14" t="s">
        <v>143</v>
      </c>
      <c r="H425" s="14" t="s">
        <v>193</v>
      </c>
      <c r="I425" s="14" t="b">
        <v>0</v>
      </c>
      <c r="J425" s="14">
        <v>10</v>
      </c>
      <c r="K425" s="14">
        <v>271.55</v>
      </c>
      <c r="L425" s="15">
        <v>3556967</v>
      </c>
      <c r="M425" s="15">
        <v>1000000039324729</v>
      </c>
      <c r="N425" s="14" t="s">
        <v>360</v>
      </c>
      <c r="O425" s="14"/>
    </row>
    <row r="426" spans="1:15">
      <c r="A426" s="14"/>
      <c r="B426" s="14" t="s">
        <v>257</v>
      </c>
      <c r="C426" s="14" t="s">
        <v>258</v>
      </c>
      <c r="D426" s="14" t="s">
        <v>357</v>
      </c>
      <c r="E426" s="14" t="s">
        <v>142</v>
      </c>
      <c r="F426" s="14" t="s">
        <v>143</v>
      </c>
      <c r="G426" s="14" t="s">
        <v>143</v>
      </c>
      <c r="H426" s="14" t="s">
        <v>193</v>
      </c>
      <c r="I426" s="14" t="b">
        <v>0</v>
      </c>
      <c r="J426" s="14">
        <v>70</v>
      </c>
      <c r="K426" s="14">
        <v>271.55</v>
      </c>
      <c r="L426" s="15">
        <v>3556966</v>
      </c>
      <c r="M426" s="15">
        <v>1000000039324729</v>
      </c>
      <c r="N426" s="14" t="s">
        <v>360</v>
      </c>
      <c r="O426" s="14"/>
    </row>
    <row r="427" spans="1:15">
      <c r="A427" s="14"/>
      <c r="B427" s="14" t="s">
        <v>112</v>
      </c>
      <c r="C427" s="14" t="s">
        <v>474</v>
      </c>
      <c r="D427" s="14" t="s">
        <v>475</v>
      </c>
      <c r="E427" s="14" t="s">
        <v>142</v>
      </c>
      <c r="F427" s="14" t="s">
        <v>143</v>
      </c>
      <c r="G427" s="14" t="s">
        <v>143</v>
      </c>
      <c r="H427" s="14" t="s">
        <v>144</v>
      </c>
      <c r="I427" s="14" t="b">
        <v>0</v>
      </c>
      <c r="J427" s="14">
        <v>16</v>
      </c>
      <c r="K427" s="14">
        <v>670.55</v>
      </c>
      <c r="L427" s="15">
        <v>610264981</v>
      </c>
      <c r="M427" s="15">
        <v>1300000103548770</v>
      </c>
      <c r="N427" s="14" t="s">
        <v>476</v>
      </c>
      <c r="O427" s="14"/>
    </row>
    <row r="428" spans="1:15">
      <c r="A428" s="14"/>
      <c r="B428" s="14" t="s">
        <v>112</v>
      </c>
      <c r="C428" s="14" t="s">
        <v>474</v>
      </c>
      <c r="D428" s="14" t="s">
        <v>475</v>
      </c>
      <c r="E428" s="14" t="s">
        <v>142</v>
      </c>
      <c r="F428" s="14" t="s">
        <v>143</v>
      </c>
      <c r="G428" s="14" t="s">
        <v>143</v>
      </c>
      <c r="H428" s="14" t="s">
        <v>144</v>
      </c>
      <c r="I428" s="14" t="b">
        <v>0</v>
      </c>
      <c r="J428" s="14">
        <v>59</v>
      </c>
      <c r="K428" s="14">
        <v>670.55</v>
      </c>
      <c r="L428" s="15">
        <v>610264982</v>
      </c>
      <c r="M428" s="15">
        <v>1300000103548770</v>
      </c>
      <c r="N428" s="14" t="s">
        <v>476</v>
      </c>
      <c r="O428" s="14"/>
    </row>
    <row r="429" spans="1:15">
      <c r="A429" s="14"/>
      <c r="B429" s="14" t="s">
        <v>167</v>
      </c>
      <c r="C429" s="14" t="s">
        <v>168</v>
      </c>
      <c r="D429" s="14" t="s">
        <v>477</v>
      </c>
      <c r="E429" s="14" t="s">
        <v>199</v>
      </c>
      <c r="F429" s="14" t="s">
        <v>143</v>
      </c>
      <c r="G429" s="14" t="s">
        <v>200</v>
      </c>
      <c r="H429" s="14" t="s">
        <v>193</v>
      </c>
      <c r="I429" s="14" t="b">
        <v>0</v>
      </c>
      <c r="J429" s="14">
        <v>17</v>
      </c>
      <c r="K429" s="14">
        <v>633.6</v>
      </c>
      <c r="L429" s="15">
        <v>5746000</v>
      </c>
      <c r="M429" s="15">
        <v>1.7792507871813509E+18</v>
      </c>
      <c r="N429" s="14" t="s">
        <v>478</v>
      </c>
      <c r="O429" s="14"/>
    </row>
    <row r="430" spans="1:15">
      <c r="A430" s="14"/>
      <c r="B430" s="14" t="s">
        <v>167</v>
      </c>
      <c r="C430" s="14" t="s">
        <v>168</v>
      </c>
      <c r="D430" s="14" t="s">
        <v>477</v>
      </c>
      <c r="E430" s="14" t="s">
        <v>199</v>
      </c>
      <c r="F430" s="14" t="s">
        <v>143</v>
      </c>
      <c r="G430" s="14" t="s">
        <v>200</v>
      </c>
      <c r="H430" s="14" t="s">
        <v>193</v>
      </c>
      <c r="I430" s="14" t="b">
        <v>0</v>
      </c>
      <c r="J430" s="14">
        <v>24</v>
      </c>
      <c r="K430" s="14">
        <v>633.54999999999995</v>
      </c>
      <c r="L430" s="15">
        <v>5746200</v>
      </c>
      <c r="M430" s="15">
        <v>1.7792507871813509E+18</v>
      </c>
      <c r="N430" s="14" t="s">
        <v>478</v>
      </c>
      <c r="O430" s="14"/>
    </row>
    <row r="431" spans="1:15">
      <c r="A431" s="14"/>
      <c r="B431" s="14" t="s">
        <v>333</v>
      </c>
      <c r="C431" s="14" t="s">
        <v>334</v>
      </c>
      <c r="D431" s="14" t="s">
        <v>477</v>
      </c>
      <c r="E431" s="14" t="s">
        <v>199</v>
      </c>
      <c r="F431" s="14" t="s">
        <v>143</v>
      </c>
      <c r="G431" s="14" t="s">
        <v>200</v>
      </c>
      <c r="H431" s="14" t="s">
        <v>193</v>
      </c>
      <c r="I431" s="14" t="b">
        <v>0</v>
      </c>
      <c r="J431" s="14">
        <v>720</v>
      </c>
      <c r="K431" s="14">
        <v>77.709999999999994</v>
      </c>
      <c r="L431" s="15">
        <v>8419700</v>
      </c>
      <c r="M431" s="15">
        <v>1.779251488030295E+18</v>
      </c>
      <c r="N431" s="14" t="s">
        <v>479</v>
      </c>
      <c r="O431" s="14"/>
    </row>
    <row r="432" spans="1:15">
      <c r="A432" s="14"/>
      <c r="B432" s="14" t="s">
        <v>401</v>
      </c>
      <c r="C432" s="14" t="s">
        <v>402</v>
      </c>
      <c r="D432" s="14" t="s">
        <v>477</v>
      </c>
      <c r="E432" s="14" t="s">
        <v>142</v>
      </c>
      <c r="F432" s="14" t="s">
        <v>143</v>
      </c>
      <c r="G432" s="14" t="s">
        <v>143</v>
      </c>
      <c r="H432" s="14" t="s">
        <v>193</v>
      </c>
      <c r="I432" s="14" t="b">
        <v>0</v>
      </c>
      <c r="J432" s="14">
        <v>92</v>
      </c>
      <c r="K432" s="14">
        <v>266.3</v>
      </c>
      <c r="L432" s="15">
        <v>402043589</v>
      </c>
      <c r="M432" s="15">
        <v>1200000022573549</v>
      </c>
      <c r="N432" s="14" t="s">
        <v>480</v>
      </c>
      <c r="O432" s="14"/>
    </row>
    <row r="433" spans="1:15">
      <c r="A433" s="14"/>
      <c r="B433" s="14" t="s">
        <v>109</v>
      </c>
      <c r="C433" s="14" t="s">
        <v>433</v>
      </c>
      <c r="D433" s="14" t="s">
        <v>481</v>
      </c>
      <c r="E433" s="14" t="s">
        <v>142</v>
      </c>
      <c r="F433" s="14" t="s">
        <v>143</v>
      </c>
      <c r="G433" s="14" t="s">
        <v>143</v>
      </c>
      <c r="H433" s="14" t="s">
        <v>144</v>
      </c>
      <c r="I433" s="14" t="b">
        <v>0</v>
      </c>
      <c r="J433" s="14">
        <v>141</v>
      </c>
      <c r="K433" s="14">
        <v>355.5</v>
      </c>
      <c r="L433" s="15">
        <v>5129327</v>
      </c>
      <c r="M433" s="15">
        <v>1000000063206223</v>
      </c>
      <c r="N433" s="14" t="s">
        <v>482</v>
      </c>
      <c r="O433" s="14"/>
    </row>
    <row r="434" spans="1:15">
      <c r="A434" s="14"/>
      <c r="B434" s="14" t="s">
        <v>113</v>
      </c>
      <c r="C434" s="14" t="s">
        <v>468</v>
      </c>
      <c r="D434" s="14" t="s">
        <v>481</v>
      </c>
      <c r="E434" s="14" t="s">
        <v>142</v>
      </c>
      <c r="F434" s="14" t="s">
        <v>143</v>
      </c>
      <c r="G434" s="14" t="s">
        <v>143</v>
      </c>
      <c r="H434" s="14" t="s">
        <v>144</v>
      </c>
      <c r="I434" s="14" t="b">
        <v>0</v>
      </c>
      <c r="J434" s="14">
        <v>1</v>
      </c>
      <c r="K434" s="14">
        <v>1814.3</v>
      </c>
      <c r="L434" s="15">
        <v>5140759</v>
      </c>
      <c r="M434" s="15">
        <v>1000000063330323</v>
      </c>
      <c r="N434" s="14" t="s">
        <v>483</v>
      </c>
      <c r="O434" s="14"/>
    </row>
    <row r="435" spans="1:15">
      <c r="A435" s="14"/>
      <c r="B435" s="14" t="s">
        <v>113</v>
      </c>
      <c r="C435" s="14" t="s">
        <v>468</v>
      </c>
      <c r="D435" s="14" t="s">
        <v>481</v>
      </c>
      <c r="E435" s="14" t="s">
        <v>142</v>
      </c>
      <c r="F435" s="14" t="s">
        <v>143</v>
      </c>
      <c r="G435" s="14" t="s">
        <v>143</v>
      </c>
      <c r="H435" s="14" t="s">
        <v>144</v>
      </c>
      <c r="I435" s="14" t="b">
        <v>0</v>
      </c>
      <c r="J435" s="14">
        <v>2</v>
      </c>
      <c r="K435" s="14">
        <v>1814.5</v>
      </c>
      <c r="L435" s="15">
        <v>5140760</v>
      </c>
      <c r="M435" s="15">
        <v>1000000063330323</v>
      </c>
      <c r="N435" s="14" t="s">
        <v>483</v>
      </c>
      <c r="O435" s="14"/>
    </row>
    <row r="436" spans="1:15">
      <c r="A436" s="14"/>
      <c r="B436" s="14" t="s">
        <v>113</v>
      </c>
      <c r="C436" s="14" t="s">
        <v>468</v>
      </c>
      <c r="D436" s="14" t="s">
        <v>481</v>
      </c>
      <c r="E436" s="14" t="s">
        <v>142</v>
      </c>
      <c r="F436" s="14" t="s">
        <v>143</v>
      </c>
      <c r="G436" s="14" t="s">
        <v>143</v>
      </c>
      <c r="H436" s="14" t="s">
        <v>144</v>
      </c>
      <c r="I436" s="14" t="b">
        <v>0</v>
      </c>
      <c r="J436" s="14">
        <v>2</v>
      </c>
      <c r="K436" s="14">
        <v>1815</v>
      </c>
      <c r="L436" s="15">
        <v>5140764</v>
      </c>
      <c r="M436" s="15">
        <v>1000000063330323</v>
      </c>
      <c r="N436" s="14" t="s">
        <v>483</v>
      </c>
      <c r="O436" s="14"/>
    </row>
    <row r="437" spans="1:15">
      <c r="A437" s="14"/>
      <c r="B437" s="14" t="s">
        <v>113</v>
      </c>
      <c r="C437" s="14" t="s">
        <v>468</v>
      </c>
      <c r="D437" s="14" t="s">
        <v>481</v>
      </c>
      <c r="E437" s="14" t="s">
        <v>142</v>
      </c>
      <c r="F437" s="14" t="s">
        <v>143</v>
      </c>
      <c r="G437" s="14" t="s">
        <v>143</v>
      </c>
      <c r="H437" s="14" t="s">
        <v>144</v>
      </c>
      <c r="I437" s="14" t="b">
        <v>0</v>
      </c>
      <c r="J437" s="14">
        <v>5</v>
      </c>
      <c r="K437" s="14">
        <v>1814.9</v>
      </c>
      <c r="L437" s="15">
        <v>5140762</v>
      </c>
      <c r="M437" s="15">
        <v>1000000063330323</v>
      </c>
      <c r="N437" s="14" t="s">
        <v>483</v>
      </c>
      <c r="O437" s="14"/>
    </row>
    <row r="438" spans="1:15">
      <c r="A438" s="14"/>
      <c r="B438" s="14" t="s">
        <v>113</v>
      </c>
      <c r="C438" s="14" t="s">
        <v>468</v>
      </c>
      <c r="D438" s="14" t="s">
        <v>481</v>
      </c>
      <c r="E438" s="14" t="s">
        <v>142</v>
      </c>
      <c r="F438" s="14" t="s">
        <v>143</v>
      </c>
      <c r="G438" s="14" t="s">
        <v>143</v>
      </c>
      <c r="H438" s="14" t="s">
        <v>144</v>
      </c>
      <c r="I438" s="14" t="b">
        <v>0</v>
      </c>
      <c r="J438" s="14">
        <v>8</v>
      </c>
      <c r="K438" s="14">
        <v>1814.9</v>
      </c>
      <c r="L438" s="15">
        <v>5140763</v>
      </c>
      <c r="M438" s="15">
        <v>1000000063330323</v>
      </c>
      <c r="N438" s="14" t="s">
        <v>483</v>
      </c>
      <c r="O438" s="14"/>
    </row>
    <row r="439" spans="1:15">
      <c r="A439" s="14"/>
      <c r="B439" s="14" t="s">
        <v>113</v>
      </c>
      <c r="C439" s="14" t="s">
        <v>468</v>
      </c>
      <c r="D439" s="14" t="s">
        <v>481</v>
      </c>
      <c r="E439" s="14" t="s">
        <v>142</v>
      </c>
      <c r="F439" s="14" t="s">
        <v>143</v>
      </c>
      <c r="G439" s="14" t="s">
        <v>143</v>
      </c>
      <c r="H439" s="14" t="s">
        <v>144</v>
      </c>
      <c r="I439" s="14" t="b">
        <v>0</v>
      </c>
      <c r="J439" s="14">
        <v>9</v>
      </c>
      <c r="K439" s="14">
        <v>1814.6</v>
      </c>
      <c r="L439" s="15">
        <v>5140761</v>
      </c>
      <c r="M439" s="15">
        <v>1000000063330323</v>
      </c>
      <c r="N439" s="14" t="s">
        <v>483</v>
      </c>
      <c r="O439" s="14"/>
    </row>
    <row r="440" spans="1:15">
      <c r="A440" s="14"/>
      <c r="B440" s="14" t="s">
        <v>66</v>
      </c>
      <c r="C440" s="14" t="s">
        <v>484</v>
      </c>
      <c r="D440" s="14" t="s">
        <v>481</v>
      </c>
      <c r="E440" s="14" t="s">
        <v>199</v>
      </c>
      <c r="F440" s="14" t="s">
        <v>143</v>
      </c>
      <c r="G440" s="14" t="s">
        <v>200</v>
      </c>
      <c r="H440" s="14" t="s">
        <v>144</v>
      </c>
      <c r="I440" s="14" t="b">
        <v>0</v>
      </c>
      <c r="J440" s="14">
        <v>40</v>
      </c>
      <c r="K440" s="14">
        <v>639.20000000000005</v>
      </c>
      <c r="L440" s="15">
        <v>15380500</v>
      </c>
      <c r="M440" s="15">
        <v>1.7794414214461381E+18</v>
      </c>
      <c r="N440" s="14" t="s">
        <v>485</v>
      </c>
      <c r="O440" s="14"/>
    </row>
    <row r="441" spans="1:15">
      <c r="A441" s="14"/>
      <c r="B441" s="14" t="s">
        <v>199</v>
      </c>
      <c r="C441" s="14" t="s">
        <v>289</v>
      </c>
      <c r="D441" s="14" t="s">
        <v>481</v>
      </c>
      <c r="E441" s="14" t="s">
        <v>142</v>
      </c>
      <c r="F441" s="14" t="s">
        <v>143</v>
      </c>
      <c r="G441" s="14" t="s">
        <v>143</v>
      </c>
      <c r="H441" s="14" t="s">
        <v>144</v>
      </c>
      <c r="I441" s="14" t="b">
        <v>0</v>
      </c>
      <c r="J441" s="14">
        <v>11</v>
      </c>
      <c r="K441" s="14">
        <v>4195.1000999999997</v>
      </c>
      <c r="L441" s="15">
        <v>5529778</v>
      </c>
      <c r="M441" s="15">
        <v>1000000066683597</v>
      </c>
      <c r="N441" s="14" t="s">
        <v>486</v>
      </c>
      <c r="O441" s="14"/>
    </row>
    <row r="442" spans="1:15">
      <c r="A442" s="14"/>
      <c r="B442" s="14" t="s">
        <v>199</v>
      </c>
      <c r="C442" s="14" t="s">
        <v>289</v>
      </c>
      <c r="D442" s="14" t="s">
        <v>481</v>
      </c>
      <c r="E442" s="14" t="s">
        <v>142</v>
      </c>
      <c r="F442" s="14" t="s">
        <v>143</v>
      </c>
      <c r="G442" s="14" t="s">
        <v>143</v>
      </c>
      <c r="H442" s="14" t="s">
        <v>144</v>
      </c>
      <c r="I442" s="14" t="b">
        <v>0</v>
      </c>
      <c r="J442" s="14">
        <v>1</v>
      </c>
      <c r="K442" s="14">
        <v>4195.1000999999997</v>
      </c>
      <c r="L442" s="15">
        <v>5529777</v>
      </c>
      <c r="M442" s="15">
        <v>1000000066683597</v>
      </c>
      <c r="N442" s="14" t="s">
        <v>486</v>
      </c>
      <c r="O442" s="14"/>
    </row>
    <row r="443" spans="1:15">
      <c r="A443" s="14"/>
      <c r="B443" s="14" t="s">
        <v>68</v>
      </c>
      <c r="C443" s="14" t="s">
        <v>487</v>
      </c>
      <c r="D443" s="14" t="s">
        <v>481</v>
      </c>
      <c r="E443" s="14" t="s">
        <v>142</v>
      </c>
      <c r="F443" s="14" t="s">
        <v>143</v>
      </c>
      <c r="G443" s="14" t="s">
        <v>143</v>
      </c>
      <c r="H443" s="14" t="s">
        <v>144</v>
      </c>
      <c r="I443" s="14" t="b">
        <v>0</v>
      </c>
      <c r="J443" s="14">
        <v>67</v>
      </c>
      <c r="K443" s="14">
        <v>374</v>
      </c>
      <c r="L443" s="15">
        <v>407839702</v>
      </c>
      <c r="M443" s="15">
        <v>1200000094144267</v>
      </c>
      <c r="N443" s="14" t="s">
        <v>488</v>
      </c>
      <c r="O443" s="14"/>
    </row>
    <row r="444" spans="1:15">
      <c r="A444" s="14"/>
      <c r="B444" s="14" t="s">
        <v>68</v>
      </c>
      <c r="C444" s="14" t="s">
        <v>487</v>
      </c>
      <c r="D444" s="14" t="s">
        <v>489</v>
      </c>
      <c r="E444" s="14" t="s">
        <v>142</v>
      </c>
      <c r="F444" s="14" t="s">
        <v>143</v>
      </c>
      <c r="G444" s="14" t="s">
        <v>143</v>
      </c>
      <c r="H444" s="14" t="s">
        <v>144</v>
      </c>
      <c r="I444" s="14" t="b">
        <v>0</v>
      </c>
      <c r="J444" s="14">
        <v>66</v>
      </c>
      <c r="K444" s="14">
        <v>382</v>
      </c>
      <c r="L444" s="15">
        <v>406411588</v>
      </c>
      <c r="M444" s="15">
        <v>1200000073397345</v>
      </c>
      <c r="N444" s="14" t="s">
        <v>490</v>
      </c>
      <c r="O444" s="14"/>
    </row>
    <row r="445" spans="1:15">
      <c r="A445" s="14"/>
      <c r="B445" s="14" t="s">
        <v>42</v>
      </c>
      <c r="C445" s="14" t="s">
        <v>308</v>
      </c>
      <c r="D445" s="14" t="s">
        <v>491</v>
      </c>
      <c r="E445" s="14" t="s">
        <v>142</v>
      </c>
      <c r="F445" s="14" t="s">
        <v>143</v>
      </c>
      <c r="G445" s="14" t="s">
        <v>143</v>
      </c>
      <c r="H445" s="14" t="s">
        <v>144</v>
      </c>
      <c r="I445" s="14" t="b">
        <v>0</v>
      </c>
      <c r="J445" s="14">
        <v>389</v>
      </c>
      <c r="K445" s="14">
        <v>128.84</v>
      </c>
      <c r="L445" s="15">
        <v>2098313</v>
      </c>
      <c r="M445" s="15">
        <v>1000000020034216</v>
      </c>
      <c r="N445" s="14" t="s">
        <v>492</v>
      </c>
      <c r="O445" s="14"/>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73"/>
  <sheetViews>
    <sheetView workbookViewId="0">
      <pane ySplit="1" topLeftCell="A155" activePane="bottomLeft" state="frozen"/>
      <selection pane="bottomLeft" activeCell="C155" sqref="C155"/>
    </sheetView>
  </sheetViews>
  <sheetFormatPr defaultRowHeight="15"/>
  <cols>
    <col min="1" max="1" width="12" customWidth="1"/>
    <col min="2" max="2" width="24.28515625" customWidth="1"/>
    <col min="3" max="3" width="12" customWidth="1"/>
    <col min="4" max="4" width="16" customWidth="1"/>
    <col min="5" max="5" width="15" customWidth="1"/>
    <col min="6" max="7" width="16" customWidth="1"/>
  </cols>
  <sheetData>
    <row r="1" spans="1:7">
      <c r="A1" s="21" t="s">
        <v>129</v>
      </c>
      <c r="B1" s="21" t="s">
        <v>32</v>
      </c>
      <c r="C1" s="21" t="s">
        <v>133</v>
      </c>
      <c r="D1" s="21" t="s">
        <v>493</v>
      </c>
      <c r="E1" s="21" t="s">
        <v>494</v>
      </c>
      <c r="F1" s="21" t="s">
        <v>495</v>
      </c>
      <c r="G1" s="21" t="s">
        <v>496</v>
      </c>
    </row>
    <row r="2" spans="1:7">
      <c r="A2" s="14" t="s">
        <v>141</v>
      </c>
      <c r="B2" s="14" t="s">
        <v>158</v>
      </c>
      <c r="C2" s="14" t="s">
        <v>144</v>
      </c>
      <c r="D2" s="14">
        <v>19</v>
      </c>
      <c r="E2" s="16">
        <v>4724.03</v>
      </c>
      <c r="F2" s="16">
        <v>89756.6</v>
      </c>
      <c r="G2" s="14" t="s">
        <v>96</v>
      </c>
    </row>
    <row r="3" spans="1:7">
      <c r="A3" s="14" t="s">
        <v>141</v>
      </c>
      <c r="B3" s="14" t="s">
        <v>155</v>
      </c>
      <c r="C3" s="14" t="s">
        <v>144</v>
      </c>
      <c r="D3" s="14">
        <v>25</v>
      </c>
      <c r="E3" s="16">
        <v>3662.7</v>
      </c>
      <c r="F3" s="16">
        <v>91567.5</v>
      </c>
      <c r="G3" s="14" t="s">
        <v>96</v>
      </c>
    </row>
    <row r="4" spans="1:7">
      <c r="A4" s="14" t="s">
        <v>141</v>
      </c>
      <c r="B4" s="14" t="s">
        <v>149</v>
      </c>
      <c r="C4" s="14" t="s">
        <v>144</v>
      </c>
      <c r="D4" s="14">
        <v>116</v>
      </c>
      <c r="E4" s="16">
        <v>844.15</v>
      </c>
      <c r="F4" s="16">
        <v>97921.4</v>
      </c>
      <c r="G4" s="14" t="s">
        <v>96</v>
      </c>
    </row>
    <row r="5" spans="1:7">
      <c r="A5" s="14" t="s">
        <v>141</v>
      </c>
      <c r="B5" s="14" t="s">
        <v>39</v>
      </c>
      <c r="C5" s="14" t="s">
        <v>144</v>
      </c>
      <c r="D5" s="14">
        <v>13</v>
      </c>
      <c r="E5" s="16">
        <v>7343</v>
      </c>
      <c r="F5" s="16">
        <v>95459</v>
      </c>
      <c r="G5" s="14" t="s">
        <v>96</v>
      </c>
    </row>
    <row r="6" spans="1:7">
      <c r="A6" s="14" t="s">
        <v>141</v>
      </c>
      <c r="B6" s="14" t="s">
        <v>152</v>
      </c>
      <c r="C6" s="14" t="s">
        <v>144</v>
      </c>
      <c r="D6" s="14">
        <v>20</v>
      </c>
      <c r="E6" s="16">
        <v>4509</v>
      </c>
      <c r="F6" s="16">
        <v>90180</v>
      </c>
      <c r="G6" s="14" t="s">
        <v>96</v>
      </c>
    </row>
    <row r="7" spans="1:7">
      <c r="A7" s="14" t="s">
        <v>141</v>
      </c>
      <c r="B7" s="14" t="s">
        <v>74</v>
      </c>
      <c r="C7" s="14" t="s">
        <v>144</v>
      </c>
      <c r="D7" s="14">
        <v>168</v>
      </c>
      <c r="E7" s="16">
        <v>543</v>
      </c>
      <c r="F7" s="16">
        <v>91224</v>
      </c>
      <c r="G7" s="14" t="s">
        <v>96</v>
      </c>
    </row>
    <row r="8" spans="1:7">
      <c r="A8" s="14" t="s">
        <v>141</v>
      </c>
      <c r="B8" s="14" t="s">
        <v>146</v>
      </c>
      <c r="C8" s="14" t="s">
        <v>144</v>
      </c>
      <c r="D8" s="14">
        <v>64</v>
      </c>
      <c r="E8" s="16">
        <v>1548.9</v>
      </c>
      <c r="F8" s="16">
        <v>99129.600000000006</v>
      </c>
      <c r="G8" s="14" t="s">
        <v>96</v>
      </c>
    </row>
    <row r="9" spans="1:7">
      <c r="A9" s="14" t="s">
        <v>165</v>
      </c>
      <c r="B9" s="14" t="s">
        <v>167</v>
      </c>
      <c r="C9" s="14" t="s">
        <v>144</v>
      </c>
      <c r="D9" s="14">
        <v>48</v>
      </c>
      <c r="E9" s="16">
        <v>517.1</v>
      </c>
      <c r="F9" s="16">
        <v>24820.799999999999</v>
      </c>
      <c r="G9" s="14" t="s">
        <v>92</v>
      </c>
    </row>
    <row r="10" spans="1:7">
      <c r="A10" s="14" t="s">
        <v>165</v>
      </c>
      <c r="B10" s="14" t="s">
        <v>170</v>
      </c>
      <c r="C10" s="14" t="s">
        <v>144</v>
      </c>
      <c r="D10" s="14">
        <v>37</v>
      </c>
      <c r="E10" s="16">
        <v>1289.2</v>
      </c>
      <c r="F10" s="16">
        <v>47700.4</v>
      </c>
      <c r="G10" s="14" t="s">
        <v>92</v>
      </c>
    </row>
    <row r="11" spans="1:7">
      <c r="A11" s="14" t="s">
        <v>165</v>
      </c>
      <c r="B11" s="14" t="s">
        <v>76</v>
      </c>
      <c r="C11" s="14" t="s">
        <v>144</v>
      </c>
      <c r="D11" s="14">
        <v>60</v>
      </c>
      <c r="E11" s="16">
        <v>1562.4</v>
      </c>
      <c r="F11" s="16">
        <v>93744</v>
      </c>
      <c r="G11" s="14" t="s">
        <v>96</v>
      </c>
    </row>
    <row r="12" spans="1:7">
      <c r="A12" s="14" t="s">
        <v>165</v>
      </c>
      <c r="B12" s="14" t="s">
        <v>163</v>
      </c>
      <c r="C12" s="14" t="s">
        <v>144</v>
      </c>
      <c r="D12" s="14">
        <v>140</v>
      </c>
      <c r="E12" s="16">
        <v>175.36</v>
      </c>
      <c r="F12" s="16">
        <v>24550.400000000001</v>
      </c>
      <c r="G12" s="14" t="s">
        <v>92</v>
      </c>
    </row>
    <row r="13" spans="1:7">
      <c r="A13" s="14" t="s">
        <v>176</v>
      </c>
      <c r="B13" s="14" t="s">
        <v>86</v>
      </c>
      <c r="C13" s="14" t="s">
        <v>144</v>
      </c>
      <c r="D13" s="14">
        <v>33</v>
      </c>
      <c r="E13" s="16">
        <v>785.35</v>
      </c>
      <c r="F13" s="16">
        <v>25916.55</v>
      </c>
      <c r="G13" s="14" t="s">
        <v>92</v>
      </c>
    </row>
    <row r="14" spans="1:7">
      <c r="A14" s="14" t="s">
        <v>180</v>
      </c>
      <c r="B14" s="14" t="s">
        <v>178</v>
      </c>
      <c r="C14" s="14" t="s">
        <v>144</v>
      </c>
      <c r="D14" s="14">
        <v>35</v>
      </c>
      <c r="E14" s="16">
        <v>716.85</v>
      </c>
      <c r="F14" s="16">
        <v>25089.75</v>
      </c>
      <c r="G14" s="14" t="s">
        <v>92</v>
      </c>
    </row>
    <row r="15" spans="1:7">
      <c r="A15" s="14" t="s">
        <v>184</v>
      </c>
      <c r="B15" s="14" t="s">
        <v>182</v>
      </c>
      <c r="C15" s="14" t="s">
        <v>144</v>
      </c>
      <c r="D15" s="14">
        <v>220</v>
      </c>
      <c r="E15" s="16">
        <v>119.3</v>
      </c>
      <c r="F15" s="16">
        <v>26246</v>
      </c>
      <c r="G15" s="14" t="s">
        <v>92</v>
      </c>
    </row>
    <row r="16" spans="1:7">
      <c r="A16" s="14" t="s">
        <v>184</v>
      </c>
      <c r="B16" s="14" t="s">
        <v>167</v>
      </c>
      <c r="C16" s="14" t="s">
        <v>144</v>
      </c>
      <c r="D16" s="14">
        <v>87</v>
      </c>
      <c r="E16" s="16">
        <v>577.82000000000005</v>
      </c>
      <c r="F16" s="16">
        <v>50270.25</v>
      </c>
      <c r="G16" s="14" t="s">
        <v>91</v>
      </c>
    </row>
    <row r="17" spans="1:7">
      <c r="A17" s="14" t="s">
        <v>184</v>
      </c>
      <c r="B17" s="14" t="s">
        <v>163</v>
      </c>
      <c r="C17" s="14" t="s">
        <v>144</v>
      </c>
      <c r="D17" s="14">
        <v>131</v>
      </c>
      <c r="E17" s="16">
        <v>188.99</v>
      </c>
      <c r="F17" s="16">
        <v>24757.54</v>
      </c>
      <c r="G17" s="14" t="s">
        <v>91</v>
      </c>
    </row>
    <row r="18" spans="1:7">
      <c r="A18" s="14" t="s">
        <v>190</v>
      </c>
      <c r="B18" s="14" t="s">
        <v>188</v>
      </c>
      <c r="C18" s="14" t="s">
        <v>144</v>
      </c>
      <c r="D18" s="14">
        <v>57</v>
      </c>
      <c r="E18" s="16">
        <v>880</v>
      </c>
      <c r="F18" s="16">
        <v>50160</v>
      </c>
      <c r="G18" s="14" t="s">
        <v>92</v>
      </c>
    </row>
    <row r="19" spans="1:7">
      <c r="A19" s="14" t="s">
        <v>192</v>
      </c>
      <c r="B19" s="14" t="s">
        <v>155</v>
      </c>
      <c r="C19" s="14" t="s">
        <v>193</v>
      </c>
      <c r="D19" s="14">
        <v>25</v>
      </c>
      <c r="E19" s="16">
        <v>3390.5</v>
      </c>
      <c r="F19" s="16">
        <v>84762.5</v>
      </c>
      <c r="G19" s="14" t="s">
        <v>497</v>
      </c>
    </row>
    <row r="20" spans="1:7">
      <c r="A20" s="14" t="s">
        <v>192</v>
      </c>
      <c r="B20" s="14" t="s">
        <v>76</v>
      </c>
      <c r="C20" s="14" t="s">
        <v>193</v>
      </c>
      <c r="D20" s="14">
        <v>60</v>
      </c>
      <c r="E20" s="16">
        <v>1477.02</v>
      </c>
      <c r="F20" s="16">
        <v>88621.5</v>
      </c>
      <c r="G20" s="14" t="s">
        <v>497</v>
      </c>
    </row>
    <row r="21" spans="1:7">
      <c r="A21" s="14" t="s">
        <v>192</v>
      </c>
      <c r="B21" s="14" t="s">
        <v>152</v>
      </c>
      <c r="C21" s="14" t="s">
        <v>193</v>
      </c>
      <c r="D21" s="14">
        <v>20</v>
      </c>
      <c r="E21" s="16">
        <v>4180.1499999999996</v>
      </c>
      <c r="F21" s="16">
        <v>83602.899999999994</v>
      </c>
      <c r="G21" s="14" t="s">
        <v>497</v>
      </c>
    </row>
    <row r="22" spans="1:7">
      <c r="A22" s="14" t="s">
        <v>197</v>
      </c>
      <c r="B22" s="14" t="s">
        <v>126</v>
      </c>
      <c r="C22" s="14" t="s">
        <v>144</v>
      </c>
      <c r="D22" s="14">
        <v>104</v>
      </c>
      <c r="E22" s="16">
        <v>210.49</v>
      </c>
      <c r="F22" s="16">
        <v>21890.69</v>
      </c>
      <c r="G22" s="14" t="s">
        <v>92</v>
      </c>
    </row>
    <row r="23" spans="1:7">
      <c r="A23" s="14" t="s">
        <v>197</v>
      </c>
      <c r="B23" s="14" t="s">
        <v>167</v>
      </c>
      <c r="C23" s="14" t="s">
        <v>144</v>
      </c>
      <c r="D23" s="14">
        <v>163</v>
      </c>
      <c r="E23" s="16">
        <v>612.20000000000005</v>
      </c>
      <c r="F23" s="16">
        <v>99788.6</v>
      </c>
      <c r="G23" s="14" t="s">
        <v>96</v>
      </c>
    </row>
    <row r="24" spans="1:7">
      <c r="A24" s="14" t="s">
        <v>197</v>
      </c>
      <c r="B24" s="14" t="s">
        <v>182</v>
      </c>
      <c r="C24" s="14" t="s">
        <v>144</v>
      </c>
      <c r="D24" s="14">
        <v>734</v>
      </c>
      <c r="E24" s="16">
        <v>126.7</v>
      </c>
      <c r="F24" s="16">
        <v>92995.86</v>
      </c>
      <c r="G24" s="14" t="s">
        <v>96</v>
      </c>
    </row>
    <row r="25" spans="1:7">
      <c r="A25" s="14" t="s">
        <v>197</v>
      </c>
      <c r="B25" s="14" t="s">
        <v>202</v>
      </c>
      <c r="C25" s="14" t="s">
        <v>144</v>
      </c>
      <c r="D25" s="14">
        <v>188</v>
      </c>
      <c r="E25" s="16">
        <v>531.34</v>
      </c>
      <c r="F25" s="16">
        <v>99892.65</v>
      </c>
      <c r="G25" s="14" t="s">
        <v>96</v>
      </c>
    </row>
    <row r="26" spans="1:7">
      <c r="A26" s="14" t="s">
        <v>197</v>
      </c>
      <c r="B26" s="14" t="s">
        <v>41</v>
      </c>
      <c r="C26" s="14" t="s">
        <v>144</v>
      </c>
      <c r="D26" s="14">
        <v>129</v>
      </c>
      <c r="E26" s="16">
        <v>775.7</v>
      </c>
      <c r="F26" s="16">
        <v>100065.3</v>
      </c>
      <c r="G26" s="14" t="s">
        <v>96</v>
      </c>
    </row>
    <row r="27" spans="1:7">
      <c r="A27" s="14" t="s">
        <v>197</v>
      </c>
      <c r="B27" s="14" t="s">
        <v>163</v>
      </c>
      <c r="C27" s="14" t="s">
        <v>144</v>
      </c>
      <c r="D27" s="14">
        <v>250</v>
      </c>
      <c r="E27" s="16">
        <v>207</v>
      </c>
      <c r="F27" s="16">
        <v>51750</v>
      </c>
      <c r="G27" s="14" t="s">
        <v>96</v>
      </c>
    </row>
    <row r="28" spans="1:7">
      <c r="A28" s="14" t="s">
        <v>210</v>
      </c>
      <c r="B28" s="14" t="s">
        <v>188</v>
      </c>
      <c r="C28" s="14" t="s">
        <v>193</v>
      </c>
      <c r="D28" s="14">
        <v>57</v>
      </c>
      <c r="E28" s="16">
        <v>786.85</v>
      </c>
      <c r="F28" s="16">
        <v>44850.6</v>
      </c>
      <c r="G28" s="14" t="s">
        <v>497</v>
      </c>
    </row>
    <row r="29" spans="1:7">
      <c r="A29" s="14" t="s">
        <v>212</v>
      </c>
      <c r="B29" s="14" t="s">
        <v>39</v>
      </c>
      <c r="C29" s="14" t="s">
        <v>144</v>
      </c>
      <c r="D29" s="14">
        <v>13</v>
      </c>
      <c r="E29" s="16">
        <v>7609</v>
      </c>
      <c r="F29" s="16">
        <v>98917</v>
      </c>
      <c r="G29" s="14" t="s">
        <v>97</v>
      </c>
    </row>
    <row r="30" spans="1:7">
      <c r="A30" s="14" t="s">
        <v>214</v>
      </c>
      <c r="B30" s="14" t="s">
        <v>163</v>
      </c>
      <c r="C30" s="14" t="s">
        <v>144</v>
      </c>
      <c r="D30" s="14">
        <v>150</v>
      </c>
      <c r="E30" s="16">
        <v>190.91</v>
      </c>
      <c r="F30" s="16">
        <v>28635.84</v>
      </c>
      <c r="G30" s="14" t="s">
        <v>92</v>
      </c>
    </row>
    <row r="31" spans="1:7">
      <c r="A31" s="14" t="s">
        <v>214</v>
      </c>
      <c r="B31" s="14" t="s">
        <v>182</v>
      </c>
      <c r="C31" s="14" t="s">
        <v>144</v>
      </c>
      <c r="D31" s="14">
        <v>784</v>
      </c>
      <c r="E31" s="16">
        <v>127.5</v>
      </c>
      <c r="F31" s="16">
        <v>99956.44</v>
      </c>
      <c r="G31" s="14" t="s">
        <v>97</v>
      </c>
    </row>
    <row r="32" spans="1:7">
      <c r="A32" s="14" t="s">
        <v>219</v>
      </c>
      <c r="B32" s="14" t="s">
        <v>149</v>
      </c>
      <c r="C32" s="14" t="s">
        <v>144</v>
      </c>
      <c r="D32" s="14">
        <v>110</v>
      </c>
      <c r="E32" s="16">
        <v>914.55</v>
      </c>
      <c r="F32" s="16">
        <v>100600.5</v>
      </c>
      <c r="G32" s="14" t="s">
        <v>97</v>
      </c>
    </row>
    <row r="33" spans="1:7">
      <c r="A33" s="14" t="s">
        <v>219</v>
      </c>
      <c r="B33" s="14" t="s">
        <v>217</v>
      </c>
      <c r="C33" s="14" t="s">
        <v>144</v>
      </c>
      <c r="D33" s="14">
        <v>94</v>
      </c>
      <c r="E33" s="16">
        <v>1064.5999999999999</v>
      </c>
      <c r="F33" s="16">
        <v>100072.4</v>
      </c>
      <c r="G33" s="14" t="s">
        <v>96</v>
      </c>
    </row>
    <row r="34" spans="1:7">
      <c r="A34" s="14" t="s">
        <v>222</v>
      </c>
      <c r="B34" s="14" t="s">
        <v>86</v>
      </c>
      <c r="C34" s="14" t="s">
        <v>193</v>
      </c>
      <c r="D34" s="14">
        <v>33</v>
      </c>
      <c r="E34" s="16">
        <v>757.6</v>
      </c>
      <c r="F34" s="16">
        <v>25000.799999999999</v>
      </c>
      <c r="G34" s="14" t="s">
        <v>497</v>
      </c>
    </row>
    <row r="35" spans="1:7">
      <c r="A35" s="14" t="s">
        <v>222</v>
      </c>
      <c r="B35" s="14" t="s">
        <v>178</v>
      </c>
      <c r="C35" s="14" t="s">
        <v>193</v>
      </c>
      <c r="D35" s="14">
        <v>35</v>
      </c>
      <c r="E35" s="16">
        <v>647.19000000000005</v>
      </c>
      <c r="F35" s="16">
        <v>22651.75</v>
      </c>
      <c r="G35" s="14" t="s">
        <v>497</v>
      </c>
    </row>
    <row r="36" spans="1:7">
      <c r="A36" s="14" t="s">
        <v>225</v>
      </c>
      <c r="B36" s="14" t="s">
        <v>163</v>
      </c>
      <c r="C36" s="14" t="s">
        <v>193</v>
      </c>
      <c r="D36" s="14">
        <v>671</v>
      </c>
      <c r="E36" s="16">
        <v>179.34</v>
      </c>
      <c r="F36" s="16">
        <v>120337.14</v>
      </c>
      <c r="G36" s="14" t="s">
        <v>497</v>
      </c>
    </row>
    <row r="37" spans="1:7">
      <c r="A37" s="14" t="s">
        <v>229</v>
      </c>
      <c r="B37" s="14" t="s">
        <v>227</v>
      </c>
      <c r="C37" s="14" t="s">
        <v>144</v>
      </c>
      <c r="D37" s="14">
        <v>75</v>
      </c>
      <c r="E37" s="16">
        <v>339.2</v>
      </c>
      <c r="F37" s="16">
        <v>25440</v>
      </c>
      <c r="G37" s="14" t="s">
        <v>92</v>
      </c>
    </row>
    <row r="38" spans="1:7">
      <c r="A38" s="14" t="s">
        <v>229</v>
      </c>
      <c r="B38" s="14" t="s">
        <v>182</v>
      </c>
      <c r="C38" s="14" t="s">
        <v>193</v>
      </c>
      <c r="D38" s="14">
        <v>1754</v>
      </c>
      <c r="E38" s="16">
        <v>126.6</v>
      </c>
      <c r="F38" s="16">
        <v>222056.4</v>
      </c>
      <c r="G38" s="14" t="s">
        <v>497</v>
      </c>
    </row>
    <row r="39" spans="1:7">
      <c r="A39" s="14" t="s">
        <v>232</v>
      </c>
      <c r="B39" s="14" t="s">
        <v>167</v>
      </c>
      <c r="C39" s="14" t="s">
        <v>193</v>
      </c>
      <c r="D39" s="14">
        <v>298</v>
      </c>
      <c r="E39" s="16">
        <v>589.95000000000005</v>
      </c>
      <c r="F39" s="16">
        <v>175804.15</v>
      </c>
      <c r="G39" s="14" t="s">
        <v>497</v>
      </c>
    </row>
    <row r="40" spans="1:7">
      <c r="A40" s="14" t="s">
        <v>234</v>
      </c>
      <c r="B40" s="14" t="s">
        <v>90</v>
      </c>
      <c r="C40" s="14" t="s">
        <v>144</v>
      </c>
      <c r="D40" s="14">
        <v>100</v>
      </c>
      <c r="E40" s="16">
        <v>269.68</v>
      </c>
      <c r="F40" s="16">
        <v>26968.49</v>
      </c>
      <c r="G40" s="14" t="s">
        <v>92</v>
      </c>
    </row>
    <row r="41" spans="1:7">
      <c r="A41" s="14" t="s">
        <v>234</v>
      </c>
      <c r="B41" s="14" t="s">
        <v>202</v>
      </c>
      <c r="C41" s="14" t="s">
        <v>193</v>
      </c>
      <c r="D41" s="14">
        <v>188</v>
      </c>
      <c r="E41" s="16">
        <v>482.02</v>
      </c>
      <c r="F41" s="16">
        <v>90619.1</v>
      </c>
      <c r="G41" s="14" t="s">
        <v>497</v>
      </c>
    </row>
    <row r="42" spans="1:7">
      <c r="A42" s="14" t="s">
        <v>234</v>
      </c>
      <c r="B42" s="14" t="s">
        <v>41</v>
      </c>
      <c r="C42" s="14" t="s">
        <v>144</v>
      </c>
      <c r="D42" s="14">
        <v>119</v>
      </c>
      <c r="E42" s="16">
        <v>841.1</v>
      </c>
      <c r="F42" s="16">
        <v>100090.9</v>
      </c>
      <c r="G42" s="14" t="s">
        <v>97</v>
      </c>
    </row>
    <row r="43" spans="1:7">
      <c r="A43" s="14" t="s">
        <v>239</v>
      </c>
      <c r="B43" s="14" t="s">
        <v>90</v>
      </c>
      <c r="C43" s="14" t="s">
        <v>144</v>
      </c>
      <c r="D43" s="14">
        <v>176</v>
      </c>
      <c r="E43" s="16">
        <v>283.89</v>
      </c>
      <c r="F43" s="16">
        <v>49964.04</v>
      </c>
      <c r="G43" s="14" t="s">
        <v>91</v>
      </c>
    </row>
    <row r="44" spans="1:7">
      <c r="A44" s="14" t="s">
        <v>243</v>
      </c>
      <c r="B44" s="14" t="s">
        <v>251</v>
      </c>
      <c r="C44" s="14" t="s">
        <v>144</v>
      </c>
      <c r="D44" s="14">
        <v>120</v>
      </c>
      <c r="E44" s="16">
        <v>167.82</v>
      </c>
      <c r="F44" s="16">
        <v>20138.400000000001</v>
      </c>
      <c r="G44" s="14" t="s">
        <v>92</v>
      </c>
    </row>
    <row r="45" spans="1:7">
      <c r="A45" s="14" t="s">
        <v>243</v>
      </c>
      <c r="B45" s="14" t="s">
        <v>43</v>
      </c>
      <c r="C45" s="14" t="s">
        <v>144</v>
      </c>
      <c r="D45" s="14">
        <v>210</v>
      </c>
      <c r="E45" s="16">
        <v>238.41</v>
      </c>
      <c r="F45" s="16">
        <v>50066.1</v>
      </c>
      <c r="G45" s="14" t="s">
        <v>92</v>
      </c>
    </row>
    <row r="46" spans="1:7">
      <c r="A46" s="14" t="s">
        <v>243</v>
      </c>
      <c r="B46" s="14" t="s">
        <v>245</v>
      </c>
      <c r="C46" s="14" t="s">
        <v>144</v>
      </c>
      <c r="D46" s="14">
        <v>42</v>
      </c>
      <c r="E46" s="16">
        <v>955.88</v>
      </c>
      <c r="F46" s="16">
        <v>40147.050000000003</v>
      </c>
      <c r="G46" s="14" t="s">
        <v>92</v>
      </c>
    </row>
    <row r="47" spans="1:7">
      <c r="A47" s="14" t="s">
        <v>243</v>
      </c>
      <c r="B47" s="14" t="s">
        <v>241</v>
      </c>
      <c r="C47" s="14" t="s">
        <v>144</v>
      </c>
      <c r="D47" s="14">
        <v>205</v>
      </c>
      <c r="E47" s="16">
        <v>483.35</v>
      </c>
      <c r="F47" s="16">
        <v>99086.75</v>
      </c>
      <c r="G47" s="14" t="s">
        <v>96</v>
      </c>
    </row>
    <row r="48" spans="1:7">
      <c r="A48" s="14" t="s">
        <v>243</v>
      </c>
      <c r="B48" s="14" t="s">
        <v>248</v>
      </c>
      <c r="C48" s="14" t="s">
        <v>144</v>
      </c>
      <c r="D48" s="14">
        <v>82</v>
      </c>
      <c r="E48" s="16">
        <v>367.7</v>
      </c>
      <c r="F48" s="16">
        <v>30151.4</v>
      </c>
      <c r="G48" s="14" t="s">
        <v>92</v>
      </c>
    </row>
    <row r="49" spans="1:7">
      <c r="A49" s="14" t="s">
        <v>243</v>
      </c>
      <c r="B49" s="14" t="s">
        <v>254</v>
      </c>
      <c r="C49" s="14" t="s">
        <v>144</v>
      </c>
      <c r="D49" s="14">
        <v>9</v>
      </c>
      <c r="E49" s="16">
        <v>950.5</v>
      </c>
      <c r="F49" s="16">
        <v>8554.5</v>
      </c>
      <c r="G49" s="14" t="s">
        <v>92</v>
      </c>
    </row>
    <row r="50" spans="1:7">
      <c r="A50" s="14" t="s">
        <v>243</v>
      </c>
      <c r="B50" s="14" t="s">
        <v>257</v>
      </c>
      <c r="C50" s="14" t="s">
        <v>144</v>
      </c>
      <c r="D50" s="14">
        <v>260</v>
      </c>
      <c r="E50" s="16">
        <v>292.10000000000002</v>
      </c>
      <c r="F50" s="16">
        <v>75946</v>
      </c>
      <c r="G50" s="14" t="s">
        <v>96</v>
      </c>
    </row>
    <row r="51" spans="1:7">
      <c r="A51" s="14" t="s">
        <v>262</v>
      </c>
      <c r="B51" s="14" t="s">
        <v>227</v>
      </c>
      <c r="C51" s="14" t="s">
        <v>193</v>
      </c>
      <c r="D51" s="14">
        <v>75</v>
      </c>
      <c r="E51" s="16">
        <v>304.75</v>
      </c>
      <c r="F51" s="16">
        <v>22856.25</v>
      </c>
      <c r="G51" s="14" t="s">
        <v>497</v>
      </c>
    </row>
    <row r="52" spans="1:7">
      <c r="A52" s="14" t="s">
        <v>264</v>
      </c>
      <c r="B52" s="14" t="s">
        <v>74</v>
      </c>
      <c r="C52" s="14" t="s">
        <v>193</v>
      </c>
      <c r="D52" s="14">
        <v>168</v>
      </c>
      <c r="E52" s="16">
        <v>482.75</v>
      </c>
      <c r="F52" s="16">
        <v>81102.5</v>
      </c>
      <c r="G52" s="14" t="s">
        <v>497</v>
      </c>
    </row>
    <row r="53" spans="1:7">
      <c r="A53" s="14" t="s">
        <v>264</v>
      </c>
      <c r="B53" s="14" t="s">
        <v>158</v>
      </c>
      <c r="C53" s="14" t="s">
        <v>193</v>
      </c>
      <c r="D53" s="14">
        <v>19</v>
      </c>
      <c r="E53" s="16">
        <v>4056.8</v>
      </c>
      <c r="F53" s="16">
        <v>77079.199999999997</v>
      </c>
      <c r="G53" s="14" t="s">
        <v>497</v>
      </c>
    </row>
    <row r="54" spans="1:7">
      <c r="A54" s="14" t="s">
        <v>267</v>
      </c>
      <c r="B54" s="14" t="s">
        <v>39</v>
      </c>
      <c r="C54" s="14" t="s">
        <v>144</v>
      </c>
      <c r="D54" s="14">
        <v>12</v>
      </c>
      <c r="E54" s="16">
        <v>7775.42</v>
      </c>
      <c r="F54" s="16">
        <v>93305</v>
      </c>
      <c r="G54" s="14" t="s">
        <v>98</v>
      </c>
    </row>
    <row r="55" spans="1:7">
      <c r="A55" s="14" t="s">
        <v>269</v>
      </c>
      <c r="B55" s="14" t="s">
        <v>126</v>
      </c>
      <c r="C55" s="14" t="s">
        <v>144</v>
      </c>
      <c r="D55" s="14">
        <v>100</v>
      </c>
      <c r="E55" s="16">
        <v>268.67</v>
      </c>
      <c r="F55" s="16">
        <v>26867</v>
      </c>
      <c r="G55" s="14" t="s">
        <v>91</v>
      </c>
    </row>
    <row r="56" spans="1:7">
      <c r="A56" s="14" t="s">
        <v>272</v>
      </c>
      <c r="B56" s="14" t="s">
        <v>271</v>
      </c>
      <c r="C56" s="14" t="s">
        <v>144</v>
      </c>
      <c r="D56" s="14">
        <v>36</v>
      </c>
      <c r="E56" s="16">
        <v>1393.8</v>
      </c>
      <c r="F56" s="16">
        <v>50176.800000000003</v>
      </c>
      <c r="G56" s="14" t="s">
        <v>92</v>
      </c>
    </row>
    <row r="57" spans="1:7">
      <c r="A57" s="14" t="s">
        <v>272</v>
      </c>
      <c r="B57" s="14" t="s">
        <v>274</v>
      </c>
      <c r="C57" s="14" t="s">
        <v>144</v>
      </c>
      <c r="D57" s="14">
        <v>11</v>
      </c>
      <c r="E57" s="16">
        <v>4513.75</v>
      </c>
      <c r="F57" s="16">
        <v>49651.199999999997</v>
      </c>
      <c r="G57" s="14" t="s">
        <v>92</v>
      </c>
    </row>
    <row r="58" spans="1:7">
      <c r="A58" s="14" t="s">
        <v>277</v>
      </c>
      <c r="B58" s="14" t="s">
        <v>43</v>
      </c>
      <c r="C58" s="14" t="s">
        <v>144</v>
      </c>
      <c r="D58" s="14">
        <v>204</v>
      </c>
      <c r="E58" s="16">
        <v>246.27</v>
      </c>
      <c r="F58" s="16">
        <v>50240.04</v>
      </c>
      <c r="G58" s="14" t="s">
        <v>96</v>
      </c>
    </row>
    <row r="59" spans="1:7">
      <c r="A59" s="14" t="s">
        <v>277</v>
      </c>
      <c r="B59" s="14" t="s">
        <v>274</v>
      </c>
      <c r="C59" s="14" t="s">
        <v>144</v>
      </c>
      <c r="D59" s="14">
        <v>11</v>
      </c>
      <c r="E59" s="16">
        <v>4712.03</v>
      </c>
      <c r="F59" s="16">
        <v>51832.3</v>
      </c>
      <c r="G59" s="14" t="s">
        <v>96</v>
      </c>
    </row>
    <row r="60" spans="1:7">
      <c r="A60" s="14" t="s">
        <v>280</v>
      </c>
      <c r="B60" s="14" t="s">
        <v>282</v>
      </c>
      <c r="C60" s="14" t="s">
        <v>144</v>
      </c>
      <c r="D60" s="14">
        <v>920</v>
      </c>
      <c r="E60" s="16">
        <v>108.48</v>
      </c>
      <c r="F60" s="16">
        <v>99801.600000000006</v>
      </c>
      <c r="G60" s="14" t="s">
        <v>96</v>
      </c>
    </row>
    <row r="61" spans="1:7">
      <c r="A61" s="14" t="s">
        <v>280</v>
      </c>
      <c r="B61" s="14" t="s">
        <v>43</v>
      </c>
      <c r="C61" s="14" t="s">
        <v>144</v>
      </c>
      <c r="D61" s="14">
        <v>388</v>
      </c>
      <c r="E61" s="16">
        <v>257.7</v>
      </c>
      <c r="F61" s="16">
        <v>99987.74</v>
      </c>
      <c r="G61" s="14" t="s">
        <v>97</v>
      </c>
    </row>
    <row r="62" spans="1:7">
      <c r="A62" s="14" t="s">
        <v>287</v>
      </c>
      <c r="B62" s="14" t="s">
        <v>199</v>
      </c>
      <c r="C62" s="14" t="s">
        <v>144</v>
      </c>
      <c r="D62" s="14">
        <v>18</v>
      </c>
      <c r="E62" s="16">
        <v>2801.6</v>
      </c>
      <c r="F62" s="16">
        <v>50428.800000000003</v>
      </c>
      <c r="G62" s="14" t="s">
        <v>92</v>
      </c>
    </row>
    <row r="63" spans="1:7">
      <c r="A63" s="14" t="s">
        <v>287</v>
      </c>
      <c r="B63" s="14" t="s">
        <v>285</v>
      </c>
      <c r="C63" s="14" t="s">
        <v>144</v>
      </c>
      <c r="D63" s="14">
        <v>117</v>
      </c>
      <c r="E63" s="16">
        <v>426.6</v>
      </c>
      <c r="F63" s="16">
        <v>49912.2</v>
      </c>
      <c r="G63" s="14" t="s">
        <v>92</v>
      </c>
    </row>
    <row r="64" spans="1:7">
      <c r="A64" s="14" t="s">
        <v>293</v>
      </c>
      <c r="B64" s="14" t="s">
        <v>291</v>
      </c>
      <c r="C64" s="14" t="s">
        <v>144</v>
      </c>
      <c r="D64" s="14">
        <v>103</v>
      </c>
      <c r="E64" s="16">
        <v>485.05</v>
      </c>
      <c r="F64" s="16">
        <v>49960.15</v>
      </c>
      <c r="G64" s="14" t="s">
        <v>92</v>
      </c>
    </row>
    <row r="65" spans="1:7">
      <c r="A65" s="14" t="s">
        <v>293</v>
      </c>
      <c r="B65" s="14" t="s">
        <v>285</v>
      </c>
      <c r="C65" s="14" t="s">
        <v>144</v>
      </c>
      <c r="D65" s="14">
        <v>111</v>
      </c>
      <c r="E65" s="16">
        <v>450.45</v>
      </c>
      <c r="F65" s="16">
        <v>49999.95</v>
      </c>
      <c r="G65" s="14" t="s">
        <v>96</v>
      </c>
    </row>
    <row r="66" spans="1:7">
      <c r="A66" s="14" t="s">
        <v>298</v>
      </c>
      <c r="B66" s="14" t="s">
        <v>296</v>
      </c>
      <c r="C66" s="14" t="s">
        <v>144</v>
      </c>
      <c r="D66" s="14">
        <v>19</v>
      </c>
      <c r="E66" s="16">
        <v>1314.6</v>
      </c>
      <c r="F66" s="16">
        <v>24977.4</v>
      </c>
      <c r="G66" s="14" t="s">
        <v>92</v>
      </c>
    </row>
    <row r="67" spans="1:7">
      <c r="A67" s="14" t="s">
        <v>300</v>
      </c>
      <c r="B67" s="14" t="s">
        <v>126</v>
      </c>
      <c r="C67" s="14" t="s">
        <v>193</v>
      </c>
      <c r="D67" s="14">
        <v>220</v>
      </c>
      <c r="E67" s="16">
        <v>245.9</v>
      </c>
      <c r="F67" s="16">
        <v>54098</v>
      </c>
      <c r="G67" s="14" t="s">
        <v>497</v>
      </c>
    </row>
    <row r="68" spans="1:7">
      <c r="A68" s="14" t="s">
        <v>302</v>
      </c>
      <c r="B68" s="14" t="s">
        <v>94</v>
      </c>
      <c r="C68" s="14" t="s">
        <v>144</v>
      </c>
      <c r="D68" s="14">
        <v>300</v>
      </c>
      <c r="E68" s="16">
        <v>84.49</v>
      </c>
      <c r="F68" s="16">
        <v>25347</v>
      </c>
      <c r="G68" s="14" t="s">
        <v>92</v>
      </c>
    </row>
    <row r="69" spans="1:7">
      <c r="A69" s="14" t="s">
        <v>302</v>
      </c>
      <c r="B69" s="14" t="s">
        <v>41</v>
      </c>
      <c r="C69" s="14" t="s">
        <v>144</v>
      </c>
      <c r="D69" s="14">
        <v>108</v>
      </c>
      <c r="E69" s="16">
        <v>926.51</v>
      </c>
      <c r="F69" s="16">
        <v>100063.1</v>
      </c>
      <c r="G69" s="14" t="s">
        <v>98</v>
      </c>
    </row>
    <row r="70" spans="1:7">
      <c r="A70" s="14" t="s">
        <v>302</v>
      </c>
      <c r="B70" s="14" t="s">
        <v>93</v>
      </c>
      <c r="C70" s="14" t="s">
        <v>144</v>
      </c>
      <c r="D70" s="14">
        <v>182</v>
      </c>
      <c r="E70" s="16">
        <v>137.25</v>
      </c>
      <c r="F70" s="16">
        <v>24979.5</v>
      </c>
      <c r="G70" s="14" t="s">
        <v>92</v>
      </c>
    </row>
    <row r="71" spans="1:7">
      <c r="A71" s="14" t="s">
        <v>309</v>
      </c>
      <c r="B71" s="14" t="s">
        <v>44</v>
      </c>
      <c r="C71" s="14" t="s">
        <v>144</v>
      </c>
      <c r="D71" s="14">
        <v>4</v>
      </c>
      <c r="E71" s="16">
        <v>2936.3</v>
      </c>
      <c r="F71" s="16">
        <v>11745.2</v>
      </c>
      <c r="G71" s="14" t="s">
        <v>92</v>
      </c>
    </row>
    <row r="72" spans="1:7">
      <c r="A72" s="14" t="s">
        <v>309</v>
      </c>
      <c r="B72" s="14" t="s">
        <v>182</v>
      </c>
      <c r="C72" s="14" t="s">
        <v>144</v>
      </c>
      <c r="D72" s="14">
        <v>324</v>
      </c>
      <c r="E72" s="16">
        <v>154.59</v>
      </c>
      <c r="F72" s="16">
        <v>50087.6</v>
      </c>
      <c r="G72" s="14" t="s">
        <v>92</v>
      </c>
    </row>
    <row r="73" spans="1:7">
      <c r="A73" s="14" t="s">
        <v>309</v>
      </c>
      <c r="B73" s="14" t="s">
        <v>167</v>
      </c>
      <c r="C73" s="14" t="s">
        <v>144</v>
      </c>
      <c r="D73" s="14">
        <v>41</v>
      </c>
      <c r="E73" s="16">
        <v>612</v>
      </c>
      <c r="F73" s="16">
        <v>25092</v>
      </c>
      <c r="G73" s="14" t="s">
        <v>92</v>
      </c>
    </row>
    <row r="74" spans="1:7">
      <c r="A74" s="14" t="s">
        <v>309</v>
      </c>
      <c r="B74" s="14" t="s">
        <v>245</v>
      </c>
      <c r="C74" s="14" t="s">
        <v>193</v>
      </c>
      <c r="D74" s="14">
        <v>52</v>
      </c>
      <c r="E74" s="16">
        <v>814.95</v>
      </c>
      <c r="F74" s="16">
        <v>42377.3</v>
      </c>
      <c r="G74" s="14" t="s">
        <v>497</v>
      </c>
    </row>
    <row r="75" spans="1:7">
      <c r="A75" s="14" t="s">
        <v>309</v>
      </c>
      <c r="B75" s="14" t="s">
        <v>42</v>
      </c>
      <c r="C75" s="14" t="s">
        <v>144</v>
      </c>
      <c r="D75" s="14">
        <v>665</v>
      </c>
      <c r="E75" s="16">
        <v>75.5</v>
      </c>
      <c r="F75" s="16">
        <v>50207.5</v>
      </c>
      <c r="G75" s="14" t="s">
        <v>92</v>
      </c>
    </row>
    <row r="76" spans="1:7">
      <c r="A76" s="14" t="s">
        <v>309</v>
      </c>
      <c r="B76" s="14" t="s">
        <v>42</v>
      </c>
      <c r="C76" s="14" t="s">
        <v>193</v>
      </c>
      <c r="D76" s="14">
        <v>665</v>
      </c>
      <c r="E76" s="16">
        <v>72.98</v>
      </c>
      <c r="F76" s="16">
        <v>48531.7</v>
      </c>
      <c r="G76" s="14" t="s">
        <v>497</v>
      </c>
    </row>
    <row r="77" spans="1:7">
      <c r="A77" s="14" t="s">
        <v>317</v>
      </c>
      <c r="B77" s="14" t="s">
        <v>42</v>
      </c>
      <c r="C77" s="14" t="s">
        <v>144</v>
      </c>
      <c r="D77" s="14">
        <v>500</v>
      </c>
      <c r="E77" s="16">
        <v>84.92</v>
      </c>
      <c r="F77" s="16">
        <v>42460</v>
      </c>
      <c r="G77" s="14" t="s">
        <v>92</v>
      </c>
    </row>
    <row r="78" spans="1:7">
      <c r="A78" s="14" t="s">
        <v>319</v>
      </c>
      <c r="B78" s="14" t="s">
        <v>254</v>
      </c>
      <c r="C78" s="14" t="s">
        <v>144</v>
      </c>
      <c r="D78" s="14">
        <v>24</v>
      </c>
      <c r="E78" s="16">
        <v>1043.0999999999999</v>
      </c>
      <c r="F78" s="16">
        <v>25034.400000000001</v>
      </c>
      <c r="G78" s="14" t="s">
        <v>91</v>
      </c>
    </row>
    <row r="79" spans="1:7">
      <c r="A79" s="14" t="s">
        <v>319</v>
      </c>
      <c r="B79" s="14" t="s">
        <v>333</v>
      </c>
      <c r="C79" s="14" t="s">
        <v>144</v>
      </c>
      <c r="D79" s="14">
        <v>20</v>
      </c>
      <c r="E79" s="16">
        <v>66.849999999999994</v>
      </c>
      <c r="F79" s="16">
        <v>1337</v>
      </c>
      <c r="G79" s="14" t="s">
        <v>92</v>
      </c>
    </row>
    <row r="80" spans="1:7">
      <c r="A80" s="14" t="s">
        <v>319</v>
      </c>
      <c r="B80" s="14" t="s">
        <v>324</v>
      </c>
      <c r="C80" s="14" t="s">
        <v>144</v>
      </c>
      <c r="D80" s="14">
        <v>600</v>
      </c>
      <c r="E80" s="16">
        <v>44.47</v>
      </c>
      <c r="F80" s="16">
        <v>26682</v>
      </c>
      <c r="G80" s="14" t="s">
        <v>92</v>
      </c>
    </row>
    <row r="81" spans="1:7">
      <c r="A81" s="14" t="s">
        <v>319</v>
      </c>
      <c r="B81" s="14" t="s">
        <v>330</v>
      </c>
      <c r="C81" s="14" t="s">
        <v>144</v>
      </c>
      <c r="D81" s="14">
        <v>160</v>
      </c>
      <c r="E81" s="16">
        <v>157.27000000000001</v>
      </c>
      <c r="F81" s="16">
        <v>25162.48</v>
      </c>
      <c r="G81" s="14" t="s">
        <v>92</v>
      </c>
    </row>
    <row r="82" spans="1:7">
      <c r="A82" s="14" t="s">
        <v>319</v>
      </c>
      <c r="B82" s="14" t="s">
        <v>327</v>
      </c>
      <c r="C82" s="14" t="s">
        <v>144</v>
      </c>
      <c r="D82" s="14">
        <v>10</v>
      </c>
      <c r="E82" s="16">
        <v>131.88999999999999</v>
      </c>
      <c r="F82" s="16">
        <v>1318.9</v>
      </c>
      <c r="G82" s="14" t="s">
        <v>92</v>
      </c>
    </row>
    <row r="83" spans="1:7">
      <c r="A83" s="14" t="s">
        <v>319</v>
      </c>
      <c r="B83" s="14" t="s">
        <v>274</v>
      </c>
      <c r="C83" s="14" t="s">
        <v>193</v>
      </c>
      <c r="D83" s="14">
        <v>22</v>
      </c>
      <c r="E83" s="16">
        <v>4030.42</v>
      </c>
      <c r="F83" s="16">
        <v>88669.2</v>
      </c>
      <c r="G83" s="14" t="s">
        <v>497</v>
      </c>
    </row>
    <row r="84" spans="1:7">
      <c r="A84" s="14" t="s">
        <v>319</v>
      </c>
      <c r="B84" s="14" t="s">
        <v>43</v>
      </c>
      <c r="C84" s="14" t="s">
        <v>144</v>
      </c>
      <c r="D84" s="14">
        <v>370</v>
      </c>
      <c r="E84" s="16">
        <v>270.25</v>
      </c>
      <c r="F84" s="16">
        <v>99991.4</v>
      </c>
      <c r="G84" s="14" t="s">
        <v>98</v>
      </c>
    </row>
    <row r="85" spans="1:7">
      <c r="A85" s="14" t="s">
        <v>319</v>
      </c>
      <c r="B85" s="14" t="s">
        <v>93</v>
      </c>
      <c r="C85" s="14" t="s">
        <v>144</v>
      </c>
      <c r="D85" s="14">
        <v>180</v>
      </c>
      <c r="E85" s="16">
        <v>140.28</v>
      </c>
      <c r="F85" s="16">
        <v>25249.79</v>
      </c>
      <c r="G85" s="14" t="s">
        <v>91</v>
      </c>
    </row>
    <row r="86" spans="1:7">
      <c r="A86" s="14" t="s">
        <v>319</v>
      </c>
      <c r="B86" s="14" t="s">
        <v>42</v>
      </c>
      <c r="C86" s="14" t="s">
        <v>144</v>
      </c>
      <c r="D86" s="14">
        <v>525</v>
      </c>
      <c r="E86" s="16">
        <v>96.34</v>
      </c>
      <c r="F86" s="16">
        <v>50578.5</v>
      </c>
      <c r="G86" s="14" t="s">
        <v>96</v>
      </c>
    </row>
    <row r="87" spans="1:7">
      <c r="A87" s="14" t="s">
        <v>339</v>
      </c>
      <c r="B87" s="14" t="s">
        <v>333</v>
      </c>
      <c r="C87" s="14" t="s">
        <v>144</v>
      </c>
      <c r="D87" s="14">
        <v>360</v>
      </c>
      <c r="E87" s="16">
        <v>66.84</v>
      </c>
      <c r="F87" s="16">
        <v>24062.69</v>
      </c>
      <c r="G87" s="14" t="s">
        <v>91</v>
      </c>
    </row>
    <row r="88" spans="1:7">
      <c r="A88" s="14" t="s">
        <v>339</v>
      </c>
      <c r="B88" s="14" t="s">
        <v>327</v>
      </c>
      <c r="C88" s="14" t="s">
        <v>144</v>
      </c>
      <c r="D88" s="14">
        <v>190</v>
      </c>
      <c r="E88" s="16">
        <v>127.48</v>
      </c>
      <c r="F88" s="16">
        <v>24221.200000000001</v>
      </c>
      <c r="G88" s="14" t="s">
        <v>91</v>
      </c>
    </row>
    <row r="89" spans="1:7">
      <c r="A89" s="14" t="s">
        <v>339</v>
      </c>
      <c r="B89" s="14" t="s">
        <v>296</v>
      </c>
      <c r="C89" s="14" t="s">
        <v>193</v>
      </c>
      <c r="D89" s="14">
        <v>19</v>
      </c>
      <c r="E89" s="16">
        <v>1130.3</v>
      </c>
      <c r="F89" s="16">
        <v>21475.7</v>
      </c>
      <c r="G89" s="14" t="s">
        <v>497</v>
      </c>
    </row>
    <row r="90" spans="1:7">
      <c r="A90" s="14" t="s">
        <v>343</v>
      </c>
      <c r="B90" s="14" t="s">
        <v>282</v>
      </c>
      <c r="C90" s="14" t="s">
        <v>193</v>
      </c>
      <c r="D90" s="14">
        <v>920</v>
      </c>
      <c r="E90" s="16">
        <v>89.75</v>
      </c>
      <c r="F90" s="16">
        <v>82570</v>
      </c>
      <c r="G90" s="14" t="s">
        <v>497</v>
      </c>
    </row>
    <row r="91" spans="1:7">
      <c r="A91" s="14" t="s">
        <v>343</v>
      </c>
      <c r="B91" s="14" t="s">
        <v>285</v>
      </c>
      <c r="C91" s="14" t="s">
        <v>193</v>
      </c>
      <c r="D91" s="14">
        <v>228</v>
      </c>
      <c r="E91" s="16">
        <v>395.42</v>
      </c>
      <c r="F91" s="16">
        <v>90155.4</v>
      </c>
      <c r="G91" s="14" t="s">
        <v>497</v>
      </c>
    </row>
    <row r="92" spans="1:7">
      <c r="A92" s="14" t="s">
        <v>346</v>
      </c>
      <c r="B92" s="14" t="s">
        <v>352</v>
      </c>
      <c r="C92" s="14" t="s">
        <v>144</v>
      </c>
      <c r="D92" s="14">
        <v>10</v>
      </c>
      <c r="E92" s="16">
        <v>1282.3599999999999</v>
      </c>
      <c r="F92" s="16">
        <v>12823.6</v>
      </c>
      <c r="G92" s="14" t="s">
        <v>92</v>
      </c>
    </row>
    <row r="93" spans="1:7">
      <c r="A93" s="14" t="s">
        <v>346</v>
      </c>
      <c r="B93" s="14" t="s">
        <v>324</v>
      </c>
      <c r="C93" s="14" t="s">
        <v>193</v>
      </c>
      <c r="D93" s="14">
        <v>600</v>
      </c>
      <c r="E93" s="16">
        <v>37.549999999999997</v>
      </c>
      <c r="F93" s="16">
        <v>22532.01</v>
      </c>
      <c r="G93" s="14" t="s">
        <v>497</v>
      </c>
    </row>
    <row r="94" spans="1:7">
      <c r="A94" s="14" t="s">
        <v>346</v>
      </c>
      <c r="B94" s="14" t="s">
        <v>254</v>
      </c>
      <c r="C94" s="14" t="s">
        <v>144</v>
      </c>
      <c r="D94" s="14">
        <v>93</v>
      </c>
      <c r="E94" s="16">
        <v>1078</v>
      </c>
      <c r="F94" s="16">
        <v>100254</v>
      </c>
      <c r="G94" s="14" t="s">
        <v>96</v>
      </c>
    </row>
    <row r="95" spans="1:7">
      <c r="A95" s="14" t="s">
        <v>346</v>
      </c>
      <c r="B95" s="14" t="s">
        <v>41</v>
      </c>
      <c r="C95" s="14" t="s">
        <v>193</v>
      </c>
      <c r="D95" s="14">
        <v>103</v>
      </c>
      <c r="E95" s="16">
        <v>968.1</v>
      </c>
      <c r="F95" s="16">
        <v>99714.35</v>
      </c>
      <c r="G95" s="14" t="s">
        <v>497</v>
      </c>
    </row>
    <row r="96" spans="1:7">
      <c r="A96" s="14" t="s">
        <v>346</v>
      </c>
      <c r="B96" s="14" t="s">
        <v>349</v>
      </c>
      <c r="C96" s="14" t="s">
        <v>144</v>
      </c>
      <c r="D96" s="14">
        <v>168</v>
      </c>
      <c r="E96" s="16">
        <v>449.35</v>
      </c>
      <c r="F96" s="16">
        <v>75490.05</v>
      </c>
      <c r="G96" s="14" t="s">
        <v>96</v>
      </c>
    </row>
    <row r="97" spans="1:7">
      <c r="A97" s="14" t="s">
        <v>357</v>
      </c>
      <c r="B97" s="14" t="s">
        <v>257</v>
      </c>
      <c r="C97" s="14" t="s">
        <v>193</v>
      </c>
      <c r="D97" s="14">
        <v>260</v>
      </c>
      <c r="E97" s="16">
        <v>271.56</v>
      </c>
      <c r="F97" s="16">
        <v>70604.55</v>
      </c>
      <c r="G97" s="14" t="s">
        <v>497</v>
      </c>
    </row>
    <row r="98" spans="1:7">
      <c r="A98" s="14" t="s">
        <v>357</v>
      </c>
      <c r="B98" s="14" t="s">
        <v>146</v>
      </c>
      <c r="C98" s="14" t="s">
        <v>193</v>
      </c>
      <c r="D98" s="14">
        <v>64</v>
      </c>
      <c r="E98" s="16">
        <v>1299.4000000000001</v>
      </c>
      <c r="F98" s="16">
        <v>83161.600000000006</v>
      </c>
      <c r="G98" s="14" t="s">
        <v>497</v>
      </c>
    </row>
    <row r="99" spans="1:7">
      <c r="A99" s="14" t="s">
        <v>357</v>
      </c>
      <c r="B99" s="14" t="s">
        <v>327</v>
      </c>
      <c r="C99" s="14" t="s">
        <v>193</v>
      </c>
      <c r="D99" s="14">
        <v>200</v>
      </c>
      <c r="E99" s="16">
        <v>119.56</v>
      </c>
      <c r="F99" s="16">
        <v>23912</v>
      </c>
      <c r="G99" s="14" t="s">
        <v>497</v>
      </c>
    </row>
    <row r="100" spans="1:7">
      <c r="A100" s="14" t="s">
        <v>357</v>
      </c>
      <c r="B100" s="14" t="s">
        <v>217</v>
      </c>
      <c r="C100" s="14" t="s">
        <v>193</v>
      </c>
      <c r="D100" s="14">
        <v>94</v>
      </c>
      <c r="E100" s="16">
        <v>898.15</v>
      </c>
      <c r="F100" s="16">
        <v>84426.1</v>
      </c>
      <c r="G100" s="14" t="s">
        <v>497</v>
      </c>
    </row>
    <row r="101" spans="1:7">
      <c r="A101" s="14" t="s">
        <v>357</v>
      </c>
      <c r="B101" s="14" t="s">
        <v>271</v>
      </c>
      <c r="C101" s="14" t="s">
        <v>193</v>
      </c>
      <c r="D101" s="14">
        <v>36</v>
      </c>
      <c r="E101" s="16">
        <v>1416.6</v>
      </c>
      <c r="F101" s="16">
        <v>50997.599999999999</v>
      </c>
      <c r="G101" s="14" t="s">
        <v>497</v>
      </c>
    </row>
    <row r="102" spans="1:7">
      <c r="A102" s="14" t="s">
        <v>357</v>
      </c>
      <c r="B102" s="14" t="s">
        <v>182</v>
      </c>
      <c r="C102" s="14" t="s">
        <v>193</v>
      </c>
      <c r="D102" s="14">
        <v>324</v>
      </c>
      <c r="E102" s="16">
        <v>140.33000000000001</v>
      </c>
      <c r="F102" s="16">
        <v>45468</v>
      </c>
      <c r="G102" s="14" t="s">
        <v>497</v>
      </c>
    </row>
    <row r="103" spans="1:7">
      <c r="A103" s="14" t="s">
        <v>365</v>
      </c>
      <c r="B103" s="14" t="s">
        <v>330</v>
      </c>
      <c r="C103" s="14" t="s">
        <v>144</v>
      </c>
      <c r="D103" s="14">
        <v>305</v>
      </c>
      <c r="E103" s="16">
        <v>163.99</v>
      </c>
      <c r="F103" s="16">
        <v>50016.95</v>
      </c>
      <c r="G103" s="14" t="s">
        <v>91</v>
      </c>
    </row>
    <row r="104" spans="1:7">
      <c r="A104" s="14" t="s">
        <v>368</v>
      </c>
      <c r="B104" s="14" t="s">
        <v>52</v>
      </c>
      <c r="C104" s="14" t="s">
        <v>144</v>
      </c>
      <c r="D104" s="14">
        <v>45</v>
      </c>
      <c r="E104" s="16">
        <v>2237.6</v>
      </c>
      <c r="F104" s="16">
        <v>100692</v>
      </c>
      <c r="G104" s="14" t="s">
        <v>96</v>
      </c>
    </row>
    <row r="105" spans="1:7">
      <c r="A105" s="14" t="s">
        <v>371</v>
      </c>
      <c r="B105" s="14" t="s">
        <v>374</v>
      </c>
      <c r="C105" s="14" t="s">
        <v>144</v>
      </c>
      <c r="D105" s="14">
        <v>10</v>
      </c>
      <c r="E105" s="16">
        <v>483.55</v>
      </c>
      <c r="F105" s="16">
        <v>4835.5</v>
      </c>
      <c r="G105" s="14" t="s">
        <v>92</v>
      </c>
    </row>
    <row r="106" spans="1:7">
      <c r="A106" s="14" t="s">
        <v>371</v>
      </c>
      <c r="B106" s="14" t="s">
        <v>86</v>
      </c>
      <c r="C106" s="14" t="s">
        <v>144</v>
      </c>
      <c r="D106" s="14">
        <v>10</v>
      </c>
      <c r="E106" s="16">
        <v>684</v>
      </c>
      <c r="F106" s="16">
        <v>6840</v>
      </c>
      <c r="G106" s="14" t="s">
        <v>92</v>
      </c>
    </row>
    <row r="107" spans="1:7">
      <c r="A107" s="14" t="s">
        <v>371</v>
      </c>
      <c r="B107" s="14" t="s">
        <v>37</v>
      </c>
      <c r="C107" s="14" t="s">
        <v>144</v>
      </c>
      <c r="D107" s="14">
        <v>10</v>
      </c>
      <c r="E107" s="16">
        <v>853.85</v>
      </c>
      <c r="F107" s="16">
        <v>8538.5</v>
      </c>
      <c r="G107" s="14" t="s">
        <v>92</v>
      </c>
    </row>
    <row r="108" spans="1:7">
      <c r="A108" s="14" t="s">
        <v>371</v>
      </c>
      <c r="B108" s="14" t="s">
        <v>352</v>
      </c>
      <c r="C108" s="14" t="s">
        <v>144</v>
      </c>
      <c r="D108" s="14">
        <v>10</v>
      </c>
      <c r="E108" s="16">
        <v>1368</v>
      </c>
      <c r="F108" s="16">
        <v>13680</v>
      </c>
      <c r="G108" s="14" t="s">
        <v>91</v>
      </c>
    </row>
    <row r="109" spans="1:7">
      <c r="A109" s="14" t="s">
        <v>378</v>
      </c>
      <c r="B109" s="14" t="s">
        <v>352</v>
      </c>
      <c r="C109" s="14" t="s">
        <v>144</v>
      </c>
      <c r="D109" s="14">
        <v>14</v>
      </c>
      <c r="E109" s="16">
        <v>1380.66</v>
      </c>
      <c r="F109" s="16">
        <v>19329.3</v>
      </c>
      <c r="G109" s="14" t="s">
        <v>87</v>
      </c>
    </row>
    <row r="110" spans="1:7">
      <c r="A110" s="14" t="s">
        <v>380</v>
      </c>
      <c r="B110" s="14" t="s">
        <v>254</v>
      </c>
      <c r="C110" s="14" t="s">
        <v>144</v>
      </c>
      <c r="D110" s="14">
        <v>82</v>
      </c>
      <c r="E110" s="16">
        <v>1213.74</v>
      </c>
      <c r="F110" s="16">
        <v>99527</v>
      </c>
      <c r="G110" s="14" t="s">
        <v>97</v>
      </c>
    </row>
    <row r="111" spans="1:7">
      <c r="A111" s="14" t="s">
        <v>380</v>
      </c>
      <c r="B111" s="14" t="s">
        <v>384</v>
      </c>
      <c r="C111" s="14" t="s">
        <v>144</v>
      </c>
      <c r="D111" s="14">
        <v>80</v>
      </c>
      <c r="E111" s="16">
        <v>314.7</v>
      </c>
      <c r="F111" s="16">
        <v>25175.98</v>
      </c>
      <c r="G111" s="14" t="s">
        <v>92</v>
      </c>
    </row>
    <row r="112" spans="1:7">
      <c r="A112" s="14" t="s">
        <v>380</v>
      </c>
      <c r="B112" s="14" t="s">
        <v>86</v>
      </c>
      <c r="C112" s="14" t="s">
        <v>144</v>
      </c>
      <c r="D112" s="14">
        <v>27</v>
      </c>
      <c r="E112" s="16">
        <v>714.9</v>
      </c>
      <c r="F112" s="16">
        <v>19302.3</v>
      </c>
      <c r="G112" s="14" t="s">
        <v>91</v>
      </c>
    </row>
    <row r="113" spans="1:7">
      <c r="A113" s="14" t="s">
        <v>380</v>
      </c>
      <c r="B113" s="14" t="s">
        <v>291</v>
      </c>
      <c r="C113" s="14" t="s">
        <v>144</v>
      </c>
      <c r="D113" s="14">
        <v>93</v>
      </c>
      <c r="E113" s="16">
        <v>538.91999999999996</v>
      </c>
      <c r="F113" s="16">
        <v>50119.35</v>
      </c>
      <c r="G113" s="14" t="s">
        <v>96</v>
      </c>
    </row>
    <row r="114" spans="1:7">
      <c r="A114" s="14" t="s">
        <v>387</v>
      </c>
      <c r="B114" s="14" t="s">
        <v>37</v>
      </c>
      <c r="C114" s="14" t="s">
        <v>144</v>
      </c>
      <c r="D114" s="14">
        <v>45</v>
      </c>
      <c r="E114" s="16">
        <v>908</v>
      </c>
      <c r="F114" s="16">
        <v>40860</v>
      </c>
      <c r="G114" s="14" t="s">
        <v>91</v>
      </c>
    </row>
    <row r="115" spans="1:7">
      <c r="A115" s="14" t="s">
        <v>387</v>
      </c>
      <c r="B115" s="14" t="s">
        <v>333</v>
      </c>
      <c r="C115" s="14" t="s">
        <v>144</v>
      </c>
      <c r="D115" s="14">
        <v>340</v>
      </c>
      <c r="E115" s="16">
        <v>75</v>
      </c>
      <c r="F115" s="16">
        <v>25500</v>
      </c>
      <c r="G115" s="14" t="s">
        <v>87</v>
      </c>
    </row>
    <row r="116" spans="1:7">
      <c r="A116" s="14" t="s">
        <v>387</v>
      </c>
      <c r="B116" s="14" t="s">
        <v>374</v>
      </c>
      <c r="C116" s="14" t="s">
        <v>193</v>
      </c>
      <c r="D116" s="14">
        <v>10</v>
      </c>
      <c r="E116" s="16">
        <v>419.3</v>
      </c>
      <c r="F116" s="16">
        <v>4193</v>
      </c>
      <c r="G116" s="14" t="s">
        <v>497</v>
      </c>
    </row>
    <row r="117" spans="1:7">
      <c r="A117" s="14" t="s">
        <v>387</v>
      </c>
      <c r="B117" s="14" t="s">
        <v>251</v>
      </c>
      <c r="C117" s="14" t="s">
        <v>144</v>
      </c>
      <c r="D117" s="14">
        <v>266</v>
      </c>
      <c r="E117" s="16">
        <v>188.15</v>
      </c>
      <c r="F117" s="16">
        <v>50047.9</v>
      </c>
      <c r="G117" s="14" t="s">
        <v>91</v>
      </c>
    </row>
    <row r="118" spans="1:7">
      <c r="A118" s="14" t="s">
        <v>392</v>
      </c>
      <c r="B118" s="14" t="s">
        <v>291</v>
      </c>
      <c r="C118" s="14" t="s">
        <v>193</v>
      </c>
      <c r="D118" s="14">
        <v>196</v>
      </c>
      <c r="E118" s="16">
        <v>420.4</v>
      </c>
      <c r="F118" s="16">
        <v>82398.399999999994</v>
      </c>
      <c r="G118" s="14" t="s">
        <v>497</v>
      </c>
    </row>
    <row r="119" spans="1:7">
      <c r="A119" s="14" t="s">
        <v>394</v>
      </c>
      <c r="B119" s="14" t="s">
        <v>349</v>
      </c>
      <c r="C119" s="14" t="s">
        <v>144</v>
      </c>
      <c r="D119" s="14">
        <v>54</v>
      </c>
      <c r="E119" s="16">
        <v>468.3</v>
      </c>
      <c r="F119" s="16">
        <v>25288.2</v>
      </c>
      <c r="G119" s="14" t="s">
        <v>92</v>
      </c>
    </row>
    <row r="120" spans="1:7">
      <c r="A120" s="14" t="s">
        <v>394</v>
      </c>
      <c r="B120" s="14" t="s">
        <v>396</v>
      </c>
      <c r="C120" s="14" t="s">
        <v>144</v>
      </c>
      <c r="D120" s="14">
        <v>121</v>
      </c>
      <c r="E120" s="16">
        <v>206.6</v>
      </c>
      <c r="F120" s="16">
        <v>24998.6</v>
      </c>
      <c r="G120" s="14" t="s">
        <v>92</v>
      </c>
    </row>
    <row r="121" spans="1:7">
      <c r="A121" s="14" t="s">
        <v>399</v>
      </c>
      <c r="B121" s="14" t="s">
        <v>405</v>
      </c>
      <c r="C121" s="14" t="s">
        <v>144</v>
      </c>
      <c r="D121" s="14">
        <v>49</v>
      </c>
      <c r="E121" s="16">
        <v>1033.1600000000001</v>
      </c>
      <c r="F121" s="16">
        <v>50624.6</v>
      </c>
      <c r="G121" s="14" t="s">
        <v>92</v>
      </c>
    </row>
    <row r="122" spans="1:7">
      <c r="A122" s="14" t="s">
        <v>399</v>
      </c>
      <c r="B122" s="14" t="s">
        <v>408</v>
      </c>
      <c r="C122" s="14" t="s">
        <v>144</v>
      </c>
      <c r="D122" s="14">
        <v>13</v>
      </c>
      <c r="E122" s="16">
        <v>3775.7</v>
      </c>
      <c r="F122" s="16">
        <v>49084.1</v>
      </c>
      <c r="G122" s="14" t="s">
        <v>92</v>
      </c>
    </row>
    <row r="123" spans="1:7">
      <c r="A123" s="14" t="s">
        <v>399</v>
      </c>
      <c r="B123" s="14" t="s">
        <v>39</v>
      </c>
      <c r="C123" s="14" t="s">
        <v>144</v>
      </c>
      <c r="D123" s="14">
        <v>12</v>
      </c>
      <c r="E123" s="16">
        <v>8230.5</v>
      </c>
      <c r="F123" s="16">
        <v>98766</v>
      </c>
      <c r="G123" s="14" t="s">
        <v>99</v>
      </c>
    </row>
    <row r="124" spans="1:7">
      <c r="A124" s="14" t="s">
        <v>399</v>
      </c>
      <c r="B124" s="14" t="s">
        <v>37</v>
      </c>
      <c r="C124" s="14" t="s">
        <v>144</v>
      </c>
      <c r="D124" s="14">
        <v>118</v>
      </c>
      <c r="E124" s="16">
        <v>846.96</v>
      </c>
      <c r="F124" s="16">
        <v>99941</v>
      </c>
      <c r="G124" s="14" t="s">
        <v>96</v>
      </c>
    </row>
    <row r="125" spans="1:7">
      <c r="A125" s="14" t="s">
        <v>399</v>
      </c>
      <c r="B125" s="14" t="s">
        <v>401</v>
      </c>
      <c r="C125" s="14" t="s">
        <v>144</v>
      </c>
      <c r="D125" s="14">
        <v>92</v>
      </c>
      <c r="E125" s="16">
        <v>272.58999999999997</v>
      </c>
      <c r="F125" s="16">
        <v>25078.28</v>
      </c>
      <c r="G125" s="14" t="s">
        <v>92</v>
      </c>
    </row>
    <row r="126" spans="1:7">
      <c r="A126" s="14" t="s">
        <v>411</v>
      </c>
      <c r="B126" s="14" t="s">
        <v>330</v>
      </c>
      <c r="C126" s="14" t="s">
        <v>193</v>
      </c>
      <c r="D126" s="14">
        <v>465</v>
      </c>
      <c r="E126" s="16">
        <v>152.81</v>
      </c>
      <c r="F126" s="16">
        <v>71056.850000000006</v>
      </c>
      <c r="G126" s="14" t="s">
        <v>497</v>
      </c>
    </row>
    <row r="127" spans="1:7">
      <c r="A127" s="14" t="s">
        <v>413</v>
      </c>
      <c r="B127" s="14" t="s">
        <v>37</v>
      </c>
      <c r="C127" s="14" t="s">
        <v>144</v>
      </c>
      <c r="D127" s="14">
        <v>58</v>
      </c>
      <c r="E127" s="16">
        <v>862.95</v>
      </c>
      <c r="F127" s="16">
        <v>50051.1</v>
      </c>
      <c r="G127" s="14" t="s">
        <v>97</v>
      </c>
    </row>
    <row r="128" spans="1:7">
      <c r="A128" s="14" t="s">
        <v>413</v>
      </c>
      <c r="B128" s="14" t="s">
        <v>52</v>
      </c>
      <c r="C128" s="14" t="s">
        <v>144</v>
      </c>
      <c r="D128" s="14">
        <v>51</v>
      </c>
      <c r="E128" s="16">
        <v>1980.1</v>
      </c>
      <c r="F128" s="16">
        <v>100985.1</v>
      </c>
      <c r="G128" s="14" t="s">
        <v>97</v>
      </c>
    </row>
    <row r="129" spans="1:7">
      <c r="A129" s="14" t="s">
        <v>413</v>
      </c>
      <c r="B129" s="14" t="s">
        <v>149</v>
      </c>
      <c r="C129" s="14" t="s">
        <v>193</v>
      </c>
      <c r="D129" s="14">
        <v>226</v>
      </c>
      <c r="E129" s="16">
        <v>661.78</v>
      </c>
      <c r="F129" s="16">
        <v>149562.45000000001</v>
      </c>
      <c r="G129" s="14" t="s">
        <v>497</v>
      </c>
    </row>
    <row r="130" spans="1:7">
      <c r="A130" s="14" t="s">
        <v>413</v>
      </c>
      <c r="B130" s="14" t="s">
        <v>352</v>
      </c>
      <c r="C130" s="14" t="s">
        <v>144</v>
      </c>
      <c r="D130" s="14">
        <v>8</v>
      </c>
      <c r="E130" s="16">
        <v>1378.7</v>
      </c>
      <c r="F130" s="16">
        <v>11029.6</v>
      </c>
      <c r="G130" s="14" t="s">
        <v>95</v>
      </c>
    </row>
    <row r="131" spans="1:7">
      <c r="A131" s="14" t="s">
        <v>413</v>
      </c>
      <c r="B131" s="14" t="s">
        <v>418</v>
      </c>
      <c r="C131" s="14" t="s">
        <v>144</v>
      </c>
      <c r="D131" s="14">
        <v>2</v>
      </c>
      <c r="E131" s="16">
        <v>13021</v>
      </c>
      <c r="F131" s="16">
        <v>26042</v>
      </c>
      <c r="G131" s="14" t="s">
        <v>92</v>
      </c>
    </row>
    <row r="132" spans="1:7">
      <c r="A132" s="14" t="s">
        <v>413</v>
      </c>
      <c r="B132" s="14" t="s">
        <v>408</v>
      </c>
      <c r="C132" s="14" t="s">
        <v>144</v>
      </c>
      <c r="D132" s="14">
        <v>14</v>
      </c>
      <c r="E132" s="16">
        <v>3676.8</v>
      </c>
      <c r="F132" s="16">
        <v>51475.199999999997</v>
      </c>
      <c r="G132" s="14" t="s">
        <v>96</v>
      </c>
    </row>
    <row r="133" spans="1:7">
      <c r="A133" s="14" t="s">
        <v>424</v>
      </c>
      <c r="B133" s="14" t="s">
        <v>422</v>
      </c>
      <c r="C133" s="14" t="s">
        <v>144</v>
      </c>
      <c r="D133" s="14">
        <v>19</v>
      </c>
      <c r="E133" s="16">
        <v>2683</v>
      </c>
      <c r="F133" s="16">
        <v>50977</v>
      </c>
      <c r="G133" s="14" t="s">
        <v>92</v>
      </c>
    </row>
    <row r="134" spans="1:7">
      <c r="A134" s="14" t="s">
        <v>424</v>
      </c>
      <c r="B134" s="14" t="s">
        <v>110</v>
      </c>
      <c r="C134" s="14" t="s">
        <v>144</v>
      </c>
      <c r="D134" s="14">
        <v>44</v>
      </c>
      <c r="E134" s="16">
        <v>1141.55</v>
      </c>
      <c r="F134" s="16">
        <v>50228.2</v>
      </c>
      <c r="G134" s="14" t="s">
        <v>92</v>
      </c>
    </row>
    <row r="135" spans="1:7">
      <c r="A135" s="14" t="s">
        <v>428</v>
      </c>
      <c r="B135" s="14" t="s">
        <v>50</v>
      </c>
      <c r="C135" s="14" t="s">
        <v>144</v>
      </c>
      <c r="D135" s="14">
        <v>54</v>
      </c>
      <c r="E135" s="16">
        <v>1375</v>
      </c>
      <c r="F135" s="16">
        <v>74250</v>
      </c>
      <c r="G135" s="14" t="s">
        <v>92</v>
      </c>
    </row>
    <row r="136" spans="1:7">
      <c r="A136" s="14" t="s">
        <v>428</v>
      </c>
      <c r="B136" s="14" t="s">
        <v>248</v>
      </c>
      <c r="C136" s="14" t="s">
        <v>193</v>
      </c>
      <c r="D136" s="14">
        <v>82</v>
      </c>
      <c r="E136" s="16">
        <v>301.64999999999998</v>
      </c>
      <c r="F136" s="16">
        <v>24735.3</v>
      </c>
      <c r="G136" s="14" t="s">
        <v>497</v>
      </c>
    </row>
    <row r="137" spans="1:7">
      <c r="A137" s="14" t="s">
        <v>428</v>
      </c>
      <c r="B137" s="14" t="s">
        <v>396</v>
      </c>
      <c r="C137" s="14" t="s">
        <v>193</v>
      </c>
      <c r="D137" s="14">
        <v>121</v>
      </c>
      <c r="E137" s="16">
        <v>159.46</v>
      </c>
      <c r="F137" s="16">
        <v>19294.599999999999</v>
      </c>
      <c r="G137" s="14" t="s">
        <v>497</v>
      </c>
    </row>
    <row r="138" spans="1:7">
      <c r="A138" s="14" t="s">
        <v>428</v>
      </c>
      <c r="B138" s="14" t="s">
        <v>109</v>
      </c>
      <c r="C138" s="14" t="s">
        <v>144</v>
      </c>
      <c r="D138" s="14">
        <v>171</v>
      </c>
      <c r="E138" s="16">
        <v>293.85000000000002</v>
      </c>
      <c r="F138" s="16">
        <v>50248.35</v>
      </c>
      <c r="G138" s="14" t="s">
        <v>92</v>
      </c>
    </row>
    <row r="139" spans="1:7">
      <c r="A139" s="14" t="s">
        <v>437</v>
      </c>
      <c r="B139" s="14" t="s">
        <v>435</v>
      </c>
      <c r="C139" s="14" t="s">
        <v>144</v>
      </c>
      <c r="D139" s="14">
        <v>10</v>
      </c>
      <c r="E139" s="16">
        <v>10033</v>
      </c>
      <c r="F139" s="16">
        <v>100330</v>
      </c>
      <c r="G139" s="14" t="s">
        <v>96</v>
      </c>
    </row>
    <row r="140" spans="1:7">
      <c r="A140" s="14" t="s">
        <v>439</v>
      </c>
      <c r="B140" s="14" t="s">
        <v>37</v>
      </c>
      <c r="C140" s="14" t="s">
        <v>144</v>
      </c>
      <c r="D140" s="14">
        <v>65</v>
      </c>
      <c r="E140" s="16">
        <v>1159.76</v>
      </c>
      <c r="F140" s="16">
        <v>75384.149999999994</v>
      </c>
      <c r="G140" s="14" t="s">
        <v>98</v>
      </c>
    </row>
    <row r="141" spans="1:7">
      <c r="A141" s="14" t="s">
        <v>439</v>
      </c>
      <c r="B141" s="14" t="s">
        <v>170</v>
      </c>
      <c r="C141" s="14" t="s">
        <v>193</v>
      </c>
      <c r="D141" s="14">
        <v>71</v>
      </c>
      <c r="E141" s="16">
        <v>1091.8</v>
      </c>
      <c r="F141" s="16">
        <v>77517.8</v>
      </c>
      <c r="G141" s="14" t="s">
        <v>497</v>
      </c>
    </row>
    <row r="142" spans="1:7">
      <c r="A142" s="14" t="s">
        <v>439</v>
      </c>
      <c r="B142" s="14" t="s">
        <v>435</v>
      </c>
      <c r="C142" s="14" t="s">
        <v>193</v>
      </c>
      <c r="D142" s="14">
        <v>10</v>
      </c>
      <c r="E142" s="16">
        <v>9901</v>
      </c>
      <c r="F142" s="16">
        <v>99010</v>
      </c>
      <c r="G142" s="14" t="s">
        <v>497</v>
      </c>
    </row>
    <row r="143" spans="1:7">
      <c r="A143" s="14" t="s">
        <v>439</v>
      </c>
      <c r="B143" s="14" t="s">
        <v>408</v>
      </c>
      <c r="C143" s="14" t="s">
        <v>144</v>
      </c>
      <c r="D143" s="14">
        <v>22</v>
      </c>
      <c r="E143" s="16">
        <v>4534.75</v>
      </c>
      <c r="F143" s="16">
        <v>99764.5</v>
      </c>
      <c r="G143" s="14" t="s">
        <v>97</v>
      </c>
    </row>
    <row r="144" spans="1:7">
      <c r="A144" s="14" t="s">
        <v>443</v>
      </c>
      <c r="B144" s="14" t="s">
        <v>86</v>
      </c>
      <c r="C144" s="14" t="s">
        <v>144</v>
      </c>
      <c r="D144" s="14">
        <v>57</v>
      </c>
      <c r="E144" s="16">
        <v>870.95</v>
      </c>
      <c r="F144" s="16">
        <v>49644.15</v>
      </c>
      <c r="G144" s="14" t="s">
        <v>87</v>
      </c>
    </row>
    <row r="145" spans="1:7">
      <c r="A145" s="14" t="s">
        <v>443</v>
      </c>
      <c r="B145" s="14" t="s">
        <v>333</v>
      </c>
      <c r="C145" s="14" t="s">
        <v>193</v>
      </c>
      <c r="D145" s="14">
        <v>595</v>
      </c>
      <c r="E145" s="16">
        <v>83.95</v>
      </c>
      <c r="F145" s="16">
        <v>49950.85</v>
      </c>
      <c r="G145" s="14" t="s">
        <v>497</v>
      </c>
    </row>
    <row r="146" spans="1:7">
      <c r="A146" s="14" t="s">
        <v>443</v>
      </c>
      <c r="B146" s="14" t="s">
        <v>333</v>
      </c>
      <c r="C146" s="14" t="s">
        <v>144</v>
      </c>
      <c r="D146" s="14">
        <v>595</v>
      </c>
      <c r="E146" s="16">
        <v>84.05</v>
      </c>
      <c r="F146" s="16">
        <v>50007.71</v>
      </c>
      <c r="G146" s="14" t="s">
        <v>96</v>
      </c>
    </row>
    <row r="147" spans="1:7">
      <c r="A147" s="14" t="s">
        <v>448</v>
      </c>
      <c r="B147" s="14" t="s">
        <v>254</v>
      </c>
      <c r="C147" s="14" t="s">
        <v>193</v>
      </c>
      <c r="D147" s="14">
        <v>278</v>
      </c>
      <c r="E147" s="16">
        <v>970.3</v>
      </c>
      <c r="F147" s="16">
        <v>269743.40000000002</v>
      </c>
      <c r="G147" s="14" t="s">
        <v>497</v>
      </c>
    </row>
    <row r="148" spans="1:7">
      <c r="A148" s="14" t="s">
        <v>448</v>
      </c>
      <c r="B148" s="14" t="s">
        <v>111</v>
      </c>
      <c r="C148" s="14" t="s">
        <v>144</v>
      </c>
      <c r="D148" s="14">
        <v>19</v>
      </c>
      <c r="E148" s="16">
        <v>2727.2</v>
      </c>
      <c r="F148" s="16">
        <v>51816.800000000003</v>
      </c>
      <c r="G148" s="14" t="s">
        <v>92</v>
      </c>
    </row>
    <row r="149" spans="1:7">
      <c r="A149" s="14" t="s">
        <v>448</v>
      </c>
      <c r="B149" s="14" t="s">
        <v>349</v>
      </c>
      <c r="C149" s="14" t="s">
        <v>193</v>
      </c>
      <c r="D149" s="14">
        <v>222</v>
      </c>
      <c r="E149" s="16">
        <v>425.25</v>
      </c>
      <c r="F149" s="16">
        <v>94405.5</v>
      </c>
      <c r="G149" s="14" t="s">
        <v>497</v>
      </c>
    </row>
    <row r="150" spans="1:7">
      <c r="A150" s="14" t="s">
        <v>448</v>
      </c>
      <c r="B150" s="14" t="s">
        <v>50</v>
      </c>
      <c r="C150" s="14" t="s">
        <v>144</v>
      </c>
      <c r="D150" s="14">
        <v>16</v>
      </c>
      <c r="E150" s="16">
        <v>1583.29</v>
      </c>
      <c r="F150" s="16">
        <v>25332.6</v>
      </c>
      <c r="G150" s="14" t="s">
        <v>96</v>
      </c>
    </row>
    <row r="151" spans="1:7">
      <c r="A151" s="14" t="s">
        <v>448</v>
      </c>
      <c r="B151" s="14" t="s">
        <v>241</v>
      </c>
      <c r="C151" s="14" t="s">
        <v>193</v>
      </c>
      <c r="D151" s="14">
        <v>205</v>
      </c>
      <c r="E151" s="16">
        <v>367</v>
      </c>
      <c r="F151" s="16">
        <v>75235</v>
      </c>
      <c r="G151" s="14" t="s">
        <v>497</v>
      </c>
    </row>
    <row r="152" spans="1:7">
      <c r="A152" s="14" t="s">
        <v>448</v>
      </c>
      <c r="B152" s="14" t="s">
        <v>251</v>
      </c>
      <c r="C152" s="14" t="s">
        <v>193</v>
      </c>
      <c r="D152" s="14">
        <v>386</v>
      </c>
      <c r="E152" s="16">
        <v>136.25</v>
      </c>
      <c r="F152" s="16">
        <v>52592.5</v>
      </c>
      <c r="G152" s="14" t="s">
        <v>497</v>
      </c>
    </row>
    <row r="153" spans="1:7">
      <c r="A153" s="14" t="s">
        <v>448</v>
      </c>
      <c r="B153" s="14" t="s">
        <v>384</v>
      </c>
      <c r="C153" s="14" t="s">
        <v>193</v>
      </c>
      <c r="D153" s="14">
        <v>80</v>
      </c>
      <c r="E153" s="16">
        <v>304.10000000000002</v>
      </c>
      <c r="F153" s="16">
        <v>24328</v>
      </c>
      <c r="G153" s="14" t="s">
        <v>497</v>
      </c>
    </row>
    <row r="154" spans="1:7">
      <c r="A154" s="14" t="s">
        <v>448</v>
      </c>
      <c r="B154" s="14" t="s">
        <v>460</v>
      </c>
      <c r="C154" s="14" t="s">
        <v>144</v>
      </c>
      <c r="D154" s="14">
        <v>18</v>
      </c>
      <c r="E154" s="16">
        <v>2730</v>
      </c>
      <c r="F154" s="16">
        <v>49140</v>
      </c>
      <c r="G154" s="14" t="s">
        <v>92</v>
      </c>
    </row>
    <row r="155" spans="1:7">
      <c r="A155" s="14" t="s">
        <v>448</v>
      </c>
      <c r="B155" s="14" t="s">
        <v>67</v>
      </c>
      <c r="C155" s="14" t="s">
        <v>144</v>
      </c>
      <c r="D155" s="14">
        <v>16</v>
      </c>
      <c r="E155" s="16">
        <v>3127</v>
      </c>
      <c r="F155" s="16">
        <v>50032</v>
      </c>
      <c r="G155" s="14" t="s">
        <v>92</v>
      </c>
    </row>
    <row r="156" spans="1:7">
      <c r="A156" s="14" t="s">
        <v>448</v>
      </c>
      <c r="B156" s="14" t="s">
        <v>422</v>
      </c>
      <c r="C156" s="14" t="s">
        <v>193</v>
      </c>
      <c r="D156" s="14">
        <v>19</v>
      </c>
      <c r="E156" s="16">
        <v>2505.9</v>
      </c>
      <c r="F156" s="16">
        <v>47612.05</v>
      </c>
      <c r="G156" s="14" t="s">
        <v>497</v>
      </c>
    </row>
    <row r="157" spans="1:7">
      <c r="A157" s="14" t="s">
        <v>448</v>
      </c>
      <c r="B157" s="14" t="s">
        <v>114</v>
      </c>
      <c r="C157" s="14" t="s">
        <v>144</v>
      </c>
      <c r="D157" s="14">
        <v>38</v>
      </c>
      <c r="E157" s="16">
        <v>1325.5</v>
      </c>
      <c r="F157" s="16">
        <v>50369</v>
      </c>
      <c r="G157" s="14" t="s">
        <v>92</v>
      </c>
    </row>
    <row r="158" spans="1:7">
      <c r="A158" s="14" t="s">
        <v>466</v>
      </c>
      <c r="B158" s="14" t="s">
        <v>44</v>
      </c>
      <c r="C158" s="14" t="s">
        <v>144</v>
      </c>
      <c r="D158" s="14">
        <v>10</v>
      </c>
      <c r="E158" s="16">
        <v>3214</v>
      </c>
      <c r="F158" s="16">
        <v>32140</v>
      </c>
      <c r="G158" s="14" t="s">
        <v>91</v>
      </c>
    </row>
    <row r="159" spans="1:7">
      <c r="A159" s="14" t="s">
        <v>466</v>
      </c>
      <c r="B159" s="14" t="s">
        <v>46</v>
      </c>
      <c r="C159" s="14" t="s">
        <v>144</v>
      </c>
      <c r="D159" s="14">
        <v>33</v>
      </c>
      <c r="E159" s="16">
        <v>1505.6</v>
      </c>
      <c r="F159" s="16">
        <v>49684.800000000003</v>
      </c>
      <c r="G159" s="14" t="s">
        <v>92</v>
      </c>
    </row>
    <row r="160" spans="1:7">
      <c r="A160" s="14" t="s">
        <v>466</v>
      </c>
      <c r="B160" s="14" t="s">
        <v>113</v>
      </c>
      <c r="C160" s="14" t="s">
        <v>144</v>
      </c>
      <c r="D160" s="14">
        <v>29</v>
      </c>
      <c r="E160" s="16">
        <v>1713.42</v>
      </c>
      <c r="F160" s="16">
        <v>49689.3</v>
      </c>
      <c r="G160" s="14" t="s">
        <v>92</v>
      </c>
    </row>
    <row r="161" spans="1:7">
      <c r="A161" s="14" t="s">
        <v>466</v>
      </c>
      <c r="B161" s="14" t="s">
        <v>42</v>
      </c>
      <c r="C161" s="14" t="s">
        <v>144</v>
      </c>
      <c r="D161" s="14">
        <v>411</v>
      </c>
      <c r="E161" s="16">
        <v>121.7</v>
      </c>
      <c r="F161" s="16">
        <v>50018.7</v>
      </c>
      <c r="G161" s="14" t="s">
        <v>92</v>
      </c>
    </row>
    <row r="162" spans="1:7">
      <c r="A162" s="14" t="s">
        <v>466</v>
      </c>
      <c r="B162" s="14" t="s">
        <v>48</v>
      </c>
      <c r="C162" s="14" t="s">
        <v>144</v>
      </c>
      <c r="D162" s="14">
        <v>26</v>
      </c>
      <c r="E162" s="16">
        <v>1899.2</v>
      </c>
      <c r="F162" s="16">
        <v>49379.199999999997</v>
      </c>
      <c r="G162" s="14" t="s">
        <v>92</v>
      </c>
    </row>
    <row r="163" spans="1:7">
      <c r="A163" s="14" t="s">
        <v>475</v>
      </c>
      <c r="B163" s="14" t="s">
        <v>112</v>
      </c>
      <c r="C163" s="14" t="s">
        <v>144</v>
      </c>
      <c r="D163" s="14">
        <v>75</v>
      </c>
      <c r="E163" s="16">
        <v>670.55</v>
      </c>
      <c r="F163" s="16">
        <v>50291.25</v>
      </c>
      <c r="G163" s="14" t="s">
        <v>92</v>
      </c>
    </row>
    <row r="164" spans="1:7">
      <c r="A164" s="14" t="s">
        <v>477</v>
      </c>
      <c r="B164" s="14" t="s">
        <v>167</v>
      </c>
      <c r="C164" s="14" t="s">
        <v>193</v>
      </c>
      <c r="D164" s="14">
        <v>41</v>
      </c>
      <c r="E164" s="16">
        <v>633.57000000000005</v>
      </c>
      <c r="F164" s="16">
        <v>25976.400000000001</v>
      </c>
      <c r="G164" s="14" t="s">
        <v>497</v>
      </c>
    </row>
    <row r="165" spans="1:7">
      <c r="A165" s="14" t="s">
        <v>477</v>
      </c>
      <c r="B165" s="14" t="s">
        <v>333</v>
      </c>
      <c r="C165" s="14" t="s">
        <v>193</v>
      </c>
      <c r="D165" s="14">
        <v>720</v>
      </c>
      <c r="E165" s="16">
        <v>77.709999999999994</v>
      </c>
      <c r="F165" s="16">
        <v>55951.199999999997</v>
      </c>
      <c r="G165" s="14" t="s">
        <v>497</v>
      </c>
    </row>
    <row r="166" spans="1:7">
      <c r="A166" s="14" t="s">
        <v>477</v>
      </c>
      <c r="B166" s="14" t="s">
        <v>401</v>
      </c>
      <c r="C166" s="14" t="s">
        <v>193</v>
      </c>
      <c r="D166" s="14">
        <v>92</v>
      </c>
      <c r="E166" s="16">
        <v>266.3</v>
      </c>
      <c r="F166" s="16">
        <v>24499.599999999999</v>
      </c>
      <c r="G166" s="14" t="s">
        <v>497</v>
      </c>
    </row>
    <row r="167" spans="1:7">
      <c r="A167" s="14" t="s">
        <v>481</v>
      </c>
      <c r="B167" s="14" t="s">
        <v>199</v>
      </c>
      <c r="C167" s="14" t="s">
        <v>144</v>
      </c>
      <c r="D167" s="14">
        <v>12</v>
      </c>
      <c r="E167" s="16">
        <v>4195.1000000000004</v>
      </c>
      <c r="F167" s="16">
        <v>50341.2</v>
      </c>
      <c r="G167" s="14" t="s">
        <v>96</v>
      </c>
    </row>
    <row r="168" spans="1:7">
      <c r="A168" s="14" t="s">
        <v>481</v>
      </c>
      <c r="B168" s="14" t="s">
        <v>68</v>
      </c>
      <c r="C168" s="14" t="s">
        <v>144</v>
      </c>
      <c r="D168" s="14">
        <v>67</v>
      </c>
      <c r="E168" s="16">
        <v>374</v>
      </c>
      <c r="F168" s="16">
        <v>25058</v>
      </c>
      <c r="G168" s="14" t="s">
        <v>92</v>
      </c>
    </row>
    <row r="169" spans="1:7">
      <c r="A169" s="14" t="s">
        <v>481</v>
      </c>
      <c r="B169" s="14" t="s">
        <v>113</v>
      </c>
      <c r="C169" s="14" t="s">
        <v>144</v>
      </c>
      <c r="D169" s="14">
        <v>27</v>
      </c>
      <c r="E169" s="16">
        <v>1814.76</v>
      </c>
      <c r="F169" s="16">
        <v>48998.400000000001</v>
      </c>
      <c r="G169" s="14" t="s">
        <v>96</v>
      </c>
    </row>
    <row r="170" spans="1:7">
      <c r="A170" s="14" t="s">
        <v>481</v>
      </c>
      <c r="B170" s="14" t="s">
        <v>66</v>
      </c>
      <c r="C170" s="14" t="s">
        <v>144</v>
      </c>
      <c r="D170" s="14">
        <v>40</v>
      </c>
      <c r="E170" s="16">
        <v>639.20000000000005</v>
      </c>
      <c r="F170" s="16">
        <v>25568</v>
      </c>
      <c r="G170" s="14" t="s">
        <v>92</v>
      </c>
    </row>
    <row r="171" spans="1:7">
      <c r="A171" s="14" t="s">
        <v>481</v>
      </c>
      <c r="B171" s="14" t="s">
        <v>109</v>
      </c>
      <c r="C171" s="14" t="s">
        <v>144</v>
      </c>
      <c r="D171" s="14">
        <v>141</v>
      </c>
      <c r="E171" s="16">
        <v>355.5</v>
      </c>
      <c r="F171" s="16">
        <v>50125.5</v>
      </c>
      <c r="G171" s="14" t="s">
        <v>96</v>
      </c>
    </row>
    <row r="172" spans="1:7">
      <c r="A172" s="14" t="s">
        <v>489</v>
      </c>
      <c r="B172" s="14" t="s">
        <v>68</v>
      </c>
      <c r="C172" s="14" t="s">
        <v>144</v>
      </c>
      <c r="D172" s="14">
        <v>66</v>
      </c>
      <c r="E172" s="16">
        <v>382</v>
      </c>
      <c r="F172" s="16">
        <v>25212</v>
      </c>
      <c r="G172" s="14" t="s">
        <v>91</v>
      </c>
    </row>
    <row r="173" spans="1:7">
      <c r="A173" s="14" t="s">
        <v>491</v>
      </c>
      <c r="B173" s="14" t="s">
        <v>42</v>
      </c>
      <c r="C173" s="14" t="s">
        <v>144</v>
      </c>
      <c r="D173" s="14">
        <v>389</v>
      </c>
      <c r="E173" s="16">
        <v>128.84</v>
      </c>
      <c r="F173" s="16">
        <v>50118.76</v>
      </c>
      <c r="G173" s="14" t="s">
        <v>97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30"/>
  <sheetViews>
    <sheetView tabSelected="1" workbookViewId="0">
      <pane xSplit="6" ySplit="1" topLeftCell="G2" activePane="bottomRight" state="frozen"/>
      <selection pane="topRight"/>
      <selection pane="bottomLeft"/>
      <selection pane="bottomRight" activeCell="F32" sqref="F32"/>
    </sheetView>
  </sheetViews>
  <sheetFormatPr defaultRowHeight="15"/>
  <cols>
    <col min="1" max="1" width="19.7109375" customWidth="1"/>
    <col min="2" max="2" width="11" customWidth="1"/>
    <col min="3" max="3" width="24" customWidth="1"/>
    <col min="4" max="4" width="19" customWidth="1"/>
    <col min="5" max="5" width="16" customWidth="1"/>
    <col min="6" max="6" width="18" customWidth="1"/>
    <col min="7" max="7" width="19" customWidth="1"/>
    <col min="8" max="9" width="14" customWidth="1"/>
    <col min="10" max="10" width="27" customWidth="1"/>
    <col min="11" max="11" width="16" customWidth="1"/>
    <col min="12" max="12" width="14" customWidth="1"/>
    <col min="13" max="13" width="16" customWidth="1"/>
    <col min="14" max="14" width="17" customWidth="1"/>
    <col min="15" max="16" width="15" customWidth="1"/>
    <col min="17" max="17" width="14" customWidth="1"/>
    <col min="18" max="18" width="15" customWidth="1"/>
    <col min="19" max="21" width="16" customWidth="1"/>
    <col min="22" max="22" width="25" customWidth="1"/>
    <col min="23" max="23" width="14" customWidth="1"/>
  </cols>
  <sheetData>
    <row r="1" spans="1:26" ht="30">
      <c r="A1" s="21" t="s">
        <v>32</v>
      </c>
      <c r="B1" s="21" t="s">
        <v>498</v>
      </c>
      <c r="C1" s="21" t="s">
        <v>499</v>
      </c>
      <c r="D1" s="21" t="s">
        <v>500</v>
      </c>
      <c r="E1" s="21" t="s">
        <v>501</v>
      </c>
      <c r="F1" s="21" t="s">
        <v>502</v>
      </c>
      <c r="G1" s="21" t="s">
        <v>503</v>
      </c>
      <c r="H1" s="21" t="s">
        <v>774</v>
      </c>
      <c r="I1" s="21" t="s">
        <v>58</v>
      </c>
      <c r="J1" s="21" t="s">
        <v>504</v>
      </c>
      <c r="K1" s="21" t="s">
        <v>505</v>
      </c>
      <c r="L1" s="21" t="s">
        <v>506</v>
      </c>
      <c r="M1" s="21" t="s">
        <v>57</v>
      </c>
      <c r="N1" s="21" t="s">
        <v>507</v>
      </c>
      <c r="O1" s="21" t="s">
        <v>508</v>
      </c>
      <c r="P1" s="21" t="s">
        <v>509</v>
      </c>
      <c r="Q1" s="21" t="s">
        <v>510</v>
      </c>
      <c r="R1" s="21" t="s">
        <v>511</v>
      </c>
      <c r="S1" s="21" t="s">
        <v>512</v>
      </c>
      <c r="T1" s="21" t="s">
        <v>513</v>
      </c>
      <c r="U1" s="21" t="s">
        <v>514</v>
      </c>
      <c r="V1" s="21" t="s">
        <v>515</v>
      </c>
      <c r="W1" s="21" t="s">
        <v>84</v>
      </c>
      <c r="X1" s="21" t="s">
        <v>516</v>
      </c>
      <c r="Y1" s="21" t="s">
        <v>517</v>
      </c>
      <c r="Z1" s="21" t="s">
        <v>518</v>
      </c>
    </row>
    <row r="2" spans="1:26">
      <c r="A2" s="14" t="s">
        <v>460</v>
      </c>
      <c r="B2" s="14" t="s">
        <v>24</v>
      </c>
      <c r="C2" s="14" t="s">
        <v>54</v>
      </c>
      <c r="D2" s="14" t="s">
        <v>38</v>
      </c>
      <c r="E2" s="14" t="s">
        <v>92</v>
      </c>
      <c r="F2" s="14">
        <v>18</v>
      </c>
      <c r="G2" s="16">
        <v>2730</v>
      </c>
      <c r="H2" s="43" t="str">
        <f t="shared" ref="H2:H30" ca="1" si="0">IF(M2&gt;N2, "▲", IF(M2&lt;N2, "▼", "─"))</f>
        <v>▼</v>
      </c>
      <c r="I2" s="16">
        <v>2457</v>
      </c>
      <c r="J2" s="16">
        <f t="shared" ref="J2:J30" ca="1" si="1">M2-I2</f>
        <v>543.59999999999991</v>
      </c>
      <c r="K2" s="17">
        <f t="shared" ref="K2:K30" ca="1" si="2">IF(M2&gt;0, (M2-I2)/M2, 0)</f>
        <v>0.18116376724655067</v>
      </c>
      <c r="L2" s="16">
        <v>49140</v>
      </c>
      <c r="M2" s="16">
        <f ca="1">IFERROR(INDEX(Price_Update!$F:$F, MATCH(A2, Price_Update!$A:$A, 0)), 3000.6)</f>
        <v>3000.6</v>
      </c>
      <c r="N2" s="16">
        <f ca="1">IFERROR(INDEX(Price_Update!$I:$I, MATCH(A2, Price_Update!$A:$A, 0)), 3034.8)</f>
        <v>3034.8</v>
      </c>
      <c r="O2" s="16">
        <v>2951.2</v>
      </c>
      <c r="P2" s="16">
        <v>2921.55</v>
      </c>
      <c r="Q2" s="16">
        <v>2909.78</v>
      </c>
      <c r="R2" s="16">
        <v>2898.15</v>
      </c>
      <c r="S2" s="16">
        <v>2792.07</v>
      </c>
      <c r="T2" s="16">
        <f t="shared" ref="T2:T30" ca="1" si="3">F2*M2</f>
        <v>54010.799999999996</v>
      </c>
      <c r="U2" s="16">
        <f t="shared" ref="U2:U30" ca="1" si="4">T2-L2</f>
        <v>4870.7999999999956</v>
      </c>
      <c r="V2" s="17">
        <f t="shared" ref="V2:V30" ca="1" si="5">IF(L2&gt;0, U2/L2, 0)</f>
        <v>9.9120879120879038E-2</v>
      </c>
      <c r="W2" s="17">
        <v>13.20463778694829</v>
      </c>
      <c r="X2" s="14">
        <v>13</v>
      </c>
      <c r="Y2" s="14"/>
      <c r="Z2" s="14" t="s">
        <v>73</v>
      </c>
    </row>
    <row r="3" spans="1:26">
      <c r="A3" s="14" t="s">
        <v>52</v>
      </c>
      <c r="B3" s="14" t="s">
        <v>28</v>
      </c>
      <c r="C3" s="14" t="s">
        <v>49</v>
      </c>
      <c r="D3" s="14" t="s">
        <v>38</v>
      </c>
      <c r="E3" s="14" t="s">
        <v>97</v>
      </c>
      <c r="F3" s="14">
        <v>96</v>
      </c>
      <c r="G3" s="16">
        <v>2100.8000000000002</v>
      </c>
      <c r="H3" s="43" t="str">
        <f t="shared" ca="1" si="0"/>
        <v>▼</v>
      </c>
      <c r="I3" s="16">
        <v>2237.6</v>
      </c>
      <c r="J3" s="16">
        <f t="shared" ca="1" si="1"/>
        <v>-369.89999999999986</v>
      </c>
      <c r="K3" s="17">
        <f t="shared" ca="1" si="2"/>
        <v>-0.19805107886705567</v>
      </c>
      <c r="L3" s="16">
        <v>201676.79999999999</v>
      </c>
      <c r="M3" s="16">
        <f ca="1">IFERROR(INDEX(Price_Update!$F:$F, MATCH(A3, Price_Update!$A:$A, 0)), 1867.7)</f>
        <v>1867.7</v>
      </c>
      <c r="N3" s="16">
        <f ca="1">IFERROR(INDEX(Price_Update!$I:$I, MATCH(A3, Price_Update!$A:$A, 0)), 1874.1)</f>
        <v>1874.1</v>
      </c>
      <c r="O3" s="16">
        <v>1880.5</v>
      </c>
      <c r="P3" s="16">
        <v>1880.24</v>
      </c>
      <c r="Q3" s="16">
        <v>1882.01</v>
      </c>
      <c r="R3" s="16">
        <v>1883.94</v>
      </c>
      <c r="S3" s="16">
        <v>1906.03</v>
      </c>
      <c r="T3" s="16">
        <f t="shared" ca="1" si="3"/>
        <v>179299.20000000001</v>
      </c>
      <c r="U3" s="16">
        <f t="shared" ca="1" si="4"/>
        <v>-22377.599999999977</v>
      </c>
      <c r="V3" s="17">
        <f t="shared" ca="1" si="5"/>
        <v>-0.11095773038842335</v>
      </c>
      <c r="W3" s="17">
        <v>-0.38529685411227071</v>
      </c>
      <c r="X3" s="14">
        <v>108</v>
      </c>
      <c r="Y3" s="14"/>
      <c r="Z3" s="14" t="s">
        <v>73</v>
      </c>
    </row>
    <row r="4" spans="1:26">
      <c r="A4" s="14" t="s">
        <v>199</v>
      </c>
      <c r="B4" s="14" t="s">
        <v>26</v>
      </c>
      <c r="C4" s="14" t="s">
        <v>53</v>
      </c>
      <c r="D4" s="14" t="s">
        <v>38</v>
      </c>
      <c r="E4" s="14" t="s">
        <v>96</v>
      </c>
      <c r="F4" s="14">
        <v>30</v>
      </c>
      <c r="G4" s="16">
        <v>3359</v>
      </c>
      <c r="H4" s="43" t="str">
        <f t="shared" ca="1" si="0"/>
        <v>▼</v>
      </c>
      <c r="I4" s="16">
        <v>3023.1</v>
      </c>
      <c r="J4" s="16">
        <f t="shared" ca="1" si="1"/>
        <v>1225.2999999999997</v>
      </c>
      <c r="K4" s="17">
        <f t="shared" ca="1" si="2"/>
        <v>0.28841446191507386</v>
      </c>
      <c r="L4" s="16">
        <v>100770</v>
      </c>
      <c r="M4" s="16">
        <f ca="1">IFERROR(INDEX(Price_Update!$F:$F, MATCH(A4, Price_Update!$A:$A, 0)), 4248.4)</f>
        <v>4248.3999999999996</v>
      </c>
      <c r="N4" s="16">
        <f ca="1">IFERROR(INDEX(Price_Update!$I:$I, MATCH(A4, Price_Update!$A:$A, 0)), 4403.3)</f>
        <v>4403.3</v>
      </c>
      <c r="O4" s="16">
        <v>4193.8</v>
      </c>
      <c r="P4" s="16">
        <v>4197.75</v>
      </c>
      <c r="Q4" s="16">
        <v>4180.49</v>
      </c>
      <c r="R4" s="16">
        <v>4163.13</v>
      </c>
      <c r="S4" s="16">
        <v>3993</v>
      </c>
      <c r="T4" s="16">
        <f t="shared" ca="1" si="3"/>
        <v>127451.99999999999</v>
      </c>
      <c r="U4" s="16">
        <f t="shared" ca="1" si="4"/>
        <v>26681.999999999985</v>
      </c>
      <c r="V4" s="17">
        <f t="shared" ca="1" si="5"/>
        <v>0.26478118487645119</v>
      </c>
      <c r="W4" s="17">
        <v>1.4252666408973791</v>
      </c>
      <c r="X4" s="14">
        <v>171</v>
      </c>
      <c r="Y4" s="14"/>
      <c r="Z4" s="14" t="s">
        <v>73</v>
      </c>
    </row>
    <row r="5" spans="1:26">
      <c r="A5" s="14" t="s">
        <v>405</v>
      </c>
      <c r="B5" s="14" t="s">
        <v>24</v>
      </c>
      <c r="C5" s="14" t="s">
        <v>51</v>
      </c>
      <c r="D5" s="14" t="s">
        <v>38</v>
      </c>
      <c r="E5" s="14" t="s">
        <v>92</v>
      </c>
      <c r="F5" s="14">
        <v>49</v>
      </c>
      <c r="G5" s="16">
        <v>1033.1600000000001</v>
      </c>
      <c r="H5" s="43" t="str">
        <f t="shared" ca="1" si="0"/>
        <v>▲</v>
      </c>
      <c r="I5" s="16">
        <v>929.84</v>
      </c>
      <c r="J5" s="16">
        <f t="shared" ca="1" si="1"/>
        <v>141.15999999999997</v>
      </c>
      <c r="K5" s="17">
        <f t="shared" ca="1" si="2"/>
        <v>0.1318020541549953</v>
      </c>
      <c r="L5" s="16">
        <v>50624.84</v>
      </c>
      <c r="M5" s="16">
        <f ca="1">IFERROR(INDEX(Price_Update!$F:$F, MATCH(A5, Price_Update!$A:$A, 0)), 1071)</f>
        <v>1071</v>
      </c>
      <c r="N5" s="16">
        <f ca="1">IFERROR(INDEX(Price_Update!$I:$I, MATCH(A5, Price_Update!$A:$A, 0)), 1063.9)</f>
        <v>1063.9000000000001</v>
      </c>
      <c r="O5" s="16">
        <v>1064.9000000000001</v>
      </c>
      <c r="P5" s="16">
        <v>1083.07</v>
      </c>
      <c r="Q5" s="16">
        <v>1085.23</v>
      </c>
      <c r="R5" s="16">
        <v>1087.2</v>
      </c>
      <c r="S5" s="16">
        <v>1097.76</v>
      </c>
      <c r="T5" s="16">
        <f t="shared" ca="1" si="3"/>
        <v>52479</v>
      </c>
      <c r="U5" s="16">
        <f t="shared" ca="1" si="4"/>
        <v>1854.1600000000035</v>
      </c>
      <c r="V5" s="17">
        <f t="shared" ca="1" si="5"/>
        <v>3.6625498470711289E-2</v>
      </c>
      <c r="W5" s="17">
        <v>0.178376991718459</v>
      </c>
      <c r="X5" s="14">
        <v>80</v>
      </c>
      <c r="Y5" s="14"/>
      <c r="Z5" s="14" t="s">
        <v>73</v>
      </c>
    </row>
    <row r="6" spans="1:26">
      <c r="A6" s="14" t="s">
        <v>43</v>
      </c>
      <c r="B6" s="14" t="s">
        <v>28</v>
      </c>
      <c r="C6" s="14" t="s">
        <v>53</v>
      </c>
      <c r="D6" s="14" t="s">
        <v>38</v>
      </c>
      <c r="E6" s="14" t="s">
        <v>98</v>
      </c>
      <c r="F6" s="14">
        <v>1172</v>
      </c>
      <c r="G6" s="16">
        <v>256.22000000000003</v>
      </c>
      <c r="H6" s="43" t="str">
        <f t="shared" ca="1" si="0"/>
        <v>▼</v>
      </c>
      <c r="I6" s="16">
        <v>260.10000000000002</v>
      </c>
      <c r="J6" s="16">
        <f t="shared" ca="1" si="1"/>
        <v>28.799999999999955</v>
      </c>
      <c r="K6" s="17">
        <f t="shared" ca="1" si="2"/>
        <v>9.9688473520249066E-2</v>
      </c>
      <c r="L6" s="16">
        <v>300289.84000000003</v>
      </c>
      <c r="M6" s="16">
        <f ca="1">IFERROR(INDEX(Price_Update!$F:$F, MATCH(A6, Price_Update!$A:$A, 0)), 288.9)</f>
        <v>288.89999999999998</v>
      </c>
      <c r="N6" s="16">
        <f ca="1">IFERROR(INDEX(Price_Update!$I:$I, MATCH(A6, Price_Update!$A:$A, 0)), 290.2)</f>
        <v>290.2</v>
      </c>
      <c r="O6" s="16">
        <v>287.2</v>
      </c>
      <c r="P6" s="16">
        <v>287.81</v>
      </c>
      <c r="Q6" s="16">
        <v>287.76</v>
      </c>
      <c r="R6" s="16">
        <v>287.73</v>
      </c>
      <c r="S6" s="16">
        <v>287.44</v>
      </c>
      <c r="T6" s="16">
        <f t="shared" ca="1" si="3"/>
        <v>338590.8</v>
      </c>
      <c r="U6" s="16">
        <f t="shared" ca="1" si="4"/>
        <v>38300.959999999963</v>
      </c>
      <c r="V6" s="17">
        <f t="shared" ca="1" si="5"/>
        <v>0.12754663960658796</v>
      </c>
      <c r="W6" s="17">
        <v>0.29345720734411618</v>
      </c>
      <c r="X6" s="14">
        <v>206</v>
      </c>
      <c r="Y6" s="14"/>
      <c r="Z6" s="14" t="s">
        <v>73</v>
      </c>
    </row>
    <row r="7" spans="1:26">
      <c r="A7" s="14" t="s">
        <v>408</v>
      </c>
      <c r="B7" s="14" t="s">
        <v>26</v>
      </c>
      <c r="C7" s="14" t="s">
        <v>51</v>
      </c>
      <c r="D7" s="14" t="s">
        <v>38</v>
      </c>
      <c r="E7" s="14" t="s">
        <v>97</v>
      </c>
      <c r="F7" s="14">
        <v>49</v>
      </c>
      <c r="G7" s="16">
        <v>4088.24</v>
      </c>
      <c r="H7" s="43" t="str">
        <f t="shared" ca="1" si="0"/>
        <v>▲</v>
      </c>
      <c r="I7" s="16">
        <v>3676.8</v>
      </c>
      <c r="J7" s="16">
        <f t="shared" ca="1" si="1"/>
        <v>1420.8999999999996</v>
      </c>
      <c r="K7" s="17">
        <f t="shared" ca="1" si="2"/>
        <v>0.27873354650136328</v>
      </c>
      <c r="L7" s="16">
        <v>200323.76</v>
      </c>
      <c r="M7" s="16">
        <f ca="1">IFERROR(INDEX(Price_Update!$F:$F, MATCH(A7, Price_Update!$A:$A, 0)), 5097.7)</f>
        <v>5097.7</v>
      </c>
      <c r="N7" s="16">
        <f ca="1">IFERROR(INDEX(Price_Update!$I:$I, MATCH(A7, Price_Update!$A:$A, 0)), 4848.3)</f>
        <v>4848.3</v>
      </c>
      <c r="O7" s="16">
        <v>4849.5</v>
      </c>
      <c r="P7" s="16">
        <v>4758.6099999999997</v>
      </c>
      <c r="Q7" s="16">
        <v>4738.4799999999996</v>
      </c>
      <c r="R7" s="16">
        <v>4720.24</v>
      </c>
      <c r="S7" s="16">
        <v>4582.5600000000004</v>
      </c>
      <c r="T7" s="16">
        <f t="shared" ca="1" si="3"/>
        <v>249787.3</v>
      </c>
      <c r="U7" s="16">
        <f t="shared" ca="1" si="4"/>
        <v>49463.539999999979</v>
      </c>
      <c r="V7" s="17">
        <f t="shared" ca="1" si="5"/>
        <v>0.24691798915914906</v>
      </c>
      <c r="W7" s="17">
        <v>4.0334092815263949</v>
      </c>
      <c r="X7" s="14">
        <v>80</v>
      </c>
      <c r="Y7" s="14"/>
      <c r="Z7" s="14" t="s">
        <v>73</v>
      </c>
    </row>
    <row r="8" spans="1:26">
      <c r="A8" s="14" t="s">
        <v>67</v>
      </c>
      <c r="B8" s="14" t="s">
        <v>26</v>
      </c>
      <c r="C8" s="14" t="s">
        <v>49</v>
      </c>
      <c r="D8" s="14" t="s">
        <v>38</v>
      </c>
      <c r="E8" s="14" t="s">
        <v>92</v>
      </c>
      <c r="F8" s="14">
        <v>16</v>
      </c>
      <c r="G8" s="16">
        <v>3127</v>
      </c>
      <c r="H8" s="43" t="str">
        <f t="shared" ca="1" si="0"/>
        <v>▲</v>
      </c>
      <c r="I8" s="16">
        <v>2814.3</v>
      </c>
      <c r="J8" s="16">
        <f t="shared" ca="1" si="1"/>
        <v>307.29999999999973</v>
      </c>
      <c r="K8" s="17">
        <f t="shared" ca="1" si="2"/>
        <v>9.8443106099436101E-2</v>
      </c>
      <c r="L8" s="16">
        <v>50032</v>
      </c>
      <c r="M8" s="16">
        <f ca="1">IFERROR(INDEX(Price_Update!$F:$F, MATCH(A8, Price_Update!$A:$A, 0)), 3121.6)</f>
        <v>3121.6</v>
      </c>
      <c r="N8" s="16">
        <f ca="1">IFERROR(INDEX(Price_Update!$I:$I, MATCH(A8, Price_Update!$A:$A, 0)), 3107.3)</f>
        <v>3107.3</v>
      </c>
      <c r="O8" s="16">
        <v>3081.3</v>
      </c>
      <c r="P8" s="16">
        <v>3122.46</v>
      </c>
      <c r="Q8" s="16">
        <v>3124.61</v>
      </c>
      <c r="R8" s="16">
        <v>3126.67</v>
      </c>
      <c r="S8" s="16">
        <v>3140.59</v>
      </c>
      <c r="T8" s="16">
        <f t="shared" ca="1" si="3"/>
        <v>49945.599999999999</v>
      </c>
      <c r="U8" s="16">
        <f t="shared" ca="1" si="4"/>
        <v>-86.400000000001455</v>
      </c>
      <c r="V8" s="17">
        <f t="shared" ca="1" si="5"/>
        <v>-1.7268947873361339E-3</v>
      </c>
      <c r="W8" s="17">
        <v>-4.7369149328381259E-2</v>
      </c>
      <c r="X8" s="14">
        <v>13</v>
      </c>
      <c r="Y8" s="14"/>
      <c r="Z8" s="14" t="s">
        <v>73</v>
      </c>
    </row>
    <row r="9" spans="1:26">
      <c r="A9" s="14" t="s">
        <v>39</v>
      </c>
      <c r="B9" s="14" t="s">
        <v>26</v>
      </c>
      <c r="C9" s="14" t="s">
        <v>49</v>
      </c>
      <c r="D9" s="14" t="s">
        <v>38</v>
      </c>
      <c r="E9" s="14" t="s">
        <v>99</v>
      </c>
      <c r="F9" s="14">
        <v>50</v>
      </c>
      <c r="G9" s="16">
        <v>7728.94</v>
      </c>
      <c r="H9" s="43" t="str">
        <f t="shared" ca="1" si="0"/>
        <v>▲</v>
      </c>
      <c r="I9" s="16">
        <v>8973.82</v>
      </c>
      <c r="J9" s="16">
        <f t="shared" ca="1" si="1"/>
        <v>690.18000000000029</v>
      </c>
      <c r="K9" s="17">
        <f t="shared" ca="1" si="2"/>
        <v>7.1417632450331156E-2</v>
      </c>
      <c r="L9" s="16">
        <v>386447</v>
      </c>
      <c r="M9" s="16">
        <f ca="1">IFERROR(INDEX(Price_Update!$F:$F, MATCH(A9, Price_Update!$A:$A, 0)), 9664)</f>
        <v>9664</v>
      </c>
      <c r="N9" s="16">
        <f ca="1">IFERROR(INDEX(Price_Update!$I:$I, MATCH(A9, Price_Update!$A:$A, 0)), 9613.5)</f>
        <v>9613.5</v>
      </c>
      <c r="O9" s="16">
        <v>9263.5</v>
      </c>
      <c r="P9" s="16">
        <v>9335.75</v>
      </c>
      <c r="Q9" s="16">
        <v>9303.52</v>
      </c>
      <c r="R9" s="16">
        <v>9271.58</v>
      </c>
      <c r="S9" s="16">
        <v>8973.82</v>
      </c>
      <c r="T9" s="16">
        <f t="shared" ca="1" si="3"/>
        <v>483200</v>
      </c>
      <c r="U9" s="16">
        <f t="shared" ca="1" si="4"/>
        <v>96753</v>
      </c>
      <c r="V9" s="17">
        <f t="shared" ca="1" si="5"/>
        <v>0.25036550937127211</v>
      </c>
      <c r="W9" s="17">
        <v>0.5214796090616387</v>
      </c>
      <c r="X9" s="14">
        <v>262</v>
      </c>
      <c r="Y9" s="14"/>
      <c r="Z9" s="14" t="s">
        <v>73</v>
      </c>
    </row>
    <row r="10" spans="1:26">
      <c r="A10" s="14" t="s">
        <v>418</v>
      </c>
      <c r="B10" s="14" t="s">
        <v>26</v>
      </c>
      <c r="C10" s="14" t="s">
        <v>49</v>
      </c>
      <c r="D10" s="14" t="s">
        <v>38</v>
      </c>
      <c r="E10" s="14" t="s">
        <v>92</v>
      </c>
      <c r="F10" s="14">
        <v>2</v>
      </c>
      <c r="G10" s="16">
        <v>13021</v>
      </c>
      <c r="H10" s="43" t="str">
        <f t="shared" ca="1" si="0"/>
        <v>▲</v>
      </c>
      <c r="I10" s="16">
        <v>11718.9</v>
      </c>
      <c r="J10" s="16">
        <f t="shared" ca="1" si="1"/>
        <v>6934.1</v>
      </c>
      <c r="K10" s="17">
        <f t="shared" ca="1" si="2"/>
        <v>0.37174181096874498</v>
      </c>
      <c r="L10" s="16">
        <v>26042</v>
      </c>
      <c r="M10" s="16">
        <f ca="1">IFERROR(INDEX(Price_Update!$F:$F, MATCH(A10, Price_Update!$A:$A, 0)), 18653)</f>
        <v>18653</v>
      </c>
      <c r="N10" s="16">
        <f ca="1">IFERROR(INDEX(Price_Update!$I:$I, MATCH(A10, Price_Update!$A:$A, 0)), 18479)</f>
        <v>18479</v>
      </c>
      <c r="O10" s="16">
        <v>18132</v>
      </c>
      <c r="P10" s="16">
        <v>18021.349999999999</v>
      </c>
      <c r="Q10" s="16">
        <v>17930.87</v>
      </c>
      <c r="R10" s="16">
        <v>17841.87</v>
      </c>
      <c r="S10" s="16">
        <v>17073.89</v>
      </c>
      <c r="T10" s="16">
        <f t="shared" ca="1" si="3"/>
        <v>37306</v>
      </c>
      <c r="U10" s="16">
        <f t="shared" ca="1" si="4"/>
        <v>11264</v>
      </c>
      <c r="V10" s="17">
        <f t="shared" ca="1" si="5"/>
        <v>0.43253206358958607</v>
      </c>
      <c r="W10" s="17">
        <v>5.6952900292576789</v>
      </c>
      <c r="X10" s="14">
        <v>69</v>
      </c>
      <c r="Y10" s="14"/>
      <c r="Z10" s="14" t="s">
        <v>73</v>
      </c>
    </row>
    <row r="11" spans="1:26">
      <c r="A11" s="14" t="s">
        <v>37</v>
      </c>
      <c r="B11" s="14" t="s">
        <v>24</v>
      </c>
      <c r="C11" s="14" t="s">
        <v>49</v>
      </c>
      <c r="D11" s="14" t="s">
        <v>38</v>
      </c>
      <c r="E11" s="14" t="s">
        <v>98</v>
      </c>
      <c r="F11" s="14">
        <v>296</v>
      </c>
      <c r="G11" s="16">
        <v>928.29</v>
      </c>
      <c r="H11" s="43" t="str">
        <f t="shared" ca="1" si="0"/>
        <v>▼</v>
      </c>
      <c r="I11" s="16">
        <v>935.17</v>
      </c>
      <c r="J11" s="16">
        <f t="shared" ca="1" si="1"/>
        <v>396.33000000000004</v>
      </c>
      <c r="K11" s="17">
        <f t="shared" ca="1" si="2"/>
        <v>0.29765677806984608</v>
      </c>
      <c r="L11" s="16">
        <v>274773.84000000003</v>
      </c>
      <c r="M11" s="16">
        <f ca="1">IFERROR(INDEX(Price_Update!$F:$F, MATCH(A11, Price_Update!$A:$A, 0)), 1331.5)</f>
        <v>1331.5</v>
      </c>
      <c r="N11" s="16">
        <f ca="1">IFERROR(INDEX(Price_Update!$I:$I, MATCH(A11, Price_Update!$A:$A, 0)), 1367.2)</f>
        <v>1367.2</v>
      </c>
      <c r="O11" s="16">
        <v>1295</v>
      </c>
      <c r="P11" s="16">
        <v>1294.79</v>
      </c>
      <c r="Q11" s="16">
        <v>1289.03</v>
      </c>
      <c r="R11" s="16">
        <v>1283.3</v>
      </c>
      <c r="S11" s="16">
        <v>1227</v>
      </c>
      <c r="T11" s="16">
        <f t="shared" ca="1" si="3"/>
        <v>394124</v>
      </c>
      <c r="U11" s="16">
        <f t="shared" ca="1" si="4"/>
        <v>119350.15999999997</v>
      </c>
      <c r="V11" s="17">
        <f t="shared" ca="1" si="5"/>
        <v>0.43435779767098631</v>
      </c>
      <c r="W11" s="17">
        <v>6.2916787838723334</v>
      </c>
      <c r="X11" s="14">
        <v>105</v>
      </c>
      <c r="Y11" s="14"/>
      <c r="Z11" s="14" t="s">
        <v>73</v>
      </c>
    </row>
    <row r="12" spans="1:26">
      <c r="A12" s="22" t="s">
        <v>111</v>
      </c>
      <c r="B12" s="14" t="s">
        <v>26</v>
      </c>
      <c r="C12" s="14" t="s">
        <v>49</v>
      </c>
      <c r="D12" s="14" t="s">
        <v>40</v>
      </c>
      <c r="E12" s="14" t="s">
        <v>92</v>
      </c>
      <c r="F12" s="14">
        <v>19</v>
      </c>
      <c r="G12" s="16">
        <v>2727.2</v>
      </c>
      <c r="H12" s="43" t="str">
        <f t="shared" ca="1" si="0"/>
        <v>▲</v>
      </c>
      <c r="I12" s="16">
        <v>2454.48</v>
      </c>
      <c r="J12" s="16">
        <f t="shared" ca="1" si="1"/>
        <v>518.61999999999989</v>
      </c>
      <c r="K12" s="17">
        <f t="shared" ca="1" si="2"/>
        <v>0.17443745585415893</v>
      </c>
      <c r="L12" s="16">
        <v>51816.800000000003</v>
      </c>
      <c r="M12" s="16">
        <f ca="1">IFERROR(INDEX(Price_Update!$F:$F, MATCH(A12, Price_Update!$A:$A, 0)), 2973.1)</f>
        <v>2973.1</v>
      </c>
      <c r="N12" s="16">
        <f ca="1">IFERROR(INDEX(Price_Update!$I:$I, MATCH(A12, Price_Update!$A:$A, 0)), 2969.3)</f>
        <v>2969.3</v>
      </c>
      <c r="O12" s="16">
        <v>2717.3</v>
      </c>
      <c r="P12" s="16">
        <v>2516.94</v>
      </c>
      <c r="Q12" s="16">
        <v>2488.25</v>
      </c>
      <c r="R12" s="16">
        <v>2463.54</v>
      </c>
      <c r="S12" s="16">
        <v>2344.3000000000002</v>
      </c>
      <c r="T12" s="16">
        <f t="shared" ca="1" si="3"/>
        <v>56488.9</v>
      </c>
      <c r="U12" s="16">
        <f t="shared" ca="1" si="4"/>
        <v>4672.0999999999985</v>
      </c>
      <c r="V12" s="17">
        <f t="shared" ca="1" si="5"/>
        <v>9.0165737753006708E-2</v>
      </c>
      <c r="W12" s="17">
        <v>10.28950353941954</v>
      </c>
      <c r="X12" s="14">
        <v>13</v>
      </c>
      <c r="Y12" s="14"/>
      <c r="Z12" s="14" t="s">
        <v>73</v>
      </c>
    </row>
    <row r="13" spans="1:26">
      <c r="A13" s="23" t="s">
        <v>44</v>
      </c>
      <c r="B13" s="14" t="s">
        <v>28</v>
      </c>
      <c r="C13" s="14" t="s">
        <v>54</v>
      </c>
      <c r="D13" s="14" t="s">
        <v>40</v>
      </c>
      <c r="E13" s="14" t="s">
        <v>91</v>
      </c>
      <c r="F13" s="14">
        <v>14</v>
      </c>
      <c r="G13" s="16">
        <v>3134.66</v>
      </c>
      <c r="H13" s="43" t="str">
        <f t="shared" ca="1" si="0"/>
        <v>▼</v>
      </c>
      <c r="I13" s="16">
        <v>2821.19</v>
      </c>
      <c r="J13" s="16">
        <f t="shared" ca="1" si="1"/>
        <v>199.61000000000013</v>
      </c>
      <c r="K13" s="17">
        <f t="shared" ca="1" si="2"/>
        <v>6.6078522245762744E-2</v>
      </c>
      <c r="L13" s="16">
        <v>43885.24</v>
      </c>
      <c r="M13" s="16">
        <f ca="1">IFERROR(INDEX(Price_Update!$F:$F, MATCH(A13, Price_Update!$A:$A, 0)), 3020.8)</f>
        <v>3020.8</v>
      </c>
      <c r="N13" s="16">
        <f ca="1">IFERROR(INDEX(Price_Update!$I:$I, MATCH(A13, Price_Update!$A:$A, 0)), 3097.1)</f>
        <v>3097.1</v>
      </c>
      <c r="O13" s="16">
        <v>3107.5</v>
      </c>
      <c r="P13" s="16">
        <v>2976.15</v>
      </c>
      <c r="Q13" s="16">
        <v>2966.87</v>
      </c>
      <c r="R13" s="16">
        <v>2958.14</v>
      </c>
      <c r="S13" s="16">
        <v>2885.8</v>
      </c>
      <c r="T13" s="16">
        <f t="shared" ca="1" si="3"/>
        <v>42291.200000000004</v>
      </c>
      <c r="U13" s="16">
        <f t="shared" ca="1" si="4"/>
        <v>-1594.0399999999936</v>
      </c>
      <c r="V13" s="17">
        <f t="shared" ca="1" si="5"/>
        <v>-3.632291859404195E-2</v>
      </c>
      <c r="W13" s="17">
        <v>-0.26342540657630231</v>
      </c>
      <c r="X13" s="14">
        <v>143</v>
      </c>
      <c r="Y13" s="14"/>
      <c r="Z13" s="14" t="s">
        <v>73</v>
      </c>
    </row>
    <row r="14" spans="1:26">
      <c r="A14" s="24" t="s">
        <v>109</v>
      </c>
      <c r="B14" s="14" t="s">
        <v>24</v>
      </c>
      <c r="C14" s="14" t="s">
        <v>49</v>
      </c>
      <c r="D14" s="14" t="s">
        <v>40</v>
      </c>
      <c r="E14" s="14" t="s">
        <v>96</v>
      </c>
      <c r="F14" s="14">
        <v>312</v>
      </c>
      <c r="G14" s="16">
        <v>321.70999999999998</v>
      </c>
      <c r="H14" s="43" t="str">
        <f t="shared" ca="1" si="0"/>
        <v>▲</v>
      </c>
      <c r="I14" s="16">
        <v>289.54000000000002</v>
      </c>
      <c r="J14" s="16">
        <f t="shared" ca="1" si="1"/>
        <v>128.31</v>
      </c>
      <c r="K14" s="17">
        <f t="shared" ca="1" si="2"/>
        <v>0.30707191575924375</v>
      </c>
      <c r="L14" s="16">
        <v>100373.52</v>
      </c>
      <c r="M14" s="16">
        <f ca="1">IFERROR(INDEX(Price_Update!$F:$F, MATCH(A14, Price_Update!$A:$A, 0)), 417.85)</f>
        <v>417.85</v>
      </c>
      <c r="N14" s="16">
        <f ca="1">IFERROR(INDEX(Price_Update!$I:$I, MATCH(A14, Price_Update!$A:$A, 0)), 412.1)</f>
        <v>412.1</v>
      </c>
      <c r="O14" s="16">
        <v>355.05</v>
      </c>
      <c r="P14" s="16">
        <v>314.87</v>
      </c>
      <c r="Q14" s="16">
        <v>309.44</v>
      </c>
      <c r="R14" s="16">
        <v>304.72000000000003</v>
      </c>
      <c r="S14" s="16">
        <v>278.97000000000003</v>
      </c>
      <c r="T14" s="16">
        <f t="shared" ca="1" si="3"/>
        <v>130369.20000000001</v>
      </c>
      <c r="U14" s="16">
        <f t="shared" ca="1" si="4"/>
        <v>29995.680000000008</v>
      </c>
      <c r="V14" s="17">
        <f t="shared" ca="1" si="5"/>
        <v>0.29884057070032022</v>
      </c>
      <c r="W14" s="17">
        <v>438.25684669724012</v>
      </c>
      <c r="X14" s="14">
        <v>24</v>
      </c>
      <c r="Y14" s="14"/>
      <c r="Z14" s="14" t="s">
        <v>73</v>
      </c>
    </row>
    <row r="15" spans="1:26">
      <c r="A15" s="24" t="s">
        <v>110</v>
      </c>
      <c r="B15" s="14" t="s">
        <v>24</v>
      </c>
      <c r="C15" s="14" t="s">
        <v>49</v>
      </c>
      <c r="D15" s="14" t="s">
        <v>40</v>
      </c>
      <c r="E15" s="14" t="s">
        <v>92</v>
      </c>
      <c r="F15" s="14">
        <v>44</v>
      </c>
      <c r="G15" s="16">
        <v>1141.55</v>
      </c>
      <c r="H15" s="43" t="str">
        <f t="shared" ca="1" si="0"/>
        <v>▲</v>
      </c>
      <c r="I15" s="16">
        <v>1027.3900000000001</v>
      </c>
      <c r="J15" s="16">
        <f t="shared" ca="1" si="1"/>
        <v>370.01</v>
      </c>
      <c r="K15" s="17">
        <f t="shared" ca="1" si="2"/>
        <v>0.26478459997137538</v>
      </c>
      <c r="L15" s="16">
        <v>50228.2</v>
      </c>
      <c r="M15" s="16">
        <f ca="1">IFERROR(INDEX(Price_Update!$F:$F, MATCH(A15, Price_Update!$A:$A, 0)), 1397.4)</f>
        <v>1397.4</v>
      </c>
      <c r="N15" s="16">
        <f ca="1">IFERROR(INDEX(Price_Update!$I:$I, MATCH(A15, Price_Update!$A:$A, 0)), 1357)</f>
        <v>1357</v>
      </c>
      <c r="O15" s="16">
        <v>1174.9000000000001</v>
      </c>
      <c r="P15" s="16">
        <v>1149.71</v>
      </c>
      <c r="Q15" s="16">
        <v>1137.95</v>
      </c>
      <c r="R15" s="16">
        <v>1127.51</v>
      </c>
      <c r="S15" s="16">
        <v>1066.5899999999999</v>
      </c>
      <c r="T15" s="16">
        <f t="shared" ca="1" si="3"/>
        <v>61485.600000000006</v>
      </c>
      <c r="U15" s="16">
        <f t="shared" ca="1" si="4"/>
        <v>11257.400000000009</v>
      </c>
      <c r="V15" s="17">
        <f t="shared" ca="1" si="5"/>
        <v>0.22412509307520495</v>
      </c>
      <c r="W15" s="17">
        <v>9.8162813140663374</v>
      </c>
      <c r="X15" s="14">
        <v>31</v>
      </c>
      <c r="Y15" s="14"/>
      <c r="Z15" s="14" t="s">
        <v>73</v>
      </c>
    </row>
    <row r="16" spans="1:26">
      <c r="A16" s="23" t="s">
        <v>46</v>
      </c>
      <c r="B16" s="14" t="s">
        <v>28</v>
      </c>
      <c r="C16" s="14" t="s">
        <v>54</v>
      </c>
      <c r="D16" s="14" t="s">
        <v>40</v>
      </c>
      <c r="E16" s="14" t="s">
        <v>92</v>
      </c>
      <c r="F16" s="14">
        <v>33</v>
      </c>
      <c r="G16" s="16">
        <v>1505.6</v>
      </c>
      <c r="H16" s="43" t="str">
        <f t="shared" ca="1" si="0"/>
        <v>▼</v>
      </c>
      <c r="I16" s="16">
        <v>1355.04</v>
      </c>
      <c r="J16" s="16">
        <f t="shared" ca="1" si="1"/>
        <v>80.860000000000127</v>
      </c>
      <c r="K16" s="17">
        <f t="shared" ca="1" si="2"/>
        <v>5.6313113726582716E-2</v>
      </c>
      <c r="L16" s="16">
        <v>49684.800000000003</v>
      </c>
      <c r="M16" s="16">
        <f ca="1">IFERROR(INDEX(Price_Update!$F:$F, MATCH(A16, Price_Update!$A:$A, 0)), 1435.9)</f>
        <v>1435.9</v>
      </c>
      <c r="N16" s="16">
        <f ca="1">IFERROR(INDEX(Price_Update!$I:$I, MATCH(A16, Price_Update!$A:$A, 0)), 1461.2)</f>
        <v>1461.2</v>
      </c>
      <c r="O16" s="16">
        <v>1463.5</v>
      </c>
      <c r="P16" s="16">
        <v>1414.93</v>
      </c>
      <c r="Q16" s="16">
        <v>1406.89</v>
      </c>
      <c r="R16" s="16">
        <v>1399.04</v>
      </c>
      <c r="S16" s="16">
        <v>1336.04</v>
      </c>
      <c r="T16" s="16">
        <f t="shared" ca="1" si="3"/>
        <v>47384.700000000004</v>
      </c>
      <c r="U16" s="16">
        <f t="shared" ca="1" si="4"/>
        <v>-2300.0999999999985</v>
      </c>
      <c r="V16" s="17">
        <f t="shared" ca="1" si="5"/>
        <v>-4.6293836344314526E-2</v>
      </c>
      <c r="W16" s="17">
        <v>-0.82273111465557403</v>
      </c>
      <c r="X16" s="14">
        <v>10</v>
      </c>
      <c r="Y16" s="14"/>
      <c r="Z16" s="14" t="s">
        <v>73</v>
      </c>
    </row>
    <row r="17" spans="1:26">
      <c r="A17" s="23" t="s">
        <v>113</v>
      </c>
      <c r="B17" s="14" t="s">
        <v>24</v>
      </c>
      <c r="C17" s="14" t="s">
        <v>54</v>
      </c>
      <c r="D17" s="14" t="s">
        <v>40</v>
      </c>
      <c r="E17" s="14" t="s">
        <v>96</v>
      </c>
      <c r="F17" s="14">
        <v>56</v>
      </c>
      <c r="G17" s="16">
        <v>1762.28</v>
      </c>
      <c r="H17" s="43" t="str">
        <f t="shared" ca="1" si="0"/>
        <v>▼</v>
      </c>
      <c r="I17" s="16">
        <v>1586.05</v>
      </c>
      <c r="J17" s="16">
        <f t="shared" ca="1" si="1"/>
        <v>234.95000000000005</v>
      </c>
      <c r="K17" s="17">
        <f t="shared" ca="1" si="2"/>
        <v>0.12902251510159254</v>
      </c>
      <c r="L17" s="16">
        <v>98687.679999999993</v>
      </c>
      <c r="M17" s="16">
        <f ca="1">IFERROR(INDEX(Price_Update!$F:$F, MATCH(A17, Price_Update!$A:$A, 0)), 1821)</f>
        <v>1821</v>
      </c>
      <c r="N17" s="16">
        <f ca="1">IFERROR(INDEX(Price_Update!$I:$I, MATCH(A17, Price_Update!$A:$A, 0)), 1873.4)</f>
        <v>1873.4</v>
      </c>
      <c r="O17" s="16">
        <v>1822.5</v>
      </c>
      <c r="P17" s="16">
        <v>1502.35</v>
      </c>
      <c r="Q17" s="16">
        <v>1476.36</v>
      </c>
      <c r="R17" s="16">
        <v>1453.76</v>
      </c>
      <c r="S17" s="16">
        <v>1340.88</v>
      </c>
      <c r="T17" s="16">
        <f t="shared" ca="1" si="3"/>
        <v>101976</v>
      </c>
      <c r="U17" s="16">
        <f t="shared" ca="1" si="4"/>
        <v>3288.320000000007</v>
      </c>
      <c r="V17" s="17">
        <f t="shared" ca="1" si="5"/>
        <v>3.3320471207753666E-2</v>
      </c>
      <c r="W17" s="17">
        <v>3.4429794333181158</v>
      </c>
      <c r="X17" s="14">
        <v>10</v>
      </c>
      <c r="Y17" s="14"/>
      <c r="Z17" s="14" t="s">
        <v>73</v>
      </c>
    </row>
    <row r="18" spans="1:26">
      <c r="A18" s="24" t="s">
        <v>86</v>
      </c>
      <c r="B18" s="14" t="s">
        <v>26</v>
      </c>
      <c r="C18" s="14" t="s">
        <v>49</v>
      </c>
      <c r="D18" s="14" t="s">
        <v>40</v>
      </c>
      <c r="E18" s="14" t="s">
        <v>87</v>
      </c>
      <c r="F18" s="14">
        <v>94</v>
      </c>
      <c r="G18" s="16">
        <v>800.81</v>
      </c>
      <c r="H18" s="43" t="str">
        <f t="shared" ca="1" si="0"/>
        <v>▲</v>
      </c>
      <c r="I18" s="16">
        <v>720.73</v>
      </c>
      <c r="J18" s="16">
        <f t="shared" ca="1" si="1"/>
        <v>214.06999999999994</v>
      </c>
      <c r="K18" s="17">
        <f t="shared" ca="1" si="2"/>
        <v>0.22900085579803162</v>
      </c>
      <c r="L18" s="16">
        <v>75276.14</v>
      </c>
      <c r="M18" s="16">
        <f ca="1">IFERROR(INDEX(Price_Update!$F:$F, MATCH(A18, Price_Update!$A:$A, 0)), 934.8)</f>
        <v>934.8</v>
      </c>
      <c r="N18" s="16">
        <f ca="1">IFERROR(INDEX(Price_Update!$I:$I, MATCH(A18, Price_Update!$A:$A, 0)), 879.15)</f>
        <v>879.15</v>
      </c>
      <c r="O18" s="16">
        <v>865.7</v>
      </c>
      <c r="P18" s="16">
        <v>828.15</v>
      </c>
      <c r="Q18" s="16">
        <v>820.13</v>
      </c>
      <c r="R18" s="16">
        <v>812.78</v>
      </c>
      <c r="S18" s="16">
        <v>765.38</v>
      </c>
      <c r="T18" s="16">
        <f t="shared" ca="1" si="3"/>
        <v>87871.2</v>
      </c>
      <c r="U18" s="16">
        <f t="shared" ca="1" si="4"/>
        <v>12595.059999999998</v>
      </c>
      <c r="V18" s="17">
        <f t="shared" ca="1" si="5"/>
        <v>0.16731809043343612</v>
      </c>
      <c r="W18" s="17">
        <v>1.101042909170334</v>
      </c>
      <c r="X18" s="14">
        <v>105</v>
      </c>
      <c r="Y18" s="14"/>
      <c r="Z18" s="14" t="s">
        <v>73</v>
      </c>
    </row>
    <row r="19" spans="1:26">
      <c r="A19" s="25" t="s">
        <v>42</v>
      </c>
      <c r="B19" s="14" t="s">
        <v>24</v>
      </c>
      <c r="C19" s="14" t="s">
        <v>51</v>
      </c>
      <c r="D19" s="14" t="s">
        <v>40</v>
      </c>
      <c r="E19" s="14" t="s">
        <v>97</v>
      </c>
      <c r="F19" s="14">
        <v>1825</v>
      </c>
      <c r="G19" s="16">
        <v>97.74</v>
      </c>
      <c r="H19" s="43" t="str">
        <f t="shared" ca="1" si="0"/>
        <v>▲</v>
      </c>
      <c r="I19" s="16">
        <v>104.64</v>
      </c>
      <c r="J19" s="16">
        <f t="shared" ca="1" si="1"/>
        <v>24.260000000000005</v>
      </c>
      <c r="K19" s="17">
        <f t="shared" ca="1" si="2"/>
        <v>0.18820791311093873</v>
      </c>
      <c r="L19" s="16">
        <v>178375.5</v>
      </c>
      <c r="M19" s="16">
        <f ca="1">IFERROR(INDEX(Price_Update!$F:$F, MATCH(A19, Price_Update!$A:$A, 0)), 128.9)</f>
        <v>128.9</v>
      </c>
      <c r="N19" s="16">
        <f ca="1">IFERROR(INDEX(Price_Update!$I:$I, MATCH(A19, Price_Update!$A:$A, 0)), 127.84)</f>
        <v>127.84</v>
      </c>
      <c r="O19" s="16">
        <v>120.31</v>
      </c>
      <c r="P19" s="16">
        <v>114.51</v>
      </c>
      <c r="Q19" s="16">
        <v>112.9</v>
      </c>
      <c r="R19" s="16">
        <v>111.36</v>
      </c>
      <c r="S19" s="16">
        <v>98.88</v>
      </c>
      <c r="T19" s="16">
        <f t="shared" ca="1" si="3"/>
        <v>235242.5</v>
      </c>
      <c r="U19" s="16">
        <f t="shared" ca="1" si="4"/>
        <v>56867</v>
      </c>
      <c r="V19" s="17">
        <f t="shared" ca="1" si="5"/>
        <v>0.31880499283814201</v>
      </c>
      <c r="W19" s="17">
        <v>1.504213918370082</v>
      </c>
      <c r="X19" s="14">
        <v>142</v>
      </c>
      <c r="Y19" s="14" t="s">
        <v>72</v>
      </c>
      <c r="Z19" s="14" t="s">
        <v>73</v>
      </c>
    </row>
    <row r="20" spans="1:26">
      <c r="A20" s="30" t="s">
        <v>93</v>
      </c>
      <c r="B20" s="14" t="s">
        <v>24</v>
      </c>
      <c r="C20" s="14" t="s">
        <v>51</v>
      </c>
      <c r="D20" s="14" t="s">
        <v>40</v>
      </c>
      <c r="E20" s="14" t="s">
        <v>91</v>
      </c>
      <c r="F20" s="14">
        <v>362</v>
      </c>
      <c r="G20" s="16">
        <v>138.75</v>
      </c>
      <c r="H20" s="43" t="str">
        <f t="shared" ca="1" si="0"/>
        <v>▼</v>
      </c>
      <c r="I20" s="16">
        <v>124.88</v>
      </c>
      <c r="J20" s="16">
        <f t="shared" ca="1" si="1"/>
        <v>35.590000000000003</v>
      </c>
      <c r="K20" s="17">
        <f t="shared" ca="1" si="2"/>
        <v>0.22178600361438278</v>
      </c>
      <c r="L20" s="16">
        <v>50227.5</v>
      </c>
      <c r="M20" s="16">
        <f ca="1">IFERROR(INDEX(Price_Update!$F:$F, MATCH(A20, Price_Update!$A:$A, 0)), 160.47)</f>
        <v>160.47</v>
      </c>
      <c r="N20" s="16">
        <f ca="1">IFERROR(INDEX(Price_Update!$I:$I, MATCH(A20, Price_Update!$A:$A, 0)), 162.44)</f>
        <v>162.44</v>
      </c>
      <c r="O20" s="16">
        <v>163.44</v>
      </c>
      <c r="P20" s="16">
        <v>155.72</v>
      </c>
      <c r="Q20" s="16">
        <v>154.71</v>
      </c>
      <c r="R20" s="16">
        <v>153.72999999999999</v>
      </c>
      <c r="S20" s="16">
        <v>145.41</v>
      </c>
      <c r="T20" s="16">
        <f t="shared" ca="1" si="3"/>
        <v>58090.14</v>
      </c>
      <c r="U20" s="16">
        <f t="shared" ca="1" si="4"/>
        <v>7862.6399999999994</v>
      </c>
      <c r="V20" s="17">
        <f t="shared" ca="1" si="5"/>
        <v>0.15654054054054053</v>
      </c>
      <c r="W20" s="17">
        <v>0.46496679002548807</v>
      </c>
      <c r="X20" s="14">
        <v>146</v>
      </c>
      <c r="Y20" s="14"/>
      <c r="Z20" s="14" t="s">
        <v>73</v>
      </c>
    </row>
    <row r="21" spans="1:26">
      <c r="A21" s="30" t="s">
        <v>90</v>
      </c>
      <c r="B21" s="14" t="s">
        <v>24</v>
      </c>
      <c r="C21" s="14" t="s">
        <v>49</v>
      </c>
      <c r="D21" s="14" t="s">
        <v>40</v>
      </c>
      <c r="E21" s="14" t="s">
        <v>91</v>
      </c>
      <c r="F21" s="14">
        <v>276</v>
      </c>
      <c r="G21" s="16">
        <v>278.74</v>
      </c>
      <c r="H21" s="43" t="str">
        <f t="shared" ca="1" si="0"/>
        <v>▼</v>
      </c>
      <c r="I21" s="16">
        <v>250.87</v>
      </c>
      <c r="J21" s="16">
        <f t="shared" ca="1" si="1"/>
        <v>30.930000000000007</v>
      </c>
      <c r="K21" s="17">
        <f t="shared" ca="1" si="2"/>
        <v>0.10975869410929739</v>
      </c>
      <c r="L21" s="16">
        <v>76932.240000000005</v>
      </c>
      <c r="M21" s="16">
        <f ca="1">IFERROR(INDEX(Price_Update!$F:$F, MATCH(A21, Price_Update!$A:$A, 0)), 281.8)</f>
        <v>281.8</v>
      </c>
      <c r="N21" s="16">
        <f ca="1">IFERROR(INDEX(Price_Update!$I:$I, MATCH(A21, Price_Update!$A:$A, 0)), 285.4)</f>
        <v>285.39999999999998</v>
      </c>
      <c r="O21" s="16">
        <v>291.39999999999998</v>
      </c>
      <c r="P21" s="16">
        <v>285.49</v>
      </c>
      <c r="Q21" s="16">
        <v>284.60000000000002</v>
      </c>
      <c r="R21" s="16">
        <v>283.67</v>
      </c>
      <c r="S21" s="16">
        <v>274.41000000000003</v>
      </c>
      <c r="T21" s="16">
        <f t="shared" ca="1" si="3"/>
        <v>77776.800000000003</v>
      </c>
      <c r="U21" s="16">
        <f t="shared" ca="1" si="4"/>
        <v>844.55999999999767</v>
      </c>
      <c r="V21" s="17">
        <f t="shared" ca="1" si="5"/>
        <v>1.0977972303939123E-2</v>
      </c>
      <c r="W21" s="17">
        <v>1.9114349369442341E-2</v>
      </c>
      <c r="X21" s="14">
        <v>213</v>
      </c>
      <c r="Y21" s="14"/>
      <c r="Z21" s="14" t="s">
        <v>73</v>
      </c>
    </row>
    <row r="22" spans="1:26">
      <c r="A22" s="30" t="s">
        <v>41</v>
      </c>
      <c r="B22" s="14" t="s">
        <v>26</v>
      </c>
      <c r="C22" s="14" t="s">
        <v>49</v>
      </c>
      <c r="D22" s="14" t="s">
        <v>40</v>
      </c>
      <c r="E22" s="14" t="s">
        <v>98</v>
      </c>
      <c r="F22" s="14">
        <v>253</v>
      </c>
      <c r="G22" s="16">
        <v>843.31</v>
      </c>
      <c r="H22" s="43" t="str">
        <f t="shared" ca="1" si="0"/>
        <v>▲</v>
      </c>
      <c r="I22" s="16">
        <v>843.31</v>
      </c>
      <c r="J22" s="16">
        <f t="shared" ca="1" si="1"/>
        <v>306.3900000000001</v>
      </c>
      <c r="K22" s="17">
        <f t="shared" ca="1" si="2"/>
        <v>0.26649560754979568</v>
      </c>
      <c r="L22" s="16">
        <v>213357.43</v>
      </c>
      <c r="M22" s="16">
        <f ca="1">IFERROR(INDEX(Price_Update!$F:$F, MATCH(A22, Price_Update!$A:$A, 0)), 1149.7)</f>
        <v>1149.7</v>
      </c>
      <c r="N22" s="16">
        <f ca="1">IFERROR(INDEX(Price_Update!$I:$I, MATCH(A22, Price_Update!$A:$A, 0)), 1103.8)</f>
        <v>1103.8</v>
      </c>
      <c r="O22" s="16">
        <v>1109.2</v>
      </c>
      <c r="P22" s="16">
        <v>1052.8599999999999</v>
      </c>
      <c r="Q22" s="16">
        <v>1045.27</v>
      </c>
      <c r="R22" s="16">
        <v>1038.18</v>
      </c>
      <c r="S22" s="16">
        <v>982.55</v>
      </c>
      <c r="T22" s="16">
        <f t="shared" ca="1" si="3"/>
        <v>290874.10000000003</v>
      </c>
      <c r="U22" s="16">
        <f t="shared" ca="1" si="4"/>
        <v>77516.670000000042</v>
      </c>
      <c r="V22" s="17">
        <f t="shared" ca="1" si="5"/>
        <v>0.36331835268169493</v>
      </c>
      <c r="W22" s="17">
        <v>0.78049702376838892</v>
      </c>
      <c r="X22" s="14">
        <v>234</v>
      </c>
      <c r="Y22" s="14"/>
      <c r="Z22" s="14" t="s">
        <v>73</v>
      </c>
    </row>
    <row r="23" spans="1:26">
      <c r="A23" s="25" t="s">
        <v>114</v>
      </c>
      <c r="B23" s="14" t="s">
        <v>28</v>
      </c>
      <c r="C23" s="14" t="s">
        <v>54</v>
      </c>
      <c r="D23" s="14" t="s">
        <v>40</v>
      </c>
      <c r="E23" s="14" t="s">
        <v>92</v>
      </c>
      <c r="F23" s="14">
        <v>38</v>
      </c>
      <c r="G23" s="16">
        <v>1325.5</v>
      </c>
      <c r="H23" s="43" t="str">
        <f t="shared" ca="1" si="0"/>
        <v>▲</v>
      </c>
      <c r="I23" s="16">
        <v>1192.95</v>
      </c>
      <c r="J23" s="16">
        <f t="shared" ca="1" si="1"/>
        <v>188.75</v>
      </c>
      <c r="K23" s="17">
        <f t="shared" ca="1" si="2"/>
        <v>0.13660707823695448</v>
      </c>
      <c r="L23" s="16">
        <v>50369</v>
      </c>
      <c r="M23" s="16">
        <f ca="1">IFERROR(INDEX(Price_Update!$F:$F, MATCH(A23, Price_Update!$A:$A, 0)), 1381.7)</f>
        <v>1381.7</v>
      </c>
      <c r="N23" s="16">
        <f ca="1">IFERROR(INDEX(Price_Update!$I:$I, MATCH(A23, Price_Update!$A:$A, 0)), 1373.9)</f>
        <v>1373.9</v>
      </c>
      <c r="O23" s="16">
        <v>1343.5</v>
      </c>
      <c r="P23" s="16">
        <v>1225.82</v>
      </c>
      <c r="Q23" s="16">
        <v>1213.48</v>
      </c>
      <c r="R23" s="16">
        <v>1202.3599999999999</v>
      </c>
      <c r="S23" s="16">
        <v>1126.1500000000001</v>
      </c>
      <c r="T23" s="16">
        <f t="shared" ca="1" si="3"/>
        <v>52504.6</v>
      </c>
      <c r="U23" s="16">
        <f t="shared" ca="1" si="4"/>
        <v>2135.5999999999985</v>
      </c>
      <c r="V23" s="17">
        <f t="shared" ca="1" si="5"/>
        <v>4.2399094681252331E-2</v>
      </c>
      <c r="W23" s="17">
        <v>2.208780039002229</v>
      </c>
      <c r="X23" s="14">
        <v>13</v>
      </c>
      <c r="Y23" s="14"/>
      <c r="Z23" s="14" t="s">
        <v>73</v>
      </c>
    </row>
    <row r="24" spans="1:26">
      <c r="A24" s="24" t="s">
        <v>94</v>
      </c>
      <c r="B24" s="14" t="s">
        <v>28</v>
      </c>
      <c r="C24" s="14" t="s">
        <v>49</v>
      </c>
      <c r="D24" s="14" t="s">
        <v>40</v>
      </c>
      <c r="E24" s="14" t="s">
        <v>92</v>
      </c>
      <c r="F24" s="14">
        <v>300</v>
      </c>
      <c r="G24" s="16">
        <v>84.49</v>
      </c>
      <c r="H24" s="43" t="str">
        <f t="shared" ca="1" si="0"/>
        <v>▲</v>
      </c>
      <c r="I24" s="16">
        <v>76.040000000000006</v>
      </c>
      <c r="J24" s="16">
        <f t="shared" ca="1" si="1"/>
        <v>16.239999999999995</v>
      </c>
      <c r="K24" s="17">
        <f t="shared" ca="1" si="2"/>
        <v>0.17598612917208489</v>
      </c>
      <c r="L24" s="16">
        <v>25347</v>
      </c>
      <c r="M24" s="16">
        <f ca="1">IFERROR(INDEX(Price_Update!$F:$F, MATCH(A24, Price_Update!$A:$A, 0)), 92.28)</f>
        <v>92.28</v>
      </c>
      <c r="N24" s="16">
        <f ca="1">IFERROR(INDEX(Price_Update!$I:$I, MATCH(A24, Price_Update!$A:$A, 0)), 90.67)</f>
        <v>90.67</v>
      </c>
      <c r="O24" s="16">
        <v>87.85</v>
      </c>
      <c r="P24" s="16">
        <v>88.05</v>
      </c>
      <c r="Q24" s="16">
        <v>87.63</v>
      </c>
      <c r="R24" s="16">
        <v>87.23</v>
      </c>
      <c r="S24" s="16">
        <v>83.94</v>
      </c>
      <c r="T24" s="16">
        <f t="shared" ca="1" si="3"/>
        <v>27684</v>
      </c>
      <c r="U24" s="16">
        <f t="shared" ca="1" si="4"/>
        <v>2337</v>
      </c>
      <c r="V24" s="17">
        <f t="shared" ca="1" si="5"/>
        <v>9.2200260385844474E-2</v>
      </c>
      <c r="W24" s="17">
        <v>0.24668200087774489</v>
      </c>
      <c r="X24" s="14">
        <v>146</v>
      </c>
      <c r="Y24" s="14"/>
      <c r="Z24" s="14" t="s">
        <v>73</v>
      </c>
    </row>
    <row r="25" spans="1:26">
      <c r="A25" s="24" t="s">
        <v>68</v>
      </c>
      <c r="B25" s="14" t="s">
        <v>24</v>
      </c>
      <c r="C25" s="14" t="s">
        <v>49</v>
      </c>
      <c r="D25" s="14" t="s">
        <v>40</v>
      </c>
      <c r="E25" s="14" t="s">
        <v>91</v>
      </c>
      <c r="F25" s="14">
        <v>133</v>
      </c>
      <c r="G25" s="16">
        <v>377.97</v>
      </c>
      <c r="H25" s="43" t="str">
        <f t="shared" ca="1" si="0"/>
        <v>▼</v>
      </c>
      <c r="I25" s="16">
        <v>340.17</v>
      </c>
      <c r="J25" s="16">
        <f t="shared" ca="1" si="1"/>
        <v>41.629999999999995</v>
      </c>
      <c r="K25" s="17">
        <f t="shared" ca="1" si="2"/>
        <v>0.10903614457831323</v>
      </c>
      <c r="L25" s="16">
        <v>50270.01</v>
      </c>
      <c r="M25" s="16">
        <f ca="1">IFERROR(INDEX(Price_Update!$F:$F, MATCH(A25, Price_Update!$A:$A, 0)), 381.8)</f>
        <v>381.8</v>
      </c>
      <c r="N25" s="16">
        <f ca="1">IFERROR(INDEX(Price_Update!$I:$I, MATCH(A25, Price_Update!$A:$A, 0)), 384.6)</f>
        <v>384.6</v>
      </c>
      <c r="O25" s="16">
        <v>373.9</v>
      </c>
      <c r="P25" s="16">
        <v>322.16000000000003</v>
      </c>
      <c r="Q25" s="16">
        <v>317.89999999999998</v>
      </c>
      <c r="R25" s="16">
        <v>314.18</v>
      </c>
      <c r="S25" s="16">
        <v>293.52</v>
      </c>
      <c r="T25" s="16">
        <f t="shared" ca="1" si="3"/>
        <v>50779.4</v>
      </c>
      <c r="U25" s="16">
        <f t="shared" ca="1" si="4"/>
        <v>509.38999999999942</v>
      </c>
      <c r="V25" s="17">
        <f t="shared" ca="1" si="5"/>
        <v>1.0133079344921542E-2</v>
      </c>
      <c r="W25" s="17">
        <v>1.266330824986833</v>
      </c>
      <c r="X25" s="14">
        <v>6</v>
      </c>
      <c r="Y25" s="14"/>
      <c r="Z25" s="14" t="s">
        <v>73</v>
      </c>
    </row>
    <row r="26" spans="1:26">
      <c r="A26" s="24" t="s">
        <v>50</v>
      </c>
      <c r="B26" s="14" t="s">
        <v>24</v>
      </c>
      <c r="C26" s="14" t="s">
        <v>49</v>
      </c>
      <c r="D26" s="14" t="s">
        <v>40</v>
      </c>
      <c r="E26" s="14" t="s">
        <v>96</v>
      </c>
      <c r="F26" s="14">
        <v>70</v>
      </c>
      <c r="G26" s="16">
        <v>1422.61</v>
      </c>
      <c r="H26" s="43" t="str">
        <f t="shared" ca="1" si="0"/>
        <v>▼</v>
      </c>
      <c r="I26" s="16">
        <v>1280.3499999999999</v>
      </c>
      <c r="J26" s="16">
        <f t="shared" ca="1" si="1"/>
        <v>24.850000000000136</v>
      </c>
      <c r="K26" s="17">
        <f t="shared" ca="1" si="2"/>
        <v>1.9039227704566453E-2</v>
      </c>
      <c r="L26" s="16">
        <v>99582.7</v>
      </c>
      <c r="M26" s="16">
        <f ca="1">IFERROR(INDEX(Price_Update!$F:$F, MATCH(A26, Price_Update!$A:$A, 0)), 1305.2)</f>
        <v>1305.2</v>
      </c>
      <c r="N26" s="16">
        <f ca="1">IFERROR(INDEX(Price_Update!$I:$I, MATCH(A26, Price_Update!$A:$A, 0)), 1394)</f>
        <v>1394</v>
      </c>
      <c r="O26" s="16">
        <v>1482.2</v>
      </c>
      <c r="P26" s="16">
        <v>1338.04</v>
      </c>
      <c r="Q26" s="16">
        <v>1329.39</v>
      </c>
      <c r="R26" s="16">
        <v>1321.83</v>
      </c>
      <c r="S26" s="16">
        <v>1279.19</v>
      </c>
      <c r="T26" s="16">
        <f t="shared" ca="1" si="3"/>
        <v>91364</v>
      </c>
      <c r="U26" s="16">
        <f t="shared" ca="1" si="4"/>
        <v>-8218.6999999999971</v>
      </c>
      <c r="V26" s="17">
        <f t="shared" ca="1" si="5"/>
        <v>-8.2531403547001614E-2</v>
      </c>
      <c r="W26" s="17">
        <v>-0.77376442177535687</v>
      </c>
      <c r="X26" s="14">
        <v>24</v>
      </c>
      <c r="Y26" s="14"/>
      <c r="Z26" s="14" t="s">
        <v>73</v>
      </c>
    </row>
    <row r="27" spans="1:26">
      <c r="A27" s="24" t="s">
        <v>352</v>
      </c>
      <c r="B27" s="14" t="s">
        <v>24</v>
      </c>
      <c r="C27" s="14" t="s">
        <v>49</v>
      </c>
      <c r="D27" s="14" t="s">
        <v>40</v>
      </c>
      <c r="E27" s="14" t="s">
        <v>95</v>
      </c>
      <c r="F27" s="14">
        <v>42</v>
      </c>
      <c r="G27" s="16">
        <v>1353.87</v>
      </c>
      <c r="H27" s="43" t="str">
        <f t="shared" ca="1" si="0"/>
        <v>▲</v>
      </c>
      <c r="I27" s="16">
        <v>1218.48</v>
      </c>
      <c r="J27" s="16">
        <f t="shared" ca="1" si="1"/>
        <v>415.11999999999989</v>
      </c>
      <c r="K27" s="17">
        <f t="shared" ca="1" si="2"/>
        <v>0.25411361410381972</v>
      </c>
      <c r="L27" s="16">
        <v>56862.54</v>
      </c>
      <c r="M27" s="16">
        <f ca="1">IFERROR(INDEX(Price_Update!$F:$F, MATCH(A27, Price_Update!$A:$A, 0)), 1633.6)</f>
        <v>1633.6</v>
      </c>
      <c r="N27" s="16">
        <f ca="1">IFERROR(INDEX(Price_Update!$I:$I, MATCH(A27, Price_Update!$A:$A, 0)), 1595.2)</f>
        <v>1595.2</v>
      </c>
      <c r="O27" s="16">
        <v>1607.8</v>
      </c>
      <c r="P27" s="16">
        <v>1533.76</v>
      </c>
      <c r="Q27" s="16">
        <v>1522.52</v>
      </c>
      <c r="R27" s="16">
        <v>1511.15</v>
      </c>
      <c r="S27" s="16">
        <v>1402.44</v>
      </c>
      <c r="T27" s="16">
        <f t="shared" ca="1" si="3"/>
        <v>68611.199999999997</v>
      </c>
      <c r="U27" s="16">
        <f t="shared" ca="1" si="4"/>
        <v>11748.659999999996</v>
      </c>
      <c r="V27" s="17">
        <f t="shared" ca="1" si="5"/>
        <v>0.20661511075657182</v>
      </c>
      <c r="W27" s="17">
        <v>0.97330553720966018</v>
      </c>
      <c r="X27" s="14">
        <v>118</v>
      </c>
      <c r="Y27" s="14"/>
      <c r="Z27" s="14" t="s">
        <v>73</v>
      </c>
    </row>
    <row r="28" spans="1:26">
      <c r="A28" s="23" t="s">
        <v>66</v>
      </c>
      <c r="B28" s="14" t="s">
        <v>24</v>
      </c>
      <c r="C28" s="14" t="s">
        <v>51</v>
      </c>
      <c r="D28" s="14" t="s">
        <v>40</v>
      </c>
      <c r="E28" s="14" t="s">
        <v>92</v>
      </c>
      <c r="F28" s="14">
        <v>40</v>
      </c>
      <c r="G28" s="16">
        <v>639.20000000000005</v>
      </c>
      <c r="H28" s="43" t="str">
        <f t="shared" ca="1" si="0"/>
        <v>▼</v>
      </c>
      <c r="I28" s="16">
        <v>575.28</v>
      </c>
      <c r="J28" s="16">
        <f t="shared" ca="1" si="1"/>
        <v>50.769999999999982</v>
      </c>
      <c r="K28" s="17">
        <f t="shared" ca="1" si="2"/>
        <v>8.1095759124670527E-2</v>
      </c>
      <c r="L28" s="16">
        <v>25568</v>
      </c>
      <c r="M28" s="16">
        <f ca="1">IFERROR(INDEX(Price_Update!$F:$F, MATCH(A28, Price_Update!$A:$A, 0)), 626.05)</f>
        <v>626.04999999999995</v>
      </c>
      <c r="N28" s="16">
        <f ca="1">IFERROR(INDEX(Price_Update!$I:$I, MATCH(A28, Price_Update!$A:$A, 0)), 626.7)</f>
        <v>626.70000000000005</v>
      </c>
      <c r="O28" s="16">
        <v>638.5</v>
      </c>
      <c r="P28" s="16">
        <v>579.36</v>
      </c>
      <c r="Q28" s="16">
        <v>576.34</v>
      </c>
      <c r="R28" s="16">
        <v>573.96</v>
      </c>
      <c r="S28" s="16">
        <v>570.85</v>
      </c>
      <c r="T28" s="16">
        <f t="shared" ca="1" si="3"/>
        <v>25042</v>
      </c>
      <c r="U28" s="16">
        <f t="shared" ca="1" si="4"/>
        <v>-526</v>
      </c>
      <c r="V28" s="17">
        <f t="shared" ca="1" si="5"/>
        <v>-2.0572590738423029E-2</v>
      </c>
      <c r="W28" s="17">
        <v>-0.71763420093972863</v>
      </c>
      <c r="X28" s="14">
        <v>6</v>
      </c>
      <c r="Y28" s="14"/>
      <c r="Z28" s="14" t="s">
        <v>73</v>
      </c>
    </row>
    <row r="29" spans="1:26">
      <c r="A29" s="23" t="s">
        <v>48</v>
      </c>
      <c r="B29" s="14" t="s">
        <v>26</v>
      </c>
      <c r="C29" s="14" t="s">
        <v>54</v>
      </c>
      <c r="D29" s="14" t="s">
        <v>40</v>
      </c>
      <c r="E29" s="14" t="s">
        <v>92</v>
      </c>
      <c r="F29" s="14">
        <v>26</v>
      </c>
      <c r="G29" s="16">
        <v>1899.2</v>
      </c>
      <c r="H29" s="43" t="str">
        <f t="shared" ca="1" si="0"/>
        <v>▲</v>
      </c>
      <c r="I29" s="16">
        <v>1709.28</v>
      </c>
      <c r="J29" s="16">
        <f t="shared" ca="1" si="1"/>
        <v>135.01999999999998</v>
      </c>
      <c r="K29" s="17">
        <f t="shared" ca="1" si="2"/>
        <v>7.3209347720002163E-2</v>
      </c>
      <c r="L29" s="16">
        <v>49379.199999999997</v>
      </c>
      <c r="M29" s="16">
        <f ca="1">IFERROR(INDEX(Price_Update!$F:$F, MATCH(A29, Price_Update!$A:$A, 0)), 1844.3)</f>
        <v>1844.3</v>
      </c>
      <c r="N29" s="16">
        <f ca="1">IFERROR(INDEX(Price_Update!$I:$I, MATCH(A29, Price_Update!$A:$A, 0)), 1840.8)</f>
        <v>1840.8</v>
      </c>
      <c r="O29" s="16">
        <v>1844.6</v>
      </c>
      <c r="P29" s="16">
        <v>1797.48</v>
      </c>
      <c r="Q29" s="16">
        <v>1792.39</v>
      </c>
      <c r="R29" s="16">
        <v>1787.82</v>
      </c>
      <c r="S29" s="16">
        <v>1758.2</v>
      </c>
      <c r="T29" s="16">
        <f t="shared" ca="1" si="3"/>
        <v>47951.799999999996</v>
      </c>
      <c r="U29" s="16">
        <f t="shared" ca="1" si="4"/>
        <v>-1427.4000000000015</v>
      </c>
      <c r="V29" s="17">
        <f t="shared" ca="1" si="5"/>
        <v>-2.8906908171861867E-2</v>
      </c>
      <c r="W29" s="17">
        <v>-0.65721519712664067</v>
      </c>
      <c r="X29" s="14">
        <v>10</v>
      </c>
      <c r="Y29" s="14"/>
      <c r="Z29" s="14" t="s">
        <v>73</v>
      </c>
    </row>
    <row r="30" spans="1:26">
      <c r="A30" s="30" t="s">
        <v>112</v>
      </c>
      <c r="B30" s="14" t="s">
        <v>24</v>
      </c>
      <c r="C30" s="14" t="s">
        <v>55</v>
      </c>
      <c r="D30" s="14" t="s">
        <v>40</v>
      </c>
      <c r="E30" s="14" t="s">
        <v>92</v>
      </c>
      <c r="F30" s="14">
        <v>75</v>
      </c>
      <c r="G30" s="16">
        <v>670.55</v>
      </c>
      <c r="H30" s="43" t="str">
        <f t="shared" ca="1" si="0"/>
        <v>▲</v>
      </c>
      <c r="I30" s="16">
        <v>603.5</v>
      </c>
      <c r="J30" s="16">
        <f t="shared" ca="1" si="1"/>
        <v>116.25</v>
      </c>
      <c r="K30" s="17">
        <f t="shared" ca="1" si="2"/>
        <v>0.16151441472733588</v>
      </c>
      <c r="L30" s="16">
        <v>50291.25</v>
      </c>
      <c r="M30" s="16">
        <f ca="1">IFERROR(INDEX(Price_Update!$F:$F, MATCH(A30, Price_Update!$A:$A, 0)), 719.75)</f>
        <v>719.75</v>
      </c>
      <c r="N30" s="16">
        <f ca="1">IFERROR(INDEX(Price_Update!$I:$I, MATCH(A30, Price_Update!$A:$A, 0)), 706.3)</f>
        <v>706.3</v>
      </c>
      <c r="O30" s="16">
        <v>671.35</v>
      </c>
      <c r="P30" s="16">
        <v>630.66</v>
      </c>
      <c r="Q30" s="16">
        <v>627.20000000000005</v>
      </c>
      <c r="R30" s="16">
        <v>624.54</v>
      </c>
      <c r="S30" s="16">
        <v>619.85</v>
      </c>
      <c r="T30" s="16">
        <f t="shared" ca="1" si="3"/>
        <v>53981.25</v>
      </c>
      <c r="U30" s="16">
        <f t="shared" ca="1" si="4"/>
        <v>3690</v>
      </c>
      <c r="V30" s="17">
        <f t="shared" ca="1" si="5"/>
        <v>7.3372604578331224E-2</v>
      </c>
      <c r="W30" s="17">
        <v>16.664603062287661</v>
      </c>
      <c r="X30" s="14">
        <v>9</v>
      </c>
      <c r="Y30" s="14"/>
      <c r="Z30" s="14" t="s">
        <v>73</v>
      </c>
    </row>
  </sheetData>
  <conditionalFormatting sqref="H2:H30">
    <cfRule type="cellIs" dxfId="7" priority="5" operator="equal">
      <formula>"▲"</formula>
    </cfRule>
    <cfRule type="cellIs" dxfId="6" priority="6" operator="equal">
      <formula>"▼"</formula>
    </cfRule>
  </conditionalFormatting>
  <conditionalFormatting sqref="N2:N30">
    <cfRule type="expression" dxfId="5" priority="1">
      <formula>$M2&gt;$N2</formula>
    </cfRule>
    <cfRule type="expression" dxfId="4" priority="2">
      <formula>$M2&lt;=$N2</formula>
    </cfRule>
  </conditionalFormatting>
  <conditionalFormatting sqref="O2:O30">
    <cfRule type="expression" dxfId="3" priority="3">
      <formula>$M2&gt;$O2</formula>
    </cfRule>
    <cfRule type="expression" dxfId="2" priority="4">
      <formula>$M2&lt;=$O2</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186"/>
  <sheetViews>
    <sheetView workbookViewId="0">
      <pane ySplit="1" topLeftCell="A80" activePane="bottomLeft" state="frozen"/>
      <selection pane="bottomLeft" activeCell="E164" sqref="E164"/>
    </sheetView>
  </sheetViews>
  <sheetFormatPr defaultRowHeight="15"/>
  <cols>
    <col min="1" max="1" width="10.42578125" bestFit="1" customWidth="1"/>
    <col min="2" max="2" width="16.42578125" bestFit="1" customWidth="1"/>
    <col min="3" max="3" width="10.28515625" bestFit="1" customWidth="1"/>
    <col min="4" max="4" width="96.5703125" bestFit="1" customWidth="1"/>
    <col min="5" max="5" width="11.5703125" style="51" bestFit="1" customWidth="1"/>
    <col min="6" max="6" width="18.7109375" bestFit="1" customWidth="1"/>
    <col min="7" max="7" width="24.140625" bestFit="1" customWidth="1"/>
    <col min="8" max="8" width="19.5703125" bestFit="1" customWidth="1"/>
    <col min="9" max="10" width="20.5703125" bestFit="1" customWidth="1"/>
    <col min="12" max="12" width="14.140625" bestFit="1" customWidth="1"/>
    <col min="13" max="13" width="14" bestFit="1" customWidth="1"/>
    <col min="14" max="14" width="11.85546875" bestFit="1" customWidth="1"/>
    <col min="16" max="16" width="68.85546875" bestFit="1" customWidth="1"/>
    <col min="17" max="17" width="6.42578125" bestFit="1" customWidth="1"/>
    <col min="18" max="18" width="9.7109375" bestFit="1" customWidth="1"/>
    <col min="19" max="19" width="14.140625" bestFit="1" customWidth="1"/>
    <col min="20" max="20" width="18.42578125" bestFit="1" customWidth="1"/>
    <col min="21" max="21" width="16.140625" bestFit="1" customWidth="1"/>
    <col min="22" max="22" width="20.42578125" bestFit="1" customWidth="1"/>
  </cols>
  <sheetData>
    <row r="1" spans="1:22">
      <c r="A1" s="21" t="s">
        <v>519</v>
      </c>
      <c r="B1" s="21" t="s">
        <v>520</v>
      </c>
      <c r="C1" s="21" t="s">
        <v>521</v>
      </c>
      <c r="D1" s="21" t="s">
        <v>522</v>
      </c>
      <c r="E1" s="49" t="s">
        <v>116</v>
      </c>
      <c r="F1" s="21" t="s">
        <v>523</v>
      </c>
      <c r="G1" s="21" t="s">
        <v>524</v>
      </c>
      <c r="H1" s="21" t="s">
        <v>525</v>
      </c>
      <c r="I1" s="21" t="s">
        <v>526</v>
      </c>
      <c r="J1" s="21" t="s">
        <v>527</v>
      </c>
      <c r="L1" s="48" t="s">
        <v>520</v>
      </c>
      <c r="M1" s="48" t="s">
        <v>528</v>
      </c>
      <c r="N1" s="48" t="s">
        <v>529</v>
      </c>
      <c r="P1" s="52" t="s">
        <v>530</v>
      </c>
    </row>
    <row r="2" spans="1:22">
      <c r="A2" s="18">
        <v>46158</v>
      </c>
      <c r="B2" s="19" t="s">
        <v>113</v>
      </c>
      <c r="C2" s="19" t="s">
        <v>531</v>
      </c>
      <c r="D2" s="19" t="e" vm="1">
        <v>#VALUE!</v>
      </c>
      <c r="E2" s="50">
        <f t="array" aca="1" ref="E2" ca="1">_FV(D2,"Price")</f>
        <v>1821</v>
      </c>
      <c r="F2" s="20">
        <f t="array" aca="1" ref="F2" ca="1">_FV(D2,"Previous close",TRUE)</f>
        <v>1873.4</v>
      </c>
      <c r="G2" s="16">
        <v>1822.5</v>
      </c>
      <c r="H2" s="16">
        <v>1502.35</v>
      </c>
      <c r="I2" s="16">
        <v>1453.76</v>
      </c>
      <c r="J2" s="16">
        <v>1340.88</v>
      </c>
      <c r="L2" s="10" t="s">
        <v>532</v>
      </c>
      <c r="M2" s="10" t="s">
        <v>533</v>
      </c>
      <c r="N2" s="10">
        <v>2</v>
      </c>
      <c r="P2" s="53" t="s">
        <v>520</v>
      </c>
      <c r="Q2" s="53" t="s">
        <v>521</v>
      </c>
      <c r="R2" s="53" t="s">
        <v>116</v>
      </c>
      <c r="S2" s="53" t="s">
        <v>534</v>
      </c>
      <c r="T2" s="53" t="s">
        <v>535</v>
      </c>
      <c r="U2" s="53" t="s">
        <v>107</v>
      </c>
      <c r="V2" s="53" t="s">
        <v>536</v>
      </c>
    </row>
    <row r="3" spans="1:22">
      <c r="A3" s="18">
        <v>46158</v>
      </c>
      <c r="B3" s="19" t="s">
        <v>125</v>
      </c>
      <c r="C3" s="19" t="s">
        <v>531</v>
      </c>
      <c r="D3" s="19" t="e" vm="2">
        <v>#VALUE!</v>
      </c>
      <c r="E3" s="50">
        <f t="array" aca="1" ref="E3" ca="1">_FV(D3,"Price")</f>
        <v>845.3</v>
      </c>
      <c r="F3" s="20">
        <f t="array" aca="1" ref="F3" ca="1">_FV(D3,"Previous close",TRUE)</f>
        <v>855.4</v>
      </c>
      <c r="G3" s="16">
        <v>775.95</v>
      </c>
      <c r="H3" s="16">
        <v>677.65</v>
      </c>
      <c r="I3" s="16">
        <v>649.29999999999995</v>
      </c>
      <c r="J3" s="16">
        <v>571.94000000000005</v>
      </c>
      <c r="L3" s="10" t="s">
        <v>109</v>
      </c>
      <c r="M3" s="10" t="s">
        <v>537</v>
      </c>
      <c r="N3" s="10">
        <v>2</v>
      </c>
      <c r="P3" s="54" t="s">
        <v>538</v>
      </c>
      <c r="Q3" s="57" t="s">
        <v>531</v>
      </c>
      <c r="R3" s="55" t="s">
        <v>539</v>
      </c>
      <c r="S3" s="55" t="s">
        <v>540</v>
      </c>
      <c r="T3" s="56">
        <v>4.5400000000000003E-2</v>
      </c>
      <c r="U3" s="55" t="s">
        <v>541</v>
      </c>
      <c r="V3" s="56">
        <v>0.14119999999999999</v>
      </c>
    </row>
    <row r="4" spans="1:22">
      <c r="A4" s="18">
        <v>46158</v>
      </c>
      <c r="B4" s="19" t="s">
        <v>542</v>
      </c>
      <c r="C4" s="19" t="s">
        <v>531</v>
      </c>
      <c r="D4" s="19" t="e" vm="3">
        <v>#VALUE!</v>
      </c>
      <c r="E4" s="50">
        <f t="array" aca="1" ref="E4" ca="1">_FV(D4,"Price")</f>
        <v>488</v>
      </c>
      <c r="F4" s="20">
        <f t="array" aca="1" ref="F4" ca="1">_FV(D4,"Previous close",TRUE)</f>
        <v>492.1</v>
      </c>
      <c r="G4" s="16">
        <v>499.75</v>
      </c>
      <c r="H4" s="16">
        <v>485.19</v>
      </c>
      <c r="I4" s="16">
        <v>482.76</v>
      </c>
      <c r="J4" s="16">
        <v>470.44</v>
      </c>
      <c r="L4" s="10" t="s">
        <v>543</v>
      </c>
      <c r="M4" s="10" t="s">
        <v>531</v>
      </c>
      <c r="N4" s="10">
        <v>2</v>
      </c>
      <c r="P4" s="54" t="s">
        <v>544</v>
      </c>
      <c r="Q4" s="57" t="s">
        <v>531</v>
      </c>
      <c r="R4" s="55" t="s">
        <v>545</v>
      </c>
      <c r="S4" s="55" t="s">
        <v>546</v>
      </c>
      <c r="T4" s="56">
        <v>3.8300000000000001E-2</v>
      </c>
      <c r="U4" s="55" t="s">
        <v>547</v>
      </c>
      <c r="V4" s="56">
        <v>1.41E-2</v>
      </c>
    </row>
    <row r="5" spans="1:22">
      <c r="A5" s="18">
        <v>46158</v>
      </c>
      <c r="B5" s="19" t="s">
        <v>548</v>
      </c>
      <c r="C5" s="19" t="s">
        <v>531</v>
      </c>
      <c r="D5" s="19" t="e" vm="4">
        <v>#VALUE!</v>
      </c>
      <c r="E5" s="50">
        <f t="array" aca="1" ref="E5" ca="1">_FV(D5,"Price")</f>
        <v>1912.3</v>
      </c>
      <c r="F5" s="20">
        <f t="array" aca="1" ref="F5" ca="1">_FV(D5,"Previous close",TRUE)</f>
        <v>1913.4</v>
      </c>
      <c r="G5" s="16">
        <v>1943.4</v>
      </c>
      <c r="H5" s="16">
        <v>1734.38</v>
      </c>
      <c r="I5" s="16">
        <v>1708.56</v>
      </c>
      <c r="J5" s="16">
        <v>1648.87</v>
      </c>
      <c r="L5" s="10" t="s">
        <v>110</v>
      </c>
      <c r="M5" s="10" t="s">
        <v>549</v>
      </c>
      <c r="N5" s="10">
        <v>2</v>
      </c>
      <c r="P5" s="54" t="s">
        <v>550</v>
      </c>
      <c r="Q5" s="57" t="s">
        <v>531</v>
      </c>
      <c r="R5" s="55" t="s">
        <v>551</v>
      </c>
      <c r="S5" s="55" t="s">
        <v>552</v>
      </c>
      <c r="T5" s="56">
        <v>8.8999999999999999E-3</v>
      </c>
      <c r="U5" s="55" t="s">
        <v>553</v>
      </c>
      <c r="V5" s="56">
        <v>4.7800000000000002E-2</v>
      </c>
    </row>
    <row r="6" spans="1:22">
      <c r="A6" s="18">
        <v>46158</v>
      </c>
      <c r="B6" s="19" t="s">
        <v>554</v>
      </c>
      <c r="C6" s="19" t="s">
        <v>531</v>
      </c>
      <c r="D6" s="19" t="e" vm="5">
        <v>#VALUE!</v>
      </c>
      <c r="E6" s="50">
        <f t="array" aca="1" ref="E6" ca="1">_FV(D6,"Price")</f>
        <v>274.05</v>
      </c>
      <c r="F6" s="20">
        <f t="array" aca="1" ref="F6" ca="1">_FV(D6,"Previous close",TRUE)</f>
        <v>287.5</v>
      </c>
      <c r="G6" s="16">
        <v>290</v>
      </c>
      <c r="H6" s="16">
        <v>283.77999999999997</v>
      </c>
      <c r="I6" s="16">
        <v>282.37</v>
      </c>
      <c r="J6" s="16">
        <v>273.7</v>
      </c>
      <c r="L6" s="10" t="s">
        <v>555</v>
      </c>
      <c r="M6" s="10" t="s">
        <v>533</v>
      </c>
      <c r="N6" s="10">
        <v>2</v>
      </c>
      <c r="P6" s="54" t="s">
        <v>117</v>
      </c>
      <c r="Q6" s="57" t="s">
        <v>531</v>
      </c>
      <c r="R6" s="55" t="s">
        <v>556</v>
      </c>
      <c r="S6" s="55" t="s">
        <v>557</v>
      </c>
      <c r="T6" s="56">
        <v>1.35E-2</v>
      </c>
      <c r="U6" s="55" t="s">
        <v>558</v>
      </c>
      <c r="V6" s="56">
        <v>0.23480000000000001</v>
      </c>
    </row>
    <row r="7" spans="1:22">
      <c r="A7" s="18">
        <v>46158</v>
      </c>
      <c r="B7" s="19" t="s">
        <v>559</v>
      </c>
      <c r="C7" s="19" t="s">
        <v>531</v>
      </c>
      <c r="D7" s="19" t="e" vm="6">
        <v>#VALUE!</v>
      </c>
      <c r="E7" s="50">
        <f t="array" aca="1" ref="E7" ca="1">_FV(D7,"Price")</f>
        <v>1035</v>
      </c>
      <c r="F7" s="20">
        <f t="array" aca="1" ref="F7" ca="1">_FV(D7,"Previous close",TRUE)</f>
        <v>1043.3499999999999</v>
      </c>
      <c r="G7" s="16">
        <v>1056.8499999999999</v>
      </c>
      <c r="H7" s="16">
        <v>982.8</v>
      </c>
      <c r="I7" s="16">
        <v>966.26</v>
      </c>
      <c r="J7" s="16">
        <v>922.02</v>
      </c>
      <c r="L7" s="10" t="s">
        <v>46</v>
      </c>
      <c r="M7" s="10" t="s">
        <v>531</v>
      </c>
      <c r="N7" s="10">
        <v>2</v>
      </c>
      <c r="P7" s="54" t="s">
        <v>121</v>
      </c>
      <c r="Q7" s="57" t="s">
        <v>531</v>
      </c>
      <c r="R7" s="55" t="s">
        <v>560</v>
      </c>
      <c r="S7" s="55" t="s">
        <v>561</v>
      </c>
      <c r="T7" s="56">
        <v>2.7199999999999998E-2</v>
      </c>
      <c r="U7" s="55" t="s">
        <v>562</v>
      </c>
      <c r="V7" s="56">
        <v>0.1406</v>
      </c>
    </row>
    <row r="8" spans="1:22">
      <c r="A8" s="18">
        <v>46158</v>
      </c>
      <c r="B8" s="19" t="s">
        <v>543</v>
      </c>
      <c r="C8" s="19" t="s">
        <v>531</v>
      </c>
      <c r="D8" s="19" t="e" vm="7">
        <v>#VALUE!</v>
      </c>
      <c r="E8" s="50">
        <f t="array" aca="1" ref="E8" ca="1">_FV(D8,"Price")</f>
        <v>514.9</v>
      </c>
      <c r="F8" s="20">
        <f t="array" aca="1" ref="F8" ca="1">_FV(D8,"Previous close",TRUE)</f>
        <v>517</v>
      </c>
      <c r="G8" s="16">
        <v>516.35</v>
      </c>
      <c r="H8" s="16">
        <v>475.92</v>
      </c>
      <c r="I8" s="16">
        <v>464.62</v>
      </c>
      <c r="J8" s="16">
        <v>424.65</v>
      </c>
      <c r="L8" s="10" t="s">
        <v>563</v>
      </c>
      <c r="M8" s="10" t="s">
        <v>564</v>
      </c>
      <c r="N8" s="10">
        <v>2</v>
      </c>
      <c r="P8" s="54" t="s">
        <v>565</v>
      </c>
      <c r="Q8" s="57" t="s">
        <v>531</v>
      </c>
      <c r="R8" s="55" t="s">
        <v>566</v>
      </c>
      <c r="S8" s="55" t="s">
        <v>567</v>
      </c>
      <c r="T8" s="56">
        <v>6.7999999999999996E-3</v>
      </c>
      <c r="U8" s="55" t="s">
        <v>568</v>
      </c>
      <c r="V8" s="56">
        <v>2.9499999999999998E-2</v>
      </c>
    </row>
    <row r="9" spans="1:22">
      <c r="A9" s="18">
        <v>46158</v>
      </c>
      <c r="B9" s="19" t="s">
        <v>569</v>
      </c>
      <c r="C9" s="19" t="s">
        <v>531</v>
      </c>
      <c r="D9" s="19" t="e" vm="8">
        <v>#VALUE!</v>
      </c>
      <c r="E9" s="50">
        <f t="array" aca="1" ref="E9" ca="1">_FV(D9,"Price")</f>
        <v>555.35</v>
      </c>
      <c r="F9" s="20">
        <f t="array" aca="1" ref="F9" ca="1">_FV(D9,"Previous close",TRUE)</f>
        <v>556</v>
      </c>
      <c r="G9" s="16">
        <v>545.75</v>
      </c>
      <c r="H9" s="16">
        <v>547.89</v>
      </c>
      <c r="I9" s="16">
        <v>544.95000000000005</v>
      </c>
      <c r="J9" s="16">
        <v>521.17999999999995</v>
      </c>
      <c r="L9" s="10" t="s">
        <v>570</v>
      </c>
      <c r="M9" s="10" t="s">
        <v>571</v>
      </c>
      <c r="N9" s="10">
        <v>2</v>
      </c>
      <c r="P9" s="54" t="s">
        <v>572</v>
      </c>
      <c r="Q9" s="57" t="s">
        <v>531</v>
      </c>
      <c r="R9" s="55" t="s">
        <v>573</v>
      </c>
      <c r="S9" s="55" t="s">
        <v>574</v>
      </c>
      <c r="T9" s="56">
        <v>3.6400000000000002E-2</v>
      </c>
      <c r="U9" s="55" t="s">
        <v>575</v>
      </c>
      <c r="V9" s="56">
        <v>4.5600000000000002E-2</v>
      </c>
    </row>
    <row r="10" spans="1:22">
      <c r="A10" s="18">
        <v>46158</v>
      </c>
      <c r="B10" s="19" t="s">
        <v>109</v>
      </c>
      <c r="C10" s="19" t="s">
        <v>531</v>
      </c>
      <c r="D10" s="19" t="e" vm="9">
        <v>#VALUE!</v>
      </c>
      <c r="E10" s="50">
        <f t="array" aca="1" ref="E10" ca="1">_FV(D10,"Price")</f>
        <v>417.85</v>
      </c>
      <c r="F10" s="20">
        <f t="array" aca="1" ref="F10" ca="1">_FV(D10,"Previous close",TRUE)</f>
        <v>412.1</v>
      </c>
      <c r="G10" s="16">
        <v>355.05</v>
      </c>
      <c r="H10" s="16">
        <v>314.87</v>
      </c>
      <c r="I10" s="16">
        <v>304.72000000000003</v>
      </c>
      <c r="J10" s="16">
        <v>278.97000000000003</v>
      </c>
      <c r="L10" s="10" t="s">
        <v>113</v>
      </c>
      <c r="M10" s="10" t="s">
        <v>531</v>
      </c>
      <c r="N10" s="10">
        <v>2</v>
      </c>
      <c r="P10" s="54" t="s">
        <v>576</v>
      </c>
      <c r="Q10" s="57" t="s">
        <v>531</v>
      </c>
      <c r="R10" s="55" t="s">
        <v>577</v>
      </c>
      <c r="S10" s="55" t="s">
        <v>578</v>
      </c>
      <c r="T10" s="56">
        <v>1.26E-2</v>
      </c>
      <c r="U10" s="55" t="s">
        <v>579</v>
      </c>
      <c r="V10" s="56">
        <v>4.41E-2</v>
      </c>
    </row>
    <row r="11" spans="1:22">
      <c r="A11" s="18">
        <v>46158</v>
      </c>
      <c r="B11" s="19" t="s">
        <v>538</v>
      </c>
      <c r="C11" s="19" t="s">
        <v>531</v>
      </c>
      <c r="D11" s="19" t="e" vm="10">
        <v>#VALUE!</v>
      </c>
      <c r="E11" s="50">
        <f t="array" aca="1" ref="E11" ca="1">_FV(D11,"Price")</f>
        <v>173.92</v>
      </c>
      <c r="F11" s="20">
        <f t="array" aca="1" ref="F11" ca="1">_FV(D11,"Previous close",TRUE)</f>
        <v>161.80000000000001</v>
      </c>
      <c r="G11" s="16">
        <v>148.21</v>
      </c>
      <c r="H11" s="16">
        <v>128.30000000000001</v>
      </c>
      <c r="I11" s="16">
        <v>121.91</v>
      </c>
      <c r="J11" s="16">
        <v>103.37</v>
      </c>
      <c r="L11" s="10" t="s">
        <v>580</v>
      </c>
      <c r="M11" s="10" t="s">
        <v>533</v>
      </c>
      <c r="N11" s="10">
        <v>2</v>
      </c>
      <c r="P11" s="54" t="s">
        <v>581</v>
      </c>
      <c r="Q11" s="57" t="s">
        <v>531</v>
      </c>
      <c r="R11" s="55" t="s">
        <v>582</v>
      </c>
      <c r="S11" s="55" t="s">
        <v>583</v>
      </c>
      <c r="T11" s="56">
        <v>4.7699999999999999E-2</v>
      </c>
      <c r="U11" s="55" t="s">
        <v>584</v>
      </c>
      <c r="V11" s="56">
        <v>9.4700000000000006E-2</v>
      </c>
    </row>
    <row r="12" spans="1:22">
      <c r="A12" s="18">
        <v>46158</v>
      </c>
      <c r="B12" s="19" t="s">
        <v>585</v>
      </c>
      <c r="C12" s="19" t="s">
        <v>531</v>
      </c>
      <c r="D12" s="19" t="e" vm="11">
        <v>#VALUE!</v>
      </c>
      <c r="E12" s="50">
        <f t="array" aca="1" ref="E12" ca="1">_FV(D12,"Price")</f>
        <v>1714.8</v>
      </c>
      <c r="F12" s="20">
        <f t="array" aca="1" ref="F12" ca="1">_FV(D12,"Previous close",TRUE)</f>
        <v>1727.1</v>
      </c>
      <c r="G12" s="16">
        <v>1739.8</v>
      </c>
      <c r="H12" s="16">
        <v>1689.09</v>
      </c>
      <c r="I12" s="16">
        <v>1673.36</v>
      </c>
      <c r="J12" s="16">
        <v>1647.34</v>
      </c>
      <c r="L12" s="10" t="s">
        <v>271</v>
      </c>
      <c r="M12" s="10" t="s">
        <v>533</v>
      </c>
      <c r="N12" s="10">
        <v>2</v>
      </c>
      <c r="P12" s="54" t="s">
        <v>586</v>
      </c>
      <c r="Q12" s="57" t="s">
        <v>531</v>
      </c>
      <c r="R12" s="55" t="s">
        <v>587</v>
      </c>
      <c r="S12" s="55" t="s">
        <v>588</v>
      </c>
      <c r="T12" s="56">
        <v>5.0000000000000001E-3</v>
      </c>
      <c r="U12" s="55" t="s">
        <v>589</v>
      </c>
      <c r="V12" s="56">
        <v>8.8999999999999999E-3</v>
      </c>
    </row>
    <row r="13" spans="1:22">
      <c r="A13" s="18">
        <v>46158</v>
      </c>
      <c r="B13" s="19" t="s">
        <v>46</v>
      </c>
      <c r="C13" s="19" t="s">
        <v>531</v>
      </c>
      <c r="D13" s="19" t="e" vm="12">
        <v>#VALUE!</v>
      </c>
      <c r="E13" s="50">
        <f t="array" aca="1" ref="E13" ca="1">_FV(D13,"Price")</f>
        <v>1435.9</v>
      </c>
      <c r="F13" s="20">
        <f t="array" aca="1" ref="F13" ca="1">_FV(D13,"Previous close",TRUE)</f>
        <v>1461.2</v>
      </c>
      <c r="G13" s="16">
        <v>1463.5</v>
      </c>
      <c r="H13" s="16">
        <v>1414.93</v>
      </c>
      <c r="I13" s="16">
        <v>1399.04</v>
      </c>
      <c r="J13" s="16">
        <v>1336.04</v>
      </c>
      <c r="L13" s="10" t="s">
        <v>590</v>
      </c>
      <c r="M13" s="10" t="s">
        <v>564</v>
      </c>
      <c r="N13" s="10">
        <v>2</v>
      </c>
      <c r="P13" s="54" t="s">
        <v>591</v>
      </c>
      <c r="Q13" s="57" t="s">
        <v>531</v>
      </c>
      <c r="R13" s="55" t="s">
        <v>592</v>
      </c>
      <c r="S13" s="55" t="s">
        <v>593</v>
      </c>
      <c r="T13" s="56">
        <v>2.47E-2</v>
      </c>
      <c r="U13" s="55" t="s">
        <v>594</v>
      </c>
      <c r="V13" s="56">
        <v>2.0400000000000001E-2</v>
      </c>
    </row>
    <row r="14" spans="1:22">
      <c r="A14" s="18">
        <v>46158</v>
      </c>
      <c r="B14" s="19" t="s">
        <v>124</v>
      </c>
      <c r="C14" s="19" t="s">
        <v>531</v>
      </c>
      <c r="D14" s="19" t="e" vm="13">
        <v>#VALUE!</v>
      </c>
      <c r="E14" s="50">
        <f t="array" aca="1" ref="E14" ca="1">_FV(D14,"Price")</f>
        <v>759.25</v>
      </c>
      <c r="F14" s="20">
        <f t="array" aca="1" ref="F14" ca="1">_FV(D14,"Previous close",TRUE)</f>
        <v>766.85</v>
      </c>
      <c r="G14" s="16">
        <v>695.6</v>
      </c>
      <c r="H14" s="16">
        <v>673.59</v>
      </c>
      <c r="I14" s="16">
        <v>659.19</v>
      </c>
      <c r="J14" s="16">
        <v>610.98</v>
      </c>
      <c r="L14" s="10" t="s">
        <v>199</v>
      </c>
      <c r="M14" s="10" t="s">
        <v>533</v>
      </c>
      <c r="N14" s="10">
        <v>2</v>
      </c>
      <c r="P14" s="54" t="s">
        <v>595</v>
      </c>
      <c r="Q14" s="57" t="s">
        <v>531</v>
      </c>
      <c r="R14" s="55" t="s">
        <v>596</v>
      </c>
      <c r="S14" s="55" t="s">
        <v>597</v>
      </c>
      <c r="T14" s="56">
        <v>1.23E-2</v>
      </c>
      <c r="U14" s="55" t="s">
        <v>598</v>
      </c>
      <c r="V14" s="56">
        <v>2.4E-2</v>
      </c>
    </row>
    <row r="15" spans="1:22">
      <c r="A15" s="18">
        <v>46158</v>
      </c>
      <c r="B15" s="19" t="s">
        <v>599</v>
      </c>
      <c r="C15" s="19" t="s">
        <v>531</v>
      </c>
      <c r="D15" s="19" t="e" vm="14">
        <v>#VALUE!</v>
      </c>
      <c r="E15" s="50">
        <f t="array" aca="1" ref="E15" ca="1">_FV(D15,"Price")</f>
        <v>1658.8</v>
      </c>
      <c r="F15" s="20">
        <f t="array" aca="1" ref="F15" ca="1">_FV(D15,"Previous close",TRUE)</f>
        <v>1673.1</v>
      </c>
      <c r="G15" s="16">
        <v>1725.6</v>
      </c>
      <c r="H15" s="16">
        <v>1658.24</v>
      </c>
      <c r="I15" s="16">
        <v>1649.3</v>
      </c>
      <c r="J15" s="16">
        <v>1623.72</v>
      </c>
      <c r="L15" s="10" t="s">
        <v>86</v>
      </c>
      <c r="M15" s="10" t="s">
        <v>549</v>
      </c>
      <c r="N15" s="10">
        <v>2</v>
      </c>
      <c r="P15" s="54" t="s">
        <v>600</v>
      </c>
      <c r="Q15" s="57" t="s">
        <v>531</v>
      </c>
      <c r="R15" s="55" t="s">
        <v>601</v>
      </c>
      <c r="S15" s="55" t="s">
        <v>602</v>
      </c>
      <c r="T15" s="56">
        <v>4.5400000000000003E-2</v>
      </c>
      <c r="U15" s="55" t="s">
        <v>603</v>
      </c>
      <c r="V15" s="56">
        <v>0.11840000000000001</v>
      </c>
    </row>
    <row r="16" spans="1:22">
      <c r="A16" s="18">
        <v>46158</v>
      </c>
      <c r="B16" s="19" t="s">
        <v>604</v>
      </c>
      <c r="C16" s="19" t="s">
        <v>531</v>
      </c>
      <c r="D16" s="19" t="e" vm="15">
        <v>#VALUE!</v>
      </c>
      <c r="E16" s="50">
        <f t="array" aca="1" ref="E16" ca="1">_FV(D16,"Price")</f>
        <v>1692</v>
      </c>
      <c r="F16" s="20">
        <f t="array" aca="1" ref="F16" ca="1">_FV(D16,"Previous close",TRUE)</f>
        <v>1730.5</v>
      </c>
      <c r="G16" s="16">
        <v>1719.9</v>
      </c>
      <c r="H16" s="16">
        <v>1596.71</v>
      </c>
      <c r="I16" s="16">
        <v>1579.65</v>
      </c>
      <c r="J16" s="16">
        <v>1569.35</v>
      </c>
      <c r="L16" s="10" t="s">
        <v>605</v>
      </c>
      <c r="M16" s="10" t="s">
        <v>564</v>
      </c>
      <c r="N16" s="10">
        <v>2</v>
      </c>
      <c r="P16" s="54" t="s">
        <v>68</v>
      </c>
      <c r="Q16" s="58" t="s">
        <v>549</v>
      </c>
      <c r="R16" s="55" t="s">
        <v>606</v>
      </c>
      <c r="S16" s="55" t="s">
        <v>607</v>
      </c>
      <c r="T16" s="56">
        <v>3.0000000000000001E-3</v>
      </c>
      <c r="U16" s="55" t="s">
        <v>608</v>
      </c>
      <c r="V16" s="56">
        <v>3.1699999999999999E-2</v>
      </c>
    </row>
    <row r="17" spans="1:22">
      <c r="A17" s="18">
        <v>46158</v>
      </c>
      <c r="B17" s="19" t="s">
        <v>550</v>
      </c>
      <c r="C17" s="19" t="s">
        <v>531</v>
      </c>
      <c r="D17" s="19" t="e" vm="16">
        <v>#VALUE!</v>
      </c>
      <c r="E17" s="50">
        <f t="array" aca="1" ref="E17" ca="1">_FV(D17,"Price")</f>
        <v>1085.8</v>
      </c>
      <c r="F17" s="20">
        <f t="array" aca="1" ref="F17" ca="1">_FV(D17,"Previous close",TRUE)</f>
        <v>1079.05</v>
      </c>
      <c r="G17" s="16">
        <v>1038.95</v>
      </c>
      <c r="H17" s="16">
        <v>980.94</v>
      </c>
      <c r="I17" s="16">
        <v>970.73</v>
      </c>
      <c r="J17" s="16">
        <v>948.03</v>
      </c>
      <c r="L17" s="10" t="s">
        <v>42</v>
      </c>
      <c r="M17" s="10" t="s">
        <v>533</v>
      </c>
      <c r="N17" s="10">
        <v>2</v>
      </c>
      <c r="P17" s="54" t="s">
        <v>408</v>
      </c>
      <c r="Q17" s="58" t="s">
        <v>549</v>
      </c>
      <c r="R17" s="55" t="s">
        <v>609</v>
      </c>
      <c r="S17" s="55" t="s">
        <v>610</v>
      </c>
      <c r="T17" s="56">
        <v>3.6799999999999999E-2</v>
      </c>
      <c r="U17" s="55" t="s">
        <v>611</v>
      </c>
      <c r="V17" s="56">
        <v>3.6499999999999998E-2</v>
      </c>
    </row>
    <row r="18" spans="1:22">
      <c r="A18" s="18">
        <v>46158</v>
      </c>
      <c r="B18" s="19" t="s">
        <v>612</v>
      </c>
      <c r="C18" s="19" t="s">
        <v>531</v>
      </c>
      <c r="D18" s="19" t="e" vm="17">
        <v>#VALUE!</v>
      </c>
      <c r="E18" s="50">
        <f t="array" aca="1" ref="E18" ca="1">_FV(D18,"Price")</f>
        <v>76.88</v>
      </c>
      <c r="F18" s="20">
        <f t="array" aca="1" ref="F18" ca="1">_FV(D18,"Previous close",TRUE)</f>
        <v>75.38</v>
      </c>
      <c r="G18" s="16">
        <v>72.47</v>
      </c>
      <c r="H18" s="16">
        <v>59.9</v>
      </c>
      <c r="I18" s="16">
        <v>57.71</v>
      </c>
      <c r="J18" s="16">
        <v>52.09</v>
      </c>
      <c r="L18" s="10" t="s">
        <v>613</v>
      </c>
      <c r="M18" s="10" t="s">
        <v>533</v>
      </c>
      <c r="N18" s="10">
        <v>2</v>
      </c>
      <c r="P18" s="54" t="s">
        <v>109</v>
      </c>
      <c r="Q18" s="58" t="s">
        <v>549</v>
      </c>
      <c r="R18" s="55" t="s">
        <v>614</v>
      </c>
      <c r="S18" s="55" t="s">
        <v>615</v>
      </c>
      <c r="T18" s="56">
        <v>2.4799999999999999E-2</v>
      </c>
      <c r="U18" s="55" t="s">
        <v>616</v>
      </c>
      <c r="V18" s="56">
        <v>0.18940000000000001</v>
      </c>
    </row>
    <row r="19" spans="1:22">
      <c r="A19" s="18">
        <v>46158</v>
      </c>
      <c r="B19" s="19" t="s">
        <v>48</v>
      </c>
      <c r="C19" s="19" t="s">
        <v>531</v>
      </c>
      <c r="D19" s="19" t="e" vm="18">
        <v>#VALUE!</v>
      </c>
      <c r="E19" s="50">
        <f t="array" aca="1" ref="E19" ca="1">_FV(D19,"Price")</f>
        <v>1844.3</v>
      </c>
      <c r="F19" s="20">
        <f t="array" aca="1" ref="F19" ca="1">_FV(D19,"Previous close",TRUE)</f>
        <v>1840.8</v>
      </c>
      <c r="G19" s="16">
        <v>1844.6</v>
      </c>
      <c r="H19" s="16">
        <v>1797.48</v>
      </c>
      <c r="I19" s="16">
        <v>1787.82</v>
      </c>
      <c r="J19" s="16">
        <v>1758.2</v>
      </c>
      <c r="L19" s="10" t="s">
        <v>548</v>
      </c>
      <c r="M19" s="10" t="s">
        <v>531</v>
      </c>
      <c r="N19" s="10">
        <v>2</v>
      </c>
      <c r="P19" s="54" t="s">
        <v>617</v>
      </c>
      <c r="Q19" s="58" t="s">
        <v>549</v>
      </c>
      <c r="R19" s="55" t="s">
        <v>618</v>
      </c>
      <c r="S19" s="55" t="s">
        <v>619</v>
      </c>
      <c r="T19" s="56">
        <v>8.5000000000000006E-3</v>
      </c>
      <c r="U19" s="55" t="s">
        <v>620</v>
      </c>
      <c r="V19" s="56">
        <v>3.95E-2</v>
      </c>
    </row>
    <row r="20" spans="1:22">
      <c r="A20" s="18">
        <v>46158</v>
      </c>
      <c r="B20" s="19" t="s">
        <v>44</v>
      </c>
      <c r="C20" s="19" t="s">
        <v>531</v>
      </c>
      <c r="D20" s="19" t="e" vm="19">
        <v>#VALUE!</v>
      </c>
      <c r="E20" s="50">
        <f t="array" aca="1" ref="E20" ca="1">_FV(D20,"Price")</f>
        <v>3020.8</v>
      </c>
      <c r="F20" s="20">
        <f t="array" aca="1" ref="F20" ca="1">_FV(D20,"Previous close",TRUE)</f>
        <v>3097.1</v>
      </c>
      <c r="G20" s="16">
        <v>3107.5</v>
      </c>
      <c r="H20" s="16">
        <v>2976.15</v>
      </c>
      <c r="I20" s="16">
        <v>2958.14</v>
      </c>
      <c r="J20" s="16">
        <v>2885.8</v>
      </c>
      <c r="L20" s="10" t="s">
        <v>621</v>
      </c>
      <c r="M20" s="10" t="s">
        <v>564</v>
      </c>
      <c r="N20" s="10">
        <v>2</v>
      </c>
      <c r="P20" s="54" t="s">
        <v>622</v>
      </c>
      <c r="Q20" s="58" t="s">
        <v>549</v>
      </c>
      <c r="R20" s="55" t="s">
        <v>623</v>
      </c>
      <c r="S20" s="55" t="s">
        <v>624</v>
      </c>
      <c r="T20" s="56">
        <v>4.9000000000000002E-2</v>
      </c>
      <c r="U20" s="55" t="s">
        <v>625</v>
      </c>
      <c r="V20" s="56">
        <v>4.7300000000000002E-2</v>
      </c>
    </row>
    <row r="21" spans="1:22">
      <c r="A21" s="18">
        <v>46158</v>
      </c>
      <c r="B21" s="19" t="s">
        <v>626</v>
      </c>
      <c r="C21" s="19" t="s">
        <v>531</v>
      </c>
      <c r="D21" s="19" t="e" vm="20">
        <v>#VALUE!</v>
      </c>
      <c r="E21" s="50">
        <f t="array" aca="1" ref="E21" ca="1">_FV(D21,"Price")</f>
        <v>149.01</v>
      </c>
      <c r="F21" s="20">
        <f t="array" aca="1" ref="F21" ca="1">_FV(D21,"Previous close",TRUE)</f>
        <v>149.22999999999999</v>
      </c>
      <c r="G21" s="16">
        <v>148.77000000000001</v>
      </c>
      <c r="H21" s="16">
        <v>135.77000000000001</v>
      </c>
      <c r="I21" s="16">
        <v>133.5</v>
      </c>
      <c r="J21" s="16">
        <v>127.2</v>
      </c>
      <c r="L21" s="10" t="s">
        <v>538</v>
      </c>
      <c r="M21" s="10" t="s">
        <v>531</v>
      </c>
      <c r="N21" s="10">
        <v>2</v>
      </c>
      <c r="P21" s="54" t="s">
        <v>86</v>
      </c>
      <c r="Q21" s="58" t="s">
        <v>549</v>
      </c>
      <c r="R21" s="55" t="s">
        <v>627</v>
      </c>
      <c r="S21" s="55" t="s">
        <v>628</v>
      </c>
      <c r="T21" s="56">
        <v>4.3099999999999999E-2</v>
      </c>
      <c r="U21" s="55" t="s">
        <v>629</v>
      </c>
      <c r="V21" s="56">
        <v>5.9299999999999999E-2</v>
      </c>
    </row>
    <row r="22" spans="1:22">
      <c r="A22" s="18">
        <v>46158</v>
      </c>
      <c r="B22" s="19" t="s">
        <v>66</v>
      </c>
      <c r="C22" s="19" t="s">
        <v>531</v>
      </c>
      <c r="D22" s="19" t="e" vm="21">
        <v>#VALUE!</v>
      </c>
      <c r="E22" s="50">
        <f t="array" aca="1" ref="E22" ca="1">_FV(D22,"Price")</f>
        <v>626.04999999999995</v>
      </c>
      <c r="F22" s="20">
        <f t="array" aca="1" ref="F22" ca="1">_FV(D22,"Previous close",TRUE)</f>
        <v>626.70000000000005</v>
      </c>
      <c r="G22" s="16">
        <v>638.5</v>
      </c>
      <c r="H22" s="16">
        <v>579.36</v>
      </c>
      <c r="I22" s="16">
        <v>573.96</v>
      </c>
      <c r="J22" s="16">
        <v>570.85</v>
      </c>
      <c r="L22" s="10" t="s">
        <v>125</v>
      </c>
      <c r="M22" s="10" t="s">
        <v>531</v>
      </c>
      <c r="N22" s="10">
        <v>2</v>
      </c>
      <c r="P22" s="54" t="s">
        <v>110</v>
      </c>
      <c r="Q22" s="58" t="s">
        <v>549</v>
      </c>
      <c r="R22" s="55" t="s">
        <v>630</v>
      </c>
      <c r="S22" s="55" t="s">
        <v>631</v>
      </c>
      <c r="T22" s="56">
        <v>1.6199999999999999E-2</v>
      </c>
      <c r="U22" s="55" t="s">
        <v>632</v>
      </c>
      <c r="V22" s="56">
        <v>0.17369999999999999</v>
      </c>
    </row>
    <row r="23" spans="1:22">
      <c r="A23" s="18">
        <v>46158</v>
      </c>
      <c r="B23" s="19" t="s">
        <v>633</v>
      </c>
      <c r="C23" s="19" t="s">
        <v>531</v>
      </c>
      <c r="D23" s="19" t="e" vm="22">
        <v>#VALUE!</v>
      </c>
      <c r="E23" s="50">
        <f t="array" aca="1" ref="E23" ca="1">_FV(D23,"Price")</f>
        <v>1207.8</v>
      </c>
      <c r="F23" s="20">
        <f t="array" aca="1" ref="F23" ca="1">_FV(D23,"Previous close",TRUE)</f>
        <v>1228.8</v>
      </c>
      <c r="G23" s="16">
        <v>1238.0999999999999</v>
      </c>
      <c r="H23" s="16">
        <v>1165.29</v>
      </c>
      <c r="I23" s="16">
        <v>1156.58</v>
      </c>
      <c r="J23" s="16">
        <v>1148.21</v>
      </c>
      <c r="L23" s="10" t="s">
        <v>114</v>
      </c>
      <c r="M23" s="10" t="s">
        <v>533</v>
      </c>
      <c r="N23" s="10">
        <v>2</v>
      </c>
      <c r="P23" s="54" t="s">
        <v>634</v>
      </c>
      <c r="Q23" s="58" t="s">
        <v>549</v>
      </c>
      <c r="R23" s="55" t="s">
        <v>635</v>
      </c>
      <c r="S23" s="55" t="s">
        <v>636</v>
      </c>
      <c r="T23" s="56">
        <v>2.6700000000000002E-2</v>
      </c>
      <c r="U23" s="55" t="s">
        <v>637</v>
      </c>
      <c r="V23" s="56">
        <v>8.7300000000000003E-2</v>
      </c>
    </row>
    <row r="24" spans="1:22">
      <c r="A24" s="18">
        <v>46158</v>
      </c>
      <c r="B24" s="19" t="s">
        <v>638</v>
      </c>
      <c r="C24" s="19" t="s">
        <v>531</v>
      </c>
      <c r="D24" s="19" t="e" vm="23">
        <v>#VALUE!</v>
      </c>
      <c r="E24" s="50">
        <f t="array" aca="1" ref="E24" ca="1">_FV(D24,"Price")</f>
        <v>2420.4</v>
      </c>
      <c r="F24" s="20">
        <f t="array" aca="1" ref="F24" ca="1">_FV(D24,"Previous close",TRUE)</f>
        <v>2423.6</v>
      </c>
      <c r="G24" s="16">
        <v>2479.4</v>
      </c>
      <c r="H24" s="16">
        <v>2330.66</v>
      </c>
      <c r="I24" s="16">
        <v>2307.0100000000002</v>
      </c>
      <c r="J24" s="16">
        <v>2260.0700000000002</v>
      </c>
      <c r="L24" s="10" t="s">
        <v>639</v>
      </c>
      <c r="M24" s="10" t="s">
        <v>533</v>
      </c>
      <c r="N24" s="10">
        <v>2</v>
      </c>
      <c r="P24" s="54" t="s">
        <v>640</v>
      </c>
      <c r="Q24" s="58" t="s">
        <v>549</v>
      </c>
      <c r="R24" s="55" t="s">
        <v>641</v>
      </c>
      <c r="S24" s="55" t="s">
        <v>642</v>
      </c>
      <c r="T24" s="56">
        <v>4.1999999999999997E-3</v>
      </c>
      <c r="U24" s="55" t="s">
        <v>643</v>
      </c>
      <c r="V24" s="56">
        <v>1.9300000000000001E-2</v>
      </c>
    </row>
    <row r="25" spans="1:22">
      <c r="A25" s="18">
        <v>46158</v>
      </c>
      <c r="B25" s="19" t="s">
        <v>644</v>
      </c>
      <c r="C25" s="19" t="s">
        <v>531</v>
      </c>
      <c r="D25" s="19" t="e" vm="24">
        <v>#VALUE!</v>
      </c>
      <c r="E25" s="50">
        <f t="array" aca="1" ref="E25" ca="1">_FV(D25,"Price")</f>
        <v>1572.4</v>
      </c>
      <c r="F25" s="20">
        <f t="array" aca="1" ref="F25" ca="1">_FV(D25,"Previous close",TRUE)</f>
        <v>1578</v>
      </c>
      <c r="G25" s="16">
        <v>1602.1</v>
      </c>
      <c r="H25" s="16">
        <v>1554.67</v>
      </c>
      <c r="I25" s="16">
        <v>1547.62</v>
      </c>
      <c r="J25" s="16">
        <v>1518.4</v>
      </c>
      <c r="L25" s="10" t="s">
        <v>645</v>
      </c>
      <c r="M25" s="10" t="s">
        <v>533</v>
      </c>
      <c r="N25" s="10">
        <v>2</v>
      </c>
      <c r="P25" s="54" t="s">
        <v>646</v>
      </c>
      <c r="Q25" s="58" t="s">
        <v>549</v>
      </c>
      <c r="R25" s="55" t="s">
        <v>647</v>
      </c>
      <c r="S25" s="55" t="s">
        <v>648</v>
      </c>
      <c r="T25" s="56">
        <v>3.5400000000000001E-2</v>
      </c>
      <c r="U25" s="55" t="s">
        <v>649</v>
      </c>
      <c r="V25" s="56">
        <v>3.5499999999999997E-2</v>
      </c>
    </row>
    <row r="26" spans="1:22">
      <c r="A26" s="18">
        <v>46158</v>
      </c>
      <c r="B26" s="19" t="s">
        <v>650</v>
      </c>
      <c r="C26" s="19" t="s">
        <v>531</v>
      </c>
      <c r="D26" s="19" t="e" vm="25">
        <v>#VALUE!</v>
      </c>
      <c r="E26" s="50">
        <f t="array" aca="1" ref="E26" ca="1">_FV(D26,"Price")</f>
        <v>349.9</v>
      </c>
      <c r="F26" s="20">
        <f t="array" aca="1" ref="F26" ca="1">_FV(D26,"Previous close",TRUE)</f>
        <v>343.4</v>
      </c>
      <c r="G26" s="16">
        <v>344.65</v>
      </c>
      <c r="H26" s="16">
        <v>320.81</v>
      </c>
      <c r="I26" s="16">
        <v>314.57</v>
      </c>
      <c r="J26" s="16">
        <v>293.98</v>
      </c>
      <c r="L26" s="10" t="s">
        <v>651</v>
      </c>
      <c r="M26" s="10" t="s">
        <v>533</v>
      </c>
      <c r="N26" s="10">
        <v>2</v>
      </c>
      <c r="P26" s="54" t="s">
        <v>94</v>
      </c>
      <c r="Q26" s="58" t="s">
        <v>549</v>
      </c>
      <c r="R26" s="55" t="s">
        <v>652</v>
      </c>
      <c r="S26" s="55" t="s">
        <v>653</v>
      </c>
      <c r="T26" s="56">
        <v>1.8700000000000001E-2</v>
      </c>
      <c r="U26" s="55" t="s">
        <v>654</v>
      </c>
      <c r="V26" s="56">
        <v>5.1499999999999997E-2</v>
      </c>
    </row>
    <row r="27" spans="1:22">
      <c r="A27" s="18">
        <v>46158</v>
      </c>
      <c r="B27" s="19" t="s">
        <v>655</v>
      </c>
      <c r="C27" s="19" t="s">
        <v>531</v>
      </c>
      <c r="D27" s="19" t="e" vm="26">
        <v>#VALUE!</v>
      </c>
      <c r="E27" s="50">
        <f t="array" aca="1" ref="E27" ca="1">_FV(D27,"Price")</f>
        <v>670.6</v>
      </c>
      <c r="F27" s="20">
        <f t="array" aca="1" ref="F27" ca="1">_FV(D27,"Previous close",TRUE)</f>
        <v>655.15</v>
      </c>
      <c r="G27" s="16">
        <v>681.05</v>
      </c>
      <c r="H27" s="16">
        <v>630.04</v>
      </c>
      <c r="I27" s="16">
        <v>620.19000000000005</v>
      </c>
      <c r="J27" s="16">
        <v>591.59</v>
      </c>
      <c r="L27" s="10" t="s">
        <v>94</v>
      </c>
      <c r="M27" s="10" t="s">
        <v>549</v>
      </c>
      <c r="N27" s="10">
        <v>2</v>
      </c>
    </row>
    <row r="28" spans="1:22">
      <c r="A28" s="18">
        <v>46158</v>
      </c>
      <c r="B28" s="19" t="s">
        <v>656</v>
      </c>
      <c r="C28" s="19" t="s">
        <v>531</v>
      </c>
      <c r="D28" s="19" t="e" vm="27">
        <v>#VALUE!</v>
      </c>
      <c r="E28" s="50">
        <f t="array" aca="1" ref="E28" ca="1">_FV(D28,"Price")</f>
        <v>686.65</v>
      </c>
      <c r="F28" s="20">
        <f t="array" aca="1" ref="F28" ca="1">_FV(D28,"Previous close",TRUE)</f>
        <v>701.2</v>
      </c>
      <c r="G28" s="16">
        <v>679.35</v>
      </c>
      <c r="H28" s="16">
        <v>622.89</v>
      </c>
      <c r="I28" s="16">
        <v>614.02</v>
      </c>
      <c r="J28" s="16">
        <v>601.05999999999995</v>
      </c>
      <c r="L28" s="10" t="s">
        <v>68</v>
      </c>
      <c r="M28" s="10" t="s">
        <v>549</v>
      </c>
      <c r="N28" s="10">
        <v>2</v>
      </c>
    </row>
    <row r="29" spans="1:22">
      <c r="A29" s="18">
        <v>46158</v>
      </c>
      <c r="B29" s="19" t="s">
        <v>118</v>
      </c>
      <c r="C29" s="19" t="s">
        <v>531</v>
      </c>
      <c r="D29" s="19" t="e" vm="28">
        <v>#VALUE!</v>
      </c>
      <c r="E29" s="50">
        <f t="array" aca="1" ref="E29" ca="1">_FV(D29,"Price")</f>
        <v>249.27</v>
      </c>
      <c r="F29" s="20">
        <f t="array" aca="1" ref="F29" ca="1">_FV(D29,"Previous close",TRUE)</f>
        <v>254.79</v>
      </c>
      <c r="G29" s="16">
        <v>211.86</v>
      </c>
      <c r="H29" s="16">
        <v>203.6</v>
      </c>
      <c r="I29" s="16">
        <v>199.76</v>
      </c>
      <c r="J29" s="16">
        <v>191.14</v>
      </c>
      <c r="L29" s="10" t="s">
        <v>542</v>
      </c>
      <c r="M29" s="10" t="s">
        <v>531</v>
      </c>
      <c r="N29" s="10">
        <v>2</v>
      </c>
    </row>
    <row r="30" spans="1:22">
      <c r="A30" s="18">
        <v>46158</v>
      </c>
      <c r="B30" s="19" t="s">
        <v>657</v>
      </c>
      <c r="C30" s="19" t="s">
        <v>531</v>
      </c>
      <c r="D30" s="19" t="e" vm="29">
        <v>#VALUE!</v>
      </c>
      <c r="E30" s="50">
        <f t="array" aca="1" ref="E30" ca="1">_FV(D30,"Price")</f>
        <v>545.79999999999995</v>
      </c>
      <c r="F30" s="20">
        <f t="array" aca="1" ref="F30" ca="1">_FV(D30,"Previous close",TRUE)</f>
        <v>558.5</v>
      </c>
      <c r="G30" s="16">
        <v>548.1</v>
      </c>
      <c r="H30" s="16">
        <v>522.41</v>
      </c>
      <c r="I30" s="16">
        <v>518.26</v>
      </c>
      <c r="J30" s="16">
        <v>516.17999999999995</v>
      </c>
      <c r="L30" s="10" t="s">
        <v>554</v>
      </c>
      <c r="M30" s="10" t="s">
        <v>531</v>
      </c>
      <c r="N30" s="10">
        <v>2</v>
      </c>
    </row>
    <row r="31" spans="1:22">
      <c r="A31" s="18">
        <v>46158</v>
      </c>
      <c r="B31" s="19" t="s">
        <v>658</v>
      </c>
      <c r="C31" s="19" t="s">
        <v>531</v>
      </c>
      <c r="D31" s="19" t="e" vm="30">
        <v>#VALUE!</v>
      </c>
      <c r="E31" s="50">
        <f t="array" aca="1" ref="E31" ca="1">_FV(D31,"Price")</f>
        <v>277.17</v>
      </c>
      <c r="F31" s="20">
        <f t="array" aca="1" ref="F31" ca="1">_FV(D31,"Previous close",TRUE)</f>
        <v>283.63</v>
      </c>
      <c r="G31" s="16">
        <v>273.02999999999997</v>
      </c>
      <c r="H31" s="16">
        <v>258.05</v>
      </c>
      <c r="I31" s="16">
        <v>255.31</v>
      </c>
      <c r="J31" s="16">
        <v>250.08</v>
      </c>
      <c r="L31" s="10" t="s">
        <v>659</v>
      </c>
      <c r="M31" s="10" t="s">
        <v>533</v>
      </c>
      <c r="N31" s="10">
        <v>2</v>
      </c>
    </row>
    <row r="32" spans="1:22">
      <c r="A32" s="18">
        <v>46158</v>
      </c>
      <c r="B32" s="19" t="s">
        <v>660</v>
      </c>
      <c r="C32" s="19" t="s">
        <v>531</v>
      </c>
      <c r="D32" s="19" t="e" vm="31">
        <v>#VALUE!</v>
      </c>
      <c r="E32" s="50">
        <f t="array" aca="1" ref="E32" ca="1">_FV(D32,"Price")</f>
        <v>221.84</v>
      </c>
      <c r="F32" s="20">
        <f t="array" aca="1" ref="F32" ca="1">_FV(D32,"Previous close",TRUE)</f>
        <v>222.91</v>
      </c>
      <c r="G32" s="16">
        <v>210.08</v>
      </c>
      <c r="H32" s="16">
        <v>194.46</v>
      </c>
      <c r="I32" s="16">
        <v>189.6</v>
      </c>
      <c r="J32" s="16">
        <v>175.26</v>
      </c>
      <c r="L32" s="10" t="s">
        <v>66</v>
      </c>
      <c r="M32" s="10" t="s">
        <v>531</v>
      </c>
      <c r="N32" s="10">
        <v>2</v>
      </c>
    </row>
    <row r="33" spans="1:14">
      <c r="A33" s="18">
        <v>46158</v>
      </c>
      <c r="B33" s="19" t="s">
        <v>661</v>
      </c>
      <c r="C33" s="19" t="s">
        <v>531</v>
      </c>
      <c r="D33" s="19" t="e" vm="32">
        <v>#VALUE!</v>
      </c>
      <c r="E33" s="50">
        <f t="array" aca="1" ref="E33" ca="1">_FV(D33,"Price")</f>
        <v>558.25</v>
      </c>
      <c r="F33" s="20">
        <f t="array" aca="1" ref="F33" ca="1">_FV(D33,"Previous close",TRUE)</f>
        <v>562.20000000000005</v>
      </c>
      <c r="G33" s="16">
        <v>556.65</v>
      </c>
      <c r="H33" s="16">
        <v>577.36</v>
      </c>
      <c r="I33" s="16">
        <v>577.49</v>
      </c>
      <c r="J33" s="16">
        <v>575.48</v>
      </c>
      <c r="L33" s="10" t="s">
        <v>662</v>
      </c>
      <c r="M33" s="10" t="s">
        <v>549</v>
      </c>
      <c r="N33" s="10">
        <v>2</v>
      </c>
    </row>
    <row r="34" spans="1:14">
      <c r="A34" s="18">
        <v>46158</v>
      </c>
      <c r="B34" s="19" t="s">
        <v>663</v>
      </c>
      <c r="C34" s="19" t="s">
        <v>531</v>
      </c>
      <c r="D34" s="19" t="e" vm="33">
        <v>#VALUE!</v>
      </c>
      <c r="E34" s="50">
        <f t="array" aca="1" ref="E34" ca="1">_FV(D34,"Price")</f>
        <v>1695.5</v>
      </c>
      <c r="F34" s="20">
        <f t="array" aca="1" ref="F34" ca="1">_FV(D34,"Previous close",TRUE)</f>
        <v>1602.8</v>
      </c>
      <c r="G34" s="16">
        <v>1593.1</v>
      </c>
      <c r="H34" s="16">
        <v>1585.1</v>
      </c>
      <c r="I34" s="16">
        <v>1567.24</v>
      </c>
      <c r="J34" s="16">
        <v>1513.04</v>
      </c>
      <c r="L34" s="10" t="s">
        <v>664</v>
      </c>
      <c r="M34" s="10" t="s">
        <v>549</v>
      </c>
      <c r="N34" s="10">
        <v>2</v>
      </c>
    </row>
    <row r="35" spans="1:14">
      <c r="A35" s="18">
        <v>46158</v>
      </c>
      <c r="B35" s="19" t="s">
        <v>665</v>
      </c>
      <c r="C35" s="19" t="s">
        <v>533</v>
      </c>
      <c r="D35" s="19" t="e" vm="34">
        <v>#VALUE!</v>
      </c>
      <c r="E35" s="50">
        <f t="array" aca="1" ref="E35" ca="1">_FV(D35,"Price")</f>
        <v>64.69</v>
      </c>
      <c r="F35" s="20">
        <f t="array" aca="1" ref="F35" ca="1">_FV(D35,"Previous close",TRUE)</f>
        <v>64.55</v>
      </c>
      <c r="G35" s="16">
        <v>0</v>
      </c>
      <c r="H35" s="16">
        <v>0</v>
      </c>
      <c r="I35" s="16">
        <v>0</v>
      </c>
      <c r="J35" s="16">
        <v>0</v>
      </c>
      <c r="L35" s="10" t="s">
        <v>418</v>
      </c>
      <c r="M35" s="10" t="s">
        <v>666</v>
      </c>
      <c r="N35" s="10">
        <v>2</v>
      </c>
    </row>
    <row r="36" spans="1:14">
      <c r="A36" s="18">
        <v>46158</v>
      </c>
      <c r="B36" s="19" t="s">
        <v>37</v>
      </c>
      <c r="C36" s="19" t="s">
        <v>533</v>
      </c>
      <c r="D36" s="19" t="e" vm="35">
        <v>#VALUE!</v>
      </c>
      <c r="E36" s="50">
        <f t="array" aca="1" ref="E36" ca="1">_FV(D36,"Price")</f>
        <v>1331.5</v>
      </c>
      <c r="F36" s="20">
        <f t="array" aca="1" ref="F36" ca="1">_FV(D36,"Previous close",TRUE)</f>
        <v>1367.2</v>
      </c>
      <c r="G36" s="16">
        <v>1295</v>
      </c>
      <c r="H36" s="16">
        <v>1163.97</v>
      </c>
      <c r="I36" s="16">
        <v>1127.71</v>
      </c>
      <c r="J36" s="16">
        <v>998.04</v>
      </c>
      <c r="L36" s="10" t="s">
        <v>667</v>
      </c>
      <c r="M36" s="10" t="s">
        <v>564</v>
      </c>
      <c r="N36" s="10">
        <v>2</v>
      </c>
    </row>
    <row r="37" spans="1:14">
      <c r="A37" s="18">
        <v>46158</v>
      </c>
      <c r="B37" s="19" t="s">
        <v>645</v>
      </c>
      <c r="C37" s="19" t="s">
        <v>533</v>
      </c>
      <c r="D37" s="19" t="e" vm="36">
        <v>#VALUE!</v>
      </c>
      <c r="E37" s="50">
        <f t="array" aca="1" ref="E37" ca="1">_FV(D37,"Price")</f>
        <v>7889.5</v>
      </c>
      <c r="F37" s="20">
        <f t="array" aca="1" ref="F37" ca="1">_FV(D37,"Previous close",TRUE)</f>
        <v>7878</v>
      </c>
      <c r="G37" s="16">
        <v>8075.5</v>
      </c>
      <c r="H37" s="16">
        <v>6331.09</v>
      </c>
      <c r="I37" s="16">
        <v>6010.51</v>
      </c>
      <c r="J37" s="16">
        <v>4927.74</v>
      </c>
      <c r="L37" s="10" t="s">
        <v>123</v>
      </c>
      <c r="M37" s="10" t="s">
        <v>533</v>
      </c>
      <c r="N37" s="10">
        <v>2</v>
      </c>
    </row>
    <row r="38" spans="1:14">
      <c r="A38" s="18">
        <v>46158</v>
      </c>
      <c r="B38" s="19" t="s">
        <v>639</v>
      </c>
      <c r="C38" s="19" t="s">
        <v>533</v>
      </c>
      <c r="D38" s="19" t="e" vm="37">
        <v>#VALUE!</v>
      </c>
      <c r="E38" s="50">
        <f t="array" aca="1" ref="E38" ca="1">_FV(D38,"Price")</f>
        <v>3158.5</v>
      </c>
      <c r="F38" s="20">
        <f t="array" aca="1" ref="F38" ca="1">_FV(D38,"Previous close",TRUE)</f>
        <v>3307.3</v>
      </c>
      <c r="G38" s="16">
        <v>3269.9</v>
      </c>
      <c r="H38" s="16">
        <v>2996.57</v>
      </c>
      <c r="I38" s="16">
        <v>2934.98</v>
      </c>
      <c r="J38" s="16">
        <v>2690.19</v>
      </c>
      <c r="L38" s="10" t="s">
        <v>37</v>
      </c>
      <c r="M38" s="10" t="s">
        <v>533</v>
      </c>
      <c r="N38" s="10">
        <v>2</v>
      </c>
    </row>
    <row r="39" spans="1:14">
      <c r="A39" s="18">
        <v>46158</v>
      </c>
      <c r="B39" s="19" t="s">
        <v>580</v>
      </c>
      <c r="C39" s="19" t="s">
        <v>533</v>
      </c>
      <c r="D39" s="19" t="e" vm="38">
        <v>#VALUE!</v>
      </c>
      <c r="E39" s="50">
        <f t="array" aca="1" ref="E39" ca="1">_FV(D39,"Price")</f>
        <v>994.1</v>
      </c>
      <c r="F39" s="20">
        <f t="array" aca="1" ref="F39" ca="1">_FV(D39,"Previous close",TRUE)</f>
        <v>978.25</v>
      </c>
      <c r="G39" s="16">
        <v>955.35</v>
      </c>
      <c r="H39" s="16">
        <v>763.04</v>
      </c>
      <c r="I39" s="16">
        <v>731.57</v>
      </c>
      <c r="J39" s="16">
        <v>646.5</v>
      </c>
      <c r="L39" s="10" t="s">
        <v>655</v>
      </c>
      <c r="M39" s="10" t="s">
        <v>531</v>
      </c>
      <c r="N39" s="10">
        <v>2</v>
      </c>
    </row>
    <row r="40" spans="1:14">
      <c r="A40" s="18">
        <v>46158</v>
      </c>
      <c r="B40" s="19" t="s">
        <v>668</v>
      </c>
      <c r="C40" s="19" t="s">
        <v>533</v>
      </c>
      <c r="D40" s="19" t="e" vm="39">
        <v>#VALUE!</v>
      </c>
      <c r="E40" s="50">
        <f t="array" aca="1" ref="E40" ca="1">_FV(D40,"Price")</f>
        <v>1654.5</v>
      </c>
      <c r="F40" s="20">
        <f t="array" aca="1" ref="F40" ca="1">_FV(D40,"Previous close",TRUE)</f>
        <v>1600.5</v>
      </c>
      <c r="G40" s="16">
        <v>1677.5</v>
      </c>
      <c r="H40" s="16">
        <v>1350.41</v>
      </c>
      <c r="I40" s="16">
        <v>1300.02</v>
      </c>
      <c r="J40" s="16">
        <v>1144.23</v>
      </c>
      <c r="L40" s="10" t="s">
        <v>669</v>
      </c>
      <c r="M40" s="10" t="s">
        <v>533</v>
      </c>
      <c r="N40" s="10">
        <v>2</v>
      </c>
    </row>
    <row r="41" spans="1:14">
      <c r="A41" s="18">
        <v>46158</v>
      </c>
      <c r="B41" s="19" t="s">
        <v>123</v>
      </c>
      <c r="C41" s="19" t="s">
        <v>533</v>
      </c>
      <c r="D41" s="19" t="e" vm="40">
        <v>#VALUE!</v>
      </c>
      <c r="E41" s="50">
        <f t="array" aca="1" ref="E41" ca="1">_FV(D41,"Price")</f>
        <v>510.65</v>
      </c>
      <c r="F41" s="20">
        <f t="array" aca="1" ref="F41" ca="1">_FV(D41,"Previous close",TRUE)</f>
        <v>486.35</v>
      </c>
      <c r="G41" s="16">
        <v>441.15</v>
      </c>
      <c r="H41" s="16">
        <v>358.02</v>
      </c>
      <c r="I41" s="16">
        <v>335.77</v>
      </c>
      <c r="J41" s="16">
        <v>264.95999999999998</v>
      </c>
      <c r="L41" s="10" t="s">
        <v>668</v>
      </c>
      <c r="M41" s="10" t="s">
        <v>533</v>
      </c>
      <c r="N41" s="10">
        <v>2</v>
      </c>
    </row>
    <row r="42" spans="1:14">
      <c r="A42" s="18">
        <v>46158</v>
      </c>
      <c r="B42" s="19" t="s">
        <v>42</v>
      </c>
      <c r="C42" s="19" t="s">
        <v>533</v>
      </c>
      <c r="D42" s="19" t="e" vm="41">
        <v>#VALUE!</v>
      </c>
      <c r="E42" s="50">
        <f t="array" aca="1" ref="E42" ca="1">_FV(D42,"Price")</f>
        <v>128.9</v>
      </c>
      <c r="F42" s="20">
        <f t="array" aca="1" ref="F42" ca="1">_FV(D42,"Previous close",TRUE)</f>
        <v>127.84</v>
      </c>
      <c r="G42" s="16">
        <v>120.31</v>
      </c>
      <c r="H42" s="16">
        <v>114.51</v>
      </c>
      <c r="I42" s="16">
        <v>111.36</v>
      </c>
      <c r="J42" s="16">
        <v>98.88</v>
      </c>
      <c r="L42" s="10" t="s">
        <v>550</v>
      </c>
      <c r="M42" s="10" t="s">
        <v>531</v>
      </c>
      <c r="N42" s="10">
        <v>2</v>
      </c>
    </row>
    <row r="43" spans="1:14">
      <c r="A43" s="18">
        <v>46158</v>
      </c>
      <c r="B43" s="19" t="s">
        <v>114</v>
      </c>
      <c r="C43" s="19" t="s">
        <v>533</v>
      </c>
      <c r="D43" s="19" t="e" vm="42">
        <v>#VALUE!</v>
      </c>
      <c r="E43" s="50">
        <f t="array" aca="1" ref="E43" ca="1">_FV(D43,"Price")</f>
        <v>1381.7</v>
      </c>
      <c r="F43" s="20">
        <f t="array" aca="1" ref="F43" ca="1">_FV(D43,"Previous close",TRUE)</f>
        <v>1373.9</v>
      </c>
      <c r="G43" s="16">
        <v>1343.5</v>
      </c>
      <c r="H43" s="16">
        <v>1225.82</v>
      </c>
      <c r="I43" s="16">
        <v>1202.3599999999999</v>
      </c>
      <c r="J43" s="16">
        <v>1126.1500000000001</v>
      </c>
    </row>
    <row r="44" spans="1:14">
      <c r="A44" s="18">
        <v>46158</v>
      </c>
      <c r="B44" s="19" t="s">
        <v>296</v>
      </c>
      <c r="C44" s="19" t="s">
        <v>533</v>
      </c>
      <c r="D44" s="19" t="e" vm="43">
        <v>#VALUE!</v>
      </c>
      <c r="E44" s="50">
        <f t="array" aca="1" ref="E44" ca="1">_FV(D44,"Price")</f>
        <v>1830</v>
      </c>
      <c r="F44" s="20">
        <f t="array" aca="1" ref="F44" ca="1">_FV(D44,"Previous close",TRUE)</f>
        <v>1750.8</v>
      </c>
      <c r="G44" s="16">
        <v>1671</v>
      </c>
      <c r="H44" s="16">
        <v>1651.04</v>
      </c>
      <c r="I44" s="16">
        <v>1619.18</v>
      </c>
      <c r="J44" s="16">
        <v>1487.52</v>
      </c>
    </row>
    <row r="45" spans="1:14">
      <c r="A45" s="18">
        <v>46158</v>
      </c>
      <c r="B45" s="19" t="s">
        <v>199</v>
      </c>
      <c r="C45" s="19" t="s">
        <v>533</v>
      </c>
      <c r="D45" s="19" t="e" vm="44">
        <v>#VALUE!</v>
      </c>
      <c r="E45" s="50">
        <f t="array" aca="1" ref="E45" ca="1">_FV(D45,"Price")</f>
        <v>4248.3999999999996</v>
      </c>
      <c r="F45" s="20">
        <f t="array" aca="1" ref="F45" ca="1">_FV(D45,"Previous close",TRUE)</f>
        <v>4403.3</v>
      </c>
      <c r="G45" s="16">
        <v>4193.8</v>
      </c>
      <c r="H45" s="16">
        <v>3748.83</v>
      </c>
      <c r="I45" s="16">
        <v>3652.07</v>
      </c>
      <c r="J45" s="16">
        <v>3328.98</v>
      </c>
    </row>
    <row r="46" spans="1:14">
      <c r="A46" s="18">
        <v>46158</v>
      </c>
      <c r="B46" s="19" t="s">
        <v>670</v>
      </c>
      <c r="C46" s="19" t="s">
        <v>533</v>
      </c>
      <c r="D46" s="19" t="e" vm="45">
        <v>#VALUE!</v>
      </c>
      <c r="E46" s="50">
        <f t="array" aca="1" ref="E46" ca="1">_FV(D46,"Price")</f>
        <v>6027.5</v>
      </c>
      <c r="F46" s="20">
        <f t="array" aca="1" ref="F46" ca="1">_FV(D46,"Previous close",TRUE)</f>
        <v>5418.5</v>
      </c>
      <c r="G46" s="16">
        <v>5353</v>
      </c>
      <c r="H46" s="16">
        <v>5334.68</v>
      </c>
      <c r="I46" s="16">
        <v>5253.61</v>
      </c>
      <c r="J46" s="16">
        <v>4951.33</v>
      </c>
    </row>
    <row r="47" spans="1:14">
      <c r="A47" s="18">
        <v>46158</v>
      </c>
      <c r="B47" s="19" t="s">
        <v>532</v>
      </c>
      <c r="C47" s="19" t="s">
        <v>533</v>
      </c>
      <c r="D47" s="19" t="e" vm="46">
        <v>#VALUE!</v>
      </c>
      <c r="E47" s="50">
        <f t="array" aca="1" ref="E47" ca="1">_FV(D47,"Price")</f>
        <v>1824.5</v>
      </c>
      <c r="F47" s="20">
        <f t="array" aca="1" ref="F47" ca="1">_FV(D47,"Previous close",TRUE)</f>
        <v>1811.2</v>
      </c>
      <c r="G47" s="16">
        <v>1786.9</v>
      </c>
      <c r="H47" s="16">
        <v>1681.71</v>
      </c>
      <c r="I47" s="16">
        <v>1655.62</v>
      </c>
      <c r="J47" s="16">
        <v>1577.95</v>
      </c>
    </row>
    <row r="48" spans="1:14">
      <c r="A48" s="18">
        <v>46158</v>
      </c>
      <c r="B48" s="19" t="s">
        <v>659</v>
      </c>
      <c r="C48" s="19" t="s">
        <v>533</v>
      </c>
      <c r="D48" s="19" t="e" vm="47">
        <v>#VALUE!</v>
      </c>
      <c r="E48" s="50">
        <f t="array" aca="1" ref="E48" ca="1">_FV(D48,"Price")</f>
        <v>788.25</v>
      </c>
      <c r="F48" s="20">
        <f t="array" aca="1" ref="F48" ca="1">_FV(D48,"Previous close",TRUE)</f>
        <v>786.4</v>
      </c>
      <c r="G48" s="16">
        <v>761.6</v>
      </c>
      <c r="H48" s="16">
        <v>656.34</v>
      </c>
      <c r="I48" s="16">
        <v>637</v>
      </c>
      <c r="J48" s="16">
        <v>567.98</v>
      </c>
    </row>
    <row r="49" spans="1:10">
      <c r="A49" s="18">
        <v>46158</v>
      </c>
      <c r="B49" s="19" t="s">
        <v>671</v>
      </c>
      <c r="C49" s="19" t="s">
        <v>533</v>
      </c>
      <c r="D49" s="19" t="e" vm="48">
        <v>#VALUE!</v>
      </c>
      <c r="E49" s="50">
        <f t="array" aca="1" ref="E49" ca="1">_FV(D49,"Price")</f>
        <v>528.6</v>
      </c>
      <c r="F49" s="20">
        <f t="array" aca="1" ref="F49" ca="1">_FV(D49,"Previous close",TRUE)</f>
        <v>547.45000000000005</v>
      </c>
      <c r="G49" s="16">
        <v>571.20000000000005</v>
      </c>
      <c r="H49" s="16">
        <v>513.05999999999995</v>
      </c>
      <c r="I49" s="16">
        <v>502.29</v>
      </c>
      <c r="J49" s="16">
        <v>466.53</v>
      </c>
    </row>
    <row r="50" spans="1:10">
      <c r="A50" s="18">
        <v>46158</v>
      </c>
      <c r="B50" s="19" t="s">
        <v>672</v>
      </c>
      <c r="C50" s="19" t="s">
        <v>533</v>
      </c>
      <c r="D50" s="19" t="e" vm="49">
        <v>#VALUE!</v>
      </c>
      <c r="E50" s="50">
        <f t="array" aca="1" ref="E50" ca="1">_FV(D50,"Price")</f>
        <v>1261.4000000000001</v>
      </c>
      <c r="F50" s="20">
        <f t="array" aca="1" ref="F50" ca="1">_FV(D50,"Previous close",TRUE)</f>
        <v>1259.5999999999999</v>
      </c>
      <c r="G50" s="16">
        <v>1227.0999999999999</v>
      </c>
      <c r="H50" s="16">
        <v>1163.67</v>
      </c>
      <c r="I50" s="16">
        <v>1141.98</v>
      </c>
      <c r="J50" s="16">
        <v>1082.95</v>
      </c>
    </row>
    <row r="51" spans="1:10">
      <c r="A51" s="18">
        <v>46158</v>
      </c>
      <c r="B51" s="19" t="s">
        <v>460</v>
      </c>
      <c r="C51" s="19" t="s">
        <v>533</v>
      </c>
      <c r="D51" s="19" t="e" vm="50">
        <v>#VALUE!</v>
      </c>
      <c r="E51" s="50">
        <f t="array" aca="1" ref="E51" ca="1">_FV(D51,"Price")</f>
        <v>3000.6</v>
      </c>
      <c r="F51" s="20">
        <f t="array" aca="1" ref="F51" ca="1">_FV(D51,"Previous close",TRUE)</f>
        <v>3034.8</v>
      </c>
      <c r="G51" s="16">
        <v>2951.2</v>
      </c>
      <c r="H51" s="16">
        <v>2658.15</v>
      </c>
      <c r="I51" s="16">
        <v>2595.6999999999998</v>
      </c>
      <c r="J51" s="16">
        <v>2353.16</v>
      </c>
    </row>
    <row r="52" spans="1:10">
      <c r="A52" s="18">
        <v>46158</v>
      </c>
      <c r="B52" s="19" t="s">
        <v>271</v>
      </c>
      <c r="C52" s="19" t="s">
        <v>533</v>
      </c>
      <c r="D52" s="19" t="e" vm="51">
        <v>#VALUE!</v>
      </c>
      <c r="E52" s="50">
        <f t="array" aca="1" ref="E52" ca="1">_FV(D52,"Price")</f>
        <v>1938.6</v>
      </c>
      <c r="F52" s="20">
        <f t="array" aca="1" ref="F52" ca="1">_FV(D52,"Previous close",TRUE)</f>
        <v>1930.4</v>
      </c>
      <c r="G52" s="16">
        <v>1897.7</v>
      </c>
      <c r="H52" s="16">
        <v>1871.85</v>
      </c>
      <c r="I52" s="16">
        <v>1851.52</v>
      </c>
      <c r="J52" s="16">
        <v>1751.14</v>
      </c>
    </row>
    <row r="53" spans="1:10">
      <c r="A53" s="18">
        <v>46158</v>
      </c>
      <c r="B53" s="19" t="s">
        <v>673</v>
      </c>
      <c r="C53" s="19" t="s">
        <v>533</v>
      </c>
      <c r="D53" s="19" t="e" vm="52">
        <v>#VALUE!</v>
      </c>
      <c r="E53" s="50">
        <f t="array" aca="1" ref="E53" ca="1">_FV(D53,"Price")</f>
        <v>3439.3</v>
      </c>
      <c r="F53" s="20">
        <f t="array" aca="1" ref="F53" ca="1">_FV(D53,"Previous close",TRUE)</f>
        <v>3578.4</v>
      </c>
      <c r="G53" s="16">
        <v>3561.1</v>
      </c>
      <c r="H53" s="16">
        <v>3293.1</v>
      </c>
      <c r="I53" s="16">
        <v>3245.45</v>
      </c>
      <c r="J53" s="16">
        <v>3115.54</v>
      </c>
    </row>
    <row r="54" spans="1:10">
      <c r="A54" s="18">
        <v>46158</v>
      </c>
      <c r="B54" s="19" t="s">
        <v>651</v>
      </c>
      <c r="C54" s="19" t="s">
        <v>533</v>
      </c>
      <c r="D54" s="19" t="e" vm="53">
        <v>#VALUE!</v>
      </c>
      <c r="E54" s="50">
        <f t="array" aca="1" ref="E54" ca="1">_FV(D54,"Price")</f>
        <v>433.05</v>
      </c>
      <c r="F54" s="20">
        <f t="array" aca="1" ref="F54" ca="1">_FV(D54,"Previous close",TRUE)</f>
        <v>416.2</v>
      </c>
      <c r="G54" s="16">
        <v>409.25</v>
      </c>
      <c r="H54" s="16">
        <v>408.16</v>
      </c>
      <c r="I54" s="16">
        <v>403.67</v>
      </c>
      <c r="J54" s="16">
        <v>377.22</v>
      </c>
    </row>
    <row r="55" spans="1:10">
      <c r="A55" s="18">
        <v>46158</v>
      </c>
      <c r="B55" s="19" t="s">
        <v>613</v>
      </c>
      <c r="C55" s="19" t="s">
        <v>533</v>
      </c>
      <c r="D55" s="19" t="e" vm="54">
        <v>#VALUE!</v>
      </c>
      <c r="E55" s="50">
        <f t="array" aca="1" ref="E55" ca="1">_FV(D55,"Price")</f>
        <v>1511.3</v>
      </c>
      <c r="F55" s="20">
        <f t="array" aca="1" ref="F55" ca="1">_FV(D55,"Previous close",TRUE)</f>
        <v>1650.7</v>
      </c>
      <c r="G55" s="16">
        <v>1666.1</v>
      </c>
      <c r="H55" s="16">
        <v>1503.8</v>
      </c>
      <c r="I55" s="16">
        <v>1483.41</v>
      </c>
      <c r="J55" s="16">
        <v>1390.58</v>
      </c>
    </row>
    <row r="56" spans="1:10">
      <c r="A56" s="18">
        <v>46158</v>
      </c>
      <c r="B56" s="19" t="s">
        <v>555</v>
      </c>
      <c r="C56" s="19" t="s">
        <v>533</v>
      </c>
      <c r="D56" s="19" t="e" vm="55">
        <v>#VALUE!</v>
      </c>
      <c r="E56" s="50">
        <f t="array" aca="1" ref="E56" ca="1">_FV(D56,"Price")</f>
        <v>955.5</v>
      </c>
      <c r="F56" s="20">
        <f t="array" aca="1" ref="F56" ca="1">_FV(D56,"Previous close",TRUE)</f>
        <v>950.6</v>
      </c>
      <c r="G56" s="16">
        <v>883.8</v>
      </c>
      <c r="H56" s="16">
        <v>884.18</v>
      </c>
      <c r="I56" s="16">
        <v>868.9</v>
      </c>
      <c r="J56" s="16">
        <v>804.23</v>
      </c>
    </row>
    <row r="57" spans="1:10">
      <c r="A57" s="18">
        <v>46158</v>
      </c>
      <c r="B57" s="19" t="s">
        <v>674</v>
      </c>
      <c r="C57" s="19" t="s">
        <v>533</v>
      </c>
      <c r="D57" s="19" t="e" vm="56">
        <v>#VALUE!</v>
      </c>
      <c r="E57" s="50">
        <f t="array" aca="1" ref="E57" ca="1">_FV(D57,"Price")</f>
        <v>5446.2</v>
      </c>
      <c r="F57" s="20">
        <f t="array" aca="1" ref="F57" ca="1">_FV(D57,"Previous close",TRUE)</f>
        <v>5305.5</v>
      </c>
      <c r="G57" s="16">
        <v>5260.5</v>
      </c>
      <c r="H57" s="16">
        <v>4986.43</v>
      </c>
      <c r="I57" s="16">
        <v>4918.7700000000004</v>
      </c>
      <c r="J57" s="16">
        <v>4691.57</v>
      </c>
    </row>
    <row r="58" spans="1:10">
      <c r="A58" s="18">
        <v>46158</v>
      </c>
      <c r="B58" s="19" t="s">
        <v>675</v>
      </c>
      <c r="C58" s="19" t="s">
        <v>533</v>
      </c>
      <c r="D58" s="19" t="e" vm="57">
        <v>#VALUE!</v>
      </c>
      <c r="E58" s="50">
        <f t="array" aca="1" ref="E58" ca="1">_FV(D58,"Price")</f>
        <v>3566.7</v>
      </c>
      <c r="F58" s="20">
        <f t="array" aca="1" ref="F58" ca="1">_FV(D58,"Previous close",TRUE)</f>
        <v>3587.2</v>
      </c>
      <c r="G58" s="16">
        <v>3575.5</v>
      </c>
      <c r="H58" s="16">
        <v>3498.59</v>
      </c>
      <c r="I58" s="16">
        <v>3463.63</v>
      </c>
      <c r="J58" s="16">
        <v>3313.62</v>
      </c>
    </row>
    <row r="59" spans="1:10">
      <c r="A59" s="18">
        <v>46158</v>
      </c>
      <c r="B59" s="19" t="s">
        <v>669</v>
      </c>
      <c r="C59" s="19" t="s">
        <v>533</v>
      </c>
      <c r="D59" s="19" t="e" vm="58">
        <v>#VALUE!</v>
      </c>
      <c r="E59" s="50">
        <f t="array" aca="1" ref="E59" ca="1">_FV(D59,"Price")</f>
        <v>354.7</v>
      </c>
      <c r="F59" s="20">
        <f t="array" aca="1" ref="F59" ca="1">_FV(D59,"Previous close",TRUE)</f>
        <v>344.9</v>
      </c>
      <c r="G59" s="16">
        <v>329.95</v>
      </c>
      <c r="H59" s="16">
        <v>450.45</v>
      </c>
      <c r="I59" s="16">
        <v>474.34</v>
      </c>
      <c r="J59" s="16">
        <v>528.20000000000005</v>
      </c>
    </row>
    <row r="60" spans="1:10">
      <c r="A60" s="18">
        <v>46158</v>
      </c>
      <c r="B60" s="19" t="s">
        <v>676</v>
      </c>
      <c r="C60" s="19" t="s">
        <v>533</v>
      </c>
      <c r="D60" s="19" t="e" vm="59">
        <v>#VALUE!</v>
      </c>
      <c r="E60" s="50">
        <f t="array" aca="1" ref="E60" ca="1">_FV(D60,"Price")</f>
        <v>681.1</v>
      </c>
      <c r="F60" s="20">
        <f t="array" aca="1" ref="F60" ca="1">_FV(D60,"Previous close",TRUE)</f>
        <v>672.4</v>
      </c>
      <c r="G60" s="16">
        <v>666.7</v>
      </c>
      <c r="H60" s="16">
        <v>632.17999999999995</v>
      </c>
      <c r="I60" s="16">
        <v>620.12</v>
      </c>
      <c r="J60" s="16">
        <v>580.52</v>
      </c>
    </row>
    <row r="61" spans="1:10">
      <c r="A61" s="18">
        <v>46158</v>
      </c>
      <c r="B61" s="19" t="s">
        <v>677</v>
      </c>
      <c r="C61" s="19" t="s">
        <v>533</v>
      </c>
      <c r="D61" s="19" t="e" vm="60">
        <v>#VALUE!</v>
      </c>
      <c r="E61" s="50">
        <f t="array" aca="1" ref="E61" ca="1">_FV(D61,"Price")</f>
        <v>1878.3</v>
      </c>
      <c r="F61" s="20">
        <f t="array" aca="1" ref="F61" ca="1">_FV(D61,"Previous close",TRUE)</f>
        <v>1788.9</v>
      </c>
      <c r="G61" s="16">
        <v>1668.8</v>
      </c>
      <c r="H61" s="16">
        <v>1596.47</v>
      </c>
      <c r="I61" s="16">
        <v>1540.94</v>
      </c>
      <c r="J61" s="16">
        <v>1347.23</v>
      </c>
    </row>
    <row r="62" spans="1:10">
      <c r="A62" s="18">
        <v>46158</v>
      </c>
      <c r="B62" s="19" t="s">
        <v>678</v>
      </c>
      <c r="C62" s="19" t="s">
        <v>533</v>
      </c>
      <c r="D62" s="19" t="e" vm="61">
        <v>#VALUE!</v>
      </c>
      <c r="E62" s="50">
        <f t="array" aca="1" ref="E62" ca="1">_FV(D62,"Price")</f>
        <v>1123.3</v>
      </c>
      <c r="F62" s="20">
        <f t="array" aca="1" ref="F62" ca="1">_FV(D62,"Previous close",TRUE)</f>
        <v>1086.8</v>
      </c>
      <c r="G62" s="16">
        <v>1109.5999999999999</v>
      </c>
      <c r="H62" s="16">
        <v>1123.6099999999999</v>
      </c>
      <c r="I62" s="16">
        <v>1102.24</v>
      </c>
      <c r="J62" s="16">
        <v>1014.59</v>
      </c>
    </row>
    <row r="63" spans="1:10">
      <c r="A63" s="18">
        <v>46158</v>
      </c>
      <c r="B63" s="19" t="s">
        <v>679</v>
      </c>
      <c r="C63" s="19" t="s">
        <v>533</v>
      </c>
      <c r="D63" s="19" t="e" vm="62">
        <v>#VALUE!</v>
      </c>
      <c r="E63" s="50">
        <f t="array" aca="1" ref="E63" ca="1">_FV(D63,"Price")</f>
        <v>2057.1</v>
      </c>
      <c r="F63" s="20">
        <f t="array" aca="1" ref="F63" ca="1">_FV(D63,"Previous close",TRUE)</f>
        <v>2116.8000000000002</v>
      </c>
      <c r="G63" s="16">
        <v>2039.6</v>
      </c>
      <c r="H63" s="16">
        <v>1988.49</v>
      </c>
      <c r="I63" s="16">
        <v>1952.75</v>
      </c>
      <c r="J63" s="16">
        <v>1833.28</v>
      </c>
    </row>
    <row r="64" spans="1:10">
      <c r="A64" s="18">
        <v>46158</v>
      </c>
      <c r="B64" s="19" t="s">
        <v>680</v>
      </c>
      <c r="C64" s="19" t="s">
        <v>533</v>
      </c>
      <c r="D64" s="19" t="e" vm="63">
        <v>#VALUE!</v>
      </c>
      <c r="E64" s="50">
        <f t="array" aca="1" ref="E64" ca="1">_FV(D64,"Price")</f>
        <v>377.35</v>
      </c>
      <c r="F64" s="20">
        <f t="array" aca="1" ref="F64" ca="1">_FV(D64,"Previous close",TRUE)</f>
        <v>376.25</v>
      </c>
      <c r="G64" s="16">
        <v>381.45</v>
      </c>
      <c r="H64" s="16">
        <v>391.43</v>
      </c>
      <c r="I64" s="16">
        <v>389.42</v>
      </c>
      <c r="J64" s="16">
        <v>372.73</v>
      </c>
    </row>
    <row r="65" spans="1:10">
      <c r="A65" s="18">
        <v>46158</v>
      </c>
      <c r="B65" s="19" t="s">
        <v>681</v>
      </c>
      <c r="C65" s="19" t="s">
        <v>533</v>
      </c>
      <c r="D65" s="19" t="e" vm="64">
        <v>#VALUE!</v>
      </c>
      <c r="E65" s="50">
        <f t="array" aca="1" ref="E65" ca="1">_FV(D65,"Price")</f>
        <v>7244.5</v>
      </c>
      <c r="F65" s="20">
        <f t="array" aca="1" ref="F65" ca="1">_FV(D65,"Previous close",TRUE)</f>
        <v>7396</v>
      </c>
      <c r="G65" s="16">
        <v>7125</v>
      </c>
      <c r="H65" s="16">
        <v>6804.04</v>
      </c>
      <c r="I65" s="16">
        <v>6727.27</v>
      </c>
      <c r="J65" s="16">
        <v>6432.83</v>
      </c>
    </row>
    <row r="66" spans="1:10">
      <c r="A66" s="18">
        <v>46158</v>
      </c>
      <c r="B66" s="19" t="s">
        <v>682</v>
      </c>
      <c r="C66" s="19" t="s">
        <v>533</v>
      </c>
      <c r="D66" s="19" t="e" vm="65">
        <v>#VALUE!</v>
      </c>
      <c r="E66" s="50">
        <f t="array" aca="1" ref="E66" ca="1">_FV(D66,"Price")</f>
        <v>746.8</v>
      </c>
      <c r="F66" s="20">
        <f t="array" aca="1" ref="F66" ca="1">_FV(D66,"Previous close",TRUE)</f>
        <v>755.95</v>
      </c>
      <c r="G66" s="16">
        <v>740.6</v>
      </c>
      <c r="H66" s="16">
        <v>718.77</v>
      </c>
      <c r="I66" s="16">
        <v>710.26</v>
      </c>
      <c r="J66" s="16">
        <v>676.83</v>
      </c>
    </row>
    <row r="67" spans="1:10">
      <c r="A67" s="18">
        <v>46158</v>
      </c>
      <c r="B67" s="19" t="s">
        <v>683</v>
      </c>
      <c r="C67" s="19" t="s">
        <v>533</v>
      </c>
      <c r="D67" s="19" t="e" vm="66">
        <v>#VALUE!</v>
      </c>
      <c r="E67" s="50">
        <f t="array" aca="1" ref="E67" ca="1">_FV(D67,"Price")</f>
        <v>741.25</v>
      </c>
      <c r="F67" s="20">
        <f t="array" aca="1" ref="F67" ca="1">_FV(D67,"Previous close",TRUE)</f>
        <v>757.6</v>
      </c>
      <c r="G67" s="16">
        <v>756.6</v>
      </c>
      <c r="H67" s="16">
        <v>717.53</v>
      </c>
      <c r="I67" s="16">
        <v>709.3</v>
      </c>
      <c r="J67" s="16">
        <v>680.87</v>
      </c>
    </row>
    <row r="68" spans="1:10">
      <c r="A68" s="18">
        <v>46158</v>
      </c>
      <c r="B68" s="19" t="s">
        <v>68</v>
      </c>
      <c r="C68" s="19" t="s">
        <v>549</v>
      </c>
      <c r="D68" s="19" t="e" vm="67">
        <v>#VALUE!</v>
      </c>
      <c r="E68" s="50">
        <f t="array" aca="1" ref="E68" ca="1">_FV(D68,"Price")</f>
        <v>381.8</v>
      </c>
      <c r="F68" s="20">
        <f t="array" aca="1" ref="F68" ca="1">_FV(D68,"Previous close",TRUE)</f>
        <v>384.6</v>
      </c>
      <c r="G68" s="16">
        <v>373.9</v>
      </c>
      <c r="H68" s="16">
        <v>322.16000000000003</v>
      </c>
      <c r="I68" s="16">
        <v>314.18</v>
      </c>
      <c r="J68" s="16">
        <v>293.52</v>
      </c>
    </row>
    <row r="69" spans="1:10">
      <c r="A69" s="18">
        <v>46158</v>
      </c>
      <c r="B69" s="19" t="s">
        <v>418</v>
      </c>
      <c r="C69" s="19" t="s">
        <v>549</v>
      </c>
      <c r="D69" s="19" t="e" vm="68">
        <v>#VALUE!</v>
      </c>
      <c r="E69" s="50">
        <f t="array" aca="1" ref="E69" ca="1">_FV(D69,"Price")</f>
        <v>18653</v>
      </c>
      <c r="F69" s="20">
        <f t="array" aca="1" ref="F69" ca="1">_FV(D69,"Previous close",TRUE)</f>
        <v>18479</v>
      </c>
      <c r="G69" s="16">
        <v>18132</v>
      </c>
      <c r="H69" s="16">
        <v>16356.25</v>
      </c>
      <c r="I69" s="16">
        <v>16018.49</v>
      </c>
      <c r="J69" s="16">
        <v>15053.59</v>
      </c>
    </row>
    <row r="70" spans="1:10">
      <c r="A70" s="18">
        <v>46158</v>
      </c>
      <c r="B70" s="19" t="s">
        <v>662</v>
      </c>
      <c r="C70" s="19" t="s">
        <v>549</v>
      </c>
      <c r="D70" s="19" t="e" vm="69">
        <v>#VALUE!</v>
      </c>
      <c r="E70" s="50">
        <f t="array" aca="1" ref="E70" ca="1">_FV(D70,"Price")</f>
        <v>2661.2</v>
      </c>
      <c r="F70" s="20">
        <f t="array" aca="1" ref="F70" ca="1">_FV(D70,"Previous close",TRUE)</f>
        <v>2689.3</v>
      </c>
      <c r="G70" s="16">
        <v>2695.2</v>
      </c>
      <c r="H70" s="16">
        <v>2496.58</v>
      </c>
      <c r="I70" s="16">
        <v>2453.1799999999998</v>
      </c>
      <c r="J70" s="16">
        <v>2333.08</v>
      </c>
    </row>
    <row r="71" spans="1:10">
      <c r="A71" s="18">
        <v>46158</v>
      </c>
      <c r="B71" s="19" t="s">
        <v>50</v>
      </c>
      <c r="C71" s="19" t="s">
        <v>549</v>
      </c>
      <c r="D71" s="19" t="e" vm="70">
        <v>#VALUE!</v>
      </c>
      <c r="E71" s="50">
        <f t="array" aca="1" ref="E71" ca="1">_FV(D71,"Price")</f>
        <v>1305.2</v>
      </c>
      <c r="F71" s="20">
        <f t="array" aca="1" ref="F71" ca="1">_FV(D71,"Previous close",TRUE)</f>
        <v>1394</v>
      </c>
      <c r="G71" s="16">
        <v>1482.2</v>
      </c>
      <c r="H71" s="16">
        <v>1338.04</v>
      </c>
      <c r="I71" s="16">
        <v>1321.83</v>
      </c>
      <c r="J71" s="16">
        <v>1279.19</v>
      </c>
    </row>
    <row r="72" spans="1:10">
      <c r="A72" s="18">
        <v>46158</v>
      </c>
      <c r="B72" s="19" t="s">
        <v>664</v>
      </c>
      <c r="C72" s="19" t="s">
        <v>549</v>
      </c>
      <c r="D72" s="19" t="e" vm="71">
        <v>#VALUE!</v>
      </c>
      <c r="E72" s="50">
        <f t="array" aca="1" ref="E72" ca="1">_FV(D72,"Price")</f>
        <v>491.8</v>
      </c>
      <c r="F72" s="20">
        <f t="array" aca="1" ref="F72" ca="1">_FV(D72,"Previous close",TRUE)</f>
        <v>504.85</v>
      </c>
      <c r="G72" s="16">
        <v>490.25</v>
      </c>
      <c r="H72" s="16">
        <v>439.25</v>
      </c>
      <c r="I72" s="16">
        <v>428.73</v>
      </c>
      <c r="J72" s="16">
        <v>398</v>
      </c>
    </row>
    <row r="73" spans="1:10">
      <c r="A73" s="18">
        <v>46158</v>
      </c>
      <c r="B73" s="19" t="s">
        <v>94</v>
      </c>
      <c r="C73" s="19" t="s">
        <v>549</v>
      </c>
      <c r="D73" s="19" t="e" vm="72">
        <v>#VALUE!</v>
      </c>
      <c r="E73" s="50">
        <f t="array" aca="1" ref="E73" ca="1">_FV(D73,"Price")</f>
        <v>92.28</v>
      </c>
      <c r="F73" s="20">
        <f t="array" aca="1" ref="F73" ca="1">_FV(D73,"Previous close",TRUE)</f>
        <v>90.67</v>
      </c>
      <c r="G73" s="16">
        <v>87.85</v>
      </c>
      <c r="H73" s="16">
        <v>88.05</v>
      </c>
      <c r="I73" s="16">
        <v>87.23</v>
      </c>
      <c r="J73" s="16">
        <v>83.94</v>
      </c>
    </row>
    <row r="74" spans="1:10">
      <c r="A74" s="18">
        <v>46158</v>
      </c>
      <c r="B74" s="19" t="s">
        <v>684</v>
      </c>
      <c r="C74" s="19" t="s">
        <v>549</v>
      </c>
      <c r="D74" s="19" t="e" vm="73">
        <v>#VALUE!</v>
      </c>
      <c r="E74" s="50">
        <f t="array" aca="1" ref="E74" ca="1">_FV(D74,"Price")</f>
        <v>5746.2</v>
      </c>
      <c r="F74" s="20">
        <f t="array" aca="1" ref="F74" ca="1">_FV(D74,"Previous close",TRUE)</f>
        <v>5797.5</v>
      </c>
      <c r="G74" s="16">
        <v>5353.4</v>
      </c>
      <c r="H74" s="16">
        <v>4819.58</v>
      </c>
      <c r="I74" s="16">
        <v>4685.41</v>
      </c>
      <c r="J74" s="16">
        <v>4282.08</v>
      </c>
    </row>
    <row r="75" spans="1:10">
      <c r="A75" s="18">
        <v>46158</v>
      </c>
      <c r="B75" s="19" t="s">
        <v>86</v>
      </c>
      <c r="C75" s="19" t="s">
        <v>549</v>
      </c>
      <c r="D75" s="19" t="e" vm="74">
        <v>#VALUE!</v>
      </c>
      <c r="E75" s="50">
        <f t="array" aca="1" ref="E75" ca="1">_FV(D75,"Price")</f>
        <v>934.8</v>
      </c>
      <c r="F75" s="20">
        <f t="array" aca="1" ref="F75" ca="1">_FV(D75,"Previous close",TRUE)</f>
        <v>879.15</v>
      </c>
      <c r="G75" s="16">
        <v>865.7</v>
      </c>
      <c r="H75" s="16">
        <v>828.15</v>
      </c>
      <c r="I75" s="16">
        <v>812.78</v>
      </c>
      <c r="J75" s="16">
        <v>765.38</v>
      </c>
    </row>
    <row r="76" spans="1:10">
      <c r="A76" s="18">
        <v>46158</v>
      </c>
      <c r="B76" s="19" t="s">
        <v>685</v>
      </c>
      <c r="C76" s="19" t="s">
        <v>549</v>
      </c>
      <c r="D76" s="19" t="e" vm="75">
        <v>#VALUE!</v>
      </c>
      <c r="E76" s="50">
        <f t="array" aca="1" ref="E76" ca="1">_FV(D76,"Price")</f>
        <v>263.14999999999998</v>
      </c>
      <c r="F76" s="20">
        <f t="array" aca="1" ref="F76" ca="1">_FV(D76,"Previous close",TRUE)</f>
        <v>266.35000000000002</v>
      </c>
      <c r="G76" s="16">
        <v>277.25</v>
      </c>
      <c r="H76" s="16">
        <v>265.49</v>
      </c>
      <c r="I76" s="16">
        <v>264.3</v>
      </c>
      <c r="J76" s="16">
        <v>259.49</v>
      </c>
    </row>
    <row r="77" spans="1:10">
      <c r="A77" s="18">
        <v>46158</v>
      </c>
      <c r="B77" s="19" t="s">
        <v>110</v>
      </c>
      <c r="C77" s="19" t="s">
        <v>549</v>
      </c>
      <c r="D77" s="19" t="e" vm="76">
        <v>#VALUE!</v>
      </c>
      <c r="E77" s="50">
        <f t="array" aca="1" ref="E77" ca="1">_FV(D77,"Price")</f>
        <v>1397.4</v>
      </c>
      <c r="F77" s="20">
        <f t="array" aca="1" ref="F77" ca="1">_FV(D77,"Previous close",TRUE)</f>
        <v>1357</v>
      </c>
      <c r="G77" s="16">
        <v>1174.9000000000001</v>
      </c>
      <c r="H77" s="16">
        <v>1149.71</v>
      </c>
      <c r="I77" s="16">
        <v>1127.51</v>
      </c>
      <c r="J77" s="16">
        <v>1066.5899999999999</v>
      </c>
    </row>
    <row r="78" spans="1:10">
      <c r="A78" s="18">
        <v>46158</v>
      </c>
      <c r="B78" s="19" t="s">
        <v>686</v>
      </c>
      <c r="C78" s="19" t="s">
        <v>549</v>
      </c>
      <c r="D78" s="19" t="e" vm="77">
        <v>#VALUE!</v>
      </c>
      <c r="E78" s="50">
        <f t="array" aca="1" ref="E78" ca="1">_FV(D78,"Price")</f>
        <v>1368</v>
      </c>
      <c r="F78" s="20">
        <f t="array" aca="1" ref="F78" ca="1">_FV(D78,"Previous close",TRUE)</f>
        <v>1370.3</v>
      </c>
      <c r="G78" s="16">
        <v>1366.1</v>
      </c>
      <c r="H78" s="16">
        <v>1339.36</v>
      </c>
      <c r="I78" s="16">
        <v>1331.51</v>
      </c>
      <c r="J78" s="16">
        <v>1298.08</v>
      </c>
    </row>
    <row r="79" spans="1:10">
      <c r="A79" s="18">
        <v>46158</v>
      </c>
      <c r="B79" s="19" t="s">
        <v>687</v>
      </c>
      <c r="C79" s="19" t="s">
        <v>549</v>
      </c>
      <c r="D79" s="19" t="e" vm="78">
        <v>#VALUE!</v>
      </c>
      <c r="E79" s="50">
        <f t="array" aca="1" ref="E79" ca="1">_FV(D79,"Price")</f>
        <v>607.20000000000005</v>
      </c>
      <c r="F79" s="20">
        <f t="array" aca="1" ref="F79" ca="1">_FV(D79,"Previous close",TRUE)</f>
        <v>606.4</v>
      </c>
      <c r="G79" s="16">
        <v>587.15</v>
      </c>
      <c r="H79" s="16">
        <v>565.26</v>
      </c>
      <c r="I79" s="16">
        <v>554.98</v>
      </c>
      <c r="J79" s="16">
        <v>522.97</v>
      </c>
    </row>
    <row r="80" spans="1:10">
      <c r="A80" s="18">
        <v>46158</v>
      </c>
      <c r="B80" s="19" t="s">
        <v>590</v>
      </c>
      <c r="C80" s="19" t="s">
        <v>564</v>
      </c>
      <c r="D80" s="19" t="e" vm="79">
        <v>#VALUE!</v>
      </c>
      <c r="E80" s="50">
        <f t="array" aca="1" ref="E80" ca="1">_FV(D80,"Price")</f>
        <v>432.2</v>
      </c>
      <c r="F80" s="20">
        <f t="array" aca="1" ref="F80" ca="1">_FV(D80,"Previous close",TRUE)</f>
        <v>436.15</v>
      </c>
      <c r="G80" s="16">
        <v>430.25</v>
      </c>
      <c r="H80" s="16">
        <v>397.89</v>
      </c>
      <c r="I80" s="16">
        <v>394.12</v>
      </c>
      <c r="J80" s="16">
        <v>385.43</v>
      </c>
    </row>
    <row r="81" spans="1:10">
      <c r="A81" s="18">
        <v>46158</v>
      </c>
      <c r="B81" s="19" t="s">
        <v>688</v>
      </c>
      <c r="C81" s="19" t="s">
        <v>564</v>
      </c>
      <c r="D81" s="19" t="e" vm="80">
        <v>#VALUE!</v>
      </c>
      <c r="E81" s="50">
        <f t="array" aca="1" ref="E81" ca="1">_FV(D81,"Price")</f>
        <v>198.2</v>
      </c>
      <c r="F81" s="20">
        <f t="array" aca="1" ref="F81" ca="1">_FV(D81,"Previous close",TRUE)</f>
        <v>206.65</v>
      </c>
      <c r="G81" s="16">
        <v>193.5</v>
      </c>
      <c r="H81" s="16">
        <v>172.2</v>
      </c>
      <c r="I81" s="16">
        <v>167.75</v>
      </c>
      <c r="J81" s="16">
        <v>155.57</v>
      </c>
    </row>
    <row r="82" spans="1:10">
      <c r="A82" s="18">
        <v>46158</v>
      </c>
      <c r="B82" s="19" t="s">
        <v>111</v>
      </c>
      <c r="C82" s="19" t="s">
        <v>564</v>
      </c>
      <c r="D82" s="19" t="e" vm="81">
        <v>#VALUE!</v>
      </c>
      <c r="E82" s="50">
        <f t="array" aca="1" ref="E82" ca="1">_FV(D82,"Price")</f>
        <v>2973.1</v>
      </c>
      <c r="F82" s="20">
        <f t="array" aca="1" ref="F82" ca="1">_FV(D82,"Previous close",TRUE)</f>
        <v>2969.3</v>
      </c>
      <c r="G82" s="16">
        <v>2717.3</v>
      </c>
      <c r="H82" s="16">
        <v>2516.94</v>
      </c>
      <c r="I82" s="16">
        <v>2463.54</v>
      </c>
      <c r="J82" s="16">
        <v>2344.3000000000002</v>
      </c>
    </row>
    <row r="83" spans="1:10">
      <c r="A83" s="18">
        <v>46158</v>
      </c>
      <c r="B83" s="19" t="s">
        <v>621</v>
      </c>
      <c r="C83" s="19" t="s">
        <v>564</v>
      </c>
      <c r="D83" s="19" t="e" vm="82">
        <v>#VALUE!</v>
      </c>
      <c r="E83" s="50">
        <f t="array" aca="1" ref="E83" ca="1">_FV(D83,"Price")</f>
        <v>2651.5</v>
      </c>
      <c r="F83" s="20">
        <f t="array" aca="1" ref="F83" ca="1">_FV(D83,"Previous close",TRUE)</f>
        <v>2662.5</v>
      </c>
      <c r="G83" s="16">
        <v>2694</v>
      </c>
      <c r="H83" s="16">
        <v>2684.92</v>
      </c>
      <c r="I83" s="16">
        <v>2664.4</v>
      </c>
      <c r="J83" s="16">
        <v>2598.59</v>
      </c>
    </row>
    <row r="84" spans="1:10">
      <c r="A84" s="18">
        <v>46158</v>
      </c>
      <c r="B84" s="19" t="s">
        <v>689</v>
      </c>
      <c r="C84" s="19" t="s">
        <v>564</v>
      </c>
      <c r="D84" s="19" t="e" vm="83">
        <v>#VALUE!</v>
      </c>
      <c r="E84" s="50">
        <f t="array" aca="1" ref="E84" ca="1">_FV(D84,"Price")</f>
        <v>899.7</v>
      </c>
      <c r="F84" s="20">
        <f t="array" aca="1" ref="F84" ca="1">_FV(D84,"Previous close",TRUE)</f>
        <v>900.2</v>
      </c>
      <c r="G84" s="16">
        <v>918.35</v>
      </c>
      <c r="H84" s="16">
        <v>912.49</v>
      </c>
      <c r="I84" s="16">
        <v>908.93</v>
      </c>
      <c r="J84" s="16">
        <v>912.24</v>
      </c>
    </row>
    <row r="85" spans="1:10">
      <c r="A85" s="18">
        <v>46158</v>
      </c>
      <c r="B85" s="19" t="s">
        <v>690</v>
      </c>
      <c r="C85" s="19" t="s">
        <v>564</v>
      </c>
      <c r="D85" s="19" t="e" vm="84">
        <v>#VALUE!</v>
      </c>
      <c r="E85" s="50">
        <f t="array" aca="1" ref="E85" ca="1">_FV(D85,"Price")</f>
        <v>4157.7</v>
      </c>
      <c r="F85" s="20">
        <f t="array" aca="1" ref="F85" ca="1">_FV(D85,"Previous close",TRUE)</f>
        <v>4196.1000000000004</v>
      </c>
      <c r="G85" s="16">
        <v>4072.1</v>
      </c>
      <c r="H85" s="16">
        <v>4081.49</v>
      </c>
      <c r="I85" s="16">
        <v>4066.39</v>
      </c>
      <c r="J85" s="16">
        <v>4009.97</v>
      </c>
    </row>
    <row r="86" spans="1:10">
      <c r="A86" s="18">
        <v>46158</v>
      </c>
      <c r="B86" s="19" t="s">
        <v>691</v>
      </c>
      <c r="C86" s="19" t="s">
        <v>564</v>
      </c>
      <c r="D86" s="19" t="e" vm="85">
        <v>#VALUE!</v>
      </c>
      <c r="E86" s="50">
        <f t="array" aca="1" ref="E86" ca="1">_FV(D86,"Price")</f>
        <v>1497.1</v>
      </c>
      <c r="F86" s="20">
        <f t="array" aca="1" ref="F86" ca="1">_FV(D86,"Previous close",TRUE)</f>
        <v>1461.3</v>
      </c>
      <c r="G86" s="16">
        <v>1473</v>
      </c>
      <c r="H86" s="16">
        <v>1263.52</v>
      </c>
      <c r="I86" s="16">
        <v>1228.06</v>
      </c>
      <c r="J86" s="16">
        <v>1125.47</v>
      </c>
    </row>
    <row r="87" spans="1:10">
      <c r="A87" s="18">
        <v>46158</v>
      </c>
      <c r="B87" s="19" t="s">
        <v>605</v>
      </c>
      <c r="C87" s="19" t="s">
        <v>564</v>
      </c>
      <c r="D87" s="19" t="e" vm="86">
        <v>#VALUE!</v>
      </c>
      <c r="E87" s="50">
        <f t="array" aca="1" ref="E87" ca="1">_FV(D87,"Price")</f>
        <v>463.05</v>
      </c>
      <c r="F87" s="20">
        <f t="array" aca="1" ref="F87" ca="1">_FV(D87,"Previous close",TRUE)</f>
        <v>458.15</v>
      </c>
      <c r="G87" s="16">
        <v>456.55</v>
      </c>
      <c r="H87" s="16">
        <v>456.16</v>
      </c>
      <c r="I87" s="16">
        <v>453.81</v>
      </c>
      <c r="J87" s="16">
        <v>440.84</v>
      </c>
    </row>
    <row r="88" spans="1:10">
      <c r="A88" s="18">
        <v>46158</v>
      </c>
      <c r="B88" s="19" t="s">
        <v>563</v>
      </c>
      <c r="C88" s="19" t="s">
        <v>564</v>
      </c>
      <c r="D88" s="19" t="e" vm="87">
        <v>#VALUE!</v>
      </c>
      <c r="E88" s="50">
        <f t="array" aca="1" ref="E88" ca="1">_FV(D88,"Price")</f>
        <v>1297.4000000000001</v>
      </c>
      <c r="F88" s="20">
        <f t="array" aca="1" ref="F88" ca="1">_FV(D88,"Previous close",TRUE)</f>
        <v>1337.8</v>
      </c>
      <c r="G88" s="16">
        <v>1306.8</v>
      </c>
      <c r="H88" s="16">
        <v>1324.91</v>
      </c>
      <c r="I88" s="16">
        <v>1310.6500000000001</v>
      </c>
      <c r="J88" s="16">
        <v>1215.95</v>
      </c>
    </row>
    <row r="89" spans="1:10">
      <c r="A89" s="18">
        <v>46158</v>
      </c>
      <c r="B89" s="19" t="s">
        <v>692</v>
      </c>
      <c r="C89" s="19" t="s">
        <v>564</v>
      </c>
      <c r="D89" s="19" t="e" vm="88">
        <v>#VALUE!</v>
      </c>
      <c r="E89" s="50">
        <f t="array" aca="1" ref="E89" ca="1">_FV(D89,"Price")</f>
        <v>168.72</v>
      </c>
      <c r="F89" s="20">
        <f t="array" aca="1" ref="F89" ca="1">_FV(D89,"Previous close",TRUE)</f>
        <v>167.56</v>
      </c>
      <c r="G89" s="16">
        <v>160.72</v>
      </c>
      <c r="H89" s="16">
        <v>170.02</v>
      </c>
      <c r="I89" s="16">
        <v>170.84</v>
      </c>
      <c r="J89" s="16">
        <v>170.21</v>
      </c>
    </row>
    <row r="90" spans="1:10">
      <c r="A90" s="18">
        <v>46158</v>
      </c>
      <c r="B90" s="19" t="s">
        <v>570</v>
      </c>
      <c r="C90" s="19" t="s">
        <v>564</v>
      </c>
      <c r="D90" s="19" t="e" vm="89">
        <v>#VALUE!</v>
      </c>
      <c r="E90" s="50">
        <f t="array" aca="1" ref="E90" ca="1">_FV(D90,"Price")</f>
        <v>560.75</v>
      </c>
      <c r="F90" s="20">
        <f t="array" aca="1" ref="F90" ca="1">_FV(D90,"Previous close",TRUE)</f>
        <v>554.79999999999995</v>
      </c>
      <c r="G90" s="16">
        <v>571.75</v>
      </c>
      <c r="H90" s="16">
        <v>496.88</v>
      </c>
      <c r="I90" s="16">
        <v>481.58</v>
      </c>
      <c r="J90" s="16">
        <v>425</v>
      </c>
    </row>
    <row r="91" spans="1:10">
      <c r="A91" s="18">
        <v>46158</v>
      </c>
      <c r="B91" s="19" t="s">
        <v>693</v>
      </c>
      <c r="C91" s="19" t="s">
        <v>564</v>
      </c>
      <c r="D91" s="19" t="e" vm="90">
        <v>#VALUE!</v>
      </c>
      <c r="E91" s="50">
        <f t="array" aca="1" ref="E91" ca="1">_FV(D91,"Price")</f>
        <v>1523.9</v>
      </c>
      <c r="F91" s="20">
        <f t="array" aca="1" ref="F91" ca="1">_FV(D91,"Previous close",TRUE)</f>
        <v>1526.2</v>
      </c>
      <c r="G91" s="16">
        <v>1532.1</v>
      </c>
      <c r="H91" s="16">
        <v>1565.81</v>
      </c>
      <c r="I91" s="16">
        <v>1560.31</v>
      </c>
      <c r="J91" s="16">
        <v>1559.4</v>
      </c>
    </row>
    <row r="92" spans="1:10">
      <c r="A92" s="18">
        <v>46158</v>
      </c>
      <c r="B92" s="19" t="s">
        <v>667</v>
      </c>
      <c r="C92" s="19" t="s">
        <v>564</v>
      </c>
      <c r="D92" s="19" t="e" vm="91">
        <v>#VALUE!</v>
      </c>
      <c r="E92" s="50">
        <f t="array" aca="1" ref="E92" ca="1">_FV(D92,"Price")</f>
        <v>269.13</v>
      </c>
      <c r="F92" s="20">
        <f t="array" aca="1" ref="F92" ca="1">_FV(D92,"Previous close",TRUE)</f>
        <v>253.28</v>
      </c>
      <c r="G92" s="16">
        <v>254.11</v>
      </c>
      <c r="H92" s="16">
        <v>237.9</v>
      </c>
      <c r="I92" s="16">
        <v>233.71</v>
      </c>
      <c r="J92" s="16">
        <v>217.52</v>
      </c>
    </row>
    <row r="93" spans="1:10">
      <c r="A93" s="18">
        <v>46158</v>
      </c>
      <c r="B93" s="19" t="s">
        <v>694</v>
      </c>
      <c r="C93" s="19" t="s">
        <v>564</v>
      </c>
      <c r="D93" s="19" t="e" vm="92">
        <v>#VALUE!</v>
      </c>
      <c r="E93" s="50">
        <f t="array" aca="1" ref="E93" ca="1">_FV(D93,"Price")</f>
        <v>1951</v>
      </c>
      <c r="F93" s="20">
        <f t="array" aca="1" ref="F93" ca="1">_FV(D93,"Previous close",TRUE)</f>
        <v>1977.4</v>
      </c>
      <c r="G93" s="16">
        <v>1947.6</v>
      </c>
      <c r="H93" s="16">
        <v>1743.89</v>
      </c>
      <c r="I93" s="16">
        <v>1704.8</v>
      </c>
      <c r="J93" s="16">
        <v>1588.9</v>
      </c>
    </row>
    <row r="94" spans="1:10">
      <c r="A94" s="18">
        <v>46158</v>
      </c>
      <c r="B94" s="19" t="s">
        <v>695</v>
      </c>
      <c r="C94" s="19" t="s">
        <v>564</v>
      </c>
      <c r="D94" s="19" t="e" vm="93">
        <v>#VALUE!</v>
      </c>
      <c r="E94" s="50">
        <f t="array" aca="1" ref="E94" ca="1">_FV(D94,"Price")</f>
        <v>758.65</v>
      </c>
      <c r="F94" s="20">
        <f t="array" aca="1" ref="F94" ca="1">_FV(D94,"Previous close",TRUE)</f>
        <v>778.9</v>
      </c>
      <c r="G94" s="16">
        <v>766.8</v>
      </c>
      <c r="H94" s="16">
        <v>782.21</v>
      </c>
      <c r="I94" s="16">
        <v>790.08</v>
      </c>
      <c r="J94" s="16">
        <v>828.46</v>
      </c>
    </row>
    <row r="95" spans="1:10">
      <c r="A95" s="18">
        <v>46158</v>
      </c>
      <c r="B95" s="19" t="s">
        <v>696</v>
      </c>
      <c r="C95" s="19" t="s">
        <v>564</v>
      </c>
      <c r="D95" s="19" t="e" vm="94">
        <v>#VALUE!</v>
      </c>
      <c r="E95" s="50">
        <f t="array" aca="1" ref="E95" ca="1">_FV(D95,"Price")</f>
        <v>2639.6</v>
      </c>
      <c r="F95" s="20">
        <f t="array" aca="1" ref="F95" ca="1">_FV(D95,"Previous close",TRUE)</f>
        <v>2648.7</v>
      </c>
      <c r="G95" s="16">
        <v>2416</v>
      </c>
      <c r="H95" s="16">
        <v>2305.15</v>
      </c>
      <c r="I95" s="16">
        <v>2240.12</v>
      </c>
      <c r="J95" s="16">
        <v>2004.51</v>
      </c>
    </row>
    <row r="96" spans="1:10">
      <c r="A96" s="18">
        <v>46166</v>
      </c>
      <c r="B96" s="29" t="s">
        <v>113</v>
      </c>
      <c r="C96" s="29" t="s">
        <v>531</v>
      </c>
      <c r="D96" s="29" t="e" vm="1">
        <v>#VALUE!</v>
      </c>
      <c r="E96" s="50">
        <f t="array" aca="1" ref="E96" ca="1">_FV(D96,"Price")</f>
        <v>1821</v>
      </c>
      <c r="F96" s="20">
        <f t="array" aca="1" ref="F96" ca="1">_FV(D96,"Previous close",TRUE)</f>
        <v>1873.4</v>
      </c>
      <c r="G96" s="16">
        <v>1822.5</v>
      </c>
      <c r="H96" s="16">
        <v>1502.35</v>
      </c>
      <c r="I96" s="16">
        <v>1453.76</v>
      </c>
      <c r="J96" s="16">
        <v>1340.88</v>
      </c>
    </row>
    <row r="97" spans="1:10">
      <c r="A97" s="18">
        <v>46166</v>
      </c>
      <c r="B97" s="29" t="s">
        <v>66</v>
      </c>
      <c r="C97" s="29" t="s">
        <v>531</v>
      </c>
      <c r="D97" s="29" t="e" vm="21">
        <v>#VALUE!</v>
      </c>
      <c r="E97" s="50">
        <f t="array" aca="1" ref="E97" ca="1">_FV(D97,"Price")</f>
        <v>626.04999999999995</v>
      </c>
      <c r="F97" s="20">
        <f t="array" aca="1" ref="F97" ca="1">_FV(D97,"Previous close",TRUE)</f>
        <v>626.70000000000005</v>
      </c>
      <c r="G97" s="16">
        <v>638.5</v>
      </c>
      <c r="H97" s="16">
        <v>579.36</v>
      </c>
      <c r="I97" s="16">
        <v>573.96</v>
      </c>
      <c r="J97" s="16">
        <v>570.85</v>
      </c>
    </row>
    <row r="98" spans="1:10">
      <c r="A98" s="18">
        <v>46166</v>
      </c>
      <c r="B98" s="29" t="s">
        <v>538</v>
      </c>
      <c r="C98" s="29" t="s">
        <v>531</v>
      </c>
      <c r="D98" s="29" t="e" vm="10">
        <v>#VALUE!</v>
      </c>
      <c r="E98" s="50">
        <f t="array" aca="1" ref="E98" ca="1">_FV(D98,"Price")</f>
        <v>173.92</v>
      </c>
      <c r="F98" s="20">
        <f t="array" aca="1" ref="F98" ca="1">_FV(D98,"Previous close",TRUE)</f>
        <v>161.80000000000001</v>
      </c>
      <c r="G98" s="16">
        <v>148.21</v>
      </c>
      <c r="H98" s="16">
        <v>128.30000000000001</v>
      </c>
      <c r="I98" s="16">
        <v>121.91</v>
      </c>
      <c r="J98" s="16">
        <v>103.37</v>
      </c>
    </row>
    <row r="99" spans="1:10">
      <c r="A99" s="18">
        <v>46166</v>
      </c>
      <c r="B99" s="29" t="s">
        <v>544</v>
      </c>
      <c r="C99" s="29" t="s">
        <v>531</v>
      </c>
      <c r="D99" s="29" t="e" vm="95">
        <v>#VALUE!</v>
      </c>
      <c r="E99" s="50">
        <f t="array" aca="1" ref="E99" ca="1">_FV(D99,"Price")</f>
        <v>719.15</v>
      </c>
      <c r="F99" s="20">
        <f t="array" aca="1" ref="F99" ca="1">_FV(D99,"Previous close",TRUE)</f>
        <v>690.45</v>
      </c>
      <c r="G99" s="16">
        <v>706.95</v>
      </c>
      <c r="H99" s="16">
        <v>605.67999999999995</v>
      </c>
      <c r="I99" s="16">
        <v>591.15</v>
      </c>
      <c r="J99" s="16">
        <v>556.08000000000004</v>
      </c>
    </row>
    <row r="100" spans="1:10">
      <c r="A100" s="18">
        <v>46166</v>
      </c>
      <c r="B100" s="29" t="s">
        <v>697</v>
      </c>
      <c r="C100" s="29" t="s">
        <v>531</v>
      </c>
      <c r="D100" s="29" t="e" vm="96">
        <v>#VALUE!</v>
      </c>
      <c r="E100" s="50">
        <f t="array" aca="1" ref="E100" ca="1">_FV(D100,"Price")</f>
        <v>1426</v>
      </c>
      <c r="F100" s="20">
        <f t="array" aca="1" ref="F100" ca="1">_FV(D100,"Previous close",TRUE)</f>
        <v>1425.3</v>
      </c>
      <c r="G100" s="16">
        <v>1450.5</v>
      </c>
      <c r="H100" s="16">
        <v>1170.8499999999999</v>
      </c>
      <c r="I100" s="16">
        <v>1148.8399999999999</v>
      </c>
      <c r="J100" s="16">
        <v>1117.98</v>
      </c>
    </row>
    <row r="101" spans="1:10">
      <c r="A101" s="18">
        <v>46166</v>
      </c>
      <c r="B101" s="29" t="s">
        <v>698</v>
      </c>
      <c r="C101" s="29" t="s">
        <v>531</v>
      </c>
      <c r="D101" s="29" t="e" vm="97">
        <v>#VALUE!</v>
      </c>
      <c r="E101" s="50">
        <f t="array" aca="1" ref="E101" ca="1">_FV(D101,"Price")</f>
        <v>534.5</v>
      </c>
      <c r="F101" s="20">
        <f t="array" aca="1" ref="F101" ca="1">_FV(D101,"Previous close",TRUE)</f>
        <v>531.29999999999995</v>
      </c>
      <c r="G101" s="16">
        <v>539.45000000000005</v>
      </c>
      <c r="H101" s="16">
        <v>497.8</v>
      </c>
      <c r="I101" s="16">
        <v>491.49</v>
      </c>
      <c r="J101" s="16">
        <v>477.03</v>
      </c>
    </row>
    <row r="102" spans="1:10">
      <c r="A102" s="18">
        <v>46166</v>
      </c>
      <c r="B102" s="29" t="s">
        <v>548</v>
      </c>
      <c r="C102" s="29" t="s">
        <v>531</v>
      </c>
      <c r="D102" s="29" t="e" vm="4">
        <v>#VALUE!</v>
      </c>
      <c r="E102" s="50">
        <f t="array" aca="1" ref="E102" ca="1">_FV(D102,"Price")</f>
        <v>1912.3</v>
      </c>
      <c r="F102" s="20">
        <f t="array" aca="1" ref="F102" ca="1">_FV(D102,"Previous close",TRUE)</f>
        <v>1913.4</v>
      </c>
      <c r="G102" s="16">
        <v>1943.4</v>
      </c>
      <c r="H102" s="16">
        <v>1734.38</v>
      </c>
      <c r="I102" s="16">
        <v>1708.56</v>
      </c>
      <c r="J102" s="16">
        <v>1648.87</v>
      </c>
    </row>
    <row r="103" spans="1:10">
      <c r="A103" s="18">
        <v>46166</v>
      </c>
      <c r="B103" s="29" t="s">
        <v>125</v>
      </c>
      <c r="C103" s="29" t="s">
        <v>531</v>
      </c>
      <c r="D103" s="29" t="e" vm="2">
        <v>#VALUE!</v>
      </c>
      <c r="E103" s="50">
        <f t="array" aca="1" ref="E103" ca="1">_FV(D103,"Price")</f>
        <v>845.3</v>
      </c>
      <c r="F103" s="20">
        <f t="array" aca="1" ref="F103" ca="1">_FV(D103,"Previous close",TRUE)</f>
        <v>855.4</v>
      </c>
      <c r="G103" s="16">
        <v>775.95</v>
      </c>
      <c r="H103" s="16">
        <v>677.65</v>
      </c>
      <c r="I103" s="16">
        <v>649.29999999999995</v>
      </c>
      <c r="J103" s="16">
        <v>571.94000000000005</v>
      </c>
    </row>
    <row r="104" spans="1:10">
      <c r="A104" s="18">
        <v>46166</v>
      </c>
      <c r="B104" s="29" t="s">
        <v>550</v>
      </c>
      <c r="C104" s="29" t="s">
        <v>531</v>
      </c>
      <c r="D104" s="29" t="e" vm="16">
        <v>#VALUE!</v>
      </c>
      <c r="E104" s="50">
        <f t="array" aca="1" ref="E104" ca="1">_FV(D104,"Price")</f>
        <v>1085.8</v>
      </c>
      <c r="F104" s="20">
        <f t="array" aca="1" ref="F104" ca="1">_FV(D104,"Previous close",TRUE)</f>
        <v>1079.05</v>
      </c>
      <c r="G104" s="16">
        <v>1038.95</v>
      </c>
      <c r="H104" s="16">
        <v>980.94</v>
      </c>
      <c r="I104" s="16">
        <v>970.73</v>
      </c>
      <c r="J104" s="16">
        <v>948.03</v>
      </c>
    </row>
    <row r="105" spans="1:10">
      <c r="A105" s="18">
        <v>46166</v>
      </c>
      <c r="B105" s="29" t="s">
        <v>699</v>
      </c>
      <c r="C105" s="29" t="s">
        <v>531</v>
      </c>
      <c r="D105" s="29" t="e" vm="98">
        <v>#VALUE!</v>
      </c>
      <c r="E105" s="50">
        <f t="array" aca="1" ref="E105" ca="1">_FV(D105,"Price")</f>
        <v>2313</v>
      </c>
      <c r="F105" s="20">
        <f t="array" aca="1" ref="F105" ca="1">_FV(D105,"Previous close",TRUE)</f>
        <v>2307.9</v>
      </c>
      <c r="G105" s="16">
        <v>2334</v>
      </c>
      <c r="H105" s="16">
        <v>1980.26</v>
      </c>
      <c r="I105" s="16">
        <v>1945.94</v>
      </c>
      <c r="J105" s="16">
        <v>1866.17</v>
      </c>
    </row>
    <row r="106" spans="1:10">
      <c r="A106" s="18">
        <v>46166</v>
      </c>
      <c r="B106" s="29" t="s">
        <v>122</v>
      </c>
      <c r="C106" s="29" t="s">
        <v>531</v>
      </c>
      <c r="D106" s="29" t="e" vm="99">
        <v>#VALUE!</v>
      </c>
      <c r="E106" s="50">
        <f t="array" aca="1" ref="E106" ca="1">_FV(D106,"Price")</f>
        <v>63.78</v>
      </c>
      <c r="F106" s="20">
        <f t="array" aca="1" ref="F106" ca="1">_FV(D106,"Previous close",TRUE)</f>
        <v>63.67</v>
      </c>
      <c r="G106" s="16">
        <v>57.51</v>
      </c>
      <c r="H106" s="16">
        <v>55.06</v>
      </c>
      <c r="I106" s="16">
        <v>53.41</v>
      </c>
      <c r="J106" s="16">
        <v>48.37</v>
      </c>
    </row>
    <row r="107" spans="1:10">
      <c r="A107" s="18">
        <v>46166</v>
      </c>
      <c r="B107" s="29" t="s">
        <v>655</v>
      </c>
      <c r="C107" s="29" t="s">
        <v>531</v>
      </c>
      <c r="D107" s="29" t="e" vm="26">
        <v>#VALUE!</v>
      </c>
      <c r="E107" s="50">
        <f t="array" aca="1" ref="E107" ca="1">_FV(D107,"Price")</f>
        <v>670.6</v>
      </c>
      <c r="F107" s="20">
        <f t="array" aca="1" ref="F107" ca="1">_FV(D107,"Previous close",TRUE)</f>
        <v>655.15</v>
      </c>
      <c r="G107" s="16">
        <v>681.05</v>
      </c>
      <c r="H107" s="16">
        <v>630.04</v>
      </c>
      <c r="I107" s="16">
        <v>620.19000000000005</v>
      </c>
      <c r="J107" s="16">
        <v>591.59</v>
      </c>
    </row>
    <row r="108" spans="1:10">
      <c r="A108" s="18">
        <v>46166</v>
      </c>
      <c r="B108" s="29" t="s">
        <v>117</v>
      </c>
      <c r="C108" s="29" t="s">
        <v>531</v>
      </c>
      <c r="D108" s="29" t="e" vm="100">
        <v>#VALUE!</v>
      </c>
      <c r="E108" s="50">
        <f t="array" aca="1" ref="E108" ca="1">_FV(D108,"Price")</f>
        <v>717.55</v>
      </c>
      <c r="F108" s="20">
        <f t="array" aca="1" ref="F108" ca="1">_FV(D108,"Previous close",TRUE)</f>
        <v>725.55</v>
      </c>
      <c r="G108" s="16">
        <v>595.5</v>
      </c>
      <c r="H108" s="16">
        <v>564.49</v>
      </c>
      <c r="I108" s="16">
        <v>553.35</v>
      </c>
      <c r="J108" s="16">
        <v>531.04</v>
      </c>
    </row>
    <row r="109" spans="1:10">
      <c r="A109" s="18">
        <v>46166</v>
      </c>
      <c r="B109" s="29" t="s">
        <v>700</v>
      </c>
      <c r="C109" s="29" t="s">
        <v>531</v>
      </c>
      <c r="D109" s="29" t="e" vm="101">
        <v>#VALUE!</v>
      </c>
      <c r="E109" s="50">
        <f t="array" aca="1" ref="E109" ca="1">_FV(D109,"Price")</f>
        <v>374.8</v>
      </c>
      <c r="F109" s="20">
        <f t="array" aca="1" ref="F109" ca="1">_FV(D109,"Previous close",TRUE)</f>
        <v>381.55</v>
      </c>
      <c r="G109" s="16">
        <v>354.85</v>
      </c>
      <c r="H109" s="16">
        <v>324.70999999999998</v>
      </c>
      <c r="I109" s="16">
        <v>319.74</v>
      </c>
      <c r="J109" s="16">
        <v>311.04000000000002</v>
      </c>
    </row>
    <row r="110" spans="1:10">
      <c r="A110" s="18">
        <v>46166</v>
      </c>
      <c r="B110" s="29" t="s">
        <v>121</v>
      </c>
      <c r="C110" s="29" t="s">
        <v>531</v>
      </c>
      <c r="D110" s="29" t="e" vm="102">
        <v>#VALUE!</v>
      </c>
      <c r="E110" s="50">
        <f t="array" aca="1" ref="E110" ca="1">_FV(D110,"Price")</f>
        <v>710.3</v>
      </c>
      <c r="F110" s="20">
        <f t="array" aca="1" ref="F110" ca="1">_FV(D110,"Previous close",TRUE)</f>
        <v>691.25</v>
      </c>
      <c r="G110" s="16">
        <v>622.5</v>
      </c>
      <c r="H110" s="16">
        <v>561.79999999999995</v>
      </c>
      <c r="I110" s="16">
        <v>552.04999999999995</v>
      </c>
      <c r="J110" s="16">
        <v>530.91</v>
      </c>
    </row>
    <row r="111" spans="1:10">
      <c r="A111" s="18">
        <v>46166</v>
      </c>
      <c r="B111" s="29" t="s">
        <v>701</v>
      </c>
      <c r="C111" s="29" t="s">
        <v>531</v>
      </c>
      <c r="D111" s="29" t="e" vm="103">
        <v>#VALUE!</v>
      </c>
      <c r="E111" s="50">
        <f t="array" aca="1" ref="E111" ca="1">_FV(D111,"Price")</f>
        <v>613.85</v>
      </c>
      <c r="F111" s="20">
        <f t="array" aca="1" ref="F111" ca="1">_FV(D111,"Previous close",TRUE)</f>
        <v>621.04999999999995</v>
      </c>
      <c r="G111" s="16">
        <v>669.8</v>
      </c>
      <c r="H111" s="16">
        <v>571.62</v>
      </c>
      <c r="I111" s="16">
        <v>563.39</v>
      </c>
      <c r="J111" s="16">
        <v>547.47</v>
      </c>
    </row>
    <row r="112" spans="1:10">
      <c r="A112" s="18">
        <v>46166</v>
      </c>
      <c r="B112" s="29" t="s">
        <v>565</v>
      </c>
      <c r="C112" s="29" t="s">
        <v>531</v>
      </c>
      <c r="D112" s="29" t="e" vm="104">
        <v>#VALUE!</v>
      </c>
      <c r="E112" s="50">
        <f t="array" aca="1" ref="E112" ca="1">_FV(D112,"Price")</f>
        <v>728.9</v>
      </c>
      <c r="F112" s="20">
        <f t="array" aca="1" ref="F112" ca="1">_FV(D112,"Previous close",TRUE)</f>
        <v>730.5</v>
      </c>
      <c r="G112" s="16">
        <v>714.45</v>
      </c>
      <c r="H112" s="16">
        <v>634.22</v>
      </c>
      <c r="I112" s="16">
        <v>623.96</v>
      </c>
      <c r="J112" s="16">
        <v>604.19000000000005</v>
      </c>
    </row>
    <row r="113" spans="1:10">
      <c r="A113" s="18">
        <v>46166</v>
      </c>
      <c r="B113" s="29" t="s">
        <v>572</v>
      </c>
      <c r="C113" s="29" t="s">
        <v>531</v>
      </c>
      <c r="D113" s="29" t="e" vm="105">
        <v>#VALUE!</v>
      </c>
      <c r="E113" s="50">
        <f t="array" aca="1" ref="E113" ca="1">_FV(D113,"Price")</f>
        <v>807.25</v>
      </c>
      <c r="F113" s="20">
        <f t="array" aca="1" ref="F113" ca="1">_FV(D113,"Previous close",TRUE)</f>
        <v>780.95</v>
      </c>
      <c r="G113" s="16">
        <v>774.1</v>
      </c>
      <c r="H113" s="16">
        <v>710.57</v>
      </c>
      <c r="I113" s="16">
        <v>702.45</v>
      </c>
      <c r="J113" s="16">
        <v>690.19</v>
      </c>
    </row>
    <row r="114" spans="1:10">
      <c r="A114" s="18">
        <v>46166</v>
      </c>
      <c r="B114" s="29" t="s">
        <v>119</v>
      </c>
      <c r="C114" s="29" t="s">
        <v>531</v>
      </c>
      <c r="D114" s="29" t="e" vm="106">
        <v>#VALUE!</v>
      </c>
      <c r="E114" s="50">
        <f t="array" aca="1" ref="E114" ca="1">_FV(D114,"Price")</f>
        <v>221.35</v>
      </c>
      <c r="F114" s="20">
        <f t="array" aca="1" ref="F114" ca="1">_FV(D114,"Previous close",TRUE)</f>
        <v>235.57</v>
      </c>
      <c r="G114" s="16">
        <v>209.77</v>
      </c>
      <c r="H114" s="16">
        <v>172.16</v>
      </c>
      <c r="I114" s="16">
        <v>166.75</v>
      </c>
      <c r="J114" s="16">
        <v>153.19999999999999</v>
      </c>
    </row>
    <row r="115" spans="1:10">
      <c r="A115" s="18">
        <v>46166</v>
      </c>
      <c r="B115" s="29" t="s">
        <v>542</v>
      </c>
      <c r="C115" s="29" t="s">
        <v>531</v>
      </c>
      <c r="D115" s="29" t="e" vm="3">
        <v>#VALUE!</v>
      </c>
      <c r="E115" s="50">
        <f t="array" aca="1" ref="E115" ca="1">_FV(D115,"Price")</f>
        <v>488</v>
      </c>
      <c r="F115" s="20">
        <f t="array" aca="1" ref="F115" ca="1">_FV(D115,"Previous close",TRUE)</f>
        <v>492.1</v>
      </c>
      <c r="G115" s="16">
        <v>499.75</v>
      </c>
      <c r="H115" s="16">
        <v>485.19</v>
      </c>
      <c r="I115" s="16">
        <v>482.76</v>
      </c>
      <c r="J115" s="16">
        <v>470.44</v>
      </c>
    </row>
    <row r="116" spans="1:10">
      <c r="A116" s="18">
        <v>46166</v>
      </c>
      <c r="B116" s="29" t="s">
        <v>576</v>
      </c>
      <c r="C116" s="29" t="s">
        <v>531</v>
      </c>
      <c r="D116" s="29" t="e" vm="107">
        <v>#VALUE!</v>
      </c>
      <c r="E116" s="50">
        <f t="array" aca="1" ref="E116" ca="1">_FV(D116,"Price")</f>
        <v>500.75</v>
      </c>
      <c r="F116" s="20">
        <f t="array" aca="1" ref="F116" ca="1">_FV(D116,"Previous close",TRUE)</f>
        <v>491</v>
      </c>
      <c r="G116" s="16">
        <v>476.2</v>
      </c>
      <c r="H116" s="16">
        <v>469.03</v>
      </c>
      <c r="I116" s="16">
        <v>463.49</v>
      </c>
      <c r="J116" s="16">
        <v>443.27</v>
      </c>
    </row>
    <row r="117" spans="1:10">
      <c r="A117" s="18">
        <v>46166</v>
      </c>
      <c r="B117" s="29" t="s">
        <v>581</v>
      </c>
      <c r="C117" s="29" t="s">
        <v>531</v>
      </c>
      <c r="D117" s="29" t="e" vm="108">
        <v>#VALUE!</v>
      </c>
      <c r="E117" s="50">
        <f t="array" aca="1" ref="E117" ca="1">_FV(D117,"Price")</f>
        <v>602.04999999999995</v>
      </c>
      <c r="F117" s="20">
        <f t="array" aca="1" ref="F117" ca="1">_FV(D117,"Previous close",TRUE)</f>
        <v>576</v>
      </c>
      <c r="G117" s="16">
        <v>551.25</v>
      </c>
      <c r="H117" s="16">
        <v>545.95000000000005</v>
      </c>
      <c r="I117" s="16">
        <v>540.33000000000004</v>
      </c>
      <c r="J117" s="16">
        <v>524.5</v>
      </c>
    </row>
    <row r="118" spans="1:10">
      <c r="A118" s="18">
        <v>46166</v>
      </c>
      <c r="B118" s="29" t="s">
        <v>702</v>
      </c>
      <c r="C118" s="29" t="s">
        <v>531</v>
      </c>
      <c r="D118" s="29" t="e" vm="109">
        <v>#VALUE!</v>
      </c>
      <c r="E118" s="50">
        <f t="array" aca="1" ref="E118" ca="1">_FV(D118,"Price")</f>
        <v>3636.9</v>
      </c>
      <c r="F118" s="20">
        <f t="array" aca="1" ref="F118" ca="1">_FV(D118,"Previous close",TRUE)</f>
        <v>3604.8</v>
      </c>
      <c r="G118" s="16">
        <v>3750.2</v>
      </c>
      <c r="H118" s="16">
        <v>3537.6</v>
      </c>
      <c r="I118" s="16">
        <v>3507.43</v>
      </c>
      <c r="J118" s="16">
        <v>3389.81</v>
      </c>
    </row>
    <row r="119" spans="1:10">
      <c r="A119" s="18">
        <v>46166</v>
      </c>
      <c r="B119" s="29" t="s">
        <v>586</v>
      </c>
      <c r="C119" s="29" t="s">
        <v>531</v>
      </c>
      <c r="D119" s="29" t="e" vm="110">
        <v>#VALUE!</v>
      </c>
      <c r="E119" s="50">
        <f t="array" aca="1" ref="E119" ca="1">_FV(D119,"Price")</f>
        <v>2023.3</v>
      </c>
      <c r="F119" s="20">
        <f t="array" aca="1" ref="F119" ca="1">_FV(D119,"Previous close",TRUE)</f>
        <v>2035.8</v>
      </c>
      <c r="G119" s="16">
        <v>2028</v>
      </c>
      <c r="H119" s="16">
        <v>1870.02</v>
      </c>
      <c r="I119" s="16">
        <v>1850.14</v>
      </c>
      <c r="J119" s="16">
        <v>1824.87</v>
      </c>
    </row>
    <row r="120" spans="1:10">
      <c r="A120" s="18">
        <v>46166</v>
      </c>
      <c r="B120" s="29" t="s">
        <v>703</v>
      </c>
      <c r="C120" s="29" t="s">
        <v>531</v>
      </c>
      <c r="D120" s="29" t="e" vm="111">
        <v>#VALUE!</v>
      </c>
      <c r="E120" s="50">
        <f t="array" aca="1" ref="E120" ca="1">_FV(D120,"Price")</f>
        <v>267.14999999999998</v>
      </c>
      <c r="F120" s="20">
        <f t="array" aca="1" ref="F120" ca="1">_FV(D120,"Previous close",TRUE)</f>
        <v>273.93</v>
      </c>
      <c r="G120" s="16">
        <v>265.45</v>
      </c>
      <c r="H120" s="16">
        <v>219.18</v>
      </c>
      <c r="I120" s="16">
        <v>212.06</v>
      </c>
      <c r="J120" s="16">
        <v>194.33</v>
      </c>
    </row>
    <row r="121" spans="1:10">
      <c r="A121" s="18">
        <v>46166</v>
      </c>
      <c r="B121" s="29" t="s">
        <v>704</v>
      </c>
      <c r="C121" s="29" t="s">
        <v>531</v>
      </c>
      <c r="D121" s="29" t="e" vm="112">
        <v>#VALUE!</v>
      </c>
      <c r="E121" s="50">
        <f t="array" aca="1" ref="E121" ca="1">_FV(D121,"Price")</f>
        <v>1448.3</v>
      </c>
      <c r="F121" s="20">
        <f t="array" aca="1" ref="F121" ca="1">_FV(D121,"Previous close",TRUE)</f>
        <v>1448.7</v>
      </c>
      <c r="G121" s="16">
        <v>1473.9</v>
      </c>
      <c r="H121" s="16">
        <v>1293.29</v>
      </c>
      <c r="I121" s="16">
        <v>1268.05</v>
      </c>
      <c r="J121" s="16">
        <v>1223.6600000000001</v>
      </c>
    </row>
    <row r="122" spans="1:10">
      <c r="A122" s="18">
        <v>46166</v>
      </c>
      <c r="B122" s="29" t="s">
        <v>543</v>
      </c>
      <c r="C122" s="29" t="s">
        <v>531</v>
      </c>
      <c r="D122" s="29" t="e" vm="7">
        <v>#VALUE!</v>
      </c>
      <c r="E122" s="50">
        <f t="array" aca="1" ref="E122" ca="1">_FV(D122,"Price")</f>
        <v>514.9</v>
      </c>
      <c r="F122" s="20">
        <f t="array" aca="1" ref="F122" ca="1">_FV(D122,"Previous close",TRUE)</f>
        <v>517</v>
      </c>
      <c r="G122" s="16">
        <v>516.35</v>
      </c>
      <c r="H122" s="16">
        <v>475.92</v>
      </c>
      <c r="I122" s="16">
        <v>464.62</v>
      </c>
      <c r="J122" s="16">
        <v>424.65</v>
      </c>
    </row>
    <row r="123" spans="1:10">
      <c r="A123" s="18">
        <v>46166</v>
      </c>
      <c r="B123" s="29" t="s">
        <v>591</v>
      </c>
      <c r="C123" s="29" t="s">
        <v>531</v>
      </c>
      <c r="D123" s="29" t="e" vm="113">
        <v>#VALUE!</v>
      </c>
      <c r="E123" s="50">
        <f t="array" aca="1" ref="E123" ca="1">_FV(D123,"Price")</f>
        <v>4590.6000000000004</v>
      </c>
      <c r="F123" s="20">
        <f t="array" aca="1" ref="F123" ca="1">_FV(D123,"Previous close",TRUE)</f>
        <v>4435.8</v>
      </c>
      <c r="G123" s="16">
        <v>4454.6000000000004</v>
      </c>
      <c r="H123" s="16">
        <v>4182.04</v>
      </c>
      <c r="I123" s="16">
        <v>4082.41</v>
      </c>
      <c r="J123" s="16">
        <v>3758.26</v>
      </c>
    </row>
    <row r="124" spans="1:10">
      <c r="A124" s="18">
        <v>46166</v>
      </c>
      <c r="B124" s="29" t="s">
        <v>595</v>
      </c>
      <c r="C124" s="29" t="s">
        <v>531</v>
      </c>
      <c r="D124" s="29" t="e" vm="114">
        <v>#VALUE!</v>
      </c>
      <c r="E124" s="50">
        <f t="array" aca="1" ref="E124" ca="1">_FV(D124,"Price")</f>
        <v>271.85000000000002</v>
      </c>
      <c r="F124" s="20">
        <f t="array" aca="1" ref="F124" ca="1">_FV(D124,"Previous close",TRUE)</f>
        <v>267.55</v>
      </c>
      <c r="G124" s="16">
        <v>264.5</v>
      </c>
      <c r="H124" s="16">
        <v>252.1</v>
      </c>
      <c r="I124" s="16">
        <v>248.21</v>
      </c>
      <c r="J124" s="16">
        <v>232.83</v>
      </c>
    </row>
    <row r="125" spans="1:10">
      <c r="A125" s="18">
        <v>46166</v>
      </c>
      <c r="B125" s="29" t="s">
        <v>554</v>
      </c>
      <c r="C125" s="29" t="s">
        <v>531</v>
      </c>
      <c r="D125" s="29" t="e" vm="5">
        <v>#VALUE!</v>
      </c>
      <c r="E125" s="50">
        <f t="array" aca="1" ref="E125" ca="1">_FV(D125,"Price")</f>
        <v>274.05</v>
      </c>
      <c r="F125" s="20">
        <f t="array" aca="1" ref="F125" ca="1">_FV(D125,"Previous close",TRUE)</f>
        <v>287.5</v>
      </c>
      <c r="G125" s="16">
        <v>290</v>
      </c>
      <c r="H125" s="16">
        <v>283.77999999999997</v>
      </c>
      <c r="I125" s="16">
        <v>282.37</v>
      </c>
      <c r="J125" s="16">
        <v>273.7</v>
      </c>
    </row>
    <row r="126" spans="1:10">
      <c r="A126" s="18">
        <v>46166</v>
      </c>
      <c r="B126" s="29" t="s">
        <v>46</v>
      </c>
      <c r="C126" s="29" t="s">
        <v>531</v>
      </c>
      <c r="D126" s="29" t="e" vm="12">
        <v>#VALUE!</v>
      </c>
      <c r="E126" s="50">
        <f t="array" aca="1" ref="E126" ca="1">_FV(D126,"Price")</f>
        <v>1435.9</v>
      </c>
      <c r="F126" s="20">
        <f t="array" aca="1" ref="F126" ca="1">_FV(D126,"Previous close",TRUE)</f>
        <v>1461.2</v>
      </c>
      <c r="G126" s="16">
        <v>1463.5</v>
      </c>
      <c r="H126" s="16">
        <v>1414.93</v>
      </c>
      <c r="I126" s="16">
        <v>1399.04</v>
      </c>
      <c r="J126" s="16">
        <v>1336.04</v>
      </c>
    </row>
    <row r="127" spans="1:10">
      <c r="A127" s="18">
        <v>46166</v>
      </c>
      <c r="B127" s="29" t="s">
        <v>600</v>
      </c>
      <c r="C127" s="29" t="s">
        <v>531</v>
      </c>
      <c r="D127" s="29" t="e" vm="115">
        <v>#VALUE!</v>
      </c>
      <c r="E127" s="50">
        <f t="array" aca="1" ref="E127" ca="1">_FV(D127,"Price")</f>
        <v>1540.1</v>
      </c>
      <c r="F127" s="20">
        <f t="array" aca="1" ref="F127" ca="1">_FV(D127,"Previous close",TRUE)</f>
        <v>1463.3</v>
      </c>
      <c r="G127" s="16">
        <v>1367.9</v>
      </c>
      <c r="H127" s="16">
        <v>1312.67</v>
      </c>
      <c r="I127" s="16">
        <v>1280.8900000000001</v>
      </c>
      <c r="J127" s="16">
        <v>1174.08</v>
      </c>
    </row>
    <row r="128" spans="1:10">
      <c r="A128" s="18">
        <v>46166</v>
      </c>
      <c r="B128" s="29" t="s">
        <v>123</v>
      </c>
      <c r="C128" s="29" t="s">
        <v>533</v>
      </c>
      <c r="D128" s="29" t="e" vm="40">
        <v>#VALUE!</v>
      </c>
      <c r="E128" s="50">
        <f t="array" aca="1" ref="E128" ca="1">_FV(D128,"Price")</f>
        <v>510.65</v>
      </c>
      <c r="F128" s="20">
        <f t="array" aca="1" ref="F128" ca="1">_FV(D128,"Previous close",TRUE)</f>
        <v>486.35</v>
      </c>
      <c r="G128" s="16">
        <v>441.15</v>
      </c>
      <c r="H128" s="16">
        <v>358.02</v>
      </c>
      <c r="I128" s="16">
        <v>335.77</v>
      </c>
      <c r="J128" s="16">
        <v>264.95999999999998</v>
      </c>
    </row>
    <row r="129" spans="1:10">
      <c r="A129" s="18">
        <v>46166</v>
      </c>
      <c r="B129" s="29" t="s">
        <v>645</v>
      </c>
      <c r="C129" s="29" t="s">
        <v>533</v>
      </c>
      <c r="D129" s="29" t="e" vm="36">
        <v>#VALUE!</v>
      </c>
      <c r="E129" s="50">
        <f t="array" aca="1" ref="E129" ca="1">_FV(D129,"Price")</f>
        <v>7889.5</v>
      </c>
      <c r="F129" s="20">
        <f t="array" aca="1" ref="F129" ca="1">_FV(D129,"Previous close",TRUE)</f>
        <v>7878</v>
      </c>
      <c r="G129" s="16">
        <v>8075.5</v>
      </c>
      <c r="H129" s="16">
        <v>6331.09</v>
      </c>
      <c r="I129" s="16">
        <v>6010.51</v>
      </c>
      <c r="J129" s="16">
        <v>4927.74</v>
      </c>
    </row>
    <row r="130" spans="1:10">
      <c r="A130" s="18">
        <v>46166</v>
      </c>
      <c r="B130" s="29" t="s">
        <v>418</v>
      </c>
      <c r="C130" s="29" t="s">
        <v>533</v>
      </c>
      <c r="D130" s="29" t="e" vm="68">
        <v>#VALUE!</v>
      </c>
      <c r="E130" s="50">
        <f t="array" aca="1" ref="E130" ca="1">_FV(D130,"Price")</f>
        <v>18653</v>
      </c>
      <c r="F130" s="20">
        <f t="array" aca="1" ref="F130" ca="1">_FV(D130,"Previous close",TRUE)</f>
        <v>18479</v>
      </c>
      <c r="G130" s="16">
        <v>18132</v>
      </c>
      <c r="H130" s="16">
        <v>16356.25</v>
      </c>
      <c r="I130" s="16">
        <v>16018.49</v>
      </c>
      <c r="J130" s="16">
        <v>15053.59</v>
      </c>
    </row>
    <row r="131" spans="1:10">
      <c r="A131" s="18">
        <v>46166</v>
      </c>
      <c r="B131" s="29" t="s">
        <v>199</v>
      </c>
      <c r="C131" s="29" t="s">
        <v>533</v>
      </c>
      <c r="D131" s="29" t="e" vm="44">
        <v>#VALUE!</v>
      </c>
      <c r="E131" s="50">
        <f t="array" aca="1" ref="E131" ca="1">_FV(D131,"Price")</f>
        <v>4248.3999999999996</v>
      </c>
      <c r="F131" s="20">
        <f t="array" aca="1" ref="F131" ca="1">_FV(D131,"Previous close",TRUE)</f>
        <v>4403.3</v>
      </c>
      <c r="G131" s="16">
        <v>4193.8</v>
      </c>
      <c r="H131" s="16">
        <v>3748.83</v>
      </c>
      <c r="I131" s="16">
        <v>3652.07</v>
      </c>
      <c r="J131" s="16">
        <v>3328.98</v>
      </c>
    </row>
    <row r="132" spans="1:10">
      <c r="A132" s="18">
        <v>46166</v>
      </c>
      <c r="B132" s="29" t="s">
        <v>668</v>
      </c>
      <c r="C132" s="29" t="s">
        <v>533</v>
      </c>
      <c r="D132" s="29" t="e" vm="39">
        <v>#VALUE!</v>
      </c>
      <c r="E132" s="50">
        <f t="array" aca="1" ref="E132" ca="1">_FV(D132,"Price")</f>
        <v>1654.5</v>
      </c>
      <c r="F132" s="20">
        <f t="array" aca="1" ref="F132" ca="1">_FV(D132,"Previous close",TRUE)</f>
        <v>1600.5</v>
      </c>
      <c r="G132" s="16">
        <v>1677.5</v>
      </c>
      <c r="H132" s="16">
        <v>1350.41</v>
      </c>
      <c r="I132" s="16">
        <v>1300.02</v>
      </c>
      <c r="J132" s="16">
        <v>1144.23</v>
      </c>
    </row>
    <row r="133" spans="1:10">
      <c r="A133" s="18">
        <v>46166</v>
      </c>
      <c r="B133" s="29" t="s">
        <v>114</v>
      </c>
      <c r="C133" s="29" t="s">
        <v>533</v>
      </c>
      <c r="D133" s="29" t="e" vm="42">
        <v>#VALUE!</v>
      </c>
      <c r="E133" s="50">
        <f t="array" aca="1" ref="E133" ca="1">_FV(D133,"Price")</f>
        <v>1381.7</v>
      </c>
      <c r="F133" s="20">
        <f t="array" aca="1" ref="F133" ca="1">_FV(D133,"Previous close",TRUE)</f>
        <v>1373.9</v>
      </c>
      <c r="G133" s="16">
        <v>1343.5</v>
      </c>
      <c r="H133" s="16">
        <v>1225.82</v>
      </c>
      <c r="I133" s="16">
        <v>1202.3599999999999</v>
      </c>
      <c r="J133" s="16">
        <v>1126.1500000000001</v>
      </c>
    </row>
    <row r="134" spans="1:10">
      <c r="A134" s="18">
        <v>46166</v>
      </c>
      <c r="B134" s="29" t="s">
        <v>580</v>
      </c>
      <c r="C134" s="29" t="s">
        <v>533</v>
      </c>
      <c r="D134" s="29" t="e" vm="38">
        <v>#VALUE!</v>
      </c>
      <c r="E134" s="50">
        <f t="array" aca="1" ref="E134" ca="1">_FV(D134,"Price")</f>
        <v>994.1</v>
      </c>
      <c r="F134" s="20">
        <f t="array" aca="1" ref="F134" ca="1">_FV(D134,"Previous close",TRUE)</f>
        <v>978.25</v>
      </c>
      <c r="G134" s="16">
        <v>955.35</v>
      </c>
      <c r="H134" s="16">
        <v>763.04</v>
      </c>
      <c r="I134" s="16">
        <v>731.57</v>
      </c>
      <c r="J134" s="16">
        <v>646.5</v>
      </c>
    </row>
    <row r="135" spans="1:10">
      <c r="A135" s="18">
        <v>46166</v>
      </c>
      <c r="B135" s="29" t="s">
        <v>705</v>
      </c>
      <c r="C135" s="29" t="s">
        <v>533</v>
      </c>
      <c r="D135" s="29" t="e" vm="116">
        <v>#VALUE!</v>
      </c>
      <c r="E135" s="50">
        <f t="array" aca="1" ref="E135" ca="1">_FV(D135,"Price")</f>
        <v>8272.5</v>
      </c>
      <c r="F135" s="20">
        <f t="array" aca="1" ref="F135" ca="1">_FV(D135,"Previous close",TRUE)</f>
        <v>8258.5</v>
      </c>
      <c r="G135" s="16">
        <v>8362.5</v>
      </c>
      <c r="H135" s="16">
        <v>7955.77</v>
      </c>
      <c r="I135" s="16">
        <v>7895.66</v>
      </c>
      <c r="J135" s="16">
        <v>7710.39</v>
      </c>
    </row>
    <row r="136" spans="1:10">
      <c r="A136" s="18">
        <v>46166</v>
      </c>
      <c r="B136" s="29" t="s">
        <v>37</v>
      </c>
      <c r="C136" s="29" t="s">
        <v>533</v>
      </c>
      <c r="D136" s="29" t="e" vm="35">
        <v>#VALUE!</v>
      </c>
      <c r="E136" s="50">
        <f t="array" aca="1" ref="E136" ca="1">_FV(D136,"Price")</f>
        <v>1331.5</v>
      </c>
      <c r="F136" s="20">
        <f t="array" aca="1" ref="F136" ca="1">_FV(D136,"Previous close",TRUE)</f>
        <v>1367.2</v>
      </c>
      <c r="G136" s="16">
        <v>1295</v>
      </c>
      <c r="H136" s="16">
        <v>1163.97</v>
      </c>
      <c r="I136" s="16">
        <v>1127.71</v>
      </c>
      <c r="J136" s="16">
        <v>998.04</v>
      </c>
    </row>
    <row r="137" spans="1:10">
      <c r="A137" s="18">
        <v>46166</v>
      </c>
      <c r="B137" s="29" t="s">
        <v>613</v>
      </c>
      <c r="C137" s="29" t="s">
        <v>533</v>
      </c>
      <c r="D137" s="29" t="e" vm="54">
        <v>#VALUE!</v>
      </c>
      <c r="E137" s="50">
        <f t="array" aca="1" ref="E137" ca="1">_FV(D137,"Price")</f>
        <v>1511.3</v>
      </c>
      <c r="F137" s="20">
        <f t="array" aca="1" ref="F137" ca="1">_FV(D137,"Previous close",TRUE)</f>
        <v>1650.7</v>
      </c>
      <c r="G137" s="16">
        <v>1666.1</v>
      </c>
      <c r="H137" s="16">
        <v>1503.8</v>
      </c>
      <c r="I137" s="16">
        <v>1483.41</v>
      </c>
      <c r="J137" s="16">
        <v>1390.58</v>
      </c>
    </row>
    <row r="138" spans="1:10">
      <c r="A138" s="18">
        <v>46166</v>
      </c>
      <c r="B138" s="29" t="s">
        <v>42</v>
      </c>
      <c r="C138" s="29" t="s">
        <v>533</v>
      </c>
      <c r="D138" s="29" t="e" vm="41">
        <v>#VALUE!</v>
      </c>
      <c r="E138" s="50">
        <f t="array" aca="1" ref="E138" ca="1">_FV(D138,"Price")</f>
        <v>128.9</v>
      </c>
      <c r="F138" s="20">
        <f t="array" aca="1" ref="F138" ca="1">_FV(D138,"Previous close",TRUE)</f>
        <v>127.84</v>
      </c>
      <c r="G138" s="16">
        <v>120.31</v>
      </c>
      <c r="H138" s="16">
        <v>114.51</v>
      </c>
      <c r="I138" s="16">
        <v>111.36</v>
      </c>
      <c r="J138" s="16">
        <v>98.88</v>
      </c>
    </row>
    <row r="139" spans="1:10">
      <c r="A139" s="18">
        <v>46166</v>
      </c>
      <c r="B139" s="29" t="s">
        <v>706</v>
      </c>
      <c r="C139" s="29" t="s">
        <v>533</v>
      </c>
      <c r="D139" s="29" t="e" vm="117">
        <v>#VALUE!</v>
      </c>
      <c r="E139" s="50">
        <f t="array" aca="1" ref="E139" ca="1">_FV(D139,"Price")</f>
        <v>37550</v>
      </c>
      <c r="F139" s="20">
        <f t="array" aca="1" ref="F139" ca="1">_FV(D139,"Previous close",TRUE)</f>
        <v>35995</v>
      </c>
      <c r="G139" s="16">
        <v>35555</v>
      </c>
      <c r="H139" s="16">
        <v>32415.07</v>
      </c>
      <c r="I139" s="16">
        <v>31484.12</v>
      </c>
      <c r="J139" s="16">
        <v>28082.44</v>
      </c>
    </row>
    <row r="140" spans="1:10">
      <c r="A140" s="18">
        <v>46166</v>
      </c>
      <c r="B140" s="29" t="s">
        <v>707</v>
      </c>
      <c r="C140" s="29" t="s">
        <v>533</v>
      </c>
      <c r="D140" s="29" t="e" vm="118">
        <v>#VALUE!</v>
      </c>
      <c r="E140" s="50">
        <f t="array" aca="1" ref="E140" ca="1">_FV(D140,"Price")</f>
        <v>4139.2</v>
      </c>
      <c r="F140" s="20">
        <f t="array" aca="1" ref="F140" ca="1">_FV(D140,"Previous close",TRUE)</f>
        <v>4101.7</v>
      </c>
      <c r="G140" s="16">
        <v>3969.7</v>
      </c>
      <c r="H140" s="16">
        <v>3815.78</v>
      </c>
      <c r="I140" s="16">
        <v>3739.47</v>
      </c>
      <c r="J140" s="16">
        <v>3452.71</v>
      </c>
    </row>
    <row r="141" spans="1:10">
      <c r="A141" s="18">
        <v>46166</v>
      </c>
      <c r="B141" s="29" t="s">
        <v>708</v>
      </c>
      <c r="C141" s="29" t="s">
        <v>533</v>
      </c>
      <c r="D141" s="29" t="e" vm="119">
        <v>#VALUE!</v>
      </c>
      <c r="E141" s="50">
        <f t="array" aca="1" ref="E141" ca="1">_FV(D141,"Price")</f>
        <v>13426</v>
      </c>
      <c r="F141" s="20">
        <f t="array" aca="1" ref="F141" ca="1">_FV(D141,"Previous close",TRUE)</f>
        <v>12536</v>
      </c>
      <c r="G141" s="16">
        <v>12782</v>
      </c>
      <c r="H141" s="16">
        <v>12142.12</v>
      </c>
      <c r="I141" s="16">
        <v>11890.98</v>
      </c>
      <c r="J141" s="16">
        <v>10968.86</v>
      </c>
    </row>
    <row r="142" spans="1:10">
      <c r="A142" s="18">
        <v>46166</v>
      </c>
      <c r="B142" s="29" t="s">
        <v>639</v>
      </c>
      <c r="C142" s="29" t="s">
        <v>533</v>
      </c>
      <c r="D142" s="29" t="e" vm="37">
        <v>#VALUE!</v>
      </c>
      <c r="E142" s="50">
        <f t="array" aca="1" ref="E142" ca="1">_FV(D142,"Price")</f>
        <v>3158.5</v>
      </c>
      <c r="F142" s="20">
        <f t="array" aca="1" ref="F142" ca="1">_FV(D142,"Previous close",TRUE)</f>
        <v>3307.3</v>
      </c>
      <c r="G142" s="16">
        <v>3269.9</v>
      </c>
      <c r="H142" s="16">
        <v>2996.57</v>
      </c>
      <c r="I142" s="16">
        <v>2934.98</v>
      </c>
      <c r="J142" s="16">
        <v>2690.19</v>
      </c>
    </row>
    <row r="143" spans="1:10">
      <c r="A143" s="18">
        <v>46166</v>
      </c>
      <c r="B143" s="29" t="s">
        <v>126</v>
      </c>
      <c r="C143" s="29" t="s">
        <v>533</v>
      </c>
      <c r="D143" s="29" t="e" vm="120">
        <v>#VALUE!</v>
      </c>
      <c r="E143" s="50">
        <f t="array" aca="1" ref="E143" ca="1">_FV(D143,"Price")</f>
        <v>444.8</v>
      </c>
      <c r="F143" s="20">
        <f t="array" aca="1" ref="F143" ca="1">_FV(D143,"Previous close",TRUE)</f>
        <v>457.05</v>
      </c>
      <c r="G143" s="16">
        <v>415.15</v>
      </c>
      <c r="H143" s="16">
        <v>389.28</v>
      </c>
      <c r="I143" s="16">
        <v>378.94</v>
      </c>
      <c r="J143" s="16">
        <v>338.37</v>
      </c>
    </row>
    <row r="144" spans="1:10">
      <c r="A144" s="18">
        <v>46166</v>
      </c>
      <c r="B144" s="29" t="s">
        <v>709</v>
      </c>
      <c r="C144" s="29" t="s">
        <v>533</v>
      </c>
      <c r="D144" s="29" t="e" vm="121">
        <v>#VALUE!</v>
      </c>
      <c r="E144" s="50">
        <f t="array" aca="1" ref="E144" ca="1">_FV(D144,"Price")</f>
        <v>2941.7</v>
      </c>
      <c r="F144" s="20">
        <f t="array" aca="1" ref="F144" ca="1">_FV(D144,"Previous close",TRUE)</f>
        <v>2879.8</v>
      </c>
      <c r="G144" s="16">
        <v>2853.8</v>
      </c>
      <c r="H144" s="16">
        <v>2553.85</v>
      </c>
      <c r="I144" s="16">
        <v>2498.9299999999998</v>
      </c>
      <c r="J144" s="16">
        <v>2283.9299999999998</v>
      </c>
    </row>
    <row r="145" spans="1:10">
      <c r="A145" s="18">
        <v>46166</v>
      </c>
      <c r="B145" s="29" t="s">
        <v>659</v>
      </c>
      <c r="C145" s="29" t="s">
        <v>533</v>
      </c>
      <c r="D145" s="29" t="e" vm="47">
        <v>#VALUE!</v>
      </c>
      <c r="E145" s="50">
        <f t="array" aca="1" ref="E145" ca="1">_FV(D145,"Price")</f>
        <v>788.25</v>
      </c>
      <c r="F145" s="20">
        <f t="array" aca="1" ref="F145" ca="1">_FV(D145,"Previous close",TRUE)</f>
        <v>786.4</v>
      </c>
      <c r="G145" s="16">
        <v>761.6</v>
      </c>
      <c r="H145" s="16">
        <v>656.34</v>
      </c>
      <c r="I145" s="16">
        <v>637</v>
      </c>
      <c r="J145" s="16">
        <v>567.98</v>
      </c>
    </row>
    <row r="146" spans="1:10">
      <c r="A146" s="18">
        <v>46166</v>
      </c>
      <c r="B146" s="29" t="s">
        <v>710</v>
      </c>
      <c r="C146" s="29" t="s">
        <v>533</v>
      </c>
      <c r="D146" s="29" t="e" vm="122">
        <v>#VALUE!</v>
      </c>
      <c r="E146" s="50">
        <f t="array" aca="1" ref="E146" ca="1">_FV(D146,"Price")</f>
        <v>206.06</v>
      </c>
      <c r="F146" s="20">
        <f t="array" aca="1" ref="F146" ca="1">_FV(D146,"Previous close",TRUE)</f>
        <v>203.84</v>
      </c>
      <c r="G146" s="16">
        <v>201.21</v>
      </c>
      <c r="H146" s="16">
        <v>185.49</v>
      </c>
      <c r="I146" s="16">
        <v>181.99</v>
      </c>
      <c r="J146" s="16">
        <v>169.6</v>
      </c>
    </row>
    <row r="147" spans="1:10">
      <c r="A147" s="18">
        <v>46166</v>
      </c>
      <c r="B147" s="29" t="s">
        <v>711</v>
      </c>
      <c r="C147" s="29" t="s">
        <v>533</v>
      </c>
      <c r="D147" s="29" t="e" vm="123">
        <v>#VALUE!</v>
      </c>
      <c r="E147" s="50">
        <f t="array" aca="1" ref="E147" ca="1">_FV(D147,"Price")</f>
        <v>1381.3</v>
      </c>
      <c r="F147" s="20">
        <f t="array" aca="1" ref="F147" ca="1">_FV(D147,"Previous close",TRUE)</f>
        <v>1337.8</v>
      </c>
      <c r="G147" s="16">
        <v>1435.7</v>
      </c>
      <c r="H147" s="16">
        <v>1292.06</v>
      </c>
      <c r="I147" s="16">
        <v>1270.31</v>
      </c>
      <c r="J147" s="16">
        <v>1207.74</v>
      </c>
    </row>
    <row r="148" spans="1:10">
      <c r="A148" s="18">
        <v>46166</v>
      </c>
      <c r="B148" s="29" t="s">
        <v>651</v>
      </c>
      <c r="C148" s="29" t="s">
        <v>533</v>
      </c>
      <c r="D148" s="29" t="e" vm="53">
        <v>#VALUE!</v>
      </c>
      <c r="E148" s="50">
        <f t="array" aca="1" ref="E148" ca="1">_FV(D148,"Price")</f>
        <v>433.05</v>
      </c>
      <c r="F148" s="20">
        <f t="array" aca="1" ref="F148" ca="1">_FV(D148,"Previous close",TRUE)</f>
        <v>416.2</v>
      </c>
      <c r="G148" s="16">
        <v>409.25</v>
      </c>
      <c r="H148" s="16">
        <v>408.16</v>
      </c>
      <c r="I148" s="16">
        <v>403.67</v>
      </c>
      <c r="J148" s="16">
        <v>377.22</v>
      </c>
    </row>
    <row r="149" spans="1:10">
      <c r="A149" s="18">
        <v>46166</v>
      </c>
      <c r="B149" s="29" t="s">
        <v>271</v>
      </c>
      <c r="C149" s="29" t="s">
        <v>533</v>
      </c>
      <c r="D149" s="29" t="e" vm="51">
        <v>#VALUE!</v>
      </c>
      <c r="E149" s="50">
        <f t="array" aca="1" ref="E149" ca="1">_FV(D149,"Price")</f>
        <v>1938.6</v>
      </c>
      <c r="F149" s="20">
        <f t="array" aca="1" ref="F149" ca="1">_FV(D149,"Previous close",TRUE)</f>
        <v>1930.4</v>
      </c>
      <c r="G149" s="16">
        <v>1897.7</v>
      </c>
      <c r="H149" s="16">
        <v>1871.85</v>
      </c>
      <c r="I149" s="16">
        <v>1851.52</v>
      </c>
      <c r="J149" s="16">
        <v>1751.14</v>
      </c>
    </row>
    <row r="150" spans="1:10">
      <c r="A150" s="18">
        <v>46166</v>
      </c>
      <c r="B150" s="29" t="s">
        <v>555</v>
      </c>
      <c r="C150" s="29" t="s">
        <v>533</v>
      </c>
      <c r="D150" s="29" t="e" vm="55">
        <v>#VALUE!</v>
      </c>
      <c r="E150" s="50">
        <f t="array" aca="1" ref="E150" ca="1">_FV(D150,"Price")</f>
        <v>955.5</v>
      </c>
      <c r="F150" s="20">
        <f t="array" aca="1" ref="F150" ca="1">_FV(D150,"Previous close",TRUE)</f>
        <v>950.6</v>
      </c>
      <c r="G150" s="16">
        <v>883.8</v>
      </c>
      <c r="H150" s="16">
        <v>884.18</v>
      </c>
      <c r="I150" s="16">
        <v>868.9</v>
      </c>
      <c r="J150" s="16">
        <v>804.23</v>
      </c>
    </row>
    <row r="151" spans="1:10">
      <c r="A151" s="18">
        <v>46166</v>
      </c>
      <c r="B151" s="29" t="s">
        <v>712</v>
      </c>
      <c r="C151" s="29" t="s">
        <v>533</v>
      </c>
      <c r="D151" s="29" t="e" vm="124">
        <v>#VALUE!</v>
      </c>
      <c r="E151" s="50">
        <f t="array" aca="1" ref="E151" ca="1">_FV(D151,"Price")</f>
        <v>1377.6</v>
      </c>
      <c r="F151" s="20">
        <f t="array" aca="1" ref="F151" ca="1">_FV(D151,"Previous close",TRUE)</f>
        <v>1376.8</v>
      </c>
      <c r="G151" s="16">
        <v>1307.5999999999999</v>
      </c>
      <c r="H151" s="16">
        <v>1204.49</v>
      </c>
      <c r="I151" s="16">
        <v>1168.57</v>
      </c>
      <c r="J151" s="16">
        <v>1046.72</v>
      </c>
    </row>
    <row r="152" spans="1:10">
      <c r="A152" s="18">
        <v>46166</v>
      </c>
      <c r="B152" s="29" t="s">
        <v>120</v>
      </c>
      <c r="C152" s="29" t="s">
        <v>533</v>
      </c>
      <c r="D152" s="29" t="e" vm="125">
        <v>#VALUE!</v>
      </c>
      <c r="E152" s="50">
        <f t="array" aca="1" ref="E152" ca="1">_FV(D152,"Price")</f>
        <v>248.91</v>
      </c>
      <c r="F152" s="20">
        <f t="array" aca="1" ref="F152" ca="1">_FV(D152,"Previous close",TRUE)</f>
        <v>244.53</v>
      </c>
      <c r="G152" s="16">
        <v>219.32</v>
      </c>
      <c r="H152" s="16">
        <v>211.18</v>
      </c>
      <c r="I152" s="16">
        <v>205.09</v>
      </c>
      <c r="J152" s="16">
        <v>184.62</v>
      </c>
    </row>
    <row r="153" spans="1:10">
      <c r="A153" s="18">
        <v>46166</v>
      </c>
      <c r="B153" s="29" t="s">
        <v>713</v>
      </c>
      <c r="C153" s="29" t="s">
        <v>533</v>
      </c>
      <c r="D153" s="29" t="e" vm="126">
        <v>#VALUE!</v>
      </c>
      <c r="E153" s="50">
        <f t="array" aca="1" ref="E153" ca="1">_FV(D153,"Price")</f>
        <v>422.35</v>
      </c>
      <c r="F153" s="20">
        <f t="array" aca="1" ref="F153" ca="1">_FV(D153,"Previous close",TRUE)</f>
        <v>417.75</v>
      </c>
      <c r="G153" s="16">
        <v>408.55</v>
      </c>
      <c r="H153" s="16">
        <v>365.08</v>
      </c>
      <c r="I153" s="16">
        <v>354.34</v>
      </c>
      <c r="J153" s="16">
        <v>321.33999999999997</v>
      </c>
    </row>
    <row r="154" spans="1:10">
      <c r="A154" s="18">
        <v>46166</v>
      </c>
      <c r="B154" s="29" t="s">
        <v>669</v>
      </c>
      <c r="C154" s="29" t="s">
        <v>533</v>
      </c>
      <c r="D154" s="29" t="e" vm="58">
        <v>#VALUE!</v>
      </c>
      <c r="E154" s="50">
        <f t="array" aca="1" ref="E154" ca="1">_FV(D154,"Price")</f>
        <v>354.7</v>
      </c>
      <c r="F154" s="20">
        <f t="array" aca="1" ref="F154" ca="1">_FV(D154,"Previous close",TRUE)</f>
        <v>344.9</v>
      </c>
      <c r="G154" s="16">
        <v>329.95</v>
      </c>
      <c r="H154" s="16">
        <v>450.45</v>
      </c>
      <c r="I154" s="16">
        <v>474.34</v>
      </c>
      <c r="J154" s="16">
        <v>528.20000000000005</v>
      </c>
    </row>
    <row r="155" spans="1:10">
      <c r="A155" s="18">
        <v>46166</v>
      </c>
      <c r="B155" s="29" t="s">
        <v>39</v>
      </c>
      <c r="C155" s="29" t="s">
        <v>533</v>
      </c>
      <c r="D155" s="29" t="e" vm="127">
        <v>#VALUE!</v>
      </c>
      <c r="E155" s="50">
        <f t="array" aca="1" ref="E155" ca="1">_FV(D155,"Price")</f>
        <v>9664</v>
      </c>
      <c r="F155" s="20">
        <f t="array" aca="1" ref="F155" ca="1">_FV(D155,"Previous close",TRUE)</f>
        <v>9613.5</v>
      </c>
      <c r="G155" s="16">
        <v>9263.5</v>
      </c>
      <c r="H155" s="16">
        <v>8699.74</v>
      </c>
      <c r="I155" s="16">
        <v>8563.06</v>
      </c>
      <c r="J155" s="16">
        <v>8147.04</v>
      </c>
    </row>
    <row r="156" spans="1:10">
      <c r="A156" s="18">
        <v>46166</v>
      </c>
      <c r="B156" s="29" t="s">
        <v>714</v>
      </c>
      <c r="C156" s="29" t="s">
        <v>533</v>
      </c>
      <c r="D156" s="29" t="e" vm="128">
        <v>#VALUE!</v>
      </c>
      <c r="E156" s="50">
        <f t="array" aca="1" ref="E156" ca="1">_FV(D156,"Price")</f>
        <v>826.15</v>
      </c>
      <c r="F156" s="20">
        <f t="array" aca="1" ref="F156" ca="1">_FV(D156,"Previous close",TRUE)</f>
        <v>797.6</v>
      </c>
      <c r="G156" s="16">
        <v>731.85</v>
      </c>
      <c r="H156" s="16">
        <v>636.82000000000005</v>
      </c>
      <c r="I156" s="16">
        <v>610.57000000000005</v>
      </c>
      <c r="J156" s="16">
        <v>525.76</v>
      </c>
    </row>
    <row r="157" spans="1:10">
      <c r="A157" s="18">
        <v>46166</v>
      </c>
      <c r="B157" s="29" t="s">
        <v>532</v>
      </c>
      <c r="C157" s="29" t="s">
        <v>533</v>
      </c>
      <c r="D157" s="29" t="e" vm="46">
        <v>#VALUE!</v>
      </c>
      <c r="E157" s="50">
        <f t="array" aca="1" ref="E157" ca="1">_FV(D157,"Price")</f>
        <v>1824.5</v>
      </c>
      <c r="F157" s="20">
        <f t="array" aca="1" ref="F157" ca="1">_FV(D157,"Previous close",TRUE)</f>
        <v>1811.2</v>
      </c>
      <c r="G157" s="16">
        <v>1786.9</v>
      </c>
      <c r="H157" s="16">
        <v>1681.71</v>
      </c>
      <c r="I157" s="16">
        <v>1655.62</v>
      </c>
      <c r="J157" s="16">
        <v>1577.95</v>
      </c>
    </row>
    <row r="158" spans="1:10">
      <c r="A158" s="18">
        <v>46166</v>
      </c>
      <c r="B158" s="29" t="s">
        <v>68</v>
      </c>
      <c r="C158" s="29" t="s">
        <v>549</v>
      </c>
      <c r="D158" s="29" t="e" vm="67">
        <v>#VALUE!</v>
      </c>
      <c r="E158" s="50">
        <f t="array" aca="1" ref="E158" ca="1">_FV(D158,"Price")</f>
        <v>381.8</v>
      </c>
      <c r="F158" s="20">
        <f t="array" aca="1" ref="F158" ca="1">_FV(D158,"Previous close",TRUE)</f>
        <v>384.6</v>
      </c>
      <c r="G158" s="16">
        <v>373.9</v>
      </c>
      <c r="H158" s="16">
        <v>322.16000000000003</v>
      </c>
      <c r="I158" s="16">
        <v>314.18</v>
      </c>
      <c r="J158" s="16">
        <v>293.52</v>
      </c>
    </row>
    <row r="159" spans="1:10">
      <c r="A159" s="18">
        <v>46166</v>
      </c>
      <c r="B159" s="29" t="s">
        <v>408</v>
      </c>
      <c r="C159" s="29" t="s">
        <v>549</v>
      </c>
      <c r="D159" s="29" t="e" vm="129">
        <v>#VALUE!</v>
      </c>
      <c r="E159" s="50">
        <f t="array" aca="1" ref="E159" ca="1">_FV(D159,"Price")</f>
        <v>5097.7</v>
      </c>
      <c r="F159" s="20">
        <f t="array" aca="1" ref="F159" ca="1">_FV(D159,"Previous close",TRUE)</f>
        <v>4848.3</v>
      </c>
      <c r="G159" s="16">
        <v>4849.5</v>
      </c>
      <c r="H159" s="16">
        <v>4488.2</v>
      </c>
      <c r="I159" s="16">
        <v>4390.3599999999997</v>
      </c>
      <c r="J159" s="16">
        <v>4011.57</v>
      </c>
    </row>
    <row r="160" spans="1:10">
      <c r="A160" s="18">
        <v>46166</v>
      </c>
      <c r="B160" s="29" t="s">
        <v>109</v>
      </c>
      <c r="C160" s="29" t="s">
        <v>549</v>
      </c>
      <c r="D160" s="29" t="e" vm="9">
        <v>#VALUE!</v>
      </c>
      <c r="E160" s="50">
        <f t="array" aca="1" ref="E160" ca="1">_FV(D160,"Price")</f>
        <v>417.85</v>
      </c>
      <c r="F160" s="20">
        <f t="array" aca="1" ref="F160" ca="1">_FV(D160,"Previous close",TRUE)</f>
        <v>412.1</v>
      </c>
      <c r="G160" s="16">
        <v>355.05</v>
      </c>
      <c r="H160" s="16">
        <v>314.87</v>
      </c>
      <c r="I160" s="16">
        <v>304.72000000000003</v>
      </c>
      <c r="J160" s="16">
        <v>278.97000000000003</v>
      </c>
    </row>
    <row r="161" spans="1:10">
      <c r="A161" s="18">
        <v>46166</v>
      </c>
      <c r="B161" s="29" t="s">
        <v>664</v>
      </c>
      <c r="C161" s="29" t="s">
        <v>549</v>
      </c>
      <c r="D161" s="29" t="e" vm="71">
        <v>#VALUE!</v>
      </c>
      <c r="E161" s="50">
        <f t="array" aca="1" ref="E161" ca="1">_FV(D161,"Price")</f>
        <v>491.8</v>
      </c>
      <c r="F161" s="20">
        <f t="array" aca="1" ref="F161" ca="1">_FV(D161,"Previous close",TRUE)</f>
        <v>504.85</v>
      </c>
      <c r="G161" s="16">
        <v>490.25</v>
      </c>
      <c r="H161" s="16">
        <v>439.25</v>
      </c>
      <c r="I161" s="16">
        <v>428.73</v>
      </c>
      <c r="J161" s="16">
        <v>398</v>
      </c>
    </row>
    <row r="162" spans="1:10">
      <c r="A162" s="18">
        <v>46166</v>
      </c>
      <c r="B162" s="29" t="s">
        <v>617</v>
      </c>
      <c r="C162" s="29" t="s">
        <v>549</v>
      </c>
      <c r="D162" s="29" t="e" vm="130">
        <v>#VALUE!</v>
      </c>
      <c r="E162" s="50">
        <f t="array" aca="1" ref="E162" ca="1">_FV(D162,"Price")</f>
        <v>2697.6</v>
      </c>
      <c r="F162" s="20">
        <f t="array" aca="1" ref="F162" ca="1">_FV(D162,"Previous close",TRUE)</f>
        <v>2819.8</v>
      </c>
      <c r="G162" s="16">
        <v>2735.8</v>
      </c>
      <c r="H162" s="16">
        <v>2413.14</v>
      </c>
      <c r="I162" s="16">
        <v>2367.5</v>
      </c>
      <c r="J162" s="16">
        <v>2172.6</v>
      </c>
    </row>
    <row r="163" spans="1:10">
      <c r="A163" s="18">
        <v>46166</v>
      </c>
      <c r="B163" s="29" t="s">
        <v>622</v>
      </c>
      <c r="C163" s="29" t="s">
        <v>549</v>
      </c>
      <c r="D163" s="29" t="e" vm="131">
        <v>#VALUE!</v>
      </c>
      <c r="E163" s="50">
        <f t="array" aca="1" ref="E163" ca="1">_FV(D163,"Price")</f>
        <v>1803.8</v>
      </c>
      <c r="F163" s="20">
        <f t="array" aca="1" ref="F163" ca="1">_FV(D163,"Previous close",TRUE)</f>
        <v>1731.5</v>
      </c>
      <c r="G163" s="16">
        <v>1734.4</v>
      </c>
      <c r="H163" s="16">
        <v>1354.63</v>
      </c>
      <c r="I163" s="16">
        <v>1301.52</v>
      </c>
      <c r="J163" s="16">
        <v>1162.1600000000001</v>
      </c>
    </row>
    <row r="164" spans="1:10">
      <c r="A164" s="18">
        <v>46166</v>
      </c>
      <c r="B164" s="29" t="s">
        <v>86</v>
      </c>
      <c r="C164" s="29" t="s">
        <v>549</v>
      </c>
      <c r="D164" s="29" t="e" vm="74">
        <v>#VALUE!</v>
      </c>
      <c r="E164" s="50">
        <f t="array" aca="1" ref="E164" ca="1">_FV(D164,"Price")</f>
        <v>934.8</v>
      </c>
      <c r="F164" s="20">
        <f t="array" aca="1" ref="F164" ca="1">_FV(D164,"Previous close",TRUE)</f>
        <v>879.15</v>
      </c>
      <c r="G164" s="16">
        <v>865.7</v>
      </c>
      <c r="H164" s="16">
        <v>828.15</v>
      </c>
      <c r="I164" s="16">
        <v>812.78</v>
      </c>
      <c r="J164" s="16">
        <v>765.38</v>
      </c>
    </row>
    <row r="165" spans="1:10">
      <c r="A165" s="18">
        <v>46166</v>
      </c>
      <c r="B165" s="29" t="s">
        <v>110</v>
      </c>
      <c r="C165" s="29" t="s">
        <v>549</v>
      </c>
      <c r="D165" s="29" t="e" vm="76">
        <v>#VALUE!</v>
      </c>
      <c r="E165" s="50">
        <f t="array" aca="1" ref="E165" ca="1">_FV(D165,"Price")</f>
        <v>1397.4</v>
      </c>
      <c r="F165" s="20">
        <f t="array" aca="1" ref="F165" ca="1">_FV(D165,"Previous close",TRUE)</f>
        <v>1357</v>
      </c>
      <c r="G165" s="16">
        <v>1174.9000000000001</v>
      </c>
      <c r="H165" s="16">
        <v>1149.71</v>
      </c>
      <c r="I165" s="16">
        <v>1127.51</v>
      </c>
      <c r="J165" s="16">
        <v>1066.5899999999999</v>
      </c>
    </row>
    <row r="166" spans="1:10">
      <c r="A166" s="18">
        <v>46166</v>
      </c>
      <c r="B166" s="29" t="s">
        <v>634</v>
      </c>
      <c r="C166" s="29" t="s">
        <v>549</v>
      </c>
      <c r="D166" s="29" t="e" vm="132">
        <v>#VALUE!</v>
      </c>
      <c r="E166" s="50">
        <f t="array" aca="1" ref="E166" ca="1">_FV(D166,"Price")</f>
        <v>777.9</v>
      </c>
      <c r="F166" s="20">
        <f t="array" aca="1" ref="F166" ca="1">_FV(D166,"Previous close",TRUE)</f>
        <v>746.55</v>
      </c>
      <c r="G166" s="16">
        <v>704.9</v>
      </c>
      <c r="H166" s="16">
        <v>636.14</v>
      </c>
      <c r="I166" s="16">
        <v>622.07000000000005</v>
      </c>
      <c r="J166" s="16">
        <v>583.28</v>
      </c>
    </row>
    <row r="167" spans="1:10">
      <c r="A167" s="18">
        <v>46166</v>
      </c>
      <c r="B167" s="29" t="s">
        <v>715</v>
      </c>
      <c r="C167" s="29" t="s">
        <v>549</v>
      </c>
      <c r="D167" s="29" t="e" vm="133">
        <v>#VALUE!</v>
      </c>
      <c r="E167" s="50">
        <f t="array" aca="1" ref="E167" ca="1">_FV(D167,"Price")</f>
        <v>1739.25</v>
      </c>
      <c r="F167" s="20">
        <f t="array" aca="1" ref="F167" ca="1">_FV(D167,"Previous close",TRUE)</f>
        <v>1744.1</v>
      </c>
      <c r="G167" s="16">
        <v>3155.3</v>
      </c>
      <c r="H167" s="16">
        <v>2933.76</v>
      </c>
      <c r="I167" s="16">
        <v>2906.42</v>
      </c>
      <c r="J167" s="16">
        <v>2842.03</v>
      </c>
    </row>
    <row r="168" spans="1:10">
      <c r="A168" s="18">
        <v>46166</v>
      </c>
      <c r="B168" s="29" t="s">
        <v>570</v>
      </c>
      <c r="C168" s="29" t="s">
        <v>549</v>
      </c>
      <c r="D168" s="29" t="e" vm="89">
        <v>#VALUE!</v>
      </c>
      <c r="E168" s="50">
        <f t="array" aca="1" ref="E168" ca="1">_FV(D168,"Price")</f>
        <v>560.75</v>
      </c>
      <c r="F168" s="20">
        <f t="array" aca="1" ref="F168" ca="1">_FV(D168,"Previous close",TRUE)</f>
        <v>554.79999999999995</v>
      </c>
      <c r="G168" s="16">
        <v>571.75</v>
      </c>
      <c r="H168" s="16">
        <v>496.88</v>
      </c>
      <c r="I168" s="16">
        <v>481.58</v>
      </c>
      <c r="J168" s="16">
        <v>425</v>
      </c>
    </row>
    <row r="169" spans="1:10">
      <c r="A169" s="18">
        <v>46166</v>
      </c>
      <c r="B169" s="29" t="s">
        <v>640</v>
      </c>
      <c r="C169" s="29" t="s">
        <v>549</v>
      </c>
      <c r="D169" s="29" t="e" vm="134">
        <v>#VALUE!</v>
      </c>
      <c r="E169" s="50">
        <f t="array" aca="1" ref="E169" ca="1">_FV(D169,"Price")</f>
        <v>336.95</v>
      </c>
      <c r="F169" s="20">
        <f t="array" aca="1" ref="F169" ca="1">_FV(D169,"Previous close",TRUE)</f>
        <v>344.45</v>
      </c>
      <c r="G169" s="16">
        <v>339.35</v>
      </c>
      <c r="H169" s="16">
        <v>308.67</v>
      </c>
      <c r="I169" s="16">
        <v>302.56</v>
      </c>
      <c r="J169" s="16">
        <v>283.45999999999998</v>
      </c>
    </row>
    <row r="170" spans="1:10">
      <c r="A170" s="18">
        <v>46166</v>
      </c>
      <c r="B170" s="29" t="s">
        <v>716</v>
      </c>
      <c r="C170" s="29" t="s">
        <v>549</v>
      </c>
      <c r="D170" s="29" t="e" vm="135">
        <v>#VALUE!</v>
      </c>
      <c r="E170" s="50">
        <f t="array" aca="1" ref="E170" ca="1">_FV(D170,"Price")</f>
        <v>348.2</v>
      </c>
      <c r="F170" s="20">
        <f t="array" aca="1" ref="F170" ca="1">_FV(D170,"Previous close",TRUE)</f>
        <v>348.6</v>
      </c>
      <c r="G170" s="16">
        <v>359.05</v>
      </c>
      <c r="H170" s="16">
        <v>314.64999999999998</v>
      </c>
      <c r="I170" s="16">
        <v>308.43</v>
      </c>
      <c r="J170" s="16">
        <v>292.64</v>
      </c>
    </row>
    <row r="171" spans="1:10">
      <c r="A171" s="18">
        <v>46166</v>
      </c>
      <c r="B171" s="29" t="s">
        <v>717</v>
      </c>
      <c r="C171" s="29" t="s">
        <v>549</v>
      </c>
      <c r="D171" s="29" t="e" vm="136">
        <v>#VALUE!</v>
      </c>
      <c r="E171" s="50">
        <f t="array" aca="1" ref="E171" ca="1">_FV(D171,"Price")</f>
        <v>1095.55</v>
      </c>
      <c r="F171" s="20">
        <f t="array" aca="1" ref="F171" ca="1">_FV(D171,"Previous close",TRUE)</f>
        <v>1110.3499999999999</v>
      </c>
      <c r="G171" s="16">
        <v>1079</v>
      </c>
      <c r="H171" s="16">
        <v>961.58</v>
      </c>
      <c r="I171" s="16">
        <v>947.6</v>
      </c>
      <c r="J171" s="16">
        <v>914.45</v>
      </c>
    </row>
    <row r="172" spans="1:10">
      <c r="A172" s="18">
        <v>46166</v>
      </c>
      <c r="B172" s="29" t="s">
        <v>352</v>
      </c>
      <c r="C172" s="29" t="s">
        <v>549</v>
      </c>
      <c r="D172" s="29" t="e" vm="137">
        <v>#VALUE!</v>
      </c>
      <c r="E172" s="50">
        <f t="array" aca="1" ref="E172" ca="1">_FV(D172,"Price")</f>
        <v>1633.6</v>
      </c>
      <c r="F172" s="20">
        <f t="array" aca="1" ref="F172" ca="1">_FV(D172,"Previous close",TRUE)</f>
        <v>1595.2</v>
      </c>
      <c r="G172" s="16">
        <v>1607.8</v>
      </c>
      <c r="H172" s="16">
        <v>1533.76</v>
      </c>
      <c r="I172" s="16">
        <v>1511.15</v>
      </c>
      <c r="J172" s="16">
        <v>1402.44</v>
      </c>
    </row>
    <row r="173" spans="1:10">
      <c r="A173" s="18">
        <v>46166</v>
      </c>
      <c r="B173" s="29" t="s">
        <v>662</v>
      </c>
      <c r="C173" s="29" t="s">
        <v>549</v>
      </c>
      <c r="D173" s="29" t="e" vm="69">
        <v>#VALUE!</v>
      </c>
      <c r="E173" s="50">
        <f t="array" aca="1" ref="E173" ca="1">_FV(D173,"Price")</f>
        <v>2661.2</v>
      </c>
      <c r="F173" s="20">
        <f t="array" aca="1" ref="F173" ca="1">_FV(D173,"Previous close",TRUE)</f>
        <v>2689.3</v>
      </c>
      <c r="G173" s="16">
        <v>2695.2</v>
      </c>
      <c r="H173" s="16">
        <v>2496.58</v>
      </c>
      <c r="I173" s="16">
        <v>2453.1799999999998</v>
      </c>
      <c r="J173" s="16">
        <v>2333.08</v>
      </c>
    </row>
    <row r="174" spans="1:10">
      <c r="A174" s="18">
        <v>46166</v>
      </c>
      <c r="B174" s="29" t="s">
        <v>646</v>
      </c>
      <c r="C174" s="29" t="s">
        <v>549</v>
      </c>
      <c r="D174" s="29" t="e" vm="138">
        <v>#VALUE!</v>
      </c>
      <c r="E174" s="50">
        <f t="array" aca="1" ref="E174" ca="1">_FV(D174,"Price")</f>
        <v>4072</v>
      </c>
      <c r="F174" s="20">
        <f t="array" aca="1" ref="F174" ca="1">_FV(D174,"Previous close",TRUE)</f>
        <v>3851.7</v>
      </c>
      <c r="G174" s="16">
        <v>3851.3</v>
      </c>
      <c r="H174" s="16">
        <v>3845.57</v>
      </c>
      <c r="I174" s="16">
        <v>3794.93</v>
      </c>
      <c r="J174" s="16">
        <v>3605.62</v>
      </c>
    </row>
    <row r="175" spans="1:10">
      <c r="A175" s="18">
        <v>46166</v>
      </c>
      <c r="B175" s="29" t="s">
        <v>94</v>
      </c>
      <c r="C175" s="29" t="s">
        <v>549</v>
      </c>
      <c r="D175" s="29" t="e" vm="72">
        <v>#VALUE!</v>
      </c>
      <c r="E175" s="50">
        <f t="array" aca="1" ref="E175" ca="1">_FV(D175,"Price")</f>
        <v>92.28</v>
      </c>
      <c r="F175" s="20">
        <f t="array" aca="1" ref="F175" ca="1">_FV(D175,"Previous close",TRUE)</f>
        <v>90.67</v>
      </c>
      <c r="G175" s="16">
        <v>87.85</v>
      </c>
      <c r="H175" s="16">
        <v>88.05</v>
      </c>
      <c r="I175" s="16">
        <v>87.23</v>
      </c>
      <c r="J175" s="16">
        <v>83.94</v>
      </c>
    </row>
    <row r="176" spans="1:10">
      <c r="A176" s="18">
        <v>46166</v>
      </c>
      <c r="B176" s="29" t="s">
        <v>667</v>
      </c>
      <c r="C176" s="29" t="s">
        <v>564</v>
      </c>
      <c r="D176" s="29" t="e" vm="91">
        <v>#VALUE!</v>
      </c>
      <c r="E176" s="50">
        <f t="array" aca="1" ref="E176" ca="1">_FV(D176,"Price")</f>
        <v>269.13</v>
      </c>
      <c r="F176" s="20">
        <f t="array" aca="1" ref="F176" ca="1">_FV(D176,"Previous close",TRUE)</f>
        <v>253.28</v>
      </c>
      <c r="G176" s="16">
        <v>254.11</v>
      </c>
      <c r="H176" s="16">
        <v>237.9</v>
      </c>
      <c r="I176" s="16">
        <v>233.71</v>
      </c>
      <c r="J176" s="16">
        <v>217.52</v>
      </c>
    </row>
    <row r="177" spans="1:10">
      <c r="A177" s="18">
        <v>46166</v>
      </c>
      <c r="B177" s="29" t="s">
        <v>718</v>
      </c>
      <c r="C177" s="29" t="s">
        <v>564</v>
      </c>
      <c r="D177" s="29" t="e" vm="139">
        <v>#VALUE!</v>
      </c>
      <c r="E177" s="50">
        <f t="array" aca="1" ref="E177" ca="1">_FV(D177,"Price")</f>
        <v>846.65</v>
      </c>
      <c r="F177" s="20">
        <f t="array" aca="1" ref="F177" ca="1">_FV(D177,"Previous close",TRUE)</f>
        <v>858.15</v>
      </c>
      <c r="G177" s="16">
        <v>812</v>
      </c>
      <c r="H177" s="16">
        <v>781.9</v>
      </c>
      <c r="I177" s="16">
        <v>770.77</v>
      </c>
      <c r="J177" s="16">
        <v>738.37</v>
      </c>
    </row>
    <row r="178" spans="1:10">
      <c r="A178" s="18">
        <v>46166</v>
      </c>
      <c r="B178" s="29" t="s">
        <v>605</v>
      </c>
      <c r="C178" s="29" t="s">
        <v>564</v>
      </c>
      <c r="D178" s="29" t="e" vm="86">
        <v>#VALUE!</v>
      </c>
      <c r="E178" s="50">
        <f t="array" aca="1" ref="E178" ca="1">_FV(D178,"Price")</f>
        <v>463.05</v>
      </c>
      <c r="F178" s="20">
        <f t="array" aca="1" ref="F178" ca="1">_FV(D178,"Previous close",TRUE)</f>
        <v>458.15</v>
      </c>
      <c r="G178" s="16">
        <v>456.55</v>
      </c>
      <c r="H178" s="16">
        <v>456.16</v>
      </c>
      <c r="I178" s="16">
        <v>453.81</v>
      </c>
      <c r="J178" s="16">
        <v>440.84</v>
      </c>
    </row>
    <row r="179" spans="1:10">
      <c r="A179" s="18">
        <v>46166</v>
      </c>
      <c r="B179" s="29" t="s">
        <v>563</v>
      </c>
      <c r="C179" s="29" t="s">
        <v>564</v>
      </c>
      <c r="D179" s="29" t="e" vm="87">
        <v>#VALUE!</v>
      </c>
      <c r="E179" s="50">
        <f t="array" aca="1" ref="E179" ca="1">_FV(D179,"Price")</f>
        <v>1297.4000000000001</v>
      </c>
      <c r="F179" s="20">
        <f t="array" aca="1" ref="F179" ca="1">_FV(D179,"Previous close",TRUE)</f>
        <v>1337.8</v>
      </c>
      <c r="G179" s="16">
        <v>1306.8</v>
      </c>
      <c r="H179" s="16">
        <v>1324.91</v>
      </c>
      <c r="I179" s="16">
        <v>1310.6500000000001</v>
      </c>
      <c r="J179" s="16">
        <v>1215.95</v>
      </c>
    </row>
    <row r="180" spans="1:10">
      <c r="A180" s="18">
        <v>46166</v>
      </c>
      <c r="B180" s="29" t="s">
        <v>719</v>
      </c>
      <c r="C180" s="29" t="s">
        <v>564</v>
      </c>
      <c r="D180" s="29" t="e" vm="140">
        <v>#VALUE!</v>
      </c>
      <c r="E180" s="50">
        <f t="array" aca="1" ref="E180" ca="1">_FV(D180,"Price")</f>
        <v>315.39999999999998</v>
      </c>
      <c r="F180" s="20">
        <f t="array" aca="1" ref="F180" ca="1">_FV(D180,"Previous close",TRUE)</f>
        <v>306.2</v>
      </c>
      <c r="G180" s="16">
        <v>1680</v>
      </c>
      <c r="H180" s="16">
        <v>1649.35</v>
      </c>
      <c r="I180" s="16">
        <v>1648.92</v>
      </c>
      <c r="J180" s="16">
        <v>1646.63</v>
      </c>
    </row>
    <row r="181" spans="1:10">
      <c r="A181" s="18">
        <v>46166</v>
      </c>
      <c r="B181" s="29" t="s">
        <v>590</v>
      </c>
      <c r="C181" s="29" t="s">
        <v>564</v>
      </c>
      <c r="D181" s="29" t="e" vm="79">
        <v>#VALUE!</v>
      </c>
      <c r="E181" s="50">
        <f t="array" aca="1" ref="E181" ca="1">_FV(D181,"Price")</f>
        <v>432.2</v>
      </c>
      <c r="F181" s="20">
        <f t="array" aca="1" ref="F181" ca="1">_FV(D181,"Previous close",TRUE)</f>
        <v>436.15</v>
      </c>
      <c r="G181" s="16">
        <v>430.25</v>
      </c>
      <c r="H181" s="16">
        <v>397.89</v>
      </c>
      <c r="I181" s="16">
        <v>394.12</v>
      </c>
      <c r="J181" s="16">
        <v>385.43</v>
      </c>
    </row>
    <row r="182" spans="1:10">
      <c r="A182" s="18">
        <v>46166</v>
      </c>
      <c r="B182" s="29" t="s">
        <v>720</v>
      </c>
      <c r="C182" s="29" t="s">
        <v>564</v>
      </c>
      <c r="D182" s="29" t="e" vm="141">
        <v>#VALUE!</v>
      </c>
      <c r="E182" s="50">
        <f t="array" aca="1" ref="E182" ca="1">_FV(D182,"Price")</f>
        <v>530.20000000000005</v>
      </c>
      <c r="F182" s="20">
        <f t="array" aca="1" ref="F182" ca="1">_FV(D182,"Previous close",TRUE)</f>
        <v>529.65</v>
      </c>
      <c r="G182" s="16">
        <v>535.1</v>
      </c>
      <c r="H182" s="16">
        <v>515.94000000000005</v>
      </c>
      <c r="I182" s="16">
        <v>511.07</v>
      </c>
      <c r="J182" s="16">
        <v>495.93</v>
      </c>
    </row>
    <row r="183" spans="1:10">
      <c r="A183" s="18">
        <v>46166</v>
      </c>
      <c r="B183" s="29" t="s">
        <v>721</v>
      </c>
      <c r="C183" s="29" t="s">
        <v>564</v>
      </c>
      <c r="D183" s="29" t="e" vm="142">
        <v>#VALUE!</v>
      </c>
      <c r="E183" s="50">
        <f t="array" aca="1" ref="E183" ca="1">_FV(D183,"Price")</f>
        <v>340.25</v>
      </c>
      <c r="F183" s="20">
        <f t="array" aca="1" ref="F183" ca="1">_FV(D183,"Previous close",TRUE)</f>
        <v>350.55</v>
      </c>
      <c r="G183" s="16">
        <v>340.2</v>
      </c>
      <c r="H183" s="16">
        <v>303.79000000000002</v>
      </c>
      <c r="I183" s="16">
        <v>300.06</v>
      </c>
      <c r="J183" s="16">
        <v>293.39999999999998</v>
      </c>
    </row>
    <row r="184" spans="1:10">
      <c r="A184" s="18">
        <v>46166</v>
      </c>
      <c r="B184" s="29" t="s">
        <v>722</v>
      </c>
      <c r="C184" s="29" t="s">
        <v>564</v>
      </c>
      <c r="D184" s="29" t="e" vm="143">
        <v>#VALUE!</v>
      </c>
      <c r="E184" s="50">
        <f t="array" aca="1" ref="E184" ca="1">_FV(D184,"Price")</f>
        <v>60.34</v>
      </c>
      <c r="F184" s="20">
        <f t="array" aca="1" ref="F184" ca="1">_FV(D184,"Previous close",TRUE)</f>
        <v>59.48</v>
      </c>
      <c r="G184" s="16">
        <v>62.94</v>
      </c>
      <c r="H184" s="16">
        <v>56.38</v>
      </c>
      <c r="I184" s="16">
        <v>55.92</v>
      </c>
      <c r="J184" s="16">
        <v>56.06</v>
      </c>
    </row>
    <row r="185" spans="1:10">
      <c r="A185" s="18">
        <v>46166</v>
      </c>
      <c r="B185" s="29" t="s">
        <v>621</v>
      </c>
      <c r="C185" s="29" t="s">
        <v>564</v>
      </c>
      <c r="D185" s="29" t="e" vm="82">
        <v>#VALUE!</v>
      </c>
      <c r="E185" s="50">
        <f t="array" aca="1" ref="E185" ca="1">_FV(D185,"Price")</f>
        <v>2651.5</v>
      </c>
      <c r="F185" s="20">
        <f t="array" aca="1" ref="F185" ca="1">_FV(D185,"Previous close",TRUE)</f>
        <v>2662.5</v>
      </c>
      <c r="G185" s="16">
        <v>2694</v>
      </c>
      <c r="H185" s="16">
        <v>2684.92</v>
      </c>
      <c r="I185" s="16">
        <v>2664.4</v>
      </c>
      <c r="J185" s="16">
        <v>2598.59</v>
      </c>
    </row>
    <row r="186" spans="1:10">
      <c r="A186" s="18">
        <v>46166</v>
      </c>
      <c r="B186" s="29" t="s">
        <v>723</v>
      </c>
      <c r="C186" s="29" t="s">
        <v>564</v>
      </c>
      <c r="D186" s="29" t="e" vm="144">
        <v>#VALUE!</v>
      </c>
      <c r="E186" s="50">
        <f t="array" aca="1" ref="E186" ca="1">_FV(D186,"Price")</f>
        <v>36.979999999999997</v>
      </c>
      <c r="F186" s="20">
        <f t="array" aca="1" ref="F186" ca="1">_FV(D186,"Previous close",TRUE)</f>
        <v>36.950000000000003</v>
      </c>
      <c r="G186" s="16">
        <v>37.61</v>
      </c>
      <c r="H186" s="16">
        <v>35.369999999999997</v>
      </c>
      <c r="I186" s="16">
        <v>34.89</v>
      </c>
      <c r="J186" s="16">
        <v>32.56</v>
      </c>
    </row>
  </sheetData>
  <autoFilter ref="A1:J95" xr:uid="{00000000-0001-0000-0500-000000000000}"/>
  <conditionalFormatting sqref="F2:F186">
    <cfRule type="expression" dxfId="1" priority="3">
      <formula>$E2&gt;$F2</formula>
    </cfRule>
  </conditionalFormatting>
  <conditionalFormatting sqref="G2:G186">
    <cfRule type="expression" dxfId="0" priority="4">
      <formula>$F2&gt;$G2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70"/>
  <sheetViews>
    <sheetView workbookViewId="0">
      <pane ySplit="1" topLeftCell="A2" activePane="bottomLeft" state="frozen"/>
      <selection pane="bottomLeft" activeCell="N2" sqref="N2"/>
    </sheetView>
  </sheetViews>
  <sheetFormatPr defaultRowHeight="15"/>
  <cols>
    <col min="1" max="1" width="17.140625" customWidth="1"/>
    <col min="2" max="2" width="11" customWidth="1"/>
    <col min="3" max="3" width="24" customWidth="1"/>
    <col min="4" max="4" width="19" customWidth="1"/>
    <col min="5" max="5" width="16" customWidth="1"/>
    <col min="6" max="6" width="20" customWidth="1"/>
    <col min="7" max="7" width="25" customWidth="1"/>
    <col min="8" max="8" width="19" customWidth="1"/>
    <col min="9" max="9" width="21" customWidth="1"/>
    <col min="10" max="10" width="25" customWidth="1"/>
    <col min="11" max="11" width="20" customWidth="1"/>
    <col min="12" max="12" width="18" customWidth="1"/>
    <col min="13" max="13" width="16" customWidth="1"/>
    <col min="14" max="14" width="14" customWidth="1"/>
    <col min="15" max="18" width="16" customWidth="1"/>
    <col min="19" max="19" width="29" customWidth="1"/>
    <col min="20" max="20" width="16" customWidth="1"/>
    <col min="21" max="21" width="25" customWidth="1"/>
    <col min="22" max="22" width="14" customWidth="1"/>
  </cols>
  <sheetData>
    <row r="1" spans="1:23">
      <c r="A1" s="21" t="s">
        <v>32</v>
      </c>
      <c r="B1" s="21" t="s">
        <v>498</v>
      </c>
      <c r="C1" s="21" t="s">
        <v>499</v>
      </c>
      <c r="D1" s="21" t="s">
        <v>500</v>
      </c>
      <c r="E1" s="21" t="s">
        <v>501</v>
      </c>
      <c r="F1" s="21" t="s">
        <v>724</v>
      </c>
      <c r="G1" s="21" t="s">
        <v>725</v>
      </c>
      <c r="H1" s="21" t="s">
        <v>503</v>
      </c>
      <c r="I1" s="21" t="s">
        <v>726</v>
      </c>
      <c r="J1" s="21" t="s">
        <v>727</v>
      </c>
      <c r="K1" s="21" t="s">
        <v>728</v>
      </c>
      <c r="L1" s="21" t="s">
        <v>502</v>
      </c>
      <c r="M1" s="21" t="s">
        <v>506</v>
      </c>
      <c r="N1" s="21" t="s">
        <v>57</v>
      </c>
      <c r="O1" s="21" t="s">
        <v>513</v>
      </c>
      <c r="P1" s="21" t="s">
        <v>729</v>
      </c>
      <c r="Q1" s="21" t="s">
        <v>514</v>
      </c>
      <c r="R1" s="21" t="s">
        <v>730</v>
      </c>
      <c r="S1" s="21" t="s">
        <v>731</v>
      </c>
      <c r="T1" s="21" t="s">
        <v>516</v>
      </c>
      <c r="U1" s="21" t="s">
        <v>517</v>
      </c>
      <c r="V1" s="21" t="s">
        <v>518</v>
      </c>
      <c r="W1" s="21" t="s">
        <v>774</v>
      </c>
    </row>
    <row r="2" spans="1:23">
      <c r="A2" s="14" t="s">
        <v>460</v>
      </c>
      <c r="B2" s="14" t="s">
        <v>24</v>
      </c>
      <c r="C2" s="14" t="s">
        <v>54</v>
      </c>
      <c r="D2" s="14" t="s">
        <v>38</v>
      </c>
      <c r="E2" s="14" t="s">
        <v>92</v>
      </c>
      <c r="F2" s="14">
        <v>18</v>
      </c>
      <c r="G2" s="16">
        <v>49140</v>
      </c>
      <c r="H2" s="16">
        <v>2730</v>
      </c>
      <c r="I2" s="14">
        <v>0</v>
      </c>
      <c r="J2" s="16">
        <v>0</v>
      </c>
      <c r="K2" s="16">
        <v>0</v>
      </c>
      <c r="L2" s="14">
        <v>18</v>
      </c>
      <c r="M2" s="16">
        <v>49140</v>
      </c>
      <c r="N2" s="16">
        <f ca="1">IFERROR(INDEX(Price_Update!$F:$F, MATCH(A2, Price_Update!$A:$A, 0)), 3000.6)</f>
        <v>3000.6</v>
      </c>
      <c r="O2" s="16">
        <f t="shared" ref="O2:O65" ca="1" si="0">L2*N2</f>
        <v>54010.799999999996</v>
      </c>
      <c r="P2" s="16">
        <v>0</v>
      </c>
      <c r="Q2" s="16">
        <f t="shared" ref="Q2:Q65" ca="1" si="1">O2-M2</f>
        <v>4870.7999999999956</v>
      </c>
      <c r="R2" s="16">
        <f t="shared" ref="R2:R65" ca="1" si="2">P2+Q2</f>
        <v>4870.7999999999956</v>
      </c>
      <c r="S2" s="17">
        <f t="shared" ref="S2:S65" ca="1" si="3">IF(G2&gt;0, R2/G2, 0)</f>
        <v>9.9120879120879038E-2</v>
      </c>
      <c r="T2" s="14">
        <v>13</v>
      </c>
      <c r="U2" s="14"/>
      <c r="V2" s="14" t="s">
        <v>73</v>
      </c>
      <c r="W2" s="14" t="s">
        <v>775</v>
      </c>
    </row>
    <row r="3" spans="1:23">
      <c r="A3" s="14" t="s">
        <v>111</v>
      </c>
      <c r="B3" s="14" t="s">
        <v>26</v>
      </c>
      <c r="C3" s="14" t="s">
        <v>49</v>
      </c>
      <c r="D3" s="14" t="s">
        <v>40</v>
      </c>
      <c r="E3" s="14" t="s">
        <v>92</v>
      </c>
      <c r="F3" s="14">
        <v>19</v>
      </c>
      <c r="G3" s="16">
        <v>51816.800000000003</v>
      </c>
      <c r="H3" s="16">
        <v>2727.2</v>
      </c>
      <c r="I3" s="14">
        <v>0</v>
      </c>
      <c r="J3" s="16">
        <v>0</v>
      </c>
      <c r="K3" s="16">
        <v>0</v>
      </c>
      <c r="L3" s="14">
        <v>19</v>
      </c>
      <c r="M3" s="16">
        <v>51816.800000000003</v>
      </c>
      <c r="N3" s="16">
        <f ca="1">IFERROR(INDEX(Price_Update!$F:$F, MATCH(A3, Price_Update!$A:$A, 0)), 2973.1)</f>
        <v>2973.1</v>
      </c>
      <c r="O3" s="16">
        <f t="shared" ca="1" si="0"/>
        <v>56488.9</v>
      </c>
      <c r="P3" s="16">
        <v>0</v>
      </c>
      <c r="Q3" s="16">
        <f t="shared" ca="1" si="1"/>
        <v>4672.0999999999985</v>
      </c>
      <c r="R3" s="16">
        <f t="shared" ca="1" si="2"/>
        <v>4672.0999999999985</v>
      </c>
      <c r="S3" s="17">
        <f t="shared" ca="1" si="3"/>
        <v>9.0165737753006708E-2</v>
      </c>
      <c r="T3" s="14">
        <v>13</v>
      </c>
      <c r="U3" s="14"/>
      <c r="V3" s="14" t="s">
        <v>73</v>
      </c>
      <c r="W3" s="14" t="s">
        <v>776</v>
      </c>
    </row>
    <row r="4" spans="1:23">
      <c r="A4" s="14" t="s">
        <v>44</v>
      </c>
      <c r="B4" s="14" t="s">
        <v>28</v>
      </c>
      <c r="C4" s="14" t="s">
        <v>54</v>
      </c>
      <c r="D4" s="14" t="s">
        <v>40</v>
      </c>
      <c r="E4" s="14" t="s">
        <v>91</v>
      </c>
      <c r="F4" s="14">
        <v>14</v>
      </c>
      <c r="G4" s="16">
        <v>43885.2</v>
      </c>
      <c r="H4" s="16">
        <v>3134.66</v>
      </c>
      <c r="I4" s="14">
        <v>0</v>
      </c>
      <c r="J4" s="16">
        <v>0</v>
      </c>
      <c r="K4" s="16">
        <v>0</v>
      </c>
      <c r="L4" s="14">
        <v>14</v>
      </c>
      <c r="M4" s="16">
        <v>43885.24</v>
      </c>
      <c r="N4" s="16">
        <f ca="1">IFERROR(INDEX(Price_Update!$F:$F, MATCH(A4, Price_Update!$A:$A, 0)), 3020.8)</f>
        <v>3020.8</v>
      </c>
      <c r="O4" s="16">
        <f t="shared" ca="1" si="0"/>
        <v>42291.200000000004</v>
      </c>
      <c r="P4" s="16">
        <v>0</v>
      </c>
      <c r="Q4" s="16">
        <f t="shared" ca="1" si="1"/>
        <v>-1594.0399999999936</v>
      </c>
      <c r="R4" s="16">
        <f t="shared" ca="1" si="2"/>
        <v>-1594.0399999999936</v>
      </c>
      <c r="S4" s="17">
        <f t="shared" ca="1" si="3"/>
        <v>-3.6322951701256774E-2</v>
      </c>
      <c r="T4" s="14">
        <v>143</v>
      </c>
      <c r="U4" s="14"/>
      <c r="V4" s="14" t="s">
        <v>73</v>
      </c>
      <c r="W4" s="14" t="s">
        <v>775</v>
      </c>
    </row>
    <row r="5" spans="1:23">
      <c r="A5" s="14" t="s">
        <v>52</v>
      </c>
      <c r="B5" s="14" t="s">
        <v>28</v>
      </c>
      <c r="C5" s="14" t="s">
        <v>49</v>
      </c>
      <c r="D5" s="14" t="s">
        <v>38</v>
      </c>
      <c r="E5" s="14" t="s">
        <v>97</v>
      </c>
      <c r="F5" s="14">
        <v>96</v>
      </c>
      <c r="G5" s="16">
        <v>201677.10449999999</v>
      </c>
      <c r="H5" s="16">
        <v>2100.8000000000002</v>
      </c>
      <c r="I5" s="14">
        <v>0</v>
      </c>
      <c r="J5" s="16">
        <v>0</v>
      </c>
      <c r="K5" s="16">
        <v>0</v>
      </c>
      <c r="L5" s="14">
        <v>96</v>
      </c>
      <c r="M5" s="16">
        <v>201676.79999999999</v>
      </c>
      <c r="N5" s="16">
        <f ca="1">IFERROR(INDEX(Price_Update!$F:$F, MATCH(A5, Price_Update!$A:$A, 0)), 1867.7)</f>
        <v>1867.7</v>
      </c>
      <c r="O5" s="16">
        <f t="shared" ca="1" si="0"/>
        <v>179299.20000000001</v>
      </c>
      <c r="P5" s="16">
        <v>0</v>
      </c>
      <c r="Q5" s="16">
        <f t="shared" ca="1" si="1"/>
        <v>-22377.599999999977</v>
      </c>
      <c r="R5" s="16">
        <f t="shared" ca="1" si="2"/>
        <v>-22377.599999999977</v>
      </c>
      <c r="S5" s="17">
        <f t="shared" ca="1" si="3"/>
        <v>-0.11095756286009142</v>
      </c>
      <c r="T5" s="14">
        <v>108</v>
      </c>
      <c r="U5" s="14"/>
      <c r="V5" s="14" t="s">
        <v>73</v>
      </c>
      <c r="W5" s="14" t="s">
        <v>775</v>
      </c>
    </row>
    <row r="6" spans="1:23">
      <c r="A6" s="14" t="s">
        <v>109</v>
      </c>
      <c r="B6" s="14" t="s">
        <v>24</v>
      </c>
      <c r="C6" s="14" t="s">
        <v>49</v>
      </c>
      <c r="D6" s="14" t="s">
        <v>40</v>
      </c>
      <c r="E6" s="14" t="s">
        <v>96</v>
      </c>
      <c r="F6" s="14">
        <v>312</v>
      </c>
      <c r="G6" s="16">
        <v>100373.85</v>
      </c>
      <c r="H6" s="16">
        <v>321.70999999999998</v>
      </c>
      <c r="I6" s="14">
        <v>0</v>
      </c>
      <c r="J6" s="16">
        <v>0</v>
      </c>
      <c r="K6" s="16">
        <v>0</v>
      </c>
      <c r="L6" s="14">
        <v>312</v>
      </c>
      <c r="M6" s="16">
        <v>100373.52</v>
      </c>
      <c r="N6" s="16">
        <f ca="1">IFERROR(INDEX(Price_Update!$F:$F, MATCH(A6, Price_Update!$A:$A, 0)), 417.85)</f>
        <v>417.85</v>
      </c>
      <c r="O6" s="16">
        <f t="shared" ca="1" si="0"/>
        <v>130369.20000000001</v>
      </c>
      <c r="P6" s="16">
        <v>0</v>
      </c>
      <c r="Q6" s="16">
        <f t="shared" ca="1" si="1"/>
        <v>29995.680000000008</v>
      </c>
      <c r="R6" s="16">
        <f t="shared" ca="1" si="2"/>
        <v>29995.680000000008</v>
      </c>
      <c r="S6" s="17">
        <f t="shared" ca="1" si="3"/>
        <v>0.29883958819951617</v>
      </c>
      <c r="T6" s="14">
        <v>24</v>
      </c>
      <c r="U6" s="14"/>
      <c r="V6" s="14" t="s">
        <v>73</v>
      </c>
      <c r="W6" s="14" t="s">
        <v>776</v>
      </c>
    </row>
    <row r="7" spans="1:23">
      <c r="A7" s="14" t="s">
        <v>110</v>
      </c>
      <c r="B7" s="14" t="s">
        <v>24</v>
      </c>
      <c r="C7" s="14" t="s">
        <v>49</v>
      </c>
      <c r="D7" s="14" t="s">
        <v>40</v>
      </c>
      <c r="E7" s="14" t="s">
        <v>92</v>
      </c>
      <c r="F7" s="14">
        <v>44</v>
      </c>
      <c r="G7" s="16">
        <v>50228.2</v>
      </c>
      <c r="H7" s="16">
        <v>1141.55</v>
      </c>
      <c r="I7" s="14">
        <v>0</v>
      </c>
      <c r="J7" s="16">
        <v>0</v>
      </c>
      <c r="K7" s="16">
        <v>0</v>
      </c>
      <c r="L7" s="14">
        <v>44</v>
      </c>
      <c r="M7" s="16">
        <v>50228.2</v>
      </c>
      <c r="N7" s="16">
        <f ca="1">IFERROR(INDEX(Price_Update!$F:$F, MATCH(A7, Price_Update!$A:$A, 0)), 1397.4)</f>
        <v>1397.4</v>
      </c>
      <c r="O7" s="16">
        <f t="shared" ca="1" si="0"/>
        <v>61485.600000000006</v>
      </c>
      <c r="P7" s="16">
        <v>0</v>
      </c>
      <c r="Q7" s="16">
        <f t="shared" ca="1" si="1"/>
        <v>11257.400000000009</v>
      </c>
      <c r="R7" s="16">
        <f t="shared" ca="1" si="2"/>
        <v>11257.400000000009</v>
      </c>
      <c r="S7" s="17">
        <f t="shared" ca="1" si="3"/>
        <v>0.22412509307520495</v>
      </c>
      <c r="T7" s="14">
        <v>31</v>
      </c>
      <c r="U7" s="14"/>
      <c r="V7" s="14" t="s">
        <v>73</v>
      </c>
      <c r="W7" s="14" t="s">
        <v>776</v>
      </c>
    </row>
    <row r="8" spans="1:23">
      <c r="A8" s="14" t="s">
        <v>46</v>
      </c>
      <c r="B8" s="14" t="s">
        <v>28</v>
      </c>
      <c r="C8" s="14" t="s">
        <v>54</v>
      </c>
      <c r="D8" s="14" t="s">
        <v>40</v>
      </c>
      <c r="E8" s="14" t="s">
        <v>92</v>
      </c>
      <c r="F8" s="14">
        <v>33</v>
      </c>
      <c r="G8" s="16">
        <v>49684.800000000003</v>
      </c>
      <c r="H8" s="16">
        <v>1505.6</v>
      </c>
      <c r="I8" s="14">
        <v>0</v>
      </c>
      <c r="J8" s="16">
        <v>0</v>
      </c>
      <c r="K8" s="16">
        <v>0</v>
      </c>
      <c r="L8" s="14">
        <v>33</v>
      </c>
      <c r="M8" s="16">
        <v>49684.800000000003</v>
      </c>
      <c r="N8" s="16">
        <f ca="1">IFERROR(INDEX(Price_Update!$F:$F, MATCH(A8, Price_Update!$A:$A, 0)), 1435.9)</f>
        <v>1435.9</v>
      </c>
      <c r="O8" s="16">
        <f t="shared" ca="1" si="0"/>
        <v>47384.700000000004</v>
      </c>
      <c r="P8" s="16">
        <v>0</v>
      </c>
      <c r="Q8" s="16">
        <f t="shared" ca="1" si="1"/>
        <v>-2300.0999999999985</v>
      </c>
      <c r="R8" s="16">
        <f t="shared" ca="1" si="2"/>
        <v>-2300.0999999999985</v>
      </c>
      <c r="S8" s="17">
        <f t="shared" ca="1" si="3"/>
        <v>-4.6293836344314526E-2</v>
      </c>
      <c r="T8" s="14">
        <v>10</v>
      </c>
      <c r="U8" s="14"/>
      <c r="V8" s="14" t="s">
        <v>73</v>
      </c>
      <c r="W8" s="14" t="s">
        <v>775</v>
      </c>
    </row>
    <row r="9" spans="1:23">
      <c r="A9" s="14" t="s">
        <v>163</v>
      </c>
      <c r="B9" s="14" t="s">
        <v>24</v>
      </c>
      <c r="C9" s="14" t="s">
        <v>55</v>
      </c>
      <c r="D9" s="14" t="s">
        <v>40</v>
      </c>
      <c r="E9" s="14"/>
      <c r="F9" s="14">
        <v>671</v>
      </c>
      <c r="G9" s="16">
        <v>129693.78</v>
      </c>
      <c r="H9" s="16">
        <v>193.28</v>
      </c>
      <c r="I9" s="14">
        <v>671</v>
      </c>
      <c r="J9" s="16">
        <v>120337.14</v>
      </c>
      <c r="K9" s="16">
        <v>179.34</v>
      </c>
      <c r="L9" s="14">
        <v>0</v>
      </c>
      <c r="M9" s="16">
        <v>0</v>
      </c>
      <c r="N9" s="16">
        <f>IFERROR(INDEX(Price_Update!$F:$F, MATCH(A9, Price_Update!$A:$A, 0)), 180.75)</f>
        <v>180.75</v>
      </c>
      <c r="O9" s="16">
        <f t="shared" si="0"/>
        <v>0</v>
      </c>
      <c r="P9" s="16">
        <v>-9353.74</v>
      </c>
      <c r="Q9" s="16">
        <f t="shared" si="1"/>
        <v>0</v>
      </c>
      <c r="R9" s="16">
        <f t="shared" si="2"/>
        <v>-9353.74</v>
      </c>
      <c r="S9" s="17">
        <f t="shared" si="3"/>
        <v>-7.2121731666699815E-2</v>
      </c>
      <c r="T9" s="14">
        <v>41</v>
      </c>
      <c r="U9" s="14"/>
      <c r="V9" s="14" t="s">
        <v>73</v>
      </c>
      <c r="W9" s="14" t="s">
        <v>776</v>
      </c>
    </row>
    <row r="10" spans="1:23">
      <c r="A10" s="14" t="s">
        <v>217</v>
      </c>
      <c r="B10" s="14" t="s">
        <v>26</v>
      </c>
      <c r="C10" s="14" t="s">
        <v>53</v>
      </c>
      <c r="D10" s="14" t="s">
        <v>38</v>
      </c>
      <c r="E10" s="14"/>
      <c r="F10" s="14">
        <v>94</v>
      </c>
      <c r="G10" s="16">
        <v>100072.4</v>
      </c>
      <c r="H10" s="16">
        <v>1064.5999999999999</v>
      </c>
      <c r="I10" s="14">
        <v>94</v>
      </c>
      <c r="J10" s="16">
        <v>84426.099999999991</v>
      </c>
      <c r="K10" s="16">
        <v>898.15</v>
      </c>
      <c r="L10" s="14">
        <v>0</v>
      </c>
      <c r="M10" s="16">
        <v>0</v>
      </c>
      <c r="N10" s="16">
        <f>IFERROR(INDEX(Price_Update!$F:$F, MATCH(A10, Price_Update!$A:$A, 0)), 931.15)</f>
        <v>931.15</v>
      </c>
      <c r="O10" s="16">
        <f t="shared" si="0"/>
        <v>0</v>
      </c>
      <c r="P10" s="16">
        <v>-15646.3</v>
      </c>
      <c r="Q10" s="16">
        <f t="shared" si="1"/>
        <v>0</v>
      </c>
      <c r="R10" s="16">
        <f t="shared" si="2"/>
        <v>-15646.3</v>
      </c>
      <c r="S10" s="17">
        <f t="shared" si="3"/>
        <v>-0.15634980274281421</v>
      </c>
      <c r="T10" s="14">
        <v>109</v>
      </c>
      <c r="U10" s="14"/>
      <c r="V10" s="14" t="s">
        <v>73</v>
      </c>
      <c r="W10" s="14" t="s">
        <v>776</v>
      </c>
    </row>
    <row r="11" spans="1:23">
      <c r="A11" s="14" t="s">
        <v>113</v>
      </c>
      <c r="B11" s="14" t="s">
        <v>24</v>
      </c>
      <c r="C11" s="14" t="s">
        <v>54</v>
      </c>
      <c r="D11" s="14" t="s">
        <v>40</v>
      </c>
      <c r="E11" s="14" t="s">
        <v>96</v>
      </c>
      <c r="F11" s="14">
        <v>56</v>
      </c>
      <c r="G11" s="16">
        <v>98687.7</v>
      </c>
      <c r="H11" s="16">
        <v>1762.28</v>
      </c>
      <c r="I11" s="14">
        <v>0</v>
      </c>
      <c r="J11" s="16">
        <v>0</v>
      </c>
      <c r="K11" s="16">
        <v>0</v>
      </c>
      <c r="L11" s="14">
        <v>56</v>
      </c>
      <c r="M11" s="16">
        <v>98687.679999999993</v>
      </c>
      <c r="N11" s="16">
        <f ca="1">IFERROR(INDEX(Price_Update!$F:$F, MATCH(A11, Price_Update!$A:$A, 0)), 1821)</f>
        <v>1821</v>
      </c>
      <c r="O11" s="16">
        <f t="shared" ca="1" si="0"/>
        <v>101976</v>
      </c>
      <c r="P11" s="16">
        <v>0</v>
      </c>
      <c r="Q11" s="16">
        <f t="shared" ca="1" si="1"/>
        <v>3288.320000000007</v>
      </c>
      <c r="R11" s="16">
        <f t="shared" ca="1" si="2"/>
        <v>3288.320000000007</v>
      </c>
      <c r="S11" s="17">
        <f t="shared" ca="1" si="3"/>
        <v>3.3320464455043608E-2</v>
      </c>
      <c r="T11" s="14">
        <v>10</v>
      </c>
      <c r="U11" s="14"/>
      <c r="V11" s="14" t="s">
        <v>73</v>
      </c>
      <c r="W11" s="14" t="s">
        <v>775</v>
      </c>
    </row>
    <row r="12" spans="1:23">
      <c r="A12" s="14" t="s">
        <v>257</v>
      </c>
      <c r="B12" s="14" t="s">
        <v>26</v>
      </c>
      <c r="C12" s="14" t="s">
        <v>53</v>
      </c>
      <c r="D12" s="14" t="s">
        <v>40</v>
      </c>
      <c r="E12" s="14"/>
      <c r="F12" s="14">
        <v>260</v>
      </c>
      <c r="G12" s="16">
        <v>75946</v>
      </c>
      <c r="H12" s="16">
        <v>292.10000000000002</v>
      </c>
      <c r="I12" s="14">
        <v>260</v>
      </c>
      <c r="J12" s="16">
        <v>70604.55</v>
      </c>
      <c r="K12" s="16">
        <v>271.56</v>
      </c>
      <c r="L12" s="14">
        <v>0</v>
      </c>
      <c r="M12" s="16">
        <v>0</v>
      </c>
      <c r="N12" s="16">
        <f>IFERROR(INDEX(Price_Update!$F:$F, MATCH(A12, Price_Update!$A:$A, 0)), 270.95)</f>
        <v>270.95</v>
      </c>
      <c r="O12" s="16">
        <f t="shared" si="0"/>
        <v>0</v>
      </c>
      <c r="P12" s="16">
        <v>-5341.45</v>
      </c>
      <c r="Q12" s="16">
        <f t="shared" si="1"/>
        <v>0</v>
      </c>
      <c r="R12" s="16">
        <f t="shared" si="2"/>
        <v>-5341.45</v>
      </c>
      <c r="S12" s="17">
        <f t="shared" si="3"/>
        <v>-7.0332209727964598E-2</v>
      </c>
      <c r="T12" s="14">
        <v>91</v>
      </c>
      <c r="U12" s="14"/>
      <c r="V12" s="14" t="s">
        <v>73</v>
      </c>
      <c r="W12" s="14" t="s">
        <v>776</v>
      </c>
    </row>
    <row r="13" spans="1:23">
      <c r="A13" s="14" t="s">
        <v>330</v>
      </c>
      <c r="B13" s="14" t="s">
        <v>28</v>
      </c>
      <c r="C13" s="14" t="s">
        <v>53</v>
      </c>
      <c r="D13" s="14" t="s">
        <v>40</v>
      </c>
      <c r="E13" s="14"/>
      <c r="F13" s="14">
        <v>465</v>
      </c>
      <c r="G13" s="16">
        <v>75179.430000000008</v>
      </c>
      <c r="H13" s="16">
        <v>161.68</v>
      </c>
      <c r="I13" s="14">
        <v>465</v>
      </c>
      <c r="J13" s="16">
        <v>71056.850000000006</v>
      </c>
      <c r="K13" s="16">
        <v>152.81</v>
      </c>
      <c r="L13" s="14">
        <v>0</v>
      </c>
      <c r="M13" s="16">
        <v>0</v>
      </c>
      <c r="N13" s="16">
        <f>IFERROR(INDEX(Price_Update!$F:$F, MATCH(A13, Price_Update!$A:$A, 0)), 147)</f>
        <v>147</v>
      </c>
      <c r="O13" s="16">
        <f t="shared" si="0"/>
        <v>0</v>
      </c>
      <c r="P13" s="16">
        <v>-4124.3500000000004</v>
      </c>
      <c r="Q13" s="16">
        <f t="shared" si="1"/>
        <v>0</v>
      </c>
      <c r="R13" s="16">
        <f t="shared" si="2"/>
        <v>-4124.3500000000004</v>
      </c>
      <c r="S13" s="17">
        <f t="shared" si="3"/>
        <v>-5.4860086063435169E-2</v>
      </c>
      <c r="T13" s="14">
        <v>61</v>
      </c>
      <c r="U13" s="14"/>
      <c r="V13" s="14" t="s">
        <v>73</v>
      </c>
      <c r="W13" s="14" t="s">
        <v>776</v>
      </c>
    </row>
    <row r="14" spans="1:23">
      <c r="A14" s="14" t="s">
        <v>349</v>
      </c>
      <c r="B14" s="14" t="s">
        <v>26</v>
      </c>
      <c r="C14" s="14" t="s">
        <v>49</v>
      </c>
      <c r="D14" s="14" t="s">
        <v>40</v>
      </c>
      <c r="E14" s="14"/>
      <c r="F14" s="14">
        <v>222</v>
      </c>
      <c r="G14" s="16">
        <v>100778.25</v>
      </c>
      <c r="H14" s="16">
        <v>453.96</v>
      </c>
      <c r="I14" s="14">
        <v>222</v>
      </c>
      <c r="J14" s="16">
        <v>94405.5</v>
      </c>
      <c r="K14" s="16">
        <v>425.25</v>
      </c>
      <c r="L14" s="14">
        <v>0</v>
      </c>
      <c r="M14" s="16">
        <v>0</v>
      </c>
      <c r="N14" s="16">
        <f>IFERROR(INDEX(Price_Update!$F:$F, MATCH(A14, Price_Update!$A:$A, 0)), 419.1)</f>
        <v>419.1</v>
      </c>
      <c r="O14" s="16">
        <f t="shared" si="0"/>
        <v>0</v>
      </c>
      <c r="P14" s="16">
        <v>-6373.62</v>
      </c>
      <c r="Q14" s="16">
        <f t="shared" si="1"/>
        <v>0</v>
      </c>
      <c r="R14" s="16">
        <f t="shared" si="2"/>
        <v>-6373.62</v>
      </c>
      <c r="S14" s="17">
        <f t="shared" si="3"/>
        <v>-6.3244003542431024E-2</v>
      </c>
      <c r="T14" s="14">
        <v>105</v>
      </c>
      <c r="U14" s="14"/>
      <c r="V14" s="14" t="s">
        <v>73</v>
      </c>
      <c r="W14" s="14" t="s">
        <v>775</v>
      </c>
    </row>
    <row r="15" spans="1:23">
      <c r="A15" s="14" t="s">
        <v>271</v>
      </c>
      <c r="B15" s="14" t="s">
        <v>28</v>
      </c>
      <c r="C15" s="14" t="s">
        <v>49</v>
      </c>
      <c r="D15" s="14" t="s">
        <v>40</v>
      </c>
      <c r="E15" s="14"/>
      <c r="F15" s="14">
        <v>36</v>
      </c>
      <c r="G15" s="16">
        <v>50176.800000000003</v>
      </c>
      <c r="H15" s="16">
        <v>1393.8</v>
      </c>
      <c r="I15" s="14">
        <v>36</v>
      </c>
      <c r="J15" s="16">
        <v>50997.599999999999</v>
      </c>
      <c r="K15" s="16">
        <v>1416.6</v>
      </c>
      <c r="L15" s="14">
        <v>0</v>
      </c>
      <c r="M15" s="16">
        <v>0</v>
      </c>
      <c r="N15" s="16">
        <f>IFERROR(INDEX(Price_Update!$F:$F, MATCH(A15, Price_Update!$A:$A, 0)), 1938.6)</f>
        <v>1938.6</v>
      </c>
      <c r="O15" s="16">
        <f t="shared" si="0"/>
        <v>0</v>
      </c>
      <c r="P15" s="16">
        <v>820.8</v>
      </c>
      <c r="Q15" s="16">
        <f t="shared" si="1"/>
        <v>0</v>
      </c>
      <c r="R15" s="16">
        <f t="shared" si="2"/>
        <v>820.8</v>
      </c>
      <c r="S15" s="17">
        <f t="shared" si="3"/>
        <v>1.635815755488592E-2</v>
      </c>
      <c r="T15" s="14">
        <v>77</v>
      </c>
      <c r="U15" s="14"/>
      <c r="V15" s="14" t="s">
        <v>73</v>
      </c>
      <c r="W15" s="14" t="s">
        <v>776</v>
      </c>
    </row>
    <row r="16" spans="1:23">
      <c r="A16" s="14" t="s">
        <v>248</v>
      </c>
      <c r="B16" s="14" t="s">
        <v>26</v>
      </c>
      <c r="C16" s="14" t="s">
        <v>49</v>
      </c>
      <c r="D16" s="14" t="s">
        <v>40</v>
      </c>
      <c r="E16" s="14"/>
      <c r="F16" s="14">
        <v>82</v>
      </c>
      <c r="G16" s="16">
        <v>30151.4</v>
      </c>
      <c r="H16" s="16">
        <v>367.7</v>
      </c>
      <c r="I16" s="14">
        <v>82</v>
      </c>
      <c r="J16" s="16">
        <v>24735.3</v>
      </c>
      <c r="K16" s="16">
        <v>301.64999999999998</v>
      </c>
      <c r="L16" s="14">
        <v>0</v>
      </c>
      <c r="M16" s="16">
        <v>0</v>
      </c>
      <c r="N16" s="16">
        <f>IFERROR(INDEX(Price_Update!$F:$F, MATCH(A16, Price_Update!$A:$A, 0)), 307.15)</f>
        <v>307.14999999999998</v>
      </c>
      <c r="O16" s="16">
        <f t="shared" si="0"/>
        <v>0</v>
      </c>
      <c r="P16" s="16">
        <v>-5416.1</v>
      </c>
      <c r="Q16" s="16">
        <f t="shared" si="1"/>
        <v>0</v>
      </c>
      <c r="R16" s="16">
        <f t="shared" si="2"/>
        <v>-5416.1</v>
      </c>
      <c r="S16" s="17">
        <f t="shared" si="3"/>
        <v>-0.17963013326081045</v>
      </c>
      <c r="T16" s="14">
        <v>182</v>
      </c>
      <c r="U16" s="14"/>
      <c r="V16" s="14" t="s">
        <v>73</v>
      </c>
      <c r="W16" s="14" t="s">
        <v>776</v>
      </c>
    </row>
    <row r="17" spans="1:23">
      <c r="A17" s="14" t="s">
        <v>199</v>
      </c>
      <c r="B17" s="14" t="s">
        <v>26</v>
      </c>
      <c r="C17" s="14" t="s">
        <v>53</v>
      </c>
      <c r="D17" s="14" t="s">
        <v>38</v>
      </c>
      <c r="E17" s="14" t="s">
        <v>96</v>
      </c>
      <c r="F17" s="14">
        <v>30</v>
      </c>
      <c r="G17" s="16">
        <v>100770.003</v>
      </c>
      <c r="H17" s="16">
        <v>3359</v>
      </c>
      <c r="I17" s="14">
        <v>0</v>
      </c>
      <c r="J17" s="16">
        <v>0</v>
      </c>
      <c r="K17" s="16">
        <v>0</v>
      </c>
      <c r="L17" s="14">
        <v>30</v>
      </c>
      <c r="M17" s="16">
        <v>100770</v>
      </c>
      <c r="N17" s="16">
        <f ca="1">IFERROR(INDEX(Price_Update!$F:$F, MATCH(A17, Price_Update!$A:$A, 0)), 4248.4)</f>
        <v>4248.3999999999996</v>
      </c>
      <c r="O17" s="16">
        <f t="shared" ca="1" si="0"/>
        <v>127451.99999999999</v>
      </c>
      <c r="P17" s="16">
        <v>0</v>
      </c>
      <c r="Q17" s="16">
        <f t="shared" ca="1" si="1"/>
        <v>26681.999999999985</v>
      </c>
      <c r="R17" s="16">
        <f t="shared" ca="1" si="2"/>
        <v>26681.999999999985</v>
      </c>
      <c r="S17" s="17">
        <f t="shared" ca="1" si="3"/>
        <v>0.26478117699371295</v>
      </c>
      <c r="T17" s="14">
        <v>171</v>
      </c>
      <c r="U17" s="14"/>
      <c r="V17" s="14" t="s">
        <v>73</v>
      </c>
      <c r="W17" s="14" t="s">
        <v>775</v>
      </c>
    </row>
    <row r="18" spans="1:23">
      <c r="A18" s="14" t="s">
        <v>285</v>
      </c>
      <c r="B18" s="14" t="s">
        <v>24</v>
      </c>
      <c r="C18" s="14" t="s">
        <v>55</v>
      </c>
      <c r="D18" s="14" t="s">
        <v>40</v>
      </c>
      <c r="E18" s="14"/>
      <c r="F18" s="14">
        <v>228</v>
      </c>
      <c r="G18" s="16">
        <v>99912.15</v>
      </c>
      <c r="H18" s="16">
        <v>438.21</v>
      </c>
      <c r="I18" s="14">
        <v>228</v>
      </c>
      <c r="J18" s="16">
        <v>90155.400000000009</v>
      </c>
      <c r="K18" s="16">
        <v>395.42</v>
      </c>
      <c r="L18" s="14">
        <v>0</v>
      </c>
      <c r="M18" s="16">
        <v>0</v>
      </c>
      <c r="N18" s="16">
        <f>IFERROR(INDEX(Price_Update!$F:$F, MATCH(A18, Price_Update!$A:$A, 0)), 328.1)</f>
        <v>328.1</v>
      </c>
      <c r="O18" s="16">
        <f t="shared" si="0"/>
        <v>0</v>
      </c>
      <c r="P18" s="16">
        <v>-9756.48</v>
      </c>
      <c r="Q18" s="16">
        <f t="shared" si="1"/>
        <v>0</v>
      </c>
      <c r="R18" s="16">
        <f t="shared" si="2"/>
        <v>-9756.48</v>
      </c>
      <c r="S18" s="17">
        <f t="shared" si="3"/>
        <v>-9.7650586039835993E-2</v>
      </c>
      <c r="T18" s="14">
        <v>50</v>
      </c>
      <c r="U18" s="14"/>
      <c r="V18" s="14" t="s">
        <v>73</v>
      </c>
      <c r="W18" s="14" t="s">
        <v>776</v>
      </c>
    </row>
    <row r="19" spans="1:23">
      <c r="A19" s="14" t="s">
        <v>182</v>
      </c>
      <c r="B19" s="14" t="s">
        <v>26</v>
      </c>
      <c r="C19" s="14" t="s">
        <v>53</v>
      </c>
      <c r="D19" s="14" t="s">
        <v>40</v>
      </c>
      <c r="E19" s="14"/>
      <c r="F19" s="14">
        <v>2062</v>
      </c>
      <c r="G19" s="16">
        <v>269285.90000000002</v>
      </c>
      <c r="H19" s="16">
        <v>130.59</v>
      </c>
      <c r="I19" s="14">
        <v>2078</v>
      </c>
      <c r="J19" s="16">
        <v>267524.40000000002</v>
      </c>
      <c r="K19" s="16">
        <v>128.74</v>
      </c>
      <c r="L19" s="14">
        <v>-16</v>
      </c>
      <c r="M19" s="16">
        <v>-2089.44</v>
      </c>
      <c r="N19" s="16">
        <f>IFERROR(INDEX(Price_Update!$F:$F, MATCH(A19, Price_Update!$A:$A, 0)), 134.16)</f>
        <v>134.16</v>
      </c>
      <c r="O19" s="16">
        <f t="shared" si="0"/>
        <v>-2146.56</v>
      </c>
      <c r="P19" s="16">
        <v>-3841.62</v>
      </c>
      <c r="Q19" s="16">
        <f t="shared" si="1"/>
        <v>-57.119999999999891</v>
      </c>
      <c r="R19" s="16">
        <f t="shared" si="2"/>
        <v>-3898.74</v>
      </c>
      <c r="S19" s="17">
        <f t="shared" si="3"/>
        <v>-1.4478069590721235E-2</v>
      </c>
      <c r="T19" s="14">
        <v>143</v>
      </c>
      <c r="U19" s="14"/>
      <c r="V19" s="14" t="s">
        <v>73</v>
      </c>
      <c r="W19" s="14" t="s">
        <v>776</v>
      </c>
    </row>
    <row r="20" spans="1:23">
      <c r="A20" s="14" t="s">
        <v>405</v>
      </c>
      <c r="B20" s="14" t="s">
        <v>24</v>
      </c>
      <c r="C20" s="14" t="s">
        <v>51</v>
      </c>
      <c r="D20" s="14" t="s">
        <v>38</v>
      </c>
      <c r="E20" s="14" t="s">
        <v>92</v>
      </c>
      <c r="F20" s="14">
        <v>49</v>
      </c>
      <c r="G20" s="16">
        <v>50624.600000000013</v>
      </c>
      <c r="H20" s="16">
        <v>1033.1600000000001</v>
      </c>
      <c r="I20" s="14">
        <v>0</v>
      </c>
      <c r="J20" s="16">
        <v>0</v>
      </c>
      <c r="K20" s="16">
        <v>0</v>
      </c>
      <c r="L20" s="14">
        <v>49</v>
      </c>
      <c r="M20" s="16">
        <v>50624.84</v>
      </c>
      <c r="N20" s="16">
        <f ca="1">IFERROR(INDEX(Price_Update!$F:$F, MATCH(A20, Price_Update!$A:$A, 0)), 1071)</f>
        <v>1071</v>
      </c>
      <c r="O20" s="16">
        <f t="shared" ca="1" si="0"/>
        <v>52479</v>
      </c>
      <c r="P20" s="16">
        <v>0</v>
      </c>
      <c r="Q20" s="16">
        <f t="shared" ca="1" si="1"/>
        <v>1854.1600000000035</v>
      </c>
      <c r="R20" s="16">
        <f t="shared" ca="1" si="2"/>
        <v>1854.1600000000035</v>
      </c>
      <c r="S20" s="17">
        <f t="shared" ca="1" si="3"/>
        <v>3.662567210407594E-2</v>
      </c>
      <c r="T20" s="14">
        <v>80</v>
      </c>
      <c r="U20" s="14"/>
      <c r="V20" s="14" t="s">
        <v>73</v>
      </c>
      <c r="W20" s="14" t="s">
        <v>776</v>
      </c>
    </row>
    <row r="21" spans="1:23">
      <c r="A21" s="14" t="s">
        <v>86</v>
      </c>
      <c r="B21" s="14" t="s">
        <v>26</v>
      </c>
      <c r="C21" s="14" t="s">
        <v>49</v>
      </c>
      <c r="D21" s="14" t="s">
        <v>40</v>
      </c>
      <c r="E21" s="14" t="s">
        <v>87</v>
      </c>
      <c r="F21" s="14">
        <v>127</v>
      </c>
      <c r="G21" s="16">
        <v>101703</v>
      </c>
      <c r="H21" s="16">
        <v>800.81</v>
      </c>
      <c r="I21" s="14">
        <v>33</v>
      </c>
      <c r="J21" s="16">
        <v>25000.799999999999</v>
      </c>
      <c r="K21" s="16">
        <v>757.6</v>
      </c>
      <c r="L21" s="14">
        <v>94</v>
      </c>
      <c r="M21" s="16">
        <v>75276.14</v>
      </c>
      <c r="N21" s="16">
        <f ca="1">IFERROR(INDEX(Price_Update!$F:$F, MATCH(A21, Price_Update!$A:$A, 0)), 934.8)</f>
        <v>934.8</v>
      </c>
      <c r="O21" s="16">
        <f t="shared" ca="1" si="0"/>
        <v>87871.2</v>
      </c>
      <c r="P21" s="16">
        <v>-1425.93</v>
      </c>
      <c r="Q21" s="16">
        <f t="shared" ca="1" si="1"/>
        <v>12595.059999999998</v>
      </c>
      <c r="R21" s="16">
        <f t="shared" ca="1" si="2"/>
        <v>11169.129999999997</v>
      </c>
      <c r="S21" s="17">
        <f t="shared" ca="1" si="3"/>
        <v>0.10982104756005229</v>
      </c>
      <c r="T21" s="14">
        <v>105</v>
      </c>
      <c r="U21" s="14"/>
      <c r="V21" s="14" t="s">
        <v>73</v>
      </c>
      <c r="W21" s="14" t="s">
        <v>776</v>
      </c>
    </row>
    <row r="22" spans="1:23">
      <c r="A22" s="14" t="s">
        <v>245</v>
      </c>
      <c r="B22" s="14" t="s">
        <v>24</v>
      </c>
      <c r="C22" s="14" t="s">
        <v>49</v>
      </c>
      <c r="D22" s="14" t="s">
        <v>40</v>
      </c>
      <c r="E22" s="14"/>
      <c r="F22" s="14">
        <v>42</v>
      </c>
      <c r="G22" s="16">
        <v>40147.050000000003</v>
      </c>
      <c r="H22" s="16">
        <v>955.88</v>
      </c>
      <c r="I22" s="14">
        <v>52</v>
      </c>
      <c r="J22" s="16">
        <v>42377.3</v>
      </c>
      <c r="K22" s="16">
        <v>814.95</v>
      </c>
      <c r="L22" s="14">
        <v>-10</v>
      </c>
      <c r="M22" s="16">
        <v>-9558.7999999999993</v>
      </c>
      <c r="N22" s="16">
        <f>IFERROR(INDEX(Price_Update!$F:$F, MATCH(A22, Price_Update!$A:$A, 0)), 1053.1)</f>
        <v>1053.0999999999999</v>
      </c>
      <c r="O22" s="16">
        <f t="shared" si="0"/>
        <v>-10531</v>
      </c>
      <c r="P22" s="16">
        <v>-7328.46</v>
      </c>
      <c r="Q22" s="16">
        <f t="shared" si="1"/>
        <v>-972.20000000000073</v>
      </c>
      <c r="R22" s="16">
        <f t="shared" si="2"/>
        <v>-8300.66</v>
      </c>
      <c r="S22" s="17">
        <f t="shared" si="3"/>
        <v>-0.20675641174133588</v>
      </c>
      <c r="T22" s="14">
        <v>206</v>
      </c>
      <c r="U22" s="14"/>
      <c r="V22" s="14" t="s">
        <v>73</v>
      </c>
      <c r="W22" s="14" t="s">
        <v>776</v>
      </c>
    </row>
    <row r="23" spans="1:23">
      <c r="A23" s="14" t="s">
        <v>146</v>
      </c>
      <c r="B23" s="14" t="s">
        <v>26</v>
      </c>
      <c r="C23" s="14" t="s">
        <v>54</v>
      </c>
      <c r="D23" s="14" t="s">
        <v>38</v>
      </c>
      <c r="E23" s="14"/>
      <c r="F23" s="14">
        <v>64</v>
      </c>
      <c r="G23" s="16">
        <v>99129.600000000006</v>
      </c>
      <c r="H23" s="16">
        <v>1548.9</v>
      </c>
      <c r="I23" s="14">
        <v>64</v>
      </c>
      <c r="J23" s="16">
        <v>83161.600000000006</v>
      </c>
      <c r="K23" s="16">
        <v>1299.4000000000001</v>
      </c>
      <c r="L23" s="14">
        <v>0</v>
      </c>
      <c r="M23" s="16">
        <v>0</v>
      </c>
      <c r="N23" s="16">
        <f>IFERROR(INDEX(Price_Update!$F:$F, MATCH(A23, Price_Update!$A:$A, 0)), 1418.2)</f>
        <v>1418.2</v>
      </c>
      <c r="O23" s="16">
        <f t="shared" si="0"/>
        <v>0</v>
      </c>
      <c r="P23" s="16">
        <v>-15968</v>
      </c>
      <c r="Q23" s="16">
        <f t="shared" si="1"/>
        <v>0</v>
      </c>
      <c r="R23" s="16">
        <f t="shared" si="2"/>
        <v>-15968</v>
      </c>
      <c r="S23" s="17">
        <f t="shared" si="3"/>
        <v>-0.16108205823487634</v>
      </c>
      <c r="T23" s="14">
        <v>147</v>
      </c>
      <c r="U23" s="14"/>
      <c r="V23" s="14" t="s">
        <v>73</v>
      </c>
      <c r="W23" s="14" t="s">
        <v>776</v>
      </c>
    </row>
    <row r="24" spans="1:23">
      <c r="A24" s="14" t="s">
        <v>42</v>
      </c>
      <c r="B24" s="14" t="s">
        <v>24</v>
      </c>
      <c r="C24" s="14" t="s">
        <v>51</v>
      </c>
      <c r="D24" s="14" t="s">
        <v>40</v>
      </c>
      <c r="E24" s="14" t="s">
        <v>97</v>
      </c>
      <c r="F24" s="14">
        <v>2490</v>
      </c>
      <c r="G24" s="16">
        <v>243383.46</v>
      </c>
      <c r="H24" s="16">
        <v>97.74</v>
      </c>
      <c r="I24" s="14">
        <v>665</v>
      </c>
      <c r="J24" s="16">
        <v>48531.7</v>
      </c>
      <c r="K24" s="16">
        <v>72.98</v>
      </c>
      <c r="L24" s="14">
        <v>1825</v>
      </c>
      <c r="M24" s="16">
        <v>178375.5</v>
      </c>
      <c r="N24" s="16">
        <f ca="1">IFERROR(INDEX(Price_Update!$F:$F, MATCH(A24, Price_Update!$A:$A, 0)), 128.9)</f>
        <v>128.9</v>
      </c>
      <c r="O24" s="16">
        <f t="shared" ca="1" si="0"/>
        <v>235242.5</v>
      </c>
      <c r="P24" s="16">
        <v>-16465.400000000001</v>
      </c>
      <c r="Q24" s="16">
        <f t="shared" ca="1" si="1"/>
        <v>56867</v>
      </c>
      <c r="R24" s="16">
        <f t="shared" ca="1" si="2"/>
        <v>40401.599999999999</v>
      </c>
      <c r="S24" s="17">
        <f t="shared" ca="1" si="3"/>
        <v>0.16599977664875007</v>
      </c>
      <c r="T24" s="14">
        <v>142</v>
      </c>
      <c r="U24" s="14" t="s">
        <v>72</v>
      </c>
      <c r="V24" s="14" t="s">
        <v>73</v>
      </c>
      <c r="W24" s="14" t="s">
        <v>776</v>
      </c>
    </row>
    <row r="25" spans="1:23">
      <c r="A25" s="14" t="s">
        <v>158</v>
      </c>
      <c r="B25" s="14" t="s">
        <v>26</v>
      </c>
      <c r="C25" s="14" t="s">
        <v>51</v>
      </c>
      <c r="D25" s="14" t="s">
        <v>38</v>
      </c>
      <c r="E25" s="14"/>
      <c r="F25" s="14">
        <v>19</v>
      </c>
      <c r="G25" s="16">
        <v>89756.600600000005</v>
      </c>
      <c r="H25" s="16">
        <v>4724.03</v>
      </c>
      <c r="I25" s="14">
        <v>19</v>
      </c>
      <c r="J25" s="16">
        <v>77079.199999999997</v>
      </c>
      <c r="K25" s="16">
        <v>4056.8</v>
      </c>
      <c r="L25" s="14">
        <v>0</v>
      </c>
      <c r="M25" s="16">
        <v>0</v>
      </c>
      <c r="N25" s="16">
        <f>IFERROR(INDEX(Price_Update!$F:$F, MATCH(A25, Price_Update!$A:$A, 0)), 4124.4)</f>
        <v>4124.3999999999996</v>
      </c>
      <c r="O25" s="16">
        <f t="shared" si="0"/>
        <v>0</v>
      </c>
      <c r="P25" s="16">
        <v>-12677.37</v>
      </c>
      <c r="Q25" s="16">
        <f t="shared" si="1"/>
        <v>0</v>
      </c>
      <c r="R25" s="16">
        <f t="shared" si="2"/>
        <v>-12677.37</v>
      </c>
      <c r="S25" s="17">
        <f t="shared" si="3"/>
        <v>-0.14124164590966026</v>
      </c>
      <c r="T25" s="14">
        <v>64</v>
      </c>
      <c r="U25" s="14"/>
      <c r="V25" s="14" t="s">
        <v>73</v>
      </c>
      <c r="W25" s="14" t="s">
        <v>776</v>
      </c>
    </row>
    <row r="26" spans="1:23">
      <c r="A26" s="14" t="s">
        <v>227</v>
      </c>
      <c r="B26" s="14" t="s">
        <v>26</v>
      </c>
      <c r="C26" s="14" t="s">
        <v>55</v>
      </c>
      <c r="D26" s="14" t="s">
        <v>40</v>
      </c>
      <c r="E26" s="14"/>
      <c r="F26" s="14">
        <v>75</v>
      </c>
      <c r="G26" s="16">
        <v>25440</v>
      </c>
      <c r="H26" s="16">
        <v>339.2</v>
      </c>
      <c r="I26" s="14">
        <v>75</v>
      </c>
      <c r="J26" s="16">
        <v>22856.25</v>
      </c>
      <c r="K26" s="16">
        <v>304.75</v>
      </c>
      <c r="L26" s="14">
        <v>0</v>
      </c>
      <c r="M26" s="16">
        <v>0</v>
      </c>
      <c r="N26" s="16">
        <f>IFERROR(INDEX(Price_Update!$F:$F, MATCH(A26, Price_Update!$A:$A, 0)), 256.51)</f>
        <v>256.51</v>
      </c>
      <c r="O26" s="16">
        <f t="shared" si="0"/>
        <v>0</v>
      </c>
      <c r="P26" s="16">
        <v>-2583.75</v>
      </c>
      <c r="Q26" s="16">
        <f t="shared" si="1"/>
        <v>0</v>
      </c>
      <c r="R26" s="16">
        <f t="shared" si="2"/>
        <v>-2583.75</v>
      </c>
      <c r="S26" s="17">
        <f t="shared" si="3"/>
        <v>-0.1015625</v>
      </c>
      <c r="T26" s="14">
        <v>20</v>
      </c>
      <c r="U26" s="14"/>
      <c r="V26" s="14" t="s">
        <v>73</v>
      </c>
      <c r="W26" s="14" t="s">
        <v>776</v>
      </c>
    </row>
    <row r="27" spans="1:23">
      <c r="A27" s="14" t="s">
        <v>43</v>
      </c>
      <c r="B27" s="14" t="s">
        <v>28</v>
      </c>
      <c r="C27" s="14" t="s">
        <v>53</v>
      </c>
      <c r="D27" s="14" t="s">
        <v>38</v>
      </c>
      <c r="E27" s="14" t="s">
        <v>98</v>
      </c>
      <c r="F27" s="14">
        <v>1172</v>
      </c>
      <c r="G27" s="16">
        <v>300285.28000000003</v>
      </c>
      <c r="H27" s="16">
        <v>256.22000000000003</v>
      </c>
      <c r="I27" s="14">
        <v>0</v>
      </c>
      <c r="J27" s="16">
        <v>0</v>
      </c>
      <c r="K27" s="16">
        <v>0</v>
      </c>
      <c r="L27" s="14">
        <v>1172</v>
      </c>
      <c r="M27" s="16">
        <v>300289.84000000003</v>
      </c>
      <c r="N27" s="16">
        <f ca="1">IFERROR(INDEX(Price_Update!$F:$F, MATCH(A27, Price_Update!$A:$A, 0)), 288.9)</f>
        <v>288.89999999999998</v>
      </c>
      <c r="O27" s="16">
        <f t="shared" ca="1" si="0"/>
        <v>338590.8</v>
      </c>
      <c r="P27" s="16">
        <v>0</v>
      </c>
      <c r="Q27" s="16">
        <f t="shared" ca="1" si="1"/>
        <v>38300.959999999963</v>
      </c>
      <c r="R27" s="16">
        <f t="shared" ca="1" si="2"/>
        <v>38300.959999999963</v>
      </c>
      <c r="S27" s="17">
        <f t="shared" ca="1" si="3"/>
        <v>0.12754857647367848</v>
      </c>
      <c r="T27" s="14">
        <v>206</v>
      </c>
      <c r="U27" s="14"/>
      <c r="V27" s="14" t="s">
        <v>73</v>
      </c>
      <c r="W27" s="14" t="s">
        <v>775</v>
      </c>
    </row>
    <row r="28" spans="1:23">
      <c r="A28" s="14" t="s">
        <v>93</v>
      </c>
      <c r="B28" s="14" t="s">
        <v>24</v>
      </c>
      <c r="C28" s="14" t="s">
        <v>51</v>
      </c>
      <c r="D28" s="14" t="s">
        <v>40</v>
      </c>
      <c r="E28" s="14" t="s">
        <v>91</v>
      </c>
      <c r="F28" s="14">
        <v>362</v>
      </c>
      <c r="G28" s="16">
        <v>50229.29</v>
      </c>
      <c r="H28" s="16">
        <v>138.75</v>
      </c>
      <c r="I28" s="14">
        <v>0</v>
      </c>
      <c r="J28" s="16">
        <v>0</v>
      </c>
      <c r="K28" s="16">
        <v>0</v>
      </c>
      <c r="L28" s="14">
        <v>362</v>
      </c>
      <c r="M28" s="16">
        <v>50227.5</v>
      </c>
      <c r="N28" s="16">
        <f ca="1">IFERROR(INDEX(Price_Update!$F:$F, MATCH(A28, Price_Update!$A:$A, 0)), 160.47)</f>
        <v>160.47</v>
      </c>
      <c r="O28" s="16">
        <f t="shared" ca="1" si="0"/>
        <v>58090.14</v>
      </c>
      <c r="P28" s="16">
        <v>0</v>
      </c>
      <c r="Q28" s="16">
        <f t="shared" ca="1" si="1"/>
        <v>7862.6399999999994</v>
      </c>
      <c r="R28" s="16">
        <f t="shared" ca="1" si="2"/>
        <v>7862.6399999999994</v>
      </c>
      <c r="S28" s="17">
        <f t="shared" ca="1" si="3"/>
        <v>0.15653496197139158</v>
      </c>
      <c r="T28" s="14">
        <v>146</v>
      </c>
      <c r="U28" s="14"/>
      <c r="V28" s="14" t="s">
        <v>73</v>
      </c>
      <c r="W28" s="14" t="s">
        <v>775</v>
      </c>
    </row>
    <row r="29" spans="1:23">
      <c r="A29" s="14" t="s">
        <v>167</v>
      </c>
      <c r="B29" s="14" t="s">
        <v>24</v>
      </c>
      <c r="C29" s="14" t="s">
        <v>49</v>
      </c>
      <c r="D29" s="14" t="s">
        <v>40</v>
      </c>
      <c r="E29" s="14"/>
      <c r="F29" s="14">
        <v>339</v>
      </c>
      <c r="G29" s="16">
        <v>199971.65</v>
      </c>
      <c r="H29" s="16">
        <v>589.89</v>
      </c>
      <c r="I29" s="14">
        <v>339</v>
      </c>
      <c r="J29" s="16">
        <v>201780.55</v>
      </c>
      <c r="K29" s="16">
        <v>595.22</v>
      </c>
      <c r="L29" s="14">
        <v>0</v>
      </c>
      <c r="M29" s="16">
        <v>0</v>
      </c>
      <c r="N29" s="16">
        <f>IFERROR(INDEX(Price_Update!$F:$F, MATCH(A29, Price_Update!$A:$A, 0)), 699.1)</f>
        <v>699.1</v>
      </c>
      <c r="O29" s="16">
        <f t="shared" si="0"/>
        <v>0</v>
      </c>
      <c r="P29" s="16">
        <v>1807.84</v>
      </c>
      <c r="Q29" s="16">
        <f t="shared" si="1"/>
        <v>0</v>
      </c>
      <c r="R29" s="16">
        <f t="shared" si="2"/>
        <v>1807.84</v>
      </c>
      <c r="S29" s="17">
        <f t="shared" si="3"/>
        <v>9.04048148825096E-3</v>
      </c>
      <c r="T29" s="14">
        <v>135</v>
      </c>
      <c r="U29" s="14"/>
      <c r="V29" s="14" t="s">
        <v>73</v>
      </c>
      <c r="W29" s="14" t="s">
        <v>776</v>
      </c>
    </row>
    <row r="30" spans="1:23">
      <c r="A30" s="14" t="s">
        <v>282</v>
      </c>
      <c r="B30" s="14" t="s">
        <v>28</v>
      </c>
      <c r="C30" s="14" t="s">
        <v>49</v>
      </c>
      <c r="D30" s="14" t="s">
        <v>40</v>
      </c>
      <c r="E30" s="14"/>
      <c r="F30" s="14">
        <v>920</v>
      </c>
      <c r="G30" s="16">
        <v>99801.600000000006</v>
      </c>
      <c r="H30" s="16">
        <v>108.48</v>
      </c>
      <c r="I30" s="14">
        <v>920</v>
      </c>
      <c r="J30" s="16">
        <v>82570</v>
      </c>
      <c r="K30" s="16">
        <v>89.75</v>
      </c>
      <c r="L30" s="14">
        <v>0</v>
      </c>
      <c r="M30" s="16">
        <v>0</v>
      </c>
      <c r="N30" s="16">
        <f>IFERROR(INDEX(Price_Update!$F:$F, MATCH(A30, Price_Update!$A:$A, 0)), 97.84)</f>
        <v>97.84</v>
      </c>
      <c r="O30" s="16">
        <f t="shared" si="0"/>
        <v>0</v>
      </c>
      <c r="P30" s="16">
        <v>-17231.599999999999</v>
      </c>
      <c r="Q30" s="16">
        <f t="shared" si="1"/>
        <v>0</v>
      </c>
      <c r="R30" s="16">
        <f t="shared" si="2"/>
        <v>-17231.599999999999</v>
      </c>
      <c r="S30" s="17">
        <f t="shared" si="3"/>
        <v>-0.17265855457227136</v>
      </c>
      <c r="T30" s="14">
        <v>60</v>
      </c>
      <c r="U30" s="14"/>
      <c r="V30" s="14" t="s">
        <v>73</v>
      </c>
      <c r="W30" s="14" t="s">
        <v>776</v>
      </c>
    </row>
    <row r="31" spans="1:23">
      <c r="A31" s="14" t="s">
        <v>90</v>
      </c>
      <c r="B31" s="14" t="s">
        <v>24</v>
      </c>
      <c r="C31" s="14" t="s">
        <v>49</v>
      </c>
      <c r="D31" s="14" t="s">
        <v>40</v>
      </c>
      <c r="E31" s="14" t="s">
        <v>91</v>
      </c>
      <c r="F31" s="14">
        <v>276</v>
      </c>
      <c r="G31" s="16">
        <v>76932.53</v>
      </c>
      <c r="H31" s="16">
        <v>278.74</v>
      </c>
      <c r="I31" s="14">
        <v>0</v>
      </c>
      <c r="J31" s="16">
        <v>0</v>
      </c>
      <c r="K31" s="16">
        <v>0</v>
      </c>
      <c r="L31" s="14">
        <v>276</v>
      </c>
      <c r="M31" s="16">
        <v>76932.240000000005</v>
      </c>
      <c r="N31" s="16">
        <f ca="1">IFERROR(INDEX(Price_Update!$F:$F, MATCH(A31, Price_Update!$A:$A, 0)), 281.8)</f>
        <v>281.8</v>
      </c>
      <c r="O31" s="16">
        <f t="shared" ca="1" si="0"/>
        <v>77776.800000000003</v>
      </c>
      <c r="P31" s="16">
        <v>0</v>
      </c>
      <c r="Q31" s="16">
        <f t="shared" ca="1" si="1"/>
        <v>844.55999999999767</v>
      </c>
      <c r="R31" s="16">
        <f t="shared" ca="1" si="2"/>
        <v>844.55999999999767</v>
      </c>
      <c r="S31" s="17">
        <f t="shared" ca="1" si="3"/>
        <v>1.0977930922068956E-2</v>
      </c>
      <c r="T31" s="14">
        <v>213</v>
      </c>
      <c r="U31" s="14"/>
      <c r="V31" s="14" t="s">
        <v>73</v>
      </c>
      <c r="W31" s="14" t="s">
        <v>775</v>
      </c>
    </row>
    <row r="32" spans="1:23">
      <c r="A32" s="14" t="s">
        <v>408</v>
      </c>
      <c r="B32" s="14" t="s">
        <v>26</v>
      </c>
      <c r="C32" s="14" t="s">
        <v>51</v>
      </c>
      <c r="D32" s="14" t="s">
        <v>38</v>
      </c>
      <c r="E32" s="14" t="s">
        <v>97</v>
      </c>
      <c r="F32" s="14">
        <v>49</v>
      </c>
      <c r="G32" s="16">
        <v>200323.802</v>
      </c>
      <c r="H32" s="16">
        <v>4088.24</v>
      </c>
      <c r="I32" s="14">
        <v>0</v>
      </c>
      <c r="J32" s="16">
        <v>0</v>
      </c>
      <c r="K32" s="16">
        <v>0</v>
      </c>
      <c r="L32" s="14">
        <v>49</v>
      </c>
      <c r="M32" s="16">
        <v>200323.76</v>
      </c>
      <c r="N32" s="16">
        <f ca="1">IFERROR(INDEX(Price_Update!$F:$F, MATCH(A32, Price_Update!$A:$A, 0)), 5097.7)</f>
        <v>5097.7</v>
      </c>
      <c r="O32" s="16">
        <f t="shared" ca="1" si="0"/>
        <v>249787.3</v>
      </c>
      <c r="P32" s="16">
        <v>0</v>
      </c>
      <c r="Q32" s="16">
        <f t="shared" ca="1" si="1"/>
        <v>49463.539999999979</v>
      </c>
      <c r="R32" s="16">
        <f t="shared" ca="1" si="2"/>
        <v>49463.539999999979</v>
      </c>
      <c r="S32" s="17">
        <f t="shared" ca="1" si="3"/>
        <v>0.2469179373901858</v>
      </c>
      <c r="T32" s="14">
        <v>80</v>
      </c>
      <c r="U32" s="14"/>
      <c r="V32" s="14" t="s">
        <v>73</v>
      </c>
      <c r="W32" s="14" t="s">
        <v>776</v>
      </c>
    </row>
    <row r="33" spans="1:23">
      <c r="A33" s="14" t="s">
        <v>149</v>
      </c>
      <c r="B33" s="14" t="s">
        <v>24</v>
      </c>
      <c r="C33" s="14" t="s">
        <v>49</v>
      </c>
      <c r="D33" s="14" t="s">
        <v>38</v>
      </c>
      <c r="E33" s="14"/>
      <c r="F33" s="14">
        <v>226</v>
      </c>
      <c r="G33" s="16">
        <v>198521.9</v>
      </c>
      <c r="H33" s="16">
        <v>878.42</v>
      </c>
      <c r="I33" s="14">
        <v>226</v>
      </c>
      <c r="J33" s="16">
        <v>149562.45000000001</v>
      </c>
      <c r="K33" s="16">
        <v>661.78</v>
      </c>
      <c r="L33" s="14">
        <v>0</v>
      </c>
      <c r="M33" s="16">
        <v>0</v>
      </c>
      <c r="N33" s="16">
        <f>IFERROR(INDEX(Price_Update!$F:$F, MATCH(A33, Price_Update!$A:$A, 0)), 817.5)</f>
        <v>817.5</v>
      </c>
      <c r="O33" s="16">
        <f t="shared" si="0"/>
        <v>0</v>
      </c>
      <c r="P33" s="16">
        <v>-48960.47</v>
      </c>
      <c r="Q33" s="16">
        <f t="shared" si="1"/>
        <v>0</v>
      </c>
      <c r="R33" s="16">
        <f t="shared" si="2"/>
        <v>-48960.47</v>
      </c>
      <c r="S33" s="17">
        <f t="shared" si="3"/>
        <v>-0.24662503230122221</v>
      </c>
      <c r="T33" s="14">
        <v>193</v>
      </c>
      <c r="U33" s="14"/>
      <c r="V33" s="14" t="s">
        <v>73</v>
      </c>
      <c r="W33" s="14" t="s">
        <v>776</v>
      </c>
    </row>
    <row r="34" spans="1:23">
      <c r="A34" s="14" t="s">
        <v>41</v>
      </c>
      <c r="B34" s="14" t="s">
        <v>26</v>
      </c>
      <c r="C34" s="14" t="s">
        <v>49</v>
      </c>
      <c r="D34" s="14" t="s">
        <v>40</v>
      </c>
      <c r="E34" s="14" t="s">
        <v>98</v>
      </c>
      <c r="F34" s="14">
        <v>356</v>
      </c>
      <c r="G34" s="16">
        <v>300219.3</v>
      </c>
      <c r="H34" s="16">
        <v>843.31</v>
      </c>
      <c r="I34" s="14">
        <v>103</v>
      </c>
      <c r="J34" s="16">
        <v>99714.349999999991</v>
      </c>
      <c r="K34" s="16">
        <v>968.1</v>
      </c>
      <c r="L34" s="14">
        <v>253</v>
      </c>
      <c r="M34" s="16">
        <v>213357.43</v>
      </c>
      <c r="N34" s="16">
        <f ca="1">IFERROR(INDEX(Price_Update!$F:$F, MATCH(A34, Price_Update!$A:$A, 0)), 1149.7)</f>
        <v>1149.7</v>
      </c>
      <c r="O34" s="16">
        <f t="shared" ca="1" si="0"/>
        <v>290874.10000000003</v>
      </c>
      <c r="P34" s="16">
        <v>12853.42</v>
      </c>
      <c r="Q34" s="16">
        <f t="shared" ca="1" si="1"/>
        <v>77516.670000000042</v>
      </c>
      <c r="R34" s="16">
        <f t="shared" ca="1" si="2"/>
        <v>90370.09000000004</v>
      </c>
      <c r="S34" s="17">
        <f t="shared" ca="1" si="3"/>
        <v>0.30101359239729109</v>
      </c>
      <c r="T34" s="14">
        <v>234</v>
      </c>
      <c r="U34" s="14"/>
      <c r="V34" s="14" t="s">
        <v>73</v>
      </c>
      <c r="W34" s="14" t="s">
        <v>776</v>
      </c>
    </row>
    <row r="35" spans="1:23">
      <c r="A35" s="14" t="s">
        <v>241</v>
      </c>
      <c r="B35" s="14" t="s">
        <v>28</v>
      </c>
      <c r="C35" s="14" t="s">
        <v>49</v>
      </c>
      <c r="D35" s="14" t="s">
        <v>40</v>
      </c>
      <c r="E35" s="14"/>
      <c r="F35" s="14">
        <v>205</v>
      </c>
      <c r="G35" s="16">
        <v>99086.75</v>
      </c>
      <c r="H35" s="16">
        <v>483.35</v>
      </c>
      <c r="I35" s="14">
        <v>205</v>
      </c>
      <c r="J35" s="16">
        <v>75235</v>
      </c>
      <c r="K35" s="16">
        <v>367</v>
      </c>
      <c r="L35" s="14">
        <v>0</v>
      </c>
      <c r="M35" s="16">
        <v>0</v>
      </c>
      <c r="N35" s="16">
        <f>IFERROR(INDEX(Price_Update!$F:$F, MATCH(A35, Price_Update!$A:$A, 0)), 402.9)</f>
        <v>402.9</v>
      </c>
      <c r="O35" s="16">
        <f t="shared" si="0"/>
        <v>0</v>
      </c>
      <c r="P35" s="16">
        <v>-23851.75</v>
      </c>
      <c r="Q35" s="16">
        <f t="shared" si="1"/>
        <v>0</v>
      </c>
      <c r="R35" s="16">
        <f t="shared" si="2"/>
        <v>-23851.75</v>
      </c>
      <c r="S35" s="17">
        <f t="shared" si="3"/>
        <v>-0.24071583738491775</v>
      </c>
      <c r="T35" s="14">
        <v>193</v>
      </c>
      <c r="U35" s="14"/>
      <c r="V35" s="14" t="s">
        <v>73</v>
      </c>
      <c r="W35" s="14" t="s">
        <v>776</v>
      </c>
    </row>
    <row r="36" spans="1:23">
      <c r="A36" s="14" t="s">
        <v>251</v>
      </c>
      <c r="B36" s="14" t="s">
        <v>26</v>
      </c>
      <c r="C36" s="14" t="s">
        <v>49</v>
      </c>
      <c r="D36" s="14" t="s">
        <v>40</v>
      </c>
      <c r="E36" s="14"/>
      <c r="F36" s="14">
        <v>386</v>
      </c>
      <c r="G36" s="16">
        <v>70186.3</v>
      </c>
      <c r="H36" s="16">
        <v>181.83</v>
      </c>
      <c r="I36" s="14">
        <v>386</v>
      </c>
      <c r="J36" s="16">
        <v>52592.5</v>
      </c>
      <c r="K36" s="16">
        <v>136.25</v>
      </c>
      <c r="L36" s="14">
        <v>0</v>
      </c>
      <c r="M36" s="16">
        <v>0</v>
      </c>
      <c r="N36" s="16">
        <f>IFERROR(INDEX(Price_Update!$F:$F, MATCH(A36, Price_Update!$A:$A, 0)), 143.94)</f>
        <v>143.94</v>
      </c>
      <c r="O36" s="16">
        <f t="shared" si="0"/>
        <v>0</v>
      </c>
      <c r="P36" s="16">
        <v>-17593.88</v>
      </c>
      <c r="Q36" s="16">
        <f t="shared" si="1"/>
        <v>0</v>
      </c>
      <c r="R36" s="16">
        <f t="shared" si="2"/>
        <v>-17593.88</v>
      </c>
      <c r="S36" s="17">
        <f t="shared" si="3"/>
        <v>-0.25067399193289858</v>
      </c>
      <c r="T36" s="14">
        <v>193</v>
      </c>
      <c r="U36" s="14"/>
      <c r="V36" s="14" t="s">
        <v>73</v>
      </c>
      <c r="W36" s="14" t="s">
        <v>776</v>
      </c>
    </row>
    <row r="37" spans="1:23">
      <c r="A37" s="14" t="s">
        <v>178</v>
      </c>
      <c r="B37" s="14" t="s">
        <v>24</v>
      </c>
      <c r="C37" s="14" t="s">
        <v>51</v>
      </c>
      <c r="D37" s="14" t="s">
        <v>40</v>
      </c>
      <c r="E37" s="14"/>
      <c r="F37" s="14">
        <v>35</v>
      </c>
      <c r="G37" s="16">
        <v>25089.75</v>
      </c>
      <c r="H37" s="16">
        <v>716.85</v>
      </c>
      <c r="I37" s="14">
        <v>35</v>
      </c>
      <c r="J37" s="16">
        <v>22651.75</v>
      </c>
      <c r="K37" s="16">
        <v>647.19000000000005</v>
      </c>
      <c r="L37" s="14">
        <v>0</v>
      </c>
      <c r="M37" s="16">
        <v>0</v>
      </c>
      <c r="N37" s="16">
        <f>IFERROR(INDEX(Price_Update!$F:$F, MATCH(A37, Price_Update!$A:$A, 0)), 640.8)</f>
        <v>640.79999999999995</v>
      </c>
      <c r="O37" s="16">
        <f t="shared" si="0"/>
        <v>0</v>
      </c>
      <c r="P37" s="16">
        <v>-2438</v>
      </c>
      <c r="Q37" s="16">
        <f t="shared" si="1"/>
        <v>0</v>
      </c>
      <c r="R37" s="16">
        <f t="shared" si="2"/>
        <v>-2438</v>
      </c>
      <c r="S37" s="17">
        <f t="shared" si="3"/>
        <v>-9.7171155551569868E-2</v>
      </c>
      <c r="T37" s="14">
        <v>31</v>
      </c>
      <c r="U37" s="14"/>
      <c r="V37" s="14" t="s">
        <v>73</v>
      </c>
      <c r="W37" s="14" t="s">
        <v>776</v>
      </c>
    </row>
    <row r="38" spans="1:23">
      <c r="A38" s="14" t="s">
        <v>291</v>
      </c>
      <c r="B38" s="14" t="s">
        <v>24</v>
      </c>
      <c r="C38" s="14" t="s">
        <v>51</v>
      </c>
      <c r="D38" s="14" t="s">
        <v>40</v>
      </c>
      <c r="E38" s="14"/>
      <c r="F38" s="14">
        <v>196</v>
      </c>
      <c r="G38" s="16">
        <v>100079.5</v>
      </c>
      <c r="H38" s="16">
        <v>510.61</v>
      </c>
      <c r="I38" s="14">
        <v>196</v>
      </c>
      <c r="J38" s="16">
        <v>82398.399999999994</v>
      </c>
      <c r="K38" s="16">
        <v>420.4</v>
      </c>
      <c r="L38" s="14">
        <v>0</v>
      </c>
      <c r="M38" s="16">
        <v>0</v>
      </c>
      <c r="N38" s="16">
        <f>IFERROR(INDEX(Price_Update!$F:$F, MATCH(A38, Price_Update!$A:$A, 0)), 413.3)</f>
        <v>413.3</v>
      </c>
      <c r="O38" s="16">
        <f t="shared" si="0"/>
        <v>0</v>
      </c>
      <c r="P38" s="16">
        <v>-17681.16</v>
      </c>
      <c r="Q38" s="16">
        <f t="shared" si="1"/>
        <v>0</v>
      </c>
      <c r="R38" s="16">
        <f t="shared" si="2"/>
        <v>-17681.16</v>
      </c>
      <c r="S38" s="17">
        <f t="shared" si="3"/>
        <v>-0.17667114643858134</v>
      </c>
      <c r="T38" s="14">
        <v>70</v>
      </c>
      <c r="U38" s="14"/>
      <c r="V38" s="14" t="s">
        <v>73</v>
      </c>
      <c r="W38" s="14" t="s">
        <v>776</v>
      </c>
    </row>
    <row r="39" spans="1:23">
      <c r="A39" s="14" t="s">
        <v>296</v>
      </c>
      <c r="B39" s="14" t="s">
        <v>24</v>
      </c>
      <c r="C39" s="14" t="s">
        <v>49</v>
      </c>
      <c r="D39" s="14" t="s">
        <v>40</v>
      </c>
      <c r="E39" s="14"/>
      <c r="F39" s="14">
        <v>19</v>
      </c>
      <c r="G39" s="16">
        <v>24977.4</v>
      </c>
      <c r="H39" s="16">
        <v>1314.6</v>
      </c>
      <c r="I39" s="14">
        <v>19</v>
      </c>
      <c r="J39" s="16">
        <v>21475.7</v>
      </c>
      <c r="K39" s="16">
        <v>1130.3</v>
      </c>
      <c r="L39" s="14">
        <v>0</v>
      </c>
      <c r="M39" s="16">
        <v>0</v>
      </c>
      <c r="N39" s="16">
        <f>IFERROR(INDEX(Price_Update!$F:$F, MATCH(A39, Price_Update!$A:$A, 0)), 1830)</f>
        <v>1830</v>
      </c>
      <c r="O39" s="16">
        <f t="shared" si="0"/>
        <v>0</v>
      </c>
      <c r="P39" s="16">
        <v>-3501.7</v>
      </c>
      <c r="Q39" s="16">
        <f t="shared" si="1"/>
        <v>0</v>
      </c>
      <c r="R39" s="16">
        <f t="shared" si="2"/>
        <v>-3501.7</v>
      </c>
      <c r="S39" s="17">
        <f t="shared" si="3"/>
        <v>-0.14019473604138138</v>
      </c>
      <c r="T39" s="14">
        <v>27</v>
      </c>
      <c r="U39" s="14"/>
      <c r="V39" s="14" t="s">
        <v>73</v>
      </c>
      <c r="W39" s="14" t="s">
        <v>776</v>
      </c>
    </row>
    <row r="40" spans="1:23">
      <c r="A40" s="14" t="s">
        <v>114</v>
      </c>
      <c r="B40" s="14" t="s">
        <v>28</v>
      </c>
      <c r="C40" s="14" t="s">
        <v>54</v>
      </c>
      <c r="D40" s="14" t="s">
        <v>40</v>
      </c>
      <c r="E40" s="14" t="s">
        <v>92</v>
      </c>
      <c r="F40" s="14">
        <v>38</v>
      </c>
      <c r="G40" s="16">
        <v>50369</v>
      </c>
      <c r="H40" s="16">
        <v>1325.5</v>
      </c>
      <c r="I40" s="14">
        <v>0</v>
      </c>
      <c r="J40" s="16">
        <v>0</v>
      </c>
      <c r="K40" s="16">
        <v>0</v>
      </c>
      <c r="L40" s="14">
        <v>38</v>
      </c>
      <c r="M40" s="16">
        <v>50369</v>
      </c>
      <c r="N40" s="16">
        <f ca="1">IFERROR(INDEX(Price_Update!$F:$F, MATCH(A40, Price_Update!$A:$A, 0)), 1381.7)</f>
        <v>1381.7</v>
      </c>
      <c r="O40" s="16">
        <f t="shared" ca="1" si="0"/>
        <v>52504.6</v>
      </c>
      <c r="P40" s="16">
        <v>0</v>
      </c>
      <c r="Q40" s="16">
        <f t="shared" ca="1" si="1"/>
        <v>2135.5999999999985</v>
      </c>
      <c r="R40" s="16">
        <f t="shared" ca="1" si="2"/>
        <v>2135.5999999999985</v>
      </c>
      <c r="S40" s="17">
        <f t="shared" ca="1" si="3"/>
        <v>4.2399094681252331E-2</v>
      </c>
      <c r="T40" s="14">
        <v>13</v>
      </c>
      <c r="U40" s="14"/>
      <c r="V40" s="14" t="s">
        <v>73</v>
      </c>
      <c r="W40" s="14" t="s">
        <v>776</v>
      </c>
    </row>
    <row r="41" spans="1:23">
      <c r="A41" s="14" t="s">
        <v>67</v>
      </c>
      <c r="B41" s="14" t="s">
        <v>26</v>
      </c>
      <c r="C41" s="14" t="s">
        <v>49</v>
      </c>
      <c r="D41" s="14" t="s">
        <v>38</v>
      </c>
      <c r="E41" s="14" t="s">
        <v>92</v>
      </c>
      <c r="F41" s="14">
        <v>16</v>
      </c>
      <c r="G41" s="16">
        <v>50032</v>
      </c>
      <c r="H41" s="16">
        <v>3127</v>
      </c>
      <c r="I41" s="14">
        <v>0</v>
      </c>
      <c r="J41" s="16">
        <v>0</v>
      </c>
      <c r="K41" s="16">
        <v>0</v>
      </c>
      <c r="L41" s="14">
        <v>16</v>
      </c>
      <c r="M41" s="16">
        <v>50032</v>
      </c>
      <c r="N41" s="16">
        <f ca="1">IFERROR(INDEX(Price_Update!$F:$F, MATCH(A41, Price_Update!$A:$A, 0)), 3121.6)</f>
        <v>3121.6</v>
      </c>
      <c r="O41" s="16">
        <f t="shared" ca="1" si="0"/>
        <v>49945.599999999999</v>
      </c>
      <c r="P41" s="16">
        <v>0</v>
      </c>
      <c r="Q41" s="16">
        <f t="shared" ca="1" si="1"/>
        <v>-86.400000000001455</v>
      </c>
      <c r="R41" s="16">
        <f t="shared" ca="1" si="2"/>
        <v>-86.400000000001455</v>
      </c>
      <c r="S41" s="17">
        <f t="shared" ca="1" si="3"/>
        <v>-1.7268947873361339E-3</v>
      </c>
      <c r="T41" s="14">
        <v>13</v>
      </c>
      <c r="U41" s="14"/>
      <c r="V41" s="14" t="s">
        <v>73</v>
      </c>
      <c r="W41" s="14" t="s">
        <v>776</v>
      </c>
    </row>
    <row r="42" spans="1:23">
      <c r="A42" s="14" t="s">
        <v>333</v>
      </c>
      <c r="B42" s="14" t="s">
        <v>28</v>
      </c>
      <c r="C42" s="14" t="s">
        <v>53</v>
      </c>
      <c r="D42" s="14" t="s">
        <v>40</v>
      </c>
      <c r="E42" s="14"/>
      <c r="F42" s="14">
        <v>1315</v>
      </c>
      <c r="G42" s="16">
        <v>100907.4</v>
      </c>
      <c r="H42" s="16">
        <v>76.739999999999995</v>
      </c>
      <c r="I42" s="14">
        <v>1315</v>
      </c>
      <c r="J42" s="16">
        <v>105902.05</v>
      </c>
      <c r="K42" s="16">
        <v>80.53</v>
      </c>
      <c r="L42" s="14">
        <v>0</v>
      </c>
      <c r="M42" s="16">
        <v>0</v>
      </c>
      <c r="N42" s="16">
        <f>IFERROR(INDEX(Price_Update!$F:$F, MATCH(A42, Price_Update!$A:$A, 0)), 80.08)</f>
        <v>80.08</v>
      </c>
      <c r="O42" s="16">
        <f t="shared" si="0"/>
        <v>0</v>
      </c>
      <c r="P42" s="16">
        <v>4988.95</v>
      </c>
      <c r="Q42" s="16">
        <f t="shared" si="1"/>
        <v>0</v>
      </c>
      <c r="R42" s="16">
        <f t="shared" si="2"/>
        <v>4988.95</v>
      </c>
      <c r="S42" s="17">
        <f t="shared" si="3"/>
        <v>4.9440873513736355E-2</v>
      </c>
      <c r="T42" s="14">
        <v>124</v>
      </c>
      <c r="U42" s="14"/>
      <c r="V42" s="14" t="s">
        <v>73</v>
      </c>
      <c r="W42" s="14" t="s">
        <v>775</v>
      </c>
    </row>
    <row r="43" spans="1:23">
      <c r="A43" s="14" t="s">
        <v>422</v>
      </c>
      <c r="B43" s="14" t="s">
        <v>28</v>
      </c>
      <c r="C43" s="14" t="s">
        <v>49</v>
      </c>
      <c r="D43" s="14" t="s">
        <v>40</v>
      </c>
      <c r="E43" s="14"/>
      <c r="F43" s="14">
        <v>19</v>
      </c>
      <c r="G43" s="16">
        <v>50977</v>
      </c>
      <c r="H43" s="16">
        <v>2683</v>
      </c>
      <c r="I43" s="14">
        <v>19</v>
      </c>
      <c r="J43" s="16">
        <v>47612.048300000002</v>
      </c>
      <c r="K43" s="16">
        <v>2505.9</v>
      </c>
      <c r="L43" s="14">
        <v>0</v>
      </c>
      <c r="M43" s="16">
        <v>0</v>
      </c>
      <c r="N43" s="16">
        <f>IFERROR(INDEX(Price_Update!$F:$F, MATCH(A43, Price_Update!$A:$A, 0)), 2455.1)</f>
        <v>2455.1</v>
      </c>
      <c r="O43" s="16">
        <f t="shared" si="0"/>
        <v>0</v>
      </c>
      <c r="P43" s="16">
        <v>-3364.95</v>
      </c>
      <c r="Q43" s="16">
        <f t="shared" si="1"/>
        <v>0</v>
      </c>
      <c r="R43" s="16">
        <f t="shared" si="2"/>
        <v>-3364.95</v>
      </c>
      <c r="S43" s="17">
        <f t="shared" si="3"/>
        <v>-6.6009180610863721E-2</v>
      </c>
      <c r="T43" s="14">
        <v>18</v>
      </c>
      <c r="U43" s="14"/>
      <c r="V43" s="14" t="s">
        <v>73</v>
      </c>
      <c r="W43" s="14" t="s">
        <v>775</v>
      </c>
    </row>
    <row r="44" spans="1:23">
      <c r="A44" s="14" t="s">
        <v>74</v>
      </c>
      <c r="B44" s="14" t="s">
        <v>24</v>
      </c>
      <c r="C44" s="14" t="s">
        <v>54</v>
      </c>
      <c r="D44" s="14" t="s">
        <v>38</v>
      </c>
      <c r="E44" s="14"/>
      <c r="F44" s="14">
        <v>168</v>
      </c>
      <c r="G44" s="16">
        <v>91224</v>
      </c>
      <c r="H44" s="16">
        <v>543</v>
      </c>
      <c r="I44" s="14">
        <v>168</v>
      </c>
      <c r="J44" s="16">
        <v>81102.5</v>
      </c>
      <c r="K44" s="16">
        <v>482.75</v>
      </c>
      <c r="L44" s="14">
        <v>0</v>
      </c>
      <c r="M44" s="16">
        <v>0</v>
      </c>
      <c r="N44" s="16">
        <f>IFERROR(INDEX(Price_Update!$F:$F, MATCH(A44, Price_Update!$A:$A, 0)), 536.15)</f>
        <v>536.15</v>
      </c>
      <c r="O44" s="16">
        <f t="shared" si="0"/>
        <v>0</v>
      </c>
      <c r="P44" s="16">
        <v>-10121.5</v>
      </c>
      <c r="Q44" s="16">
        <f t="shared" si="1"/>
        <v>0</v>
      </c>
      <c r="R44" s="16">
        <f t="shared" si="2"/>
        <v>-10121.5</v>
      </c>
      <c r="S44" s="17">
        <f t="shared" si="3"/>
        <v>-0.11095216171183021</v>
      </c>
      <c r="T44" s="14">
        <v>64</v>
      </c>
      <c r="U44" s="14" t="s">
        <v>75</v>
      </c>
      <c r="V44" s="14" t="s">
        <v>73</v>
      </c>
      <c r="W44" s="14" t="s">
        <v>775</v>
      </c>
    </row>
    <row r="45" spans="1:23">
      <c r="A45" s="14" t="s">
        <v>396</v>
      </c>
      <c r="B45" s="14" t="s">
        <v>24</v>
      </c>
      <c r="C45" s="14" t="s">
        <v>49</v>
      </c>
      <c r="D45" s="14" t="s">
        <v>40</v>
      </c>
      <c r="E45" s="14"/>
      <c r="F45" s="14">
        <v>121</v>
      </c>
      <c r="G45" s="16">
        <v>24998.6</v>
      </c>
      <c r="H45" s="16">
        <v>206.6</v>
      </c>
      <c r="I45" s="14">
        <v>121</v>
      </c>
      <c r="J45" s="16">
        <v>19294.599999999999</v>
      </c>
      <c r="K45" s="16">
        <v>159.46</v>
      </c>
      <c r="L45" s="14">
        <v>0</v>
      </c>
      <c r="M45" s="16">
        <v>0</v>
      </c>
      <c r="N45" s="16">
        <f>IFERROR(INDEX(Price_Update!$F:$F, MATCH(A45, Price_Update!$A:$A, 0)), 150.41)</f>
        <v>150.41</v>
      </c>
      <c r="O45" s="16">
        <f t="shared" si="0"/>
        <v>0</v>
      </c>
      <c r="P45" s="16">
        <v>-5704</v>
      </c>
      <c r="Q45" s="16">
        <f t="shared" si="1"/>
        <v>0</v>
      </c>
      <c r="R45" s="16">
        <f t="shared" si="2"/>
        <v>-5704</v>
      </c>
      <c r="S45" s="17">
        <f t="shared" si="3"/>
        <v>-0.22817277767554983</v>
      </c>
      <c r="T45" s="14">
        <v>59</v>
      </c>
      <c r="U45" s="14"/>
      <c r="V45" s="14" t="s">
        <v>73</v>
      </c>
      <c r="W45" s="14" t="s">
        <v>775</v>
      </c>
    </row>
    <row r="46" spans="1:23">
      <c r="A46" s="14" t="s">
        <v>401</v>
      </c>
      <c r="B46" s="14"/>
      <c r="C46" s="14" t="s">
        <v>51</v>
      </c>
      <c r="D46" s="14" t="s">
        <v>40</v>
      </c>
      <c r="E46" s="14"/>
      <c r="F46" s="14">
        <v>92</v>
      </c>
      <c r="G46" s="16">
        <v>25078.28</v>
      </c>
      <c r="H46" s="16">
        <v>272.58999999999997</v>
      </c>
      <c r="I46" s="14">
        <v>92</v>
      </c>
      <c r="J46" s="16">
        <v>24499.599999999999</v>
      </c>
      <c r="K46" s="16">
        <v>266.3</v>
      </c>
      <c r="L46" s="14">
        <v>0</v>
      </c>
      <c r="M46" s="16">
        <v>0</v>
      </c>
      <c r="N46" s="16">
        <f>IFERROR(INDEX(Price_Update!$F:$F, MATCH(A46, Price_Update!$A:$A, 0)), 270.83)</f>
        <v>270.83</v>
      </c>
      <c r="O46" s="16">
        <f t="shared" si="0"/>
        <v>0</v>
      </c>
      <c r="P46" s="16">
        <v>-578.67999999999995</v>
      </c>
      <c r="Q46" s="16">
        <f t="shared" si="1"/>
        <v>0</v>
      </c>
      <c r="R46" s="16">
        <f t="shared" si="2"/>
        <v>-578.67999999999995</v>
      </c>
      <c r="S46" s="17">
        <f t="shared" si="3"/>
        <v>-2.3074947723687587E-2</v>
      </c>
      <c r="T46" s="14">
        <v>72</v>
      </c>
      <c r="U46" s="14"/>
      <c r="V46" s="14" t="s">
        <v>73</v>
      </c>
      <c r="W46" s="14" t="s">
        <v>775</v>
      </c>
    </row>
    <row r="47" spans="1:23">
      <c r="A47" s="14" t="s">
        <v>94</v>
      </c>
      <c r="B47" s="14" t="s">
        <v>28</v>
      </c>
      <c r="C47" s="14" t="s">
        <v>49</v>
      </c>
      <c r="D47" s="14" t="s">
        <v>40</v>
      </c>
      <c r="E47" s="14" t="s">
        <v>92</v>
      </c>
      <c r="F47" s="14">
        <v>300</v>
      </c>
      <c r="G47" s="16">
        <v>25347</v>
      </c>
      <c r="H47" s="16">
        <v>84.49</v>
      </c>
      <c r="I47" s="14">
        <v>0</v>
      </c>
      <c r="J47" s="16">
        <v>0</v>
      </c>
      <c r="K47" s="16">
        <v>0</v>
      </c>
      <c r="L47" s="14">
        <v>300</v>
      </c>
      <c r="M47" s="16">
        <v>25347</v>
      </c>
      <c r="N47" s="16">
        <f ca="1">IFERROR(INDEX(Price_Update!$F:$F, MATCH(A47, Price_Update!$A:$A, 0)), 92.28)</f>
        <v>92.28</v>
      </c>
      <c r="O47" s="16">
        <f t="shared" ca="1" si="0"/>
        <v>27684</v>
      </c>
      <c r="P47" s="16">
        <v>0</v>
      </c>
      <c r="Q47" s="16">
        <f t="shared" ca="1" si="1"/>
        <v>2337</v>
      </c>
      <c r="R47" s="16">
        <f t="shared" ca="1" si="2"/>
        <v>2337</v>
      </c>
      <c r="S47" s="17">
        <f t="shared" ca="1" si="3"/>
        <v>9.2200260385844474E-2</v>
      </c>
      <c r="T47" s="14">
        <v>146</v>
      </c>
      <c r="U47" s="14"/>
      <c r="V47" s="14" t="s">
        <v>73</v>
      </c>
      <c r="W47" s="14" t="s">
        <v>776</v>
      </c>
    </row>
    <row r="48" spans="1:23">
      <c r="A48" s="14" t="s">
        <v>68</v>
      </c>
      <c r="B48" s="14" t="s">
        <v>24</v>
      </c>
      <c r="C48" s="14" t="s">
        <v>49</v>
      </c>
      <c r="D48" s="14" t="s">
        <v>40</v>
      </c>
      <c r="E48" s="14" t="s">
        <v>91</v>
      </c>
      <c r="F48" s="14">
        <v>133</v>
      </c>
      <c r="G48" s="16">
        <v>50270</v>
      </c>
      <c r="H48" s="16">
        <v>377.97</v>
      </c>
      <c r="I48" s="14">
        <v>0</v>
      </c>
      <c r="J48" s="16">
        <v>0</v>
      </c>
      <c r="K48" s="16">
        <v>0</v>
      </c>
      <c r="L48" s="14">
        <v>133</v>
      </c>
      <c r="M48" s="16">
        <v>50270.01</v>
      </c>
      <c r="N48" s="16">
        <f ca="1">IFERROR(INDEX(Price_Update!$F:$F, MATCH(A48, Price_Update!$A:$A, 0)), 381.8)</f>
        <v>381.8</v>
      </c>
      <c r="O48" s="16">
        <f t="shared" ca="1" si="0"/>
        <v>50779.4</v>
      </c>
      <c r="P48" s="16">
        <v>0</v>
      </c>
      <c r="Q48" s="16">
        <f t="shared" ca="1" si="1"/>
        <v>509.38999999999942</v>
      </c>
      <c r="R48" s="16">
        <f t="shared" ca="1" si="2"/>
        <v>509.38999999999942</v>
      </c>
      <c r="S48" s="17">
        <f t="shared" ca="1" si="3"/>
        <v>1.0133081360652465E-2</v>
      </c>
      <c r="T48" s="14">
        <v>6</v>
      </c>
      <c r="U48" s="14"/>
      <c r="V48" s="14" t="s">
        <v>73</v>
      </c>
      <c r="W48" s="14" t="s">
        <v>775</v>
      </c>
    </row>
    <row r="49" spans="1:23">
      <c r="A49" s="14" t="s">
        <v>76</v>
      </c>
      <c r="B49" s="14" t="s">
        <v>26</v>
      </c>
      <c r="C49" s="14" t="s">
        <v>54</v>
      </c>
      <c r="D49" s="14" t="s">
        <v>38</v>
      </c>
      <c r="E49" s="14"/>
      <c r="F49" s="14">
        <v>60</v>
      </c>
      <c r="G49" s="16">
        <v>93744</v>
      </c>
      <c r="H49" s="16">
        <v>1562.4</v>
      </c>
      <c r="I49" s="14">
        <v>60</v>
      </c>
      <c r="J49" s="16">
        <v>88621.5</v>
      </c>
      <c r="K49" s="16">
        <v>1477.02</v>
      </c>
      <c r="L49" s="14">
        <v>0</v>
      </c>
      <c r="M49" s="16">
        <v>0</v>
      </c>
      <c r="N49" s="16">
        <f>IFERROR(INDEX(Price_Update!$F:$F, MATCH(A49, Price_Update!$A:$A, 0)), 1480.7)</f>
        <v>1480.7</v>
      </c>
      <c r="O49" s="16">
        <f t="shared" si="0"/>
        <v>0</v>
      </c>
      <c r="P49" s="16">
        <v>-5122.5</v>
      </c>
      <c r="Q49" s="16">
        <f t="shared" si="1"/>
        <v>0</v>
      </c>
      <c r="R49" s="16">
        <f t="shared" si="2"/>
        <v>-5122.5</v>
      </c>
      <c r="S49" s="17">
        <f t="shared" si="3"/>
        <v>-5.4643497183819764E-2</v>
      </c>
      <c r="T49" s="14">
        <v>24</v>
      </c>
      <c r="U49" s="14" t="s">
        <v>77</v>
      </c>
      <c r="V49" s="14" t="s">
        <v>73</v>
      </c>
      <c r="W49" s="14" t="s">
        <v>776</v>
      </c>
    </row>
    <row r="50" spans="1:23">
      <c r="A50" s="14" t="s">
        <v>327</v>
      </c>
      <c r="B50" s="14" t="s">
        <v>26</v>
      </c>
      <c r="C50" s="14" t="s">
        <v>53</v>
      </c>
      <c r="D50" s="14" t="s">
        <v>40</v>
      </c>
      <c r="E50" s="14"/>
      <c r="F50" s="14">
        <v>200</v>
      </c>
      <c r="G50" s="16">
        <v>25540.1</v>
      </c>
      <c r="H50" s="16">
        <v>127.7</v>
      </c>
      <c r="I50" s="14">
        <v>200</v>
      </c>
      <c r="J50" s="16">
        <v>23912</v>
      </c>
      <c r="K50" s="16">
        <v>119.56</v>
      </c>
      <c r="L50" s="14">
        <v>0</v>
      </c>
      <c r="M50" s="16">
        <v>0</v>
      </c>
      <c r="N50" s="16">
        <f>IFERROR(INDEX(Price_Update!$F:$F, MATCH(A50, Price_Update!$A:$A, 0)), 106.67)</f>
        <v>106.67</v>
      </c>
      <c r="O50" s="16">
        <f t="shared" si="0"/>
        <v>0</v>
      </c>
      <c r="P50" s="16">
        <v>-1628</v>
      </c>
      <c r="Q50" s="16">
        <f t="shared" si="1"/>
        <v>0</v>
      </c>
      <c r="R50" s="16">
        <f t="shared" si="2"/>
        <v>-1628</v>
      </c>
      <c r="S50" s="17">
        <f t="shared" si="3"/>
        <v>-6.3742898422480723E-2</v>
      </c>
      <c r="T50" s="14">
        <v>17</v>
      </c>
      <c r="U50" s="14"/>
      <c r="V50" s="14" t="s">
        <v>73</v>
      </c>
      <c r="W50" s="14" t="s">
        <v>776</v>
      </c>
    </row>
    <row r="51" spans="1:23">
      <c r="A51" s="14" t="s">
        <v>50</v>
      </c>
      <c r="B51" s="14" t="s">
        <v>24</v>
      </c>
      <c r="C51" s="14" t="s">
        <v>49</v>
      </c>
      <c r="D51" s="14" t="s">
        <v>40</v>
      </c>
      <c r="E51" s="14" t="s">
        <v>96</v>
      </c>
      <c r="F51" s="14">
        <v>70</v>
      </c>
      <c r="G51" s="16">
        <v>99582.6</v>
      </c>
      <c r="H51" s="16">
        <v>1422.61</v>
      </c>
      <c r="I51" s="14">
        <v>0</v>
      </c>
      <c r="J51" s="16">
        <v>0</v>
      </c>
      <c r="K51" s="16">
        <v>0</v>
      </c>
      <c r="L51" s="14">
        <v>70</v>
      </c>
      <c r="M51" s="16">
        <v>99582.7</v>
      </c>
      <c r="N51" s="16">
        <f ca="1">IFERROR(INDEX(Price_Update!$F:$F, MATCH(A51, Price_Update!$A:$A, 0)), 1305.2)</f>
        <v>1305.2</v>
      </c>
      <c r="O51" s="16">
        <f t="shared" ca="1" si="0"/>
        <v>91364</v>
      </c>
      <c r="P51" s="16">
        <v>0</v>
      </c>
      <c r="Q51" s="16">
        <f t="shared" ca="1" si="1"/>
        <v>-8218.6999999999971</v>
      </c>
      <c r="R51" s="16">
        <f t="shared" ca="1" si="2"/>
        <v>-8218.6999999999971</v>
      </c>
      <c r="S51" s="17">
        <f t="shared" ca="1" si="3"/>
        <v>-8.2531486424335138E-2</v>
      </c>
      <c r="T51" s="14">
        <v>24</v>
      </c>
      <c r="U51" s="14"/>
      <c r="V51" s="14" t="s">
        <v>73</v>
      </c>
      <c r="W51" s="14" t="s">
        <v>775</v>
      </c>
    </row>
    <row r="52" spans="1:23">
      <c r="A52" s="14" t="s">
        <v>39</v>
      </c>
      <c r="B52" s="14" t="s">
        <v>26</v>
      </c>
      <c r="C52" s="14" t="s">
        <v>49</v>
      </c>
      <c r="D52" s="14" t="s">
        <v>38</v>
      </c>
      <c r="E52" s="14" t="s">
        <v>99</v>
      </c>
      <c r="F52" s="14">
        <v>50</v>
      </c>
      <c r="G52" s="16">
        <v>386447</v>
      </c>
      <c r="H52" s="16">
        <v>7728.94</v>
      </c>
      <c r="I52" s="14">
        <v>0</v>
      </c>
      <c r="J52" s="16">
        <v>0</v>
      </c>
      <c r="K52" s="16">
        <v>0</v>
      </c>
      <c r="L52" s="14">
        <v>50</v>
      </c>
      <c r="M52" s="16">
        <v>386447</v>
      </c>
      <c r="N52" s="16">
        <f ca="1">IFERROR(INDEX(Price_Update!$F:$F, MATCH(A52, Price_Update!$A:$A, 0)), 9664)</f>
        <v>9664</v>
      </c>
      <c r="O52" s="16">
        <f t="shared" ca="1" si="0"/>
        <v>483200</v>
      </c>
      <c r="P52" s="16">
        <v>0</v>
      </c>
      <c r="Q52" s="16">
        <f t="shared" ca="1" si="1"/>
        <v>96753</v>
      </c>
      <c r="R52" s="16">
        <f t="shared" ca="1" si="2"/>
        <v>96753</v>
      </c>
      <c r="S52" s="17">
        <f t="shared" ca="1" si="3"/>
        <v>0.25036550937127211</v>
      </c>
      <c r="T52" s="14">
        <v>262</v>
      </c>
      <c r="U52" s="14"/>
      <c r="V52" s="14" t="s">
        <v>73</v>
      </c>
      <c r="W52" s="14" t="s">
        <v>776</v>
      </c>
    </row>
    <row r="53" spans="1:23">
      <c r="A53" s="14" t="s">
        <v>202</v>
      </c>
      <c r="B53" s="14" t="s">
        <v>24</v>
      </c>
      <c r="C53" s="14" t="s">
        <v>53</v>
      </c>
      <c r="D53" s="14" t="s">
        <v>40</v>
      </c>
      <c r="E53" s="14"/>
      <c r="F53" s="14">
        <v>188</v>
      </c>
      <c r="G53" s="16">
        <v>99892.650000000009</v>
      </c>
      <c r="H53" s="16">
        <v>531.34</v>
      </c>
      <c r="I53" s="14">
        <v>188</v>
      </c>
      <c r="J53" s="16">
        <v>90619.099999999991</v>
      </c>
      <c r="K53" s="16">
        <v>482.02</v>
      </c>
      <c r="L53" s="14">
        <v>0</v>
      </c>
      <c r="M53" s="16">
        <v>0</v>
      </c>
      <c r="N53" s="16">
        <f>IFERROR(INDEX(Price_Update!$F:$F, MATCH(A53, Price_Update!$A:$A, 0)), 394.5)</f>
        <v>394.5</v>
      </c>
      <c r="O53" s="16">
        <f t="shared" si="0"/>
        <v>0</v>
      </c>
      <c r="P53" s="16">
        <v>-9272.82</v>
      </c>
      <c r="Q53" s="16">
        <f t="shared" si="1"/>
        <v>0</v>
      </c>
      <c r="R53" s="16">
        <f t="shared" si="2"/>
        <v>-9272.82</v>
      </c>
      <c r="S53" s="17">
        <f t="shared" si="3"/>
        <v>-9.2827850697723993E-2</v>
      </c>
      <c r="T53" s="14">
        <v>21</v>
      </c>
      <c r="U53" s="14"/>
      <c r="V53" s="14" t="s">
        <v>73</v>
      </c>
      <c r="W53" s="14" t="s">
        <v>775</v>
      </c>
    </row>
    <row r="54" spans="1:23">
      <c r="A54" s="14" t="s">
        <v>126</v>
      </c>
      <c r="B54" s="14" t="s">
        <v>24</v>
      </c>
      <c r="C54" s="14" t="s">
        <v>49</v>
      </c>
      <c r="D54" s="14" t="s">
        <v>40</v>
      </c>
      <c r="E54" s="14"/>
      <c r="F54" s="14">
        <v>204</v>
      </c>
      <c r="G54" s="16">
        <v>48757.69</v>
      </c>
      <c r="H54" s="16">
        <v>239.01</v>
      </c>
      <c r="I54" s="14">
        <v>220</v>
      </c>
      <c r="J54" s="16">
        <v>54098</v>
      </c>
      <c r="K54" s="16">
        <v>245.9</v>
      </c>
      <c r="L54" s="14">
        <v>-16</v>
      </c>
      <c r="M54" s="16">
        <v>-3824.16</v>
      </c>
      <c r="N54" s="16">
        <f>IFERROR(INDEX(Price_Update!$F:$F, MATCH(A54, Price_Update!$A:$A, 0)), 444.8)</f>
        <v>444.8</v>
      </c>
      <c r="O54" s="16">
        <f t="shared" si="0"/>
        <v>-7116.8</v>
      </c>
      <c r="P54" s="16">
        <v>1515.8</v>
      </c>
      <c r="Q54" s="16">
        <f t="shared" si="1"/>
        <v>-3292.6400000000003</v>
      </c>
      <c r="R54" s="16">
        <f t="shared" si="2"/>
        <v>-1776.8400000000004</v>
      </c>
      <c r="S54" s="17">
        <f t="shared" si="3"/>
        <v>-3.6442251468435036E-2</v>
      </c>
      <c r="T54" s="14">
        <v>234</v>
      </c>
      <c r="U54" s="14"/>
      <c r="V54" s="14" t="s">
        <v>73</v>
      </c>
      <c r="W54" s="14" t="s">
        <v>775</v>
      </c>
    </row>
    <row r="55" spans="1:23">
      <c r="A55" s="14" t="s">
        <v>374</v>
      </c>
      <c r="B55" s="14" t="s">
        <v>24</v>
      </c>
      <c r="C55" s="14" t="s">
        <v>49</v>
      </c>
      <c r="D55" s="14" t="s">
        <v>40</v>
      </c>
      <c r="E55" s="14"/>
      <c r="F55" s="14">
        <v>10</v>
      </c>
      <c r="G55" s="16">
        <v>4835.5</v>
      </c>
      <c r="H55" s="16">
        <v>483.55</v>
      </c>
      <c r="I55" s="14">
        <v>10</v>
      </c>
      <c r="J55" s="16">
        <v>4193</v>
      </c>
      <c r="K55" s="16">
        <v>419.3</v>
      </c>
      <c r="L55" s="14">
        <v>0</v>
      </c>
      <c r="M55" s="16">
        <v>0</v>
      </c>
      <c r="N55" s="16">
        <f>IFERROR(INDEX(Price_Update!$F:$F, MATCH(A55, Price_Update!$A:$A, 0)), 420.95)</f>
        <v>420.95</v>
      </c>
      <c r="O55" s="16">
        <f t="shared" si="0"/>
        <v>0</v>
      </c>
      <c r="P55" s="16">
        <v>-642.5</v>
      </c>
      <c r="Q55" s="16">
        <f t="shared" si="1"/>
        <v>0</v>
      </c>
      <c r="R55" s="16">
        <f t="shared" si="2"/>
        <v>-642.5</v>
      </c>
      <c r="S55" s="17">
        <f t="shared" si="3"/>
        <v>-0.13287147140936822</v>
      </c>
      <c r="T55" s="14">
        <v>15</v>
      </c>
      <c r="U55" s="14"/>
      <c r="V55" s="14" t="s">
        <v>73</v>
      </c>
      <c r="W55" s="14" t="s">
        <v>776</v>
      </c>
    </row>
    <row r="56" spans="1:23">
      <c r="A56" s="14" t="s">
        <v>254</v>
      </c>
      <c r="B56" s="14" t="s">
        <v>26</v>
      </c>
      <c r="C56" s="14" t="s">
        <v>53</v>
      </c>
      <c r="D56" s="14" t="s">
        <v>40</v>
      </c>
      <c r="E56" s="14"/>
      <c r="F56" s="14">
        <v>208</v>
      </c>
      <c r="G56" s="16">
        <v>233369.9</v>
      </c>
      <c r="H56" s="16">
        <v>1121.97</v>
      </c>
      <c r="I56" s="14">
        <v>278</v>
      </c>
      <c r="J56" s="16">
        <v>269743.40000000002</v>
      </c>
      <c r="K56" s="16">
        <v>970.3</v>
      </c>
      <c r="L56" s="14">
        <v>-70</v>
      </c>
      <c r="M56" s="16">
        <v>-78537.899999999994</v>
      </c>
      <c r="N56" s="16">
        <f>IFERROR(INDEX(Price_Update!$F:$F, MATCH(A56, Price_Update!$A:$A, 0)), 967.8)</f>
        <v>967.8</v>
      </c>
      <c r="O56" s="16">
        <f t="shared" si="0"/>
        <v>-67746</v>
      </c>
      <c r="P56" s="16">
        <v>-42164.26</v>
      </c>
      <c r="Q56" s="16">
        <f t="shared" si="1"/>
        <v>10791.899999999994</v>
      </c>
      <c r="R56" s="16">
        <f t="shared" si="2"/>
        <v>-31372.360000000008</v>
      </c>
      <c r="S56" s="17">
        <f t="shared" si="3"/>
        <v>-0.13443190402875438</v>
      </c>
      <c r="T56" s="14">
        <v>206</v>
      </c>
      <c r="U56" s="14"/>
      <c r="V56" s="14" t="s">
        <v>73</v>
      </c>
      <c r="W56" s="14" t="s">
        <v>775</v>
      </c>
    </row>
    <row r="57" spans="1:23">
      <c r="A57" s="14" t="s">
        <v>352</v>
      </c>
      <c r="B57" s="14" t="s">
        <v>24</v>
      </c>
      <c r="C57" s="14" t="s">
        <v>49</v>
      </c>
      <c r="D57" s="14" t="s">
        <v>40</v>
      </c>
      <c r="E57" s="14" t="s">
        <v>95</v>
      </c>
      <c r="F57" s="14">
        <v>42</v>
      </c>
      <c r="G57" s="16">
        <v>56862.5</v>
      </c>
      <c r="H57" s="16">
        <v>1353.87</v>
      </c>
      <c r="I57" s="14">
        <v>0</v>
      </c>
      <c r="J57" s="16">
        <v>0</v>
      </c>
      <c r="K57" s="16">
        <v>0</v>
      </c>
      <c r="L57" s="14">
        <v>42</v>
      </c>
      <c r="M57" s="16">
        <v>56862.54</v>
      </c>
      <c r="N57" s="16">
        <f ca="1">IFERROR(INDEX(Price_Update!$F:$F, MATCH(A57, Price_Update!$A:$A, 0)), 1633.6)</f>
        <v>1633.6</v>
      </c>
      <c r="O57" s="16">
        <f t="shared" ca="1" si="0"/>
        <v>68611.199999999997</v>
      </c>
      <c r="P57" s="16">
        <v>0</v>
      </c>
      <c r="Q57" s="16">
        <f t="shared" ca="1" si="1"/>
        <v>11748.659999999996</v>
      </c>
      <c r="R57" s="16">
        <f t="shared" ca="1" si="2"/>
        <v>11748.659999999996</v>
      </c>
      <c r="S57" s="17">
        <f t="shared" ca="1" si="3"/>
        <v>0.20661525610024176</v>
      </c>
      <c r="T57" s="14">
        <v>118</v>
      </c>
      <c r="U57" s="14"/>
      <c r="V57" s="14" t="s">
        <v>73</v>
      </c>
      <c r="W57" s="14" t="s">
        <v>776</v>
      </c>
    </row>
    <row r="58" spans="1:23">
      <c r="A58" s="14" t="s">
        <v>66</v>
      </c>
      <c r="B58" s="14" t="s">
        <v>24</v>
      </c>
      <c r="C58" s="14" t="s">
        <v>51</v>
      </c>
      <c r="D58" s="14" t="s">
        <v>40</v>
      </c>
      <c r="E58" s="14" t="s">
        <v>92</v>
      </c>
      <c r="F58" s="14">
        <v>40</v>
      </c>
      <c r="G58" s="16">
        <v>25568</v>
      </c>
      <c r="H58" s="16">
        <v>639.20000000000005</v>
      </c>
      <c r="I58" s="14">
        <v>0</v>
      </c>
      <c r="J58" s="16">
        <v>0</v>
      </c>
      <c r="K58" s="16">
        <v>0</v>
      </c>
      <c r="L58" s="14">
        <v>40</v>
      </c>
      <c r="M58" s="16">
        <v>25568</v>
      </c>
      <c r="N58" s="16">
        <f ca="1">IFERROR(INDEX(Price_Update!$F:$F, MATCH(A58, Price_Update!$A:$A, 0)), 626.05)</f>
        <v>626.04999999999995</v>
      </c>
      <c r="O58" s="16">
        <f t="shared" ca="1" si="0"/>
        <v>25042</v>
      </c>
      <c r="P58" s="16">
        <v>0</v>
      </c>
      <c r="Q58" s="16">
        <f t="shared" ca="1" si="1"/>
        <v>-526</v>
      </c>
      <c r="R58" s="16">
        <f t="shared" ca="1" si="2"/>
        <v>-526</v>
      </c>
      <c r="S58" s="17">
        <f t="shared" ca="1" si="3"/>
        <v>-2.0572590738423029E-2</v>
      </c>
      <c r="T58" s="14">
        <v>6</v>
      </c>
      <c r="U58" s="14"/>
      <c r="V58" s="14" t="s">
        <v>73</v>
      </c>
      <c r="W58" s="14" t="s">
        <v>775</v>
      </c>
    </row>
    <row r="59" spans="1:23">
      <c r="A59" s="14" t="s">
        <v>418</v>
      </c>
      <c r="B59" s="14" t="s">
        <v>26</v>
      </c>
      <c r="C59" s="14" t="s">
        <v>49</v>
      </c>
      <c r="D59" s="14" t="s">
        <v>38</v>
      </c>
      <c r="E59" s="14" t="s">
        <v>92</v>
      </c>
      <c r="F59" s="14">
        <v>2</v>
      </c>
      <c r="G59" s="16">
        <v>26042</v>
      </c>
      <c r="H59" s="16">
        <v>13021</v>
      </c>
      <c r="I59" s="14">
        <v>0</v>
      </c>
      <c r="J59" s="16">
        <v>0</v>
      </c>
      <c r="K59" s="16">
        <v>0</v>
      </c>
      <c r="L59" s="14">
        <v>2</v>
      </c>
      <c r="M59" s="16">
        <v>26042</v>
      </c>
      <c r="N59" s="16">
        <f ca="1">IFERROR(INDEX(Price_Update!$F:$F, MATCH(A59, Price_Update!$A:$A, 0)), 18653)</f>
        <v>18653</v>
      </c>
      <c r="O59" s="16">
        <f t="shared" ca="1" si="0"/>
        <v>37306</v>
      </c>
      <c r="P59" s="16">
        <v>0</v>
      </c>
      <c r="Q59" s="16">
        <f t="shared" ca="1" si="1"/>
        <v>11264</v>
      </c>
      <c r="R59" s="16">
        <f t="shared" ca="1" si="2"/>
        <v>11264</v>
      </c>
      <c r="S59" s="17">
        <f t="shared" ca="1" si="3"/>
        <v>0.43253206358958607</v>
      </c>
      <c r="T59" s="14">
        <v>69</v>
      </c>
      <c r="U59" s="14"/>
      <c r="V59" s="14" t="s">
        <v>73</v>
      </c>
      <c r="W59" s="14" t="s">
        <v>776</v>
      </c>
    </row>
    <row r="60" spans="1:23">
      <c r="A60" s="14" t="s">
        <v>324</v>
      </c>
      <c r="B60" s="14" t="s">
        <v>24</v>
      </c>
      <c r="C60" s="14" t="s">
        <v>53</v>
      </c>
      <c r="D60" s="14" t="s">
        <v>40</v>
      </c>
      <c r="E60" s="14"/>
      <c r="F60" s="14">
        <v>600</v>
      </c>
      <c r="G60" s="16">
        <v>26682</v>
      </c>
      <c r="H60" s="16">
        <v>44.47</v>
      </c>
      <c r="I60" s="14">
        <v>600</v>
      </c>
      <c r="J60" s="16">
        <v>22532.01</v>
      </c>
      <c r="K60" s="16">
        <v>37.549999999999997</v>
      </c>
      <c r="L60" s="14">
        <v>0</v>
      </c>
      <c r="M60" s="16">
        <v>0</v>
      </c>
      <c r="N60" s="16">
        <f>IFERROR(INDEX(Price_Update!$F:$F, MATCH(A60, Price_Update!$A:$A, 0)), 41.15)</f>
        <v>41.15</v>
      </c>
      <c r="O60" s="16">
        <f t="shared" si="0"/>
        <v>0</v>
      </c>
      <c r="P60" s="16">
        <v>-4149.99</v>
      </c>
      <c r="Q60" s="16">
        <f t="shared" si="1"/>
        <v>0</v>
      </c>
      <c r="R60" s="16">
        <f t="shared" si="2"/>
        <v>-4149.99</v>
      </c>
      <c r="S60" s="17">
        <f t="shared" si="3"/>
        <v>-0.15553519226444792</v>
      </c>
      <c r="T60" s="14">
        <v>14</v>
      </c>
      <c r="U60" s="14"/>
      <c r="V60" s="14" t="s">
        <v>73</v>
      </c>
      <c r="W60" s="14" t="s">
        <v>776</v>
      </c>
    </row>
    <row r="61" spans="1:23">
      <c r="A61" s="14" t="s">
        <v>188</v>
      </c>
      <c r="B61" s="14" t="s">
        <v>24</v>
      </c>
      <c r="C61" s="14" t="s">
        <v>54</v>
      </c>
      <c r="D61" s="14" t="s">
        <v>40</v>
      </c>
      <c r="E61" s="14"/>
      <c r="F61" s="14">
        <v>57</v>
      </c>
      <c r="G61" s="16">
        <v>50160</v>
      </c>
      <c r="H61" s="16">
        <v>880</v>
      </c>
      <c r="I61" s="14">
        <v>57</v>
      </c>
      <c r="J61" s="16">
        <v>44850.6</v>
      </c>
      <c r="K61" s="16">
        <v>786.85</v>
      </c>
      <c r="L61" s="14">
        <v>0</v>
      </c>
      <c r="M61" s="16">
        <v>0</v>
      </c>
      <c r="N61" s="16">
        <f>IFERROR(INDEX(Price_Update!$F:$F, MATCH(A61, Price_Update!$A:$A, 0)), 671.85)</f>
        <v>671.85</v>
      </c>
      <c r="O61" s="16">
        <f t="shared" si="0"/>
        <v>0</v>
      </c>
      <c r="P61" s="16">
        <v>-5309.4</v>
      </c>
      <c r="Q61" s="16">
        <f t="shared" si="1"/>
        <v>0</v>
      </c>
      <c r="R61" s="16">
        <f t="shared" si="2"/>
        <v>-5309.4</v>
      </c>
      <c r="S61" s="17">
        <f t="shared" si="3"/>
        <v>-0.10584928229665071</v>
      </c>
      <c r="T61" s="14">
        <v>9</v>
      </c>
      <c r="U61" s="14"/>
      <c r="V61" s="14" t="s">
        <v>73</v>
      </c>
      <c r="W61" s="14" t="s">
        <v>776</v>
      </c>
    </row>
    <row r="62" spans="1:23">
      <c r="A62" s="14" t="s">
        <v>48</v>
      </c>
      <c r="B62" s="14" t="s">
        <v>26</v>
      </c>
      <c r="C62" s="14" t="s">
        <v>54</v>
      </c>
      <c r="D62" s="14" t="s">
        <v>40</v>
      </c>
      <c r="E62" s="14" t="s">
        <v>92</v>
      </c>
      <c r="F62" s="14">
        <v>26</v>
      </c>
      <c r="G62" s="16">
        <v>49379.199999999997</v>
      </c>
      <c r="H62" s="16">
        <v>1899.2</v>
      </c>
      <c r="I62" s="14">
        <v>0</v>
      </c>
      <c r="J62" s="16">
        <v>0</v>
      </c>
      <c r="K62" s="16">
        <v>0</v>
      </c>
      <c r="L62" s="14">
        <v>26</v>
      </c>
      <c r="M62" s="16">
        <v>49379.199999999997</v>
      </c>
      <c r="N62" s="16">
        <f ca="1">IFERROR(INDEX(Price_Update!$F:$F, MATCH(A62, Price_Update!$A:$A, 0)), 1844.3)</f>
        <v>1844.3</v>
      </c>
      <c r="O62" s="16">
        <f t="shared" ca="1" si="0"/>
        <v>47951.799999999996</v>
      </c>
      <c r="P62" s="16">
        <v>0</v>
      </c>
      <c r="Q62" s="16">
        <f t="shared" ca="1" si="1"/>
        <v>-1427.4000000000015</v>
      </c>
      <c r="R62" s="16">
        <f t="shared" ca="1" si="2"/>
        <v>-1427.4000000000015</v>
      </c>
      <c r="S62" s="17">
        <f t="shared" ca="1" si="3"/>
        <v>-2.8906908171861867E-2</v>
      </c>
      <c r="T62" s="14">
        <v>10</v>
      </c>
      <c r="U62" s="14"/>
      <c r="V62" s="14" t="s">
        <v>73</v>
      </c>
      <c r="W62" s="14" t="s">
        <v>776</v>
      </c>
    </row>
    <row r="63" spans="1:23">
      <c r="A63" s="14" t="s">
        <v>152</v>
      </c>
      <c r="B63" s="14" t="s">
        <v>28</v>
      </c>
      <c r="C63" s="14" t="s">
        <v>54</v>
      </c>
      <c r="D63" s="14" t="s">
        <v>38</v>
      </c>
      <c r="E63" s="14"/>
      <c r="F63" s="14">
        <v>20</v>
      </c>
      <c r="G63" s="16">
        <v>90180</v>
      </c>
      <c r="H63" s="16">
        <v>4509</v>
      </c>
      <c r="I63" s="14">
        <v>20</v>
      </c>
      <c r="J63" s="16">
        <v>83602.900399999999</v>
      </c>
      <c r="K63" s="16">
        <v>4180.1499999999996</v>
      </c>
      <c r="L63" s="14">
        <v>0</v>
      </c>
      <c r="M63" s="16">
        <v>0</v>
      </c>
      <c r="N63" s="16">
        <f>IFERROR(INDEX(Price_Update!$F:$F, MATCH(A63, Price_Update!$A:$A, 0)), 3634.4)</f>
        <v>3634.4</v>
      </c>
      <c r="O63" s="16">
        <f t="shared" si="0"/>
        <v>0</v>
      </c>
      <c r="P63" s="16">
        <v>-6577.1</v>
      </c>
      <c r="Q63" s="16">
        <f t="shared" si="1"/>
        <v>0</v>
      </c>
      <c r="R63" s="16">
        <f t="shared" si="2"/>
        <v>-6577.1</v>
      </c>
      <c r="S63" s="17">
        <f t="shared" si="3"/>
        <v>-7.2933022843202494E-2</v>
      </c>
      <c r="T63" s="14">
        <v>25</v>
      </c>
      <c r="U63" s="14"/>
      <c r="V63" s="14" t="s">
        <v>73</v>
      </c>
      <c r="W63" s="14" t="s">
        <v>776</v>
      </c>
    </row>
    <row r="64" spans="1:23">
      <c r="A64" s="14" t="s">
        <v>384</v>
      </c>
      <c r="B64" s="14" t="s">
        <v>24</v>
      </c>
      <c r="C64" s="14" t="s">
        <v>49</v>
      </c>
      <c r="D64" s="14" t="s">
        <v>40</v>
      </c>
      <c r="E64" s="14"/>
      <c r="F64" s="14">
        <v>80</v>
      </c>
      <c r="G64" s="16">
        <v>25175.98</v>
      </c>
      <c r="H64" s="16">
        <v>314.7</v>
      </c>
      <c r="I64" s="14">
        <v>80</v>
      </c>
      <c r="J64" s="16">
        <v>24328</v>
      </c>
      <c r="K64" s="16">
        <v>304.10000000000002</v>
      </c>
      <c r="L64" s="14">
        <v>0</v>
      </c>
      <c r="M64" s="16">
        <v>0</v>
      </c>
      <c r="N64" s="16">
        <f>IFERROR(INDEX(Price_Update!$F:$F, MATCH(A64, Price_Update!$A:$A, 0)), 322.1)</f>
        <v>322.10000000000002</v>
      </c>
      <c r="O64" s="16">
        <f t="shared" si="0"/>
        <v>0</v>
      </c>
      <c r="P64" s="16">
        <v>-848</v>
      </c>
      <c r="Q64" s="16">
        <f t="shared" si="1"/>
        <v>0</v>
      </c>
      <c r="R64" s="16">
        <f t="shared" si="2"/>
        <v>-848</v>
      </c>
      <c r="S64" s="17">
        <f t="shared" si="3"/>
        <v>-3.3682899335001064E-2</v>
      </c>
      <c r="T64" s="14">
        <v>84</v>
      </c>
      <c r="U64" s="14"/>
      <c r="V64" s="14" t="s">
        <v>73</v>
      </c>
      <c r="W64" s="14" t="s">
        <v>776</v>
      </c>
    </row>
    <row r="65" spans="1:23">
      <c r="A65" s="14" t="s">
        <v>112</v>
      </c>
      <c r="B65" s="14" t="s">
        <v>24</v>
      </c>
      <c r="C65" s="14" t="s">
        <v>55</v>
      </c>
      <c r="D65" s="14" t="s">
        <v>40</v>
      </c>
      <c r="E65" s="14" t="s">
        <v>92</v>
      </c>
      <c r="F65" s="14">
        <v>75</v>
      </c>
      <c r="G65" s="16">
        <v>50291.25</v>
      </c>
      <c r="H65" s="16">
        <v>670.55</v>
      </c>
      <c r="I65" s="14">
        <v>0</v>
      </c>
      <c r="J65" s="16">
        <v>0</v>
      </c>
      <c r="K65" s="16">
        <v>0</v>
      </c>
      <c r="L65" s="14">
        <v>75</v>
      </c>
      <c r="M65" s="16">
        <v>50291.25</v>
      </c>
      <c r="N65" s="16">
        <f ca="1">IFERROR(INDEX(Price_Update!$F:$F, MATCH(A65, Price_Update!$A:$A, 0)), 719.75)</f>
        <v>719.75</v>
      </c>
      <c r="O65" s="16">
        <f t="shared" ca="1" si="0"/>
        <v>53981.25</v>
      </c>
      <c r="P65" s="16">
        <v>0</v>
      </c>
      <c r="Q65" s="16">
        <f t="shared" ca="1" si="1"/>
        <v>3690</v>
      </c>
      <c r="R65" s="16">
        <f t="shared" ca="1" si="2"/>
        <v>3690</v>
      </c>
      <c r="S65" s="17">
        <f t="shared" ca="1" si="3"/>
        <v>7.3372604578331224E-2</v>
      </c>
      <c r="T65" s="14">
        <v>9</v>
      </c>
      <c r="U65" s="14"/>
      <c r="V65" s="14" t="s">
        <v>73</v>
      </c>
      <c r="W65" s="14" t="s">
        <v>776</v>
      </c>
    </row>
    <row r="66" spans="1:23">
      <c r="A66" s="14" t="s">
        <v>37</v>
      </c>
      <c r="B66" s="14" t="s">
        <v>24</v>
      </c>
      <c r="C66" s="14" t="s">
        <v>49</v>
      </c>
      <c r="D66" s="14" t="s">
        <v>38</v>
      </c>
      <c r="E66" s="14" t="s">
        <v>98</v>
      </c>
      <c r="F66" s="14">
        <v>296</v>
      </c>
      <c r="G66" s="16">
        <v>274774.75</v>
      </c>
      <c r="H66" s="16">
        <v>928.29</v>
      </c>
      <c r="I66" s="14">
        <v>0</v>
      </c>
      <c r="J66" s="16">
        <v>0</v>
      </c>
      <c r="K66" s="16">
        <v>0</v>
      </c>
      <c r="L66" s="14">
        <v>296</v>
      </c>
      <c r="M66" s="16">
        <v>274773.84000000003</v>
      </c>
      <c r="N66" s="16">
        <f ca="1">IFERROR(INDEX(Price_Update!$F:$F, MATCH(A66, Price_Update!$A:$A, 0)), 1331.5)</f>
        <v>1331.5</v>
      </c>
      <c r="O66" s="16">
        <f t="shared" ref="O66:O70" ca="1" si="4">L66*N66</f>
        <v>394124</v>
      </c>
      <c r="P66" s="16">
        <v>0</v>
      </c>
      <c r="Q66" s="16">
        <f t="shared" ref="Q66:Q70" ca="1" si="5">O66-M66</f>
        <v>119350.15999999997</v>
      </c>
      <c r="R66" s="16">
        <f t="shared" ref="R66:R70" ca="1" si="6">P66+Q66</f>
        <v>119350.15999999997</v>
      </c>
      <c r="S66" s="17">
        <f t="shared" ref="S66:S70" ca="1" si="7">IF(G66&gt;0, R66/G66, 0)</f>
        <v>0.43435635916327819</v>
      </c>
      <c r="T66" s="14">
        <v>105</v>
      </c>
      <c r="U66" s="14"/>
      <c r="V66" s="14" t="s">
        <v>73</v>
      </c>
      <c r="W66" s="14" t="s">
        <v>775</v>
      </c>
    </row>
    <row r="67" spans="1:23">
      <c r="A67" s="14" t="s">
        <v>155</v>
      </c>
      <c r="B67" s="14" t="s">
        <v>26</v>
      </c>
      <c r="C67" s="14" t="s">
        <v>51</v>
      </c>
      <c r="D67" s="14" t="s">
        <v>38</v>
      </c>
      <c r="E67" s="14"/>
      <c r="F67" s="14">
        <v>25</v>
      </c>
      <c r="G67" s="16">
        <v>91567.5</v>
      </c>
      <c r="H67" s="16">
        <v>3662.7</v>
      </c>
      <c r="I67" s="14">
        <v>25</v>
      </c>
      <c r="J67" s="16">
        <v>84762.5</v>
      </c>
      <c r="K67" s="16">
        <v>3390.5</v>
      </c>
      <c r="L67" s="14">
        <v>0</v>
      </c>
      <c r="M67" s="16">
        <v>0</v>
      </c>
      <c r="N67" s="16">
        <f>IFERROR(INDEX(Price_Update!$F:$F, MATCH(A67, Price_Update!$A:$A, 0)), 4137.9)</f>
        <v>4137.8999999999996</v>
      </c>
      <c r="O67" s="16">
        <f t="shared" si="4"/>
        <v>0</v>
      </c>
      <c r="P67" s="16">
        <v>-6805</v>
      </c>
      <c r="Q67" s="16">
        <f t="shared" si="5"/>
        <v>0</v>
      </c>
      <c r="R67" s="16">
        <f t="shared" si="6"/>
        <v>-6805</v>
      </c>
      <c r="S67" s="17">
        <f t="shared" si="7"/>
        <v>-7.431676085947525E-2</v>
      </c>
      <c r="T67" s="14">
        <v>25</v>
      </c>
      <c r="U67" s="14"/>
      <c r="V67" s="14" t="s">
        <v>73</v>
      </c>
      <c r="W67" s="14" t="s">
        <v>776</v>
      </c>
    </row>
    <row r="68" spans="1:23">
      <c r="A68" s="14" t="s">
        <v>274</v>
      </c>
      <c r="B68" s="14" t="s">
        <v>24</v>
      </c>
      <c r="C68" s="14" t="s">
        <v>51</v>
      </c>
      <c r="D68" s="14" t="s">
        <v>40</v>
      </c>
      <c r="E68" s="14"/>
      <c r="F68" s="14">
        <v>22</v>
      </c>
      <c r="G68" s="16">
        <v>101483.5</v>
      </c>
      <c r="H68" s="16">
        <v>4612.8900000000003</v>
      </c>
      <c r="I68" s="14">
        <v>22</v>
      </c>
      <c r="J68" s="16">
        <v>88669.197999999989</v>
      </c>
      <c r="K68" s="16">
        <v>4030.42</v>
      </c>
      <c r="L68" s="14">
        <v>0</v>
      </c>
      <c r="M68" s="16">
        <v>0</v>
      </c>
      <c r="N68" s="16">
        <f>IFERROR(INDEX(Price_Update!$F:$F, MATCH(A68, Price_Update!$A:$A, 0)), 4030.3)</f>
        <v>4030.3</v>
      </c>
      <c r="O68" s="16">
        <f t="shared" si="4"/>
        <v>0</v>
      </c>
      <c r="P68" s="16">
        <v>-12814.38</v>
      </c>
      <c r="Q68" s="16">
        <f t="shared" si="5"/>
        <v>0</v>
      </c>
      <c r="R68" s="16">
        <f t="shared" si="6"/>
        <v>-12814.38</v>
      </c>
      <c r="S68" s="17">
        <f t="shared" si="7"/>
        <v>-0.12627057600496633</v>
      </c>
      <c r="T68" s="14">
        <v>60</v>
      </c>
      <c r="U68" s="14"/>
      <c r="V68" s="14" t="s">
        <v>73</v>
      </c>
      <c r="W68" s="14" t="s">
        <v>776</v>
      </c>
    </row>
    <row r="69" spans="1:23">
      <c r="A69" s="14" t="s">
        <v>170</v>
      </c>
      <c r="B69" s="14" t="s">
        <v>28</v>
      </c>
      <c r="C69" s="14" t="s">
        <v>51</v>
      </c>
      <c r="D69" s="14" t="s">
        <v>38</v>
      </c>
      <c r="E69" s="14"/>
      <c r="F69" s="14">
        <v>37</v>
      </c>
      <c r="G69" s="16">
        <v>47700.4</v>
      </c>
      <c r="H69" s="16">
        <v>1289.2</v>
      </c>
      <c r="I69" s="14">
        <v>71</v>
      </c>
      <c r="J69" s="16">
        <v>77517.8</v>
      </c>
      <c r="K69" s="16">
        <v>1091.8</v>
      </c>
      <c r="L69" s="14">
        <v>-34</v>
      </c>
      <c r="M69" s="16">
        <v>-43832.800000000003</v>
      </c>
      <c r="N69" s="16">
        <f>IFERROR(INDEX(Price_Update!$F:$F, MATCH(A69, Price_Update!$A:$A, 0)), 1130.8)</f>
        <v>1130.8</v>
      </c>
      <c r="O69" s="16">
        <f t="shared" si="4"/>
        <v>-38447.199999999997</v>
      </c>
      <c r="P69" s="16">
        <v>-14015.4</v>
      </c>
      <c r="Q69" s="16">
        <f t="shared" si="5"/>
        <v>5385.6000000000058</v>
      </c>
      <c r="R69" s="16">
        <f t="shared" si="6"/>
        <v>-8629.7999999999938</v>
      </c>
      <c r="S69" s="17">
        <f t="shared" si="7"/>
        <v>-0.18091672187235314</v>
      </c>
      <c r="T69" s="14">
        <v>261</v>
      </c>
      <c r="U69" s="14"/>
      <c r="V69" s="14" t="s">
        <v>73</v>
      </c>
      <c r="W69" s="14" t="s">
        <v>776</v>
      </c>
    </row>
    <row r="70" spans="1:23">
      <c r="A70" s="14" t="s">
        <v>435</v>
      </c>
      <c r="B70" s="14" t="s">
        <v>24</v>
      </c>
      <c r="C70" s="14" t="s">
        <v>49</v>
      </c>
      <c r="D70" s="14" t="s">
        <v>40</v>
      </c>
      <c r="E70" s="14"/>
      <c r="F70" s="14">
        <v>10</v>
      </c>
      <c r="G70" s="16">
        <v>100330</v>
      </c>
      <c r="H70" s="16">
        <v>10033</v>
      </c>
      <c r="I70" s="14">
        <v>10</v>
      </c>
      <c r="J70" s="16">
        <v>99010</v>
      </c>
      <c r="K70" s="16">
        <v>9901</v>
      </c>
      <c r="L70" s="14">
        <v>0</v>
      </c>
      <c r="M70" s="16">
        <v>0</v>
      </c>
      <c r="N70" s="16">
        <f>IFERROR(INDEX(Price_Update!$F:$F, MATCH(A70, Price_Update!$A:$A, 0)), 9323)</f>
        <v>9323</v>
      </c>
      <c r="O70" s="16">
        <f t="shared" si="4"/>
        <v>0</v>
      </c>
      <c r="P70" s="16">
        <v>-1320</v>
      </c>
      <c r="Q70" s="16">
        <f t="shared" si="5"/>
        <v>0</v>
      </c>
      <c r="R70" s="16">
        <f t="shared" si="6"/>
        <v>-1320</v>
      </c>
      <c r="S70" s="17">
        <f t="shared" si="7"/>
        <v>-1.3156583275191867E-2</v>
      </c>
      <c r="T70" s="14">
        <v>1</v>
      </c>
      <c r="U70" s="14"/>
      <c r="V70" s="14" t="s">
        <v>73</v>
      </c>
      <c r="W70" s="14" t="s">
        <v>776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31"/>
  <sheetViews>
    <sheetView workbookViewId="0">
      <selection activeCell="B7" sqref="B7"/>
    </sheetView>
  </sheetViews>
  <sheetFormatPr defaultRowHeight="15"/>
  <cols>
    <col min="1" max="1" width="13.28515625" bestFit="1" customWidth="1"/>
    <col min="2" max="2" width="75.140625" customWidth="1"/>
    <col min="3" max="3" width="18.5703125" customWidth="1"/>
    <col min="4" max="4" width="23.42578125" customWidth="1"/>
    <col min="5" max="5" width="19.85546875" customWidth="1"/>
    <col min="6" max="6" width="17.7109375" customWidth="1"/>
    <col min="7" max="7" width="23.140625" customWidth="1"/>
    <col min="8" max="8" width="19.5703125" customWidth="1"/>
    <col min="9" max="9" width="19.5703125" bestFit="1" customWidth="1"/>
    <col min="10" max="10" width="16" customWidth="1"/>
    <col min="11" max="11" width="15.85546875" customWidth="1"/>
    <col min="12" max="12" width="20.5703125" customWidth="1"/>
  </cols>
  <sheetData>
    <row r="1" spans="1:12">
      <c r="E1" s="1">
        <v>2965144.96</v>
      </c>
      <c r="G1" s="1">
        <v>3488392.02</v>
      </c>
      <c r="H1" s="1">
        <v>523247.06</v>
      </c>
    </row>
    <row r="2" spans="1:12">
      <c r="A2" t="s">
        <v>32</v>
      </c>
      <c r="B2" t="s">
        <v>79</v>
      </c>
      <c r="C2" t="s">
        <v>135</v>
      </c>
      <c r="D2" t="s">
        <v>732</v>
      </c>
      <c r="E2" t="s">
        <v>82</v>
      </c>
      <c r="F2" t="s">
        <v>57</v>
      </c>
      <c r="G2" t="s">
        <v>83</v>
      </c>
      <c r="H2" t="s">
        <v>733</v>
      </c>
      <c r="I2" t="s">
        <v>764</v>
      </c>
      <c r="J2" t="s">
        <v>734</v>
      </c>
      <c r="K2" t="s">
        <v>735</v>
      </c>
      <c r="L2" t="s">
        <v>736</v>
      </c>
    </row>
    <row r="3" spans="1:12">
      <c r="A3" s="14" t="s">
        <v>460</v>
      </c>
      <c r="B3" s="14" t="e" vm="50">
        <v>#VALUE!</v>
      </c>
      <c r="C3" s="14">
        <v>18</v>
      </c>
      <c r="D3" s="16">
        <v>2730</v>
      </c>
      <c r="E3" s="1">
        <v>49140</v>
      </c>
      <c r="F3" s="1" cm="1">
        <f t="array" aca="1" ref="F3" ca="1">_FV(B3,"Price")</f>
        <v>3000.6</v>
      </c>
      <c r="G3" s="1">
        <v>54626.400000000001</v>
      </c>
      <c r="H3" s="1">
        <v>5486.4</v>
      </c>
      <c r="I3" s="1" cm="1">
        <f t="array" aca="1" ref="I3" ca="1">_FV(B3,"Previous close",TRUE)</f>
        <v>3034.8</v>
      </c>
      <c r="J3" s="2">
        <v>3.7999999999999999E-2</v>
      </c>
      <c r="K3" s="1">
        <v>2457</v>
      </c>
      <c r="L3" s="1">
        <v>577.79999999999995</v>
      </c>
    </row>
    <row r="4" spans="1:12">
      <c r="A4" s="22" t="s">
        <v>111</v>
      </c>
      <c r="B4" s="22" t="e" vm="81">
        <v>#VALUE!</v>
      </c>
      <c r="C4" s="14">
        <v>19</v>
      </c>
      <c r="D4" s="16">
        <v>2727.2</v>
      </c>
      <c r="E4" s="1">
        <v>51816.800000000003</v>
      </c>
      <c r="F4" s="1" cm="1">
        <f t="array" aca="1" ref="F4" ca="1">_FV(B4,"Price")</f>
        <v>2973.1</v>
      </c>
      <c r="G4" s="1">
        <v>56416.7</v>
      </c>
      <c r="H4" s="1">
        <v>4599.8999999999996</v>
      </c>
      <c r="I4" s="1" cm="1">
        <f t="array" aca="1" ref="I4" ca="1">_FV(B4,"Previous close",TRUE)</f>
        <v>2969.3</v>
      </c>
      <c r="J4" s="2">
        <v>4.2000000000000003E-2</v>
      </c>
      <c r="K4" s="1">
        <v>2454.48</v>
      </c>
      <c r="L4" s="1">
        <v>514.82000000000005</v>
      </c>
    </row>
    <row r="5" spans="1:12">
      <c r="A5" s="23" t="s">
        <v>44</v>
      </c>
      <c r="B5" s="23" t="e" vm="19">
        <v>#VALUE!</v>
      </c>
      <c r="C5" s="14">
        <v>14</v>
      </c>
      <c r="D5" s="16">
        <v>3134.66</v>
      </c>
      <c r="E5" s="1">
        <v>43885.24</v>
      </c>
      <c r="F5" s="1" cm="1">
        <f t="array" aca="1" ref="F5" ca="1">_FV(B5,"Price")</f>
        <v>3020.8</v>
      </c>
      <c r="G5" s="1">
        <v>43359.4</v>
      </c>
      <c r="H5" s="1">
        <v>-525.84</v>
      </c>
      <c r="I5" s="1" cm="1">
        <f t="array" aca="1" ref="I5" ca="1">_FV(B5,"Previous close",TRUE)</f>
        <v>3097.1</v>
      </c>
      <c r="J5" s="2">
        <v>5.0000000000000001E-3</v>
      </c>
      <c r="K5" s="1">
        <v>2821.19</v>
      </c>
      <c r="L5" s="1">
        <v>275.91000000000003</v>
      </c>
    </row>
    <row r="6" spans="1:12">
      <c r="A6" s="14" t="s">
        <v>52</v>
      </c>
      <c r="B6" s="14" t="e" vm="145">
        <v>#VALUE!</v>
      </c>
      <c r="C6" s="14">
        <v>96</v>
      </c>
      <c r="D6" s="16">
        <v>2100.8000000000002</v>
      </c>
      <c r="E6" s="1">
        <v>201676.79999999999</v>
      </c>
      <c r="F6" s="1" cm="1">
        <f t="array" aca="1" ref="F6" ca="1">_FV(B6,"Price")</f>
        <v>1867.7</v>
      </c>
      <c r="G6" s="1">
        <v>179913.60000000001</v>
      </c>
      <c r="H6" s="1">
        <v>-21763.200000000001</v>
      </c>
      <c r="I6" s="1" cm="1">
        <f t="array" aca="1" ref="I6" ca="1">_FV(B6,"Previous close",TRUE)</f>
        <v>1874.1</v>
      </c>
      <c r="J6" s="2">
        <v>-1.2999999999999999E-2</v>
      </c>
      <c r="K6" s="1">
        <v>2237.6</v>
      </c>
      <c r="L6" s="1">
        <v>-363.5</v>
      </c>
    </row>
    <row r="7" spans="1:12">
      <c r="A7" s="23" t="s">
        <v>109</v>
      </c>
      <c r="B7" s="23" t="e" vm="9">
        <v>#VALUE!</v>
      </c>
      <c r="C7" s="14">
        <v>312</v>
      </c>
      <c r="D7" s="16">
        <v>321.70999999999998</v>
      </c>
      <c r="E7" s="1">
        <v>100373.52</v>
      </c>
      <c r="F7" s="1" cm="1">
        <f t="array" aca="1" ref="F7" ca="1">_FV(B7,"Price")</f>
        <v>417.85</v>
      </c>
      <c r="G7" s="1">
        <v>128575.2</v>
      </c>
      <c r="H7" s="1">
        <v>28201.68</v>
      </c>
      <c r="I7" s="1" cm="1">
        <f t="array" aca="1" ref="I7" ca="1">_FV(B7,"Previous close",TRUE)</f>
        <v>412.1</v>
      </c>
      <c r="J7" s="2">
        <v>0.01</v>
      </c>
      <c r="K7" s="1">
        <v>289.54000000000002</v>
      </c>
      <c r="L7" s="1">
        <v>122.56</v>
      </c>
    </row>
    <row r="8" spans="1:12">
      <c r="A8" s="24" t="s">
        <v>110</v>
      </c>
      <c r="B8" s="24" t="e" vm="76">
        <v>#VALUE!</v>
      </c>
      <c r="C8" s="14">
        <v>44</v>
      </c>
      <c r="D8" s="16">
        <v>1141.55</v>
      </c>
      <c r="E8" s="1">
        <v>50228.2</v>
      </c>
      <c r="F8" s="1" cm="1">
        <f t="array" aca="1" ref="F8" ca="1">_FV(B8,"Price")</f>
        <v>1397.4</v>
      </c>
      <c r="G8" s="1">
        <v>59708</v>
      </c>
      <c r="H8" s="1">
        <v>9479.7999999999993</v>
      </c>
      <c r="I8" s="1" cm="1">
        <f t="array" aca="1" ref="I8" ca="1">_FV(B8,"Previous close",TRUE)</f>
        <v>1357</v>
      </c>
      <c r="J8" s="2">
        <v>9.8000000000000004E-2</v>
      </c>
      <c r="K8" s="1">
        <v>1027.3900000000001</v>
      </c>
      <c r="L8" s="1">
        <v>329.61</v>
      </c>
    </row>
    <row r="9" spans="1:12">
      <c r="A9" s="23" t="s">
        <v>46</v>
      </c>
      <c r="B9" s="23" t="e" vm="12">
        <v>#VALUE!</v>
      </c>
      <c r="C9" s="14">
        <v>33</v>
      </c>
      <c r="D9" s="16">
        <v>1505.6</v>
      </c>
      <c r="E9" s="1">
        <v>49684.800000000003</v>
      </c>
      <c r="F9" s="1" cm="1">
        <f t="array" aca="1" ref="F9" ca="1">_FV(B9,"Price")</f>
        <v>1435.9</v>
      </c>
      <c r="G9" s="1">
        <v>48219.6</v>
      </c>
      <c r="H9" s="1">
        <v>-1465.2</v>
      </c>
      <c r="I9" s="1" cm="1">
        <f t="array" aca="1" ref="I9" ca="1">_FV(B9,"Previous close",TRUE)</f>
        <v>1461.2</v>
      </c>
      <c r="J9" s="2">
        <v>5.0000000000000001E-3</v>
      </c>
      <c r="K9" s="1">
        <v>1355.04</v>
      </c>
      <c r="L9" s="1">
        <v>106.16</v>
      </c>
    </row>
    <row r="10" spans="1:12">
      <c r="A10" s="23" t="s">
        <v>113</v>
      </c>
      <c r="B10" s="23" t="e" vm="1">
        <v>#VALUE!</v>
      </c>
      <c r="C10" s="14">
        <v>56</v>
      </c>
      <c r="D10" s="16">
        <v>1762.28</v>
      </c>
      <c r="E10" s="1">
        <v>98687.679999999993</v>
      </c>
      <c r="F10" s="1" cm="1">
        <f t="array" aca="1" ref="F10" ca="1">_FV(B10,"Price")</f>
        <v>1821</v>
      </c>
      <c r="G10" s="1">
        <v>104910.39999999999</v>
      </c>
      <c r="H10" s="1">
        <v>6222.72</v>
      </c>
      <c r="I10" s="1" cm="1">
        <f t="array" aca="1" ref="I10" ca="1">_FV(B10,"Previous close",TRUE)</f>
        <v>1873.4</v>
      </c>
      <c r="J10" s="2">
        <v>-2.5000000000000001E-2</v>
      </c>
      <c r="K10" s="1">
        <v>1586.05</v>
      </c>
      <c r="L10" s="1">
        <v>287.35000000000002</v>
      </c>
    </row>
    <row r="11" spans="1:12">
      <c r="A11" s="25" t="s">
        <v>199</v>
      </c>
      <c r="B11" s="25" t="e" vm="44">
        <v>#VALUE!</v>
      </c>
      <c r="C11" s="14">
        <v>30</v>
      </c>
      <c r="D11" s="16">
        <v>3359</v>
      </c>
      <c r="E11" s="1">
        <v>100770</v>
      </c>
      <c r="F11" s="1" cm="1">
        <f t="array" aca="1" ref="F11" ca="1">_FV(B11,"Price")</f>
        <v>4248.3999999999996</v>
      </c>
      <c r="G11" s="1">
        <v>132099</v>
      </c>
      <c r="H11" s="1">
        <v>31329</v>
      </c>
      <c r="I11" s="1" cm="1">
        <f t="array" aca="1" ref="I11" ca="1">_FV(B11,"Previous close",TRUE)</f>
        <v>4403.3</v>
      </c>
      <c r="J11" s="2">
        <v>2.5999999999999999E-2</v>
      </c>
      <c r="K11" s="1">
        <v>3023.1</v>
      </c>
      <c r="L11" s="1">
        <v>1380.2</v>
      </c>
    </row>
    <row r="12" spans="1:12">
      <c r="A12" s="14" t="s">
        <v>405</v>
      </c>
      <c r="B12" s="14" t="e" vm="146">
        <v>#VALUE!</v>
      </c>
      <c r="C12" s="14">
        <v>49</v>
      </c>
      <c r="D12" s="16">
        <v>1033.1600000000001</v>
      </c>
      <c r="E12" s="1">
        <v>50624.84</v>
      </c>
      <c r="F12" s="1" cm="1">
        <f t="array" aca="1" ref="F12" ca="1">_FV(B12,"Price")</f>
        <v>1071</v>
      </c>
      <c r="G12" s="1">
        <v>52131.1</v>
      </c>
      <c r="H12" s="1">
        <v>1506.26</v>
      </c>
      <c r="I12" s="1" cm="1">
        <f t="array" aca="1" ref="I12" ca="1">_FV(B12,"Previous close",TRUE)</f>
        <v>1063.9000000000001</v>
      </c>
      <c r="J12" s="2">
        <v>5.0000000000000001E-3</v>
      </c>
      <c r="K12" s="1">
        <v>929.84</v>
      </c>
      <c r="L12" s="1">
        <v>134.06</v>
      </c>
    </row>
    <row r="13" spans="1:12">
      <c r="A13" s="24" t="s">
        <v>86</v>
      </c>
      <c r="B13" s="24" t="e" vm="74">
        <v>#VALUE!</v>
      </c>
      <c r="C13" s="14">
        <v>94</v>
      </c>
      <c r="D13" s="16">
        <v>800.81</v>
      </c>
      <c r="E13" s="1">
        <v>75276.14</v>
      </c>
      <c r="F13" s="1" cm="1">
        <f t="array" aca="1" ref="F13" ca="1">_FV(B13,"Price")</f>
        <v>934.8</v>
      </c>
      <c r="G13" s="1">
        <v>82640.100000000006</v>
      </c>
      <c r="H13" s="1">
        <v>7363.96</v>
      </c>
      <c r="I13" s="1" cm="1">
        <f t="array" aca="1" ref="I13" ca="1">_FV(B13,"Previous close",TRUE)</f>
        <v>879.15</v>
      </c>
      <c r="J13" s="2">
        <v>1.2999999999999999E-2</v>
      </c>
      <c r="K13" s="1">
        <v>720.73</v>
      </c>
      <c r="L13" s="1">
        <v>158.41999999999999</v>
      </c>
    </row>
    <row r="14" spans="1:12">
      <c r="A14" s="25" t="s">
        <v>42</v>
      </c>
      <c r="B14" s="25" t="e" vm="41">
        <v>#VALUE!</v>
      </c>
      <c r="C14" s="14">
        <v>1436</v>
      </c>
      <c r="D14" s="16">
        <v>91.99</v>
      </c>
      <c r="E14" s="1">
        <v>132097.64000000001</v>
      </c>
      <c r="F14" s="1" cm="1">
        <f t="array" aca="1" ref="F14" ca="1">_FV(B14,"Price")</f>
        <v>128.9</v>
      </c>
      <c r="G14" s="1">
        <v>183578.23999999999</v>
      </c>
      <c r="H14" s="1">
        <v>51480.6</v>
      </c>
      <c r="I14" s="1" cm="1">
        <f t="array" aca="1" ref="I14" ca="1">_FV(B14,"Previous close",TRUE)</f>
        <v>127.84</v>
      </c>
      <c r="J14" s="2">
        <v>2.5000000000000001E-2</v>
      </c>
      <c r="K14" s="1">
        <v>82.79</v>
      </c>
      <c r="L14" s="1">
        <v>45.05</v>
      </c>
    </row>
    <row r="15" spans="1:12">
      <c r="A15" s="14" t="s">
        <v>43</v>
      </c>
      <c r="B15" s="14" t="e" vm="147">
        <v>#VALUE!</v>
      </c>
      <c r="C15" s="14">
        <v>1172</v>
      </c>
      <c r="D15" s="16">
        <v>256.22000000000003</v>
      </c>
      <c r="E15" s="1">
        <v>300289.84000000003</v>
      </c>
      <c r="F15" s="1" cm="1">
        <f t="array" aca="1" ref="F15" ca="1">_FV(B15,"Price")</f>
        <v>288.89999999999998</v>
      </c>
      <c r="G15" s="1">
        <v>340114.4</v>
      </c>
      <c r="H15" s="1">
        <v>39824.559999999998</v>
      </c>
      <c r="I15" s="1" cm="1">
        <f t="array" aca="1" ref="I15" ca="1">_FV(B15,"Previous close",TRUE)</f>
        <v>290.2</v>
      </c>
      <c r="J15" s="2">
        <v>3.0000000000000001E-3</v>
      </c>
      <c r="K15" s="1">
        <v>260.10000000000002</v>
      </c>
      <c r="L15" s="1">
        <v>30.1</v>
      </c>
    </row>
    <row r="16" spans="1:12">
      <c r="A16" s="14" t="s">
        <v>93</v>
      </c>
      <c r="B16" s="14" t="e" vm="148">
        <v>#VALUE!</v>
      </c>
      <c r="C16" s="14">
        <v>362</v>
      </c>
      <c r="D16" s="16">
        <v>138.75</v>
      </c>
      <c r="E16" s="1">
        <v>50227.5</v>
      </c>
      <c r="F16" s="1" cm="1">
        <f t="array" aca="1" ref="F16" ca="1">_FV(B16,"Price")</f>
        <v>160.47</v>
      </c>
      <c r="G16" s="1">
        <v>58803.28</v>
      </c>
      <c r="H16" s="1">
        <v>8575.7800000000007</v>
      </c>
      <c r="I16" s="1" cm="1">
        <f t="array" aca="1" ref="I16" ca="1">_FV(B16,"Previous close",TRUE)</f>
        <v>162.44</v>
      </c>
      <c r="J16" s="2">
        <v>-3.0000000000000001E-3</v>
      </c>
      <c r="K16" s="1">
        <v>124.88</v>
      </c>
      <c r="L16" s="1">
        <v>37.56</v>
      </c>
    </row>
    <row r="17" spans="1:12">
      <c r="A17" s="14" t="s">
        <v>90</v>
      </c>
      <c r="B17" s="14" t="e" vm="149">
        <v>#VALUE!</v>
      </c>
      <c r="C17" s="14">
        <v>276</v>
      </c>
      <c r="D17" s="16">
        <v>278.74</v>
      </c>
      <c r="E17" s="1">
        <v>76932.240000000005</v>
      </c>
      <c r="F17" s="1" cm="1">
        <f t="array" aca="1" ref="F17" ca="1">_FV(B17,"Price")</f>
        <v>281.8</v>
      </c>
      <c r="G17" s="1">
        <v>78770.399999999994</v>
      </c>
      <c r="H17" s="1">
        <v>1838.16</v>
      </c>
      <c r="I17" s="1" cm="1">
        <f t="array" aca="1" ref="I17" ca="1">_FV(B17,"Previous close",TRUE)</f>
        <v>285.39999999999998</v>
      </c>
      <c r="J17" s="2">
        <v>1E-3</v>
      </c>
      <c r="K17" s="1">
        <v>250.87</v>
      </c>
      <c r="L17" s="1">
        <v>34.53</v>
      </c>
    </row>
    <row r="18" spans="1:12">
      <c r="A18" s="14" t="s">
        <v>408</v>
      </c>
      <c r="B18" s="14" t="e" vm="129">
        <v>#VALUE!</v>
      </c>
      <c r="C18" s="14">
        <v>49</v>
      </c>
      <c r="D18" s="16">
        <v>4088.24</v>
      </c>
      <c r="E18" s="1">
        <v>200323.76</v>
      </c>
      <c r="F18" s="1" cm="1">
        <f t="array" aca="1" ref="F18" ca="1">_FV(B18,"Price")</f>
        <v>5097.7</v>
      </c>
      <c r="G18" s="1">
        <v>237566.7</v>
      </c>
      <c r="H18" s="1">
        <v>37242.94</v>
      </c>
      <c r="I18" s="1" cm="1">
        <f t="array" aca="1" ref="I18" ca="1">_FV(B18,"Previous close",TRUE)</f>
        <v>4848.3</v>
      </c>
      <c r="J18" s="2">
        <v>1.4999999999999999E-2</v>
      </c>
      <c r="K18" s="1">
        <v>3676.8</v>
      </c>
      <c r="L18" s="1">
        <v>1171.5</v>
      </c>
    </row>
    <row r="19" spans="1:12">
      <c r="A19" s="14" t="s">
        <v>41</v>
      </c>
      <c r="B19" s="14" t="e" vm="150">
        <v>#VALUE!</v>
      </c>
      <c r="C19" s="14">
        <v>253</v>
      </c>
      <c r="D19" s="16">
        <v>843.31</v>
      </c>
      <c r="E19" s="1">
        <v>213357.43</v>
      </c>
      <c r="F19" s="1" cm="1">
        <f t="array" aca="1" ref="F19" ca="1">_FV(B19,"Price")</f>
        <v>1149.7</v>
      </c>
      <c r="G19" s="1">
        <v>279261.40000000002</v>
      </c>
      <c r="H19" s="1">
        <v>65903.97</v>
      </c>
      <c r="I19" s="1" cm="1">
        <f t="array" aca="1" ref="I19" ca="1">_FV(B19,"Previous close",TRUE)</f>
        <v>1103.8</v>
      </c>
      <c r="J19" s="2">
        <v>4.0000000000000001E-3</v>
      </c>
      <c r="K19" s="1">
        <v>843.31</v>
      </c>
      <c r="L19" s="1">
        <v>260.49</v>
      </c>
    </row>
    <row r="20" spans="1:12">
      <c r="A20" s="25" t="s">
        <v>114</v>
      </c>
      <c r="B20" s="25" t="e" vm="42">
        <v>#VALUE!</v>
      </c>
      <c r="C20" s="14">
        <v>38</v>
      </c>
      <c r="D20" s="16">
        <v>1325.5</v>
      </c>
      <c r="E20" s="1">
        <v>50369</v>
      </c>
      <c r="F20" s="1" cm="1">
        <f t="array" aca="1" ref="F20" ca="1">_FV(B20,"Price")</f>
        <v>1381.7</v>
      </c>
      <c r="G20" s="1">
        <v>52208.2</v>
      </c>
      <c r="H20" s="1">
        <v>1839.2</v>
      </c>
      <c r="I20" s="1" cm="1">
        <f t="array" aca="1" ref="I20" ca="1">_FV(B20,"Previous close",TRUE)</f>
        <v>1373.9</v>
      </c>
      <c r="J20" s="2">
        <v>1.2999999999999999E-2</v>
      </c>
      <c r="K20" s="1">
        <v>1192.95</v>
      </c>
      <c r="L20" s="1">
        <v>180.95</v>
      </c>
    </row>
    <row r="21" spans="1:12">
      <c r="A21" s="14" t="s">
        <v>67</v>
      </c>
      <c r="B21" s="14" t="e" vm="151">
        <v>#VALUE!</v>
      </c>
      <c r="C21" s="14">
        <v>16</v>
      </c>
      <c r="D21" s="16">
        <v>3127</v>
      </c>
      <c r="E21" s="1">
        <v>50032</v>
      </c>
      <c r="F21" s="1" cm="1">
        <f t="array" aca="1" ref="F21" ca="1">_FV(B21,"Price")</f>
        <v>3121.6</v>
      </c>
      <c r="G21" s="1">
        <v>49716.800000000003</v>
      </c>
      <c r="H21" s="1">
        <v>-315.2</v>
      </c>
      <c r="I21" s="1" cm="1">
        <f t="array" aca="1" ref="I21" ca="1">_FV(B21,"Previous close",TRUE)</f>
        <v>3107.3</v>
      </c>
      <c r="J21" s="2">
        <v>-0.01</v>
      </c>
      <c r="K21" s="1">
        <v>2814.3</v>
      </c>
      <c r="L21" s="1">
        <v>293</v>
      </c>
    </row>
    <row r="22" spans="1:12">
      <c r="A22" s="24" t="s">
        <v>94</v>
      </c>
      <c r="B22" s="24" t="e" vm="72">
        <v>#VALUE!</v>
      </c>
      <c r="C22" s="14">
        <v>300</v>
      </c>
      <c r="D22" s="16">
        <v>84.49</v>
      </c>
      <c r="E22" s="1">
        <v>25347</v>
      </c>
      <c r="F22" s="1" cm="1">
        <f t="array" aca="1" ref="F22" ca="1">_FV(B22,"Price")</f>
        <v>92.28</v>
      </c>
      <c r="G22" s="1">
        <v>27201</v>
      </c>
      <c r="H22" s="1">
        <v>1854</v>
      </c>
      <c r="I22" s="1" cm="1">
        <f t="array" aca="1" ref="I22" ca="1">_FV(B22,"Previous close",TRUE)</f>
        <v>90.67</v>
      </c>
      <c r="J22" s="2">
        <v>5.0000000000000001E-3</v>
      </c>
      <c r="K22" s="1">
        <v>76.040000000000006</v>
      </c>
      <c r="L22" s="1">
        <v>14.63</v>
      </c>
    </row>
    <row r="23" spans="1:12">
      <c r="A23" s="24" t="s">
        <v>68</v>
      </c>
      <c r="B23" s="24" t="e" vm="67">
        <v>#VALUE!</v>
      </c>
      <c r="C23" s="14">
        <v>67</v>
      </c>
      <c r="D23" s="16">
        <v>374</v>
      </c>
      <c r="E23" s="1">
        <v>25058</v>
      </c>
      <c r="F23" s="1" cm="1">
        <f t="array" aca="1" ref="F23" ca="1">_FV(B23,"Price")</f>
        <v>381.8</v>
      </c>
      <c r="G23" s="1">
        <v>25768.2</v>
      </c>
      <c r="H23" s="1">
        <v>710.2</v>
      </c>
      <c r="I23" s="1" cm="1">
        <f t="array" aca="1" ref="I23" ca="1">_FV(B23,"Previous close",TRUE)</f>
        <v>384.6</v>
      </c>
      <c r="J23" s="2">
        <v>-4.0000000000000001E-3</v>
      </c>
      <c r="K23" s="1">
        <v>340.17</v>
      </c>
      <c r="L23" s="1">
        <v>44.43</v>
      </c>
    </row>
    <row r="24" spans="1:12">
      <c r="A24" s="24" t="s">
        <v>50</v>
      </c>
      <c r="B24" s="24" t="e" vm="70">
        <v>#VALUE!</v>
      </c>
      <c r="C24" s="14">
        <v>70</v>
      </c>
      <c r="D24" s="16">
        <v>1422.61</v>
      </c>
      <c r="E24" s="1">
        <v>99582.7</v>
      </c>
      <c r="F24" s="1" cm="1">
        <f t="array" aca="1" ref="F24" ca="1">_FV(B24,"Price")</f>
        <v>1305.2</v>
      </c>
      <c r="G24" s="1">
        <v>97580</v>
      </c>
      <c r="H24" s="1">
        <v>-2002.7</v>
      </c>
      <c r="I24" s="1" cm="1">
        <f t="array" aca="1" ref="I24" ca="1">_FV(B24,"Previous close",TRUE)</f>
        <v>1394</v>
      </c>
      <c r="J24" s="2">
        <v>-7.4999999999999997E-2</v>
      </c>
      <c r="K24" s="1">
        <v>1280.3499999999999</v>
      </c>
      <c r="L24" s="1">
        <v>113.65</v>
      </c>
    </row>
    <row r="25" spans="1:12">
      <c r="A25" s="14" t="s">
        <v>39</v>
      </c>
      <c r="B25" s="14" t="e" vm="127">
        <v>#VALUE!</v>
      </c>
      <c r="C25" s="14">
        <v>50</v>
      </c>
      <c r="D25" s="16">
        <v>7728.94</v>
      </c>
      <c r="E25" s="1">
        <v>386447</v>
      </c>
      <c r="F25" s="1" cm="1">
        <f t="array" aca="1" ref="F25" ca="1">_FV(B25,"Price")</f>
        <v>9664</v>
      </c>
      <c r="G25" s="1">
        <v>480675</v>
      </c>
      <c r="H25" s="1">
        <v>94228</v>
      </c>
      <c r="I25" s="1" cm="1">
        <f t="array" aca="1" ref="I25" ca="1">_FV(B25,"Previous close",TRUE)</f>
        <v>9613.5</v>
      </c>
      <c r="J25" s="2">
        <v>2.3E-2</v>
      </c>
      <c r="K25" s="1">
        <v>8833.94</v>
      </c>
      <c r="L25" s="1">
        <v>779.56</v>
      </c>
    </row>
    <row r="26" spans="1:12">
      <c r="A26" s="14" t="s">
        <v>352</v>
      </c>
      <c r="B26" s="14" t="e" vm="137">
        <v>#VALUE!</v>
      </c>
      <c r="C26" s="14">
        <v>42</v>
      </c>
      <c r="D26" s="16">
        <v>1353.87</v>
      </c>
      <c r="E26" s="1">
        <v>56862.54</v>
      </c>
      <c r="F26" s="1" cm="1">
        <f t="array" aca="1" ref="F26" ca="1">_FV(B26,"Price")</f>
        <v>1633.6</v>
      </c>
      <c r="G26" s="1">
        <v>66998.399999999994</v>
      </c>
      <c r="H26" s="1">
        <v>10135.86</v>
      </c>
      <c r="I26" s="1" cm="1">
        <f t="array" aca="1" ref="I26" ca="1">_FV(B26,"Previous close",TRUE)</f>
        <v>1595.2</v>
      </c>
      <c r="J26" s="2">
        <v>-2.1999999999999999E-2</v>
      </c>
      <c r="K26" s="1">
        <v>1218.48</v>
      </c>
      <c r="L26" s="1">
        <v>376.72</v>
      </c>
    </row>
    <row r="27" spans="1:12">
      <c r="A27" s="23" t="s">
        <v>66</v>
      </c>
      <c r="B27" s="23" t="e" vm="21">
        <v>#VALUE!</v>
      </c>
      <c r="C27" s="14">
        <v>40</v>
      </c>
      <c r="D27" s="16">
        <v>639.20000000000005</v>
      </c>
      <c r="E27" s="1">
        <v>25568</v>
      </c>
      <c r="F27" s="1" cm="1">
        <f t="array" aca="1" ref="F27" ca="1">_FV(B27,"Price")</f>
        <v>626.04999999999995</v>
      </c>
      <c r="G27" s="1">
        <v>25068</v>
      </c>
      <c r="H27" s="1">
        <v>-500</v>
      </c>
      <c r="I27" s="1" cm="1">
        <f t="array" aca="1" ref="I27" ca="1">_FV(B27,"Previous close",TRUE)</f>
        <v>626.70000000000005</v>
      </c>
      <c r="J27" s="2">
        <v>-1.2999999999999999E-2</v>
      </c>
      <c r="K27" s="1">
        <v>575.28</v>
      </c>
      <c r="L27" s="1">
        <v>51.42</v>
      </c>
    </row>
    <row r="28" spans="1:12">
      <c r="A28" s="14" t="s">
        <v>418</v>
      </c>
      <c r="B28" s="14" t="e" vm="68">
        <v>#VALUE!</v>
      </c>
      <c r="C28" s="14">
        <v>2</v>
      </c>
      <c r="D28" s="16">
        <v>13021</v>
      </c>
      <c r="E28" s="1">
        <v>26042</v>
      </c>
      <c r="F28" s="1" cm="1">
        <f t="array" aca="1" ref="F28" ca="1">_FV(B28,"Price")</f>
        <v>18653</v>
      </c>
      <c r="G28" s="1">
        <v>36958</v>
      </c>
      <c r="H28" s="1">
        <v>10916</v>
      </c>
      <c r="I28" s="1" cm="1">
        <f t="array" aca="1" ref="I28" ca="1">_FV(B28,"Previous close",TRUE)</f>
        <v>18479</v>
      </c>
      <c r="J28" s="2">
        <v>6.0000000000000001E-3</v>
      </c>
      <c r="K28" s="1">
        <v>11718.9</v>
      </c>
      <c r="L28" s="1">
        <v>6760.1</v>
      </c>
    </row>
    <row r="29" spans="1:12">
      <c r="A29" s="23" t="s">
        <v>48</v>
      </c>
      <c r="B29" s="23" t="e" vm="18">
        <v>#VALUE!</v>
      </c>
      <c r="C29" s="14">
        <v>26</v>
      </c>
      <c r="D29" s="16">
        <v>1899.2</v>
      </c>
      <c r="E29" s="1">
        <v>49379.199999999997</v>
      </c>
      <c r="F29" s="1" cm="1">
        <f t="array" aca="1" ref="F29" ca="1">_FV(B29,"Price")</f>
        <v>1844.3</v>
      </c>
      <c r="G29" s="1">
        <v>47860.800000000003</v>
      </c>
      <c r="H29" s="1">
        <v>-1518.4</v>
      </c>
      <c r="I29" s="1" cm="1">
        <f t="array" aca="1" ref="I29" ca="1">_FV(B29,"Previous close",TRUE)</f>
        <v>1840.8</v>
      </c>
      <c r="J29" s="2">
        <v>0</v>
      </c>
      <c r="K29" s="1">
        <v>1709.28</v>
      </c>
      <c r="L29" s="1">
        <v>131.52000000000001</v>
      </c>
    </row>
    <row r="30" spans="1:12">
      <c r="A30" s="14" t="s">
        <v>112</v>
      </c>
      <c r="B30" s="14" t="e" vm="152">
        <v>#VALUE!</v>
      </c>
      <c r="C30" s="14">
        <v>75</v>
      </c>
      <c r="D30" s="16">
        <v>670.55</v>
      </c>
      <c r="E30" s="1">
        <v>50291.25</v>
      </c>
      <c r="F30" s="1" cm="1">
        <f t="array" aca="1" ref="F30" ca="1">_FV(B30,"Price")</f>
        <v>719.75</v>
      </c>
      <c r="G30" s="1">
        <v>52972.5</v>
      </c>
      <c r="H30" s="1">
        <v>2681.25</v>
      </c>
      <c r="I30" s="1" cm="1">
        <f t="array" aca="1" ref="I30" ca="1">_FV(B30,"Previous close",TRUE)</f>
        <v>706.3</v>
      </c>
      <c r="J30" s="2">
        <v>4.2999999999999997E-2</v>
      </c>
      <c r="K30" s="1">
        <v>603.5</v>
      </c>
      <c r="L30" s="1">
        <v>102.8</v>
      </c>
    </row>
    <row r="31" spans="1:12">
      <c r="A31" s="14" t="s">
        <v>37</v>
      </c>
      <c r="B31" s="14" t="e" vm="35">
        <v>#VALUE!</v>
      </c>
      <c r="C31" s="14">
        <v>296</v>
      </c>
      <c r="D31" s="16">
        <v>928.29</v>
      </c>
      <c r="E31" s="1">
        <v>274773.84000000003</v>
      </c>
      <c r="F31" s="1" cm="1">
        <f t="array" aca="1" ref="F31" ca="1">_FV(B31,"Price")</f>
        <v>1331.5</v>
      </c>
      <c r="G31" s="1">
        <v>404691.20000000001</v>
      </c>
      <c r="H31" s="1">
        <v>129917.36</v>
      </c>
      <c r="I31" s="1" cm="1">
        <f t="array" aca="1" ref="I31" ca="1">_FV(B31,"Previous close",TRUE)</f>
        <v>1367.2</v>
      </c>
      <c r="J31" s="2">
        <v>0.05</v>
      </c>
      <c r="K31" s="1">
        <v>935.17</v>
      </c>
      <c r="L31" s="1">
        <v>432.03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C848D-AE13-4891-A10F-BB383D721A3C}">
  <dimension ref="A1:D27"/>
  <sheetViews>
    <sheetView workbookViewId="0">
      <selection activeCell="B2" sqref="B2"/>
    </sheetView>
  </sheetViews>
  <sheetFormatPr defaultRowHeight="15"/>
  <cols>
    <col min="1" max="1" width="9.140625" style="44"/>
    <col min="2" max="2" width="36.5703125" customWidth="1"/>
    <col min="3" max="3" width="13.7109375" bestFit="1" customWidth="1"/>
    <col min="4" max="4" width="17.85546875" customWidth="1"/>
  </cols>
  <sheetData>
    <row r="1" spans="1:4">
      <c r="A1" s="45" t="s">
        <v>737</v>
      </c>
      <c r="B1" s="46" t="s">
        <v>738</v>
      </c>
      <c r="C1" s="46" t="s">
        <v>739</v>
      </c>
      <c r="D1" s="47" t="s">
        <v>740</v>
      </c>
    </row>
    <row r="2" spans="1:4">
      <c r="A2" s="41">
        <v>1</v>
      </c>
      <c r="B2" s="14" t="s">
        <v>741</v>
      </c>
      <c r="C2" s="14" t="s">
        <v>742</v>
      </c>
      <c r="D2" s="37" t="s">
        <v>743</v>
      </c>
    </row>
    <row r="3" spans="1:4" ht="30">
      <c r="A3" s="41">
        <v>2</v>
      </c>
      <c r="B3" s="36" t="s">
        <v>744</v>
      </c>
      <c r="C3" s="14" t="s">
        <v>742</v>
      </c>
      <c r="D3" s="37" t="s">
        <v>743</v>
      </c>
    </row>
    <row r="4" spans="1:4" ht="30">
      <c r="A4" s="41">
        <v>3</v>
      </c>
      <c r="B4" s="36" t="s">
        <v>745</v>
      </c>
      <c r="C4" s="14" t="s">
        <v>746</v>
      </c>
      <c r="D4" s="37" t="s">
        <v>743</v>
      </c>
    </row>
    <row r="5" spans="1:4" ht="30">
      <c r="A5" s="41">
        <v>4</v>
      </c>
      <c r="B5" s="36" t="s">
        <v>747</v>
      </c>
      <c r="C5" s="14" t="s">
        <v>742</v>
      </c>
      <c r="D5" s="37" t="s">
        <v>743</v>
      </c>
    </row>
    <row r="6" spans="1:4" ht="30">
      <c r="A6" s="41">
        <v>5</v>
      </c>
      <c r="B6" s="36" t="s">
        <v>748</v>
      </c>
      <c r="C6" s="14" t="s">
        <v>746</v>
      </c>
      <c r="D6" s="37" t="s">
        <v>743</v>
      </c>
    </row>
    <row r="7" spans="1:4" ht="30">
      <c r="A7" s="41">
        <v>6</v>
      </c>
      <c r="B7" s="36" t="s">
        <v>749</v>
      </c>
      <c r="C7" s="14" t="s">
        <v>742</v>
      </c>
      <c r="D7" s="37" t="s">
        <v>743</v>
      </c>
    </row>
    <row r="8" spans="1:4">
      <c r="A8" s="41">
        <v>7</v>
      </c>
      <c r="B8" s="14" t="s">
        <v>750</v>
      </c>
      <c r="C8" s="14" t="s">
        <v>742</v>
      </c>
      <c r="D8" s="37" t="s">
        <v>743</v>
      </c>
    </row>
    <row r="9" spans="1:4">
      <c r="A9" s="41">
        <v>8</v>
      </c>
      <c r="B9" s="14" t="s">
        <v>751</v>
      </c>
      <c r="C9" s="14" t="s">
        <v>742</v>
      </c>
      <c r="D9" s="37" t="s">
        <v>743</v>
      </c>
    </row>
    <row r="10" spans="1:4">
      <c r="A10" s="41">
        <v>9</v>
      </c>
      <c r="B10" s="14" t="s">
        <v>752</v>
      </c>
      <c r="C10" s="14" t="s">
        <v>742</v>
      </c>
      <c r="D10" s="37" t="s">
        <v>743</v>
      </c>
    </row>
    <row r="11" spans="1:4">
      <c r="A11" s="41">
        <v>10</v>
      </c>
      <c r="B11" s="14" t="s">
        <v>753</v>
      </c>
      <c r="C11" s="14" t="s">
        <v>742</v>
      </c>
      <c r="D11" s="37" t="s">
        <v>743</v>
      </c>
    </row>
    <row r="12" spans="1:4">
      <c r="A12" s="41">
        <v>11</v>
      </c>
      <c r="B12" s="14" t="s">
        <v>754</v>
      </c>
      <c r="C12" s="14" t="s">
        <v>742</v>
      </c>
      <c r="D12" s="37" t="s">
        <v>743</v>
      </c>
    </row>
    <row r="13" spans="1:4" ht="45">
      <c r="A13" s="42">
        <v>12</v>
      </c>
      <c r="B13" s="38" t="s">
        <v>755</v>
      </c>
      <c r="C13" s="39" t="s">
        <v>742</v>
      </c>
      <c r="D13" s="40" t="s">
        <v>743</v>
      </c>
    </row>
    <row r="14" spans="1:4" ht="30">
      <c r="A14" s="43">
        <v>13</v>
      </c>
      <c r="B14" s="36" t="s">
        <v>756</v>
      </c>
      <c r="C14" s="14" t="s">
        <v>742</v>
      </c>
      <c r="D14" s="14" t="s">
        <v>743</v>
      </c>
    </row>
    <row r="15" spans="1:4" ht="30">
      <c r="A15" s="43">
        <v>14</v>
      </c>
      <c r="B15" s="36" t="s">
        <v>757</v>
      </c>
      <c r="C15" s="14" t="s">
        <v>742</v>
      </c>
      <c r="D15" s="14" t="s">
        <v>743</v>
      </c>
    </row>
    <row r="16" spans="1:4" ht="30">
      <c r="A16" s="43">
        <v>15</v>
      </c>
      <c r="B16" s="36" t="s">
        <v>758</v>
      </c>
      <c r="C16" s="14" t="s">
        <v>746</v>
      </c>
      <c r="D16" s="14" t="s">
        <v>743</v>
      </c>
    </row>
    <row r="17" spans="1:4" ht="45">
      <c r="A17" s="43">
        <v>16</v>
      </c>
      <c r="B17" s="36" t="s">
        <v>759</v>
      </c>
      <c r="C17" s="14" t="s">
        <v>746</v>
      </c>
      <c r="D17" s="14" t="s">
        <v>743</v>
      </c>
    </row>
    <row r="18" spans="1:4">
      <c r="A18" s="43">
        <v>17</v>
      </c>
      <c r="B18" s="14"/>
      <c r="C18" s="14"/>
      <c r="D18" s="14"/>
    </row>
    <row r="19" spans="1:4">
      <c r="A19" s="43">
        <v>18</v>
      </c>
      <c r="B19" s="14"/>
      <c r="C19" s="14"/>
      <c r="D19" s="14"/>
    </row>
    <row r="20" spans="1:4">
      <c r="A20" s="43">
        <v>19</v>
      </c>
      <c r="B20" s="14"/>
      <c r="C20" s="14"/>
      <c r="D20" s="14"/>
    </row>
    <row r="21" spans="1:4">
      <c r="A21" s="43">
        <v>20</v>
      </c>
      <c r="B21" s="14"/>
      <c r="C21" s="14"/>
      <c r="D21" s="14"/>
    </row>
    <row r="22" spans="1:4">
      <c r="A22" s="43">
        <v>21</v>
      </c>
      <c r="B22" s="14"/>
      <c r="C22" s="14"/>
      <c r="D22" s="14"/>
    </row>
    <row r="23" spans="1:4">
      <c r="A23" s="43">
        <v>22</v>
      </c>
      <c r="B23" s="14"/>
      <c r="C23" s="14"/>
      <c r="D23" s="14"/>
    </row>
    <row r="24" spans="1:4">
      <c r="A24" s="43">
        <v>23</v>
      </c>
      <c r="B24" s="14"/>
      <c r="C24" s="14"/>
      <c r="D24" s="14"/>
    </row>
    <row r="25" spans="1:4">
      <c r="A25" s="43">
        <v>24</v>
      </c>
      <c r="B25" s="14"/>
      <c r="C25" s="14"/>
      <c r="D25" s="14"/>
    </row>
    <row r="26" spans="1:4">
      <c r="A26" s="43">
        <v>25</v>
      </c>
      <c r="B26" s="14"/>
      <c r="C26" s="14"/>
      <c r="D26" s="14"/>
    </row>
    <row r="27" spans="1:4">
      <c r="A27" s="43"/>
      <c r="B27" s="14"/>
      <c r="C27" s="14"/>
      <c r="D27" s="14"/>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Dashboard</vt:lpstr>
      <vt:lpstr>Raw_Tradebook</vt:lpstr>
      <vt:lpstr>Transaction</vt:lpstr>
      <vt:lpstr>Current_Portfolio</vt:lpstr>
      <vt:lpstr>Satellite_Watchlist</vt:lpstr>
      <vt:lpstr>Overall_Portfolio</vt:lpstr>
      <vt:lpstr>Price_Update</vt:lpstr>
      <vt:lpstr>Todo </vt:lpstr>
      <vt:lpstr>SAT_WATCH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Muralidharan Krishnaraj</cp:lastModifiedBy>
  <cp:revision/>
  <dcterms:created xsi:type="dcterms:W3CDTF">2026-03-07T14:21:25Z</dcterms:created>
  <dcterms:modified xsi:type="dcterms:W3CDTF">2026-05-28T01:05:27Z</dcterms:modified>
  <cp:category/>
  <cp:contentStatus/>
</cp:coreProperties>
</file>