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24" documentId="8_{053F2183-6466-4B45-A014-767B22858FF9}" xr6:coauthVersionLast="47" xr6:coauthVersionMax="47" xr10:uidLastSave="{DFD21DC0-B3FF-434B-BCB1-DD662628F489}"/>
  <bookViews>
    <workbookView xWindow="-120" yWindow="-120" windowWidth="29040" windowHeight="15720" xr2:uid="{00000000-000D-0000-FFFF-FFFF00000000}"/>
  </bookViews>
  <sheets>
    <sheet name="Dashboard" sheetId="15"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Todo " sheetId="10" r:id="rId10"/>
  </sheets>
  <definedNames>
    <definedName name="_xlnm._FilterDatabase" localSheetId="5" hidden="1">Core_Watchlist!$A$1:$G$158</definedName>
    <definedName name="_xlnm._FilterDatabase" localSheetId="4" hidden="1">Current_Portfolio!$A$1:$Z$61</definedName>
    <definedName name="_xlnm._FilterDatabase" localSheetId="7" hidden="1">Overall_Portfolio!$A$1:$BX$101</definedName>
    <definedName name="_xlnm._FilterDatabase" localSheetId="6" hidden="1">Satellite_Watchlist!$A$1:$J$272</definedName>
    <definedName name="_xlnm._FilterDatabase" localSheetId="3" hidden="1">Transaction!$A$1:$G$220</definedName>
    <definedName name="SAT_WATCH">Satellite_Watchlist!$B$1:$D$998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8" i="8" l="1"/>
  <c r="N97" i="8"/>
  <c r="N96" i="8"/>
  <c r="N95" i="8"/>
  <c r="O95" i="8" s="1"/>
  <c r="Q95" i="8" s="1"/>
  <c r="R95" i="8" s="1"/>
  <c r="S95" i="8" s="1"/>
  <c r="N94" i="8"/>
  <c r="N93" i="8"/>
  <c r="N92" i="8"/>
  <c r="O92" i="8" s="1"/>
  <c r="Q92" i="8" s="1"/>
  <c r="R92" i="8" s="1"/>
  <c r="S92" i="8" s="1"/>
  <c r="N91" i="8"/>
  <c r="O91" i="8" s="1"/>
  <c r="Q91" i="8" s="1"/>
  <c r="R91" i="8" s="1"/>
  <c r="S91" i="8" s="1"/>
  <c r="N90" i="8"/>
  <c r="N89" i="8"/>
  <c r="N88" i="8"/>
  <c r="N87" i="8"/>
  <c r="O87" i="8" s="1"/>
  <c r="Q87" i="8" s="1"/>
  <c r="R87" i="8" s="1"/>
  <c r="S87" i="8" s="1"/>
  <c r="N86" i="8"/>
  <c r="N85" i="8"/>
  <c r="N84" i="8"/>
  <c r="O84" i="8" s="1"/>
  <c r="Q84" i="8" s="1"/>
  <c r="R84" i="8" s="1"/>
  <c r="S84" i="8" s="1"/>
  <c r="N83" i="8"/>
  <c r="O83" i="8" s="1"/>
  <c r="Q83" i="8" s="1"/>
  <c r="R83" i="8" s="1"/>
  <c r="S83" i="8" s="1"/>
  <c r="N82" i="8"/>
  <c r="N81" i="8"/>
  <c r="N80" i="8"/>
  <c r="N79" i="8"/>
  <c r="O79" i="8" s="1"/>
  <c r="Q79" i="8" s="1"/>
  <c r="R79" i="8" s="1"/>
  <c r="S79" i="8" s="1"/>
  <c r="N78" i="8"/>
  <c r="N77" i="8"/>
  <c r="N76" i="8"/>
  <c r="O76" i="8" s="1"/>
  <c r="Q76" i="8" s="1"/>
  <c r="R76" i="8" s="1"/>
  <c r="S76" i="8" s="1"/>
  <c r="N75" i="8"/>
  <c r="O75" i="8" s="1"/>
  <c r="Q75" i="8" s="1"/>
  <c r="R75" i="8" s="1"/>
  <c r="S75" i="8" s="1"/>
  <c r="N74" i="8"/>
  <c r="N73" i="8"/>
  <c r="N72" i="8"/>
  <c r="N71" i="8"/>
  <c r="O71" i="8" s="1"/>
  <c r="Q71" i="8" s="1"/>
  <c r="R71" i="8" s="1"/>
  <c r="S71" i="8" s="1"/>
  <c r="N70" i="8"/>
  <c r="N69" i="8"/>
  <c r="N68" i="8"/>
  <c r="O68" i="8" s="1"/>
  <c r="Q68" i="8" s="1"/>
  <c r="R68" i="8" s="1"/>
  <c r="S68" i="8" s="1"/>
  <c r="N67" i="8"/>
  <c r="O67" i="8" s="1"/>
  <c r="Q67" i="8" s="1"/>
  <c r="R67" i="8" s="1"/>
  <c r="S67" i="8" s="1"/>
  <c r="N66" i="8"/>
  <c r="N65" i="8"/>
  <c r="N64" i="8"/>
  <c r="N63" i="8"/>
  <c r="O63" i="8" s="1"/>
  <c r="Q63" i="8" s="1"/>
  <c r="R63" i="8" s="1"/>
  <c r="S63" i="8" s="1"/>
  <c r="N62" i="8"/>
  <c r="N61" i="8"/>
  <c r="N60" i="8"/>
  <c r="O60" i="8" s="1"/>
  <c r="Q60" i="8" s="1"/>
  <c r="R60" i="8" s="1"/>
  <c r="S60" i="8" s="1"/>
  <c r="N59" i="8"/>
  <c r="O59" i="8" s="1"/>
  <c r="Q59" i="8" s="1"/>
  <c r="R59" i="8" s="1"/>
  <c r="S59" i="8" s="1"/>
  <c r="N58" i="8"/>
  <c r="N57" i="8"/>
  <c r="N56" i="8"/>
  <c r="N55" i="8"/>
  <c r="O55" i="8" s="1"/>
  <c r="Q55" i="8" s="1"/>
  <c r="R55" i="8" s="1"/>
  <c r="S55" i="8" s="1"/>
  <c r="N54" i="8"/>
  <c r="N53" i="8"/>
  <c r="N52" i="8"/>
  <c r="O52" i="8" s="1"/>
  <c r="Q52" i="8" s="1"/>
  <c r="R52" i="8" s="1"/>
  <c r="S52" i="8" s="1"/>
  <c r="N51" i="8"/>
  <c r="O51" i="8" s="1"/>
  <c r="Q51" i="8" s="1"/>
  <c r="R51" i="8" s="1"/>
  <c r="S51" i="8" s="1"/>
  <c r="N50" i="8"/>
  <c r="N49" i="8"/>
  <c r="N48" i="8"/>
  <c r="N47" i="8"/>
  <c r="O47" i="8" s="1"/>
  <c r="Q47" i="8" s="1"/>
  <c r="R47" i="8" s="1"/>
  <c r="S47" i="8" s="1"/>
  <c r="N46" i="8"/>
  <c r="N45" i="8"/>
  <c r="N44" i="8"/>
  <c r="O44" i="8" s="1"/>
  <c r="Q44" i="8" s="1"/>
  <c r="R44" i="8" s="1"/>
  <c r="S44" i="8" s="1"/>
  <c r="N43" i="8"/>
  <c r="O43" i="8" s="1"/>
  <c r="Q43" i="8" s="1"/>
  <c r="R43" i="8" s="1"/>
  <c r="S43" i="8" s="1"/>
  <c r="N42" i="8"/>
  <c r="N41" i="8"/>
  <c r="N40" i="8"/>
  <c r="N39" i="8"/>
  <c r="O39" i="8" s="1"/>
  <c r="Q39" i="8" s="1"/>
  <c r="R39" i="8" s="1"/>
  <c r="S39" i="8" s="1"/>
  <c r="N38" i="8"/>
  <c r="N37" i="8"/>
  <c r="N36" i="8"/>
  <c r="O36" i="8" s="1"/>
  <c r="Q36" i="8" s="1"/>
  <c r="R36" i="8" s="1"/>
  <c r="S36" i="8" s="1"/>
  <c r="N35" i="8"/>
  <c r="O35" i="8" s="1"/>
  <c r="Q35" i="8" s="1"/>
  <c r="R35" i="8" s="1"/>
  <c r="S35" i="8" s="1"/>
  <c r="N34" i="8"/>
  <c r="N33" i="8"/>
  <c r="N32" i="8"/>
  <c r="N31" i="8"/>
  <c r="O31" i="8" s="1"/>
  <c r="Q31" i="8" s="1"/>
  <c r="R31" i="8" s="1"/>
  <c r="S31" i="8" s="1"/>
  <c r="N30" i="8"/>
  <c r="N29" i="8"/>
  <c r="N28" i="8"/>
  <c r="O28" i="8" s="1"/>
  <c r="Q28" i="8" s="1"/>
  <c r="R28" i="8" s="1"/>
  <c r="S28" i="8" s="1"/>
  <c r="N27" i="8"/>
  <c r="O27" i="8" s="1"/>
  <c r="Q27" i="8" s="1"/>
  <c r="R27" i="8" s="1"/>
  <c r="S27" i="8" s="1"/>
  <c r="N26" i="8"/>
  <c r="N25" i="8"/>
  <c r="N24" i="8"/>
  <c r="N23" i="8"/>
  <c r="O23" i="8" s="1"/>
  <c r="Q23" i="8" s="1"/>
  <c r="R23" i="8" s="1"/>
  <c r="S23" i="8" s="1"/>
  <c r="N22" i="8"/>
  <c r="N21" i="8"/>
  <c r="N20" i="8"/>
  <c r="O20" i="8" s="1"/>
  <c r="Q20" i="8" s="1"/>
  <c r="R20" i="8" s="1"/>
  <c r="S20" i="8" s="1"/>
  <c r="N19" i="8"/>
  <c r="O19" i="8" s="1"/>
  <c r="Q19" i="8" s="1"/>
  <c r="R19" i="8" s="1"/>
  <c r="S19" i="8" s="1"/>
  <c r="N18" i="8"/>
  <c r="N17" i="8"/>
  <c r="N16" i="8"/>
  <c r="N15" i="8"/>
  <c r="O15" i="8" s="1"/>
  <c r="Q15" i="8" s="1"/>
  <c r="R15" i="8" s="1"/>
  <c r="S15" i="8" s="1"/>
  <c r="N14" i="8"/>
  <c r="N13" i="8"/>
  <c r="N12" i="8"/>
  <c r="O12" i="8" s="1"/>
  <c r="Q12" i="8" s="1"/>
  <c r="R12" i="8" s="1"/>
  <c r="S12" i="8" s="1"/>
  <c r="N11" i="8"/>
  <c r="N10" i="8"/>
  <c r="N9" i="8"/>
  <c r="N8" i="8"/>
  <c r="N7" i="8"/>
  <c r="O7" i="8" s="1"/>
  <c r="Q7" i="8" s="1"/>
  <c r="R7" i="8" s="1"/>
  <c r="S7" i="8" s="1"/>
  <c r="N6" i="8"/>
  <c r="N5" i="8"/>
  <c r="N4" i="8"/>
  <c r="O4" i="8" s="1"/>
  <c r="Q4" i="8" s="1"/>
  <c r="R4" i="8" s="1"/>
  <c r="S4" i="8" s="1"/>
  <c r="N3" i="8"/>
  <c r="O3" i="8" s="1"/>
  <c r="Q3" i="8" s="1"/>
  <c r="R3" i="8" s="1"/>
  <c r="S3" i="8" s="1"/>
  <c r="N2" i="8"/>
  <c r="N58" i="5"/>
  <c r="M58" i="5"/>
  <c r="N57" i="5"/>
  <c r="M57" i="5"/>
  <c r="T57" i="5" s="1"/>
  <c r="N56" i="5"/>
  <c r="M56" i="5"/>
  <c r="N55" i="5"/>
  <c r="M55" i="5"/>
  <c r="N54" i="5"/>
  <c r="M54" i="5"/>
  <c r="N53" i="5"/>
  <c r="M53" i="5"/>
  <c r="T53" i="5" s="1"/>
  <c r="U53" i="5" s="1"/>
  <c r="V53" i="5" s="1"/>
  <c r="N52" i="5"/>
  <c r="M52" i="5"/>
  <c r="N51" i="5"/>
  <c r="M51" i="5"/>
  <c r="N50" i="5"/>
  <c r="M50" i="5"/>
  <c r="N49" i="5"/>
  <c r="M49" i="5"/>
  <c r="K78" i="15" s="1"/>
  <c r="L78" i="15" s="1"/>
  <c r="N48" i="5"/>
  <c r="M48" i="5"/>
  <c r="N47" i="5"/>
  <c r="M47" i="5"/>
  <c r="N46" i="5"/>
  <c r="M46" i="5"/>
  <c r="N45" i="5"/>
  <c r="M45" i="5"/>
  <c r="T45" i="5" s="1"/>
  <c r="U45" i="5" s="1"/>
  <c r="V45" i="5" s="1"/>
  <c r="N44" i="5"/>
  <c r="M44" i="5"/>
  <c r="N43" i="5"/>
  <c r="M43" i="5"/>
  <c r="N42" i="5"/>
  <c r="M42" i="5"/>
  <c r="N41" i="5"/>
  <c r="M41" i="5"/>
  <c r="K83" i="15" s="1"/>
  <c r="L83" i="15" s="1"/>
  <c r="N40" i="5"/>
  <c r="M40" i="5"/>
  <c r="N39" i="5"/>
  <c r="M39" i="5"/>
  <c r="N38" i="5"/>
  <c r="M38" i="5"/>
  <c r="N37" i="5"/>
  <c r="M37" i="5"/>
  <c r="K80" i="15" s="1"/>
  <c r="N36" i="5"/>
  <c r="M36" i="5"/>
  <c r="N35" i="5"/>
  <c r="M35" i="5"/>
  <c r="N34" i="5"/>
  <c r="M34" i="5"/>
  <c r="N33" i="5"/>
  <c r="M33" i="5"/>
  <c r="H33" i="5" s="1"/>
  <c r="N32" i="5"/>
  <c r="M32" i="5"/>
  <c r="N31" i="5"/>
  <c r="M31" i="5"/>
  <c r="N30" i="5"/>
  <c r="M30" i="5"/>
  <c r="N29" i="5"/>
  <c r="M29" i="5"/>
  <c r="N28" i="5"/>
  <c r="M28" i="5"/>
  <c r="N27" i="5"/>
  <c r="M27" i="5"/>
  <c r="N26" i="5"/>
  <c r="M26" i="5"/>
  <c r="N25" i="5"/>
  <c r="M25" i="5"/>
  <c r="N24" i="5"/>
  <c r="M24" i="5"/>
  <c r="N23" i="5"/>
  <c r="M23" i="5"/>
  <c r="N22" i="5"/>
  <c r="M22" i="5"/>
  <c r="N21" i="5"/>
  <c r="M21" i="5"/>
  <c r="N20" i="5"/>
  <c r="M20" i="5"/>
  <c r="N19" i="5"/>
  <c r="M19" i="5"/>
  <c r="N18" i="5"/>
  <c r="M18" i="5"/>
  <c r="N17" i="5"/>
  <c r="M17" i="5"/>
  <c r="H17" i="5" s="1"/>
  <c r="N16" i="5"/>
  <c r="M16" i="5"/>
  <c r="N15" i="5"/>
  <c r="M15" i="5"/>
  <c r="N14" i="5"/>
  <c r="M14" i="5"/>
  <c r="N13" i="5"/>
  <c r="M13" i="5"/>
  <c r="H13" i="5" s="1"/>
  <c r="N12" i="5"/>
  <c r="M12" i="5"/>
  <c r="N11" i="5"/>
  <c r="M11" i="5"/>
  <c r="N10" i="5"/>
  <c r="M10" i="5"/>
  <c r="N9" i="5"/>
  <c r="M9" i="5"/>
  <c r="H9" i="5" s="1"/>
  <c r="N8" i="5"/>
  <c r="M8" i="5"/>
  <c r="N7" i="5"/>
  <c r="M7" i="5"/>
  <c r="N6" i="5"/>
  <c r="M6" i="5"/>
  <c r="N5" i="5"/>
  <c r="M5" i="5"/>
  <c r="F13" i="15" s="1"/>
  <c r="N4" i="5"/>
  <c r="M4" i="5"/>
  <c r="N3" i="5"/>
  <c r="M3" i="5"/>
  <c r="N2" i="5"/>
  <c r="M2" i="5"/>
  <c r="K97" i="15"/>
  <c r="L97" i="15" s="1"/>
  <c r="J97" i="15"/>
  <c r="K96" i="15"/>
  <c r="J96" i="15"/>
  <c r="L96" i="15" s="1"/>
  <c r="K95" i="15"/>
  <c r="L95" i="15" s="1"/>
  <c r="J95" i="15"/>
  <c r="K94" i="15"/>
  <c r="J94" i="15"/>
  <c r="K93" i="15"/>
  <c r="J93" i="15"/>
  <c r="K92" i="15"/>
  <c r="J92" i="15"/>
  <c r="L92" i="15" s="1"/>
  <c r="K91" i="15"/>
  <c r="L91" i="15" s="1"/>
  <c r="J91" i="15"/>
  <c r="K90" i="15"/>
  <c r="J90" i="15"/>
  <c r="K89" i="15"/>
  <c r="L89" i="15" s="1"/>
  <c r="J89" i="15"/>
  <c r="K88" i="15"/>
  <c r="J88" i="15"/>
  <c r="L88" i="15" s="1"/>
  <c r="J83" i="15"/>
  <c r="K82" i="15"/>
  <c r="J82" i="15"/>
  <c r="J81" i="15"/>
  <c r="J80" i="15"/>
  <c r="K79" i="15"/>
  <c r="J79" i="15"/>
  <c r="J78" i="15"/>
  <c r="K77" i="15"/>
  <c r="J77" i="15"/>
  <c r="L77" i="15" s="1"/>
  <c r="J76" i="15"/>
  <c r="K75" i="15"/>
  <c r="J75" i="15"/>
  <c r="K74" i="15"/>
  <c r="J74" i="15"/>
  <c r="G56" i="15"/>
  <c r="D56" i="15"/>
  <c r="C56" i="15"/>
  <c r="G55" i="15"/>
  <c r="D55" i="15"/>
  <c r="G54" i="15"/>
  <c r="D54" i="15"/>
  <c r="C54" i="15"/>
  <c r="G53" i="15"/>
  <c r="D53" i="15"/>
  <c r="C53" i="15"/>
  <c r="G52" i="15"/>
  <c r="D52" i="15"/>
  <c r="C52" i="15"/>
  <c r="G51" i="15"/>
  <c r="D51" i="15"/>
  <c r="C51" i="15"/>
  <c r="E51" i="15" s="1"/>
  <c r="F51" i="15" s="1"/>
  <c r="G50" i="15"/>
  <c r="D50" i="15"/>
  <c r="J49" i="15"/>
  <c r="G49" i="15"/>
  <c r="D49" i="15"/>
  <c r="C49" i="15"/>
  <c r="E49" i="15" s="1"/>
  <c r="F49" i="15" s="1"/>
  <c r="J48" i="15"/>
  <c r="J50" i="15" s="1"/>
  <c r="G48" i="15"/>
  <c r="D48" i="15"/>
  <c r="C48" i="15"/>
  <c r="J47" i="15"/>
  <c r="G47" i="15"/>
  <c r="D47" i="15"/>
  <c r="C47" i="15"/>
  <c r="K46" i="15"/>
  <c r="J46" i="15"/>
  <c r="C42" i="15"/>
  <c r="C41" i="15"/>
  <c r="K40" i="15"/>
  <c r="J40" i="15"/>
  <c r="L40" i="15" s="1"/>
  <c r="C40" i="15"/>
  <c r="K39" i="15"/>
  <c r="J39" i="15"/>
  <c r="C39" i="15"/>
  <c r="K38" i="15"/>
  <c r="J38" i="15"/>
  <c r="L38" i="15" s="1"/>
  <c r="C38" i="15"/>
  <c r="K37" i="15"/>
  <c r="J37" i="15"/>
  <c r="C37" i="15"/>
  <c r="K36" i="15"/>
  <c r="K41" i="15" s="1"/>
  <c r="J36" i="15"/>
  <c r="J41" i="15" s="1"/>
  <c r="C36" i="15"/>
  <c r="C35" i="15"/>
  <c r="C34" i="15"/>
  <c r="C33" i="15"/>
  <c r="J30" i="15"/>
  <c r="J29" i="15"/>
  <c r="J28" i="15"/>
  <c r="C28" i="15"/>
  <c r="J27" i="15"/>
  <c r="C27" i="15"/>
  <c r="J26" i="15"/>
  <c r="C26" i="15"/>
  <c r="C25" i="15"/>
  <c r="D24" i="15"/>
  <c r="E24" i="15" s="1"/>
  <c r="F24" i="15" s="1"/>
  <c r="C24" i="15"/>
  <c r="C23" i="15"/>
  <c r="C22" i="15"/>
  <c r="C21" i="15"/>
  <c r="J20" i="15"/>
  <c r="C20" i="15"/>
  <c r="J19" i="15"/>
  <c r="C19" i="15"/>
  <c r="F15" i="15"/>
  <c r="B14" i="15"/>
  <c r="J13" i="15"/>
  <c r="E13" i="15"/>
  <c r="B13" i="15"/>
  <c r="J12" i="15"/>
  <c r="J11" i="15"/>
  <c r="B11" i="15"/>
  <c r="E9" i="15"/>
  <c r="B8" i="15"/>
  <c r="K6" i="15"/>
  <c r="E6" i="15"/>
  <c r="E7" i="15" s="1"/>
  <c r="K5" i="15"/>
  <c r="L5" i="15" s="1"/>
  <c r="E5" i="15"/>
  <c r="E8" i="15" s="1"/>
  <c r="B5" i="15"/>
  <c r="B12" i="15" s="1"/>
  <c r="L94" i="15"/>
  <c r="L93" i="15"/>
  <c r="L90" i="15"/>
  <c r="L82" i="15"/>
  <c r="L79" i="15"/>
  <c r="L75" i="15"/>
  <c r="L74" i="15"/>
  <c r="E56" i="15"/>
  <c r="F56" i="15" s="1"/>
  <c r="E54" i="15"/>
  <c r="E52" i="15"/>
  <c r="F52" i="15" s="1"/>
  <c r="E48" i="15"/>
  <c r="F48" i="15"/>
  <c r="L46" i="15"/>
  <c r="L39" i="15"/>
  <c r="L37" i="15"/>
  <c r="J31" i="15"/>
  <c r="J14" i="15"/>
  <c r="L6" i="15"/>
  <c r="O98" i="8"/>
  <c r="Q98" i="8" s="1"/>
  <c r="R98" i="8" s="1"/>
  <c r="S98" i="8" s="1"/>
  <c r="O97" i="8"/>
  <c r="Q97" i="8" s="1"/>
  <c r="R97" i="8" s="1"/>
  <c r="S97" i="8" s="1"/>
  <c r="O96" i="8"/>
  <c r="Q96" i="8" s="1"/>
  <c r="R96" i="8" s="1"/>
  <c r="S96" i="8" s="1"/>
  <c r="O94" i="8"/>
  <c r="Q94" i="8" s="1"/>
  <c r="R94" i="8" s="1"/>
  <c r="S94" i="8" s="1"/>
  <c r="O93" i="8"/>
  <c r="Q93" i="8" s="1"/>
  <c r="R93" i="8" s="1"/>
  <c r="S93" i="8" s="1"/>
  <c r="O90" i="8"/>
  <c r="Q90" i="8" s="1"/>
  <c r="R90" i="8" s="1"/>
  <c r="S90" i="8" s="1"/>
  <c r="O89" i="8"/>
  <c r="Q89" i="8" s="1"/>
  <c r="R89" i="8" s="1"/>
  <c r="S89" i="8" s="1"/>
  <c r="O88" i="8"/>
  <c r="Q88" i="8" s="1"/>
  <c r="R88" i="8" s="1"/>
  <c r="S88" i="8" s="1"/>
  <c r="O86" i="8"/>
  <c r="Q86" i="8" s="1"/>
  <c r="R86" i="8" s="1"/>
  <c r="S86" i="8" s="1"/>
  <c r="O85" i="8"/>
  <c r="Q85" i="8" s="1"/>
  <c r="R85" i="8" s="1"/>
  <c r="S85" i="8" s="1"/>
  <c r="O82" i="8"/>
  <c r="Q82" i="8" s="1"/>
  <c r="R82" i="8" s="1"/>
  <c r="S82" i="8" s="1"/>
  <c r="O81" i="8"/>
  <c r="Q81" i="8" s="1"/>
  <c r="R81" i="8" s="1"/>
  <c r="S81" i="8" s="1"/>
  <c r="O80" i="8"/>
  <c r="Q80" i="8" s="1"/>
  <c r="R80" i="8" s="1"/>
  <c r="S80" i="8" s="1"/>
  <c r="O78" i="8"/>
  <c r="Q78" i="8" s="1"/>
  <c r="R78" i="8" s="1"/>
  <c r="S78" i="8" s="1"/>
  <c r="O77" i="8"/>
  <c r="Q77" i="8" s="1"/>
  <c r="R77" i="8" s="1"/>
  <c r="S77" i="8" s="1"/>
  <c r="O74" i="8"/>
  <c r="Q74" i="8" s="1"/>
  <c r="R74" i="8" s="1"/>
  <c r="S74" i="8" s="1"/>
  <c r="O73" i="8"/>
  <c r="Q73" i="8" s="1"/>
  <c r="R73" i="8" s="1"/>
  <c r="S73" i="8" s="1"/>
  <c r="O72" i="8"/>
  <c r="Q72" i="8" s="1"/>
  <c r="R72" i="8" s="1"/>
  <c r="S72" i="8" s="1"/>
  <c r="O70" i="8"/>
  <c r="Q70" i="8" s="1"/>
  <c r="R70" i="8" s="1"/>
  <c r="S70" i="8" s="1"/>
  <c r="O69" i="8"/>
  <c r="Q69" i="8" s="1"/>
  <c r="R69" i="8" s="1"/>
  <c r="S69" i="8" s="1"/>
  <c r="O66" i="8"/>
  <c r="Q66" i="8" s="1"/>
  <c r="R66" i="8" s="1"/>
  <c r="S66" i="8" s="1"/>
  <c r="O65" i="8"/>
  <c r="Q65" i="8" s="1"/>
  <c r="R65" i="8" s="1"/>
  <c r="S65" i="8" s="1"/>
  <c r="O64" i="8"/>
  <c r="Q64" i="8" s="1"/>
  <c r="R64" i="8" s="1"/>
  <c r="S64" i="8" s="1"/>
  <c r="O62" i="8"/>
  <c r="Q62" i="8" s="1"/>
  <c r="R62" i="8" s="1"/>
  <c r="S62" i="8" s="1"/>
  <c r="O61" i="8"/>
  <c r="Q61" i="8" s="1"/>
  <c r="R61" i="8" s="1"/>
  <c r="S61" i="8" s="1"/>
  <c r="O58" i="8"/>
  <c r="Q58" i="8" s="1"/>
  <c r="R58" i="8" s="1"/>
  <c r="S58" i="8" s="1"/>
  <c r="O57" i="8"/>
  <c r="Q57" i="8" s="1"/>
  <c r="R57" i="8" s="1"/>
  <c r="S57" i="8" s="1"/>
  <c r="O56" i="8"/>
  <c r="Q56" i="8" s="1"/>
  <c r="R56" i="8" s="1"/>
  <c r="S56" i="8" s="1"/>
  <c r="O54" i="8"/>
  <c r="Q54" i="8" s="1"/>
  <c r="R54" i="8" s="1"/>
  <c r="S54" i="8" s="1"/>
  <c r="O53" i="8"/>
  <c r="Q53" i="8" s="1"/>
  <c r="R53" i="8" s="1"/>
  <c r="S53" i="8" s="1"/>
  <c r="O50" i="8"/>
  <c r="Q50" i="8" s="1"/>
  <c r="R50" i="8" s="1"/>
  <c r="S50" i="8" s="1"/>
  <c r="O49" i="8"/>
  <c r="Q49" i="8" s="1"/>
  <c r="R49" i="8" s="1"/>
  <c r="S49" i="8" s="1"/>
  <c r="O48" i="8"/>
  <c r="Q48" i="8" s="1"/>
  <c r="R48" i="8" s="1"/>
  <c r="S48" i="8" s="1"/>
  <c r="O46" i="8"/>
  <c r="Q46" i="8" s="1"/>
  <c r="R46" i="8" s="1"/>
  <c r="S46" i="8" s="1"/>
  <c r="O45" i="8"/>
  <c r="Q45" i="8" s="1"/>
  <c r="R45" i="8" s="1"/>
  <c r="S45" i="8" s="1"/>
  <c r="O42" i="8"/>
  <c r="Q42" i="8" s="1"/>
  <c r="R42" i="8" s="1"/>
  <c r="S42" i="8" s="1"/>
  <c r="O41" i="8"/>
  <c r="Q41" i="8" s="1"/>
  <c r="R41" i="8" s="1"/>
  <c r="S41" i="8" s="1"/>
  <c r="O40" i="8"/>
  <c r="Q40" i="8" s="1"/>
  <c r="R40" i="8" s="1"/>
  <c r="S40" i="8" s="1"/>
  <c r="O38" i="8"/>
  <c r="Q38" i="8" s="1"/>
  <c r="R38" i="8" s="1"/>
  <c r="S38" i="8" s="1"/>
  <c r="O37" i="8"/>
  <c r="Q37" i="8" s="1"/>
  <c r="R37" i="8" s="1"/>
  <c r="S37" i="8" s="1"/>
  <c r="O34" i="8"/>
  <c r="Q34" i="8" s="1"/>
  <c r="R34" i="8" s="1"/>
  <c r="S34" i="8" s="1"/>
  <c r="O33" i="8"/>
  <c r="Q33" i="8" s="1"/>
  <c r="R33" i="8" s="1"/>
  <c r="S33" i="8" s="1"/>
  <c r="O32" i="8"/>
  <c r="Q32" i="8" s="1"/>
  <c r="R32" i="8" s="1"/>
  <c r="S32" i="8" s="1"/>
  <c r="O30" i="8"/>
  <c r="Q30" i="8" s="1"/>
  <c r="R30" i="8" s="1"/>
  <c r="S30" i="8" s="1"/>
  <c r="O29" i="8"/>
  <c r="Q29" i="8" s="1"/>
  <c r="R29" i="8" s="1"/>
  <c r="S29" i="8" s="1"/>
  <c r="O26" i="8"/>
  <c r="Q26" i="8" s="1"/>
  <c r="R26" i="8" s="1"/>
  <c r="S26" i="8" s="1"/>
  <c r="O25" i="8"/>
  <c r="Q25" i="8" s="1"/>
  <c r="R25" i="8" s="1"/>
  <c r="S25" i="8" s="1"/>
  <c r="O24" i="8"/>
  <c r="Q24" i="8" s="1"/>
  <c r="R24" i="8" s="1"/>
  <c r="S24" i="8" s="1"/>
  <c r="O22" i="8"/>
  <c r="Q22" i="8" s="1"/>
  <c r="R22" i="8" s="1"/>
  <c r="S22" i="8" s="1"/>
  <c r="O21" i="8"/>
  <c r="Q21" i="8" s="1"/>
  <c r="R21" i="8" s="1"/>
  <c r="S21" i="8" s="1"/>
  <c r="O18" i="8"/>
  <c r="Q18" i="8" s="1"/>
  <c r="R18" i="8" s="1"/>
  <c r="S18" i="8" s="1"/>
  <c r="O17" i="8"/>
  <c r="Q17" i="8" s="1"/>
  <c r="R17" i="8" s="1"/>
  <c r="S17" i="8" s="1"/>
  <c r="O16" i="8"/>
  <c r="Q16" i="8" s="1"/>
  <c r="R16" i="8" s="1"/>
  <c r="S16" i="8" s="1"/>
  <c r="O14" i="8"/>
  <c r="Q14" i="8" s="1"/>
  <c r="R14" i="8" s="1"/>
  <c r="S14" i="8" s="1"/>
  <c r="O13" i="8"/>
  <c r="Q13" i="8" s="1"/>
  <c r="R13" i="8" s="1"/>
  <c r="S13" i="8" s="1"/>
  <c r="O11" i="8"/>
  <c r="Q11" i="8" s="1"/>
  <c r="R11" i="8" s="1"/>
  <c r="S11" i="8" s="1"/>
  <c r="O10" i="8"/>
  <c r="Q10" i="8" s="1"/>
  <c r="R10" i="8" s="1"/>
  <c r="S10" i="8" s="1"/>
  <c r="O9" i="8"/>
  <c r="Q9" i="8" s="1"/>
  <c r="R9" i="8" s="1"/>
  <c r="S9" i="8" s="1"/>
  <c r="O8" i="8"/>
  <c r="Q8" i="8" s="1"/>
  <c r="R8" i="8" s="1"/>
  <c r="S8" i="8" s="1"/>
  <c r="O6" i="8"/>
  <c r="Q6" i="8" s="1"/>
  <c r="R6" i="8" s="1"/>
  <c r="S6" i="8" s="1"/>
  <c r="O5" i="8"/>
  <c r="Q5" i="8" s="1"/>
  <c r="R5" i="8" s="1"/>
  <c r="S5" i="8" s="1"/>
  <c r="O2" i="8"/>
  <c r="Q2" i="8" s="1"/>
  <c r="R2" i="8" s="1"/>
  <c r="S2" i="8" s="1"/>
  <c r="T58" i="5"/>
  <c r="U58" i="5" s="1"/>
  <c r="V58" i="5" s="1"/>
  <c r="J58" i="5"/>
  <c r="H58" i="5"/>
  <c r="T56" i="5"/>
  <c r="U56" i="5" s="1"/>
  <c r="V56" i="5" s="1"/>
  <c r="J56" i="5"/>
  <c r="H56" i="5"/>
  <c r="T55" i="5"/>
  <c r="U55" i="5" s="1"/>
  <c r="V55" i="5" s="1"/>
  <c r="J55" i="5"/>
  <c r="H55" i="5"/>
  <c r="T54" i="5"/>
  <c r="U54" i="5" s="1"/>
  <c r="V54" i="5" s="1"/>
  <c r="J54" i="5"/>
  <c r="H54" i="5"/>
  <c r="H53" i="5"/>
  <c r="T52" i="5"/>
  <c r="U52" i="5" s="1"/>
  <c r="V52" i="5" s="1"/>
  <c r="J52" i="5"/>
  <c r="H52" i="5"/>
  <c r="T51" i="5"/>
  <c r="U51" i="5" s="1"/>
  <c r="V51" i="5" s="1"/>
  <c r="J51" i="5"/>
  <c r="H51" i="5"/>
  <c r="T50" i="5"/>
  <c r="U50" i="5" s="1"/>
  <c r="V50" i="5" s="1"/>
  <c r="J50" i="5"/>
  <c r="H50" i="5"/>
  <c r="T48" i="5"/>
  <c r="U48" i="5" s="1"/>
  <c r="V48" i="5" s="1"/>
  <c r="J48" i="5"/>
  <c r="H48" i="5"/>
  <c r="T47" i="5"/>
  <c r="U47" i="5" s="1"/>
  <c r="V47" i="5" s="1"/>
  <c r="J47" i="5"/>
  <c r="H47" i="5"/>
  <c r="T46" i="5"/>
  <c r="U46" i="5" s="1"/>
  <c r="V46" i="5" s="1"/>
  <c r="J46" i="5"/>
  <c r="H46" i="5"/>
  <c r="H45" i="5"/>
  <c r="T44" i="5"/>
  <c r="U44" i="5" s="1"/>
  <c r="V44" i="5" s="1"/>
  <c r="J44" i="5"/>
  <c r="H44" i="5"/>
  <c r="T43" i="5"/>
  <c r="U43" i="5" s="1"/>
  <c r="V43" i="5" s="1"/>
  <c r="H43" i="5"/>
  <c r="H42" i="5"/>
  <c r="H40" i="5"/>
  <c r="H39" i="5"/>
  <c r="H38" i="5"/>
  <c r="H36" i="5"/>
  <c r="H35" i="5"/>
  <c r="H34" i="5"/>
  <c r="H32" i="5"/>
  <c r="H31" i="5"/>
  <c r="H30" i="5"/>
  <c r="H28" i="5"/>
  <c r="H27" i="5"/>
  <c r="H26" i="5"/>
  <c r="H24" i="5"/>
  <c r="H23" i="5"/>
  <c r="H22" i="5"/>
  <c r="H20" i="5"/>
  <c r="H19" i="5"/>
  <c r="H18" i="5"/>
  <c r="J16" i="5"/>
  <c r="H16" i="5"/>
  <c r="H15" i="5"/>
  <c r="J15" i="5"/>
  <c r="J14" i="5"/>
  <c r="H14" i="5"/>
  <c r="J12" i="5"/>
  <c r="H12" i="5"/>
  <c r="H11" i="5"/>
  <c r="J11" i="5"/>
  <c r="J10" i="5"/>
  <c r="H10" i="5"/>
  <c r="J8" i="5"/>
  <c r="H8" i="5"/>
  <c r="H7" i="5"/>
  <c r="J7" i="5"/>
  <c r="J6" i="5"/>
  <c r="H6" i="5"/>
  <c r="J4" i="5"/>
  <c r="H4" i="5"/>
  <c r="H3" i="5"/>
  <c r="J2" i="5"/>
  <c r="H2" i="5"/>
  <c r="I63" i="9" a="1"/>
  <c r="I63" i="9" s="1"/>
  <c r="F63" i="9" a="1"/>
  <c r="F63" i="9" s="1"/>
  <c r="E63" i="9"/>
  <c r="I62" i="9" a="1"/>
  <c r="I62" i="9" s="1"/>
  <c r="F62" i="9" a="1"/>
  <c r="F62" i="9" s="1"/>
  <c r="E62" i="9"/>
  <c r="I61" i="9" a="1"/>
  <c r="I61" i="9" s="1"/>
  <c r="F61" i="9" a="1"/>
  <c r="F61" i="9" s="1"/>
  <c r="E61" i="9"/>
  <c r="I60" i="9" a="1"/>
  <c r="I60" i="9" s="1"/>
  <c r="F60" i="9" a="1"/>
  <c r="F60" i="9" s="1"/>
  <c r="E60" i="9"/>
  <c r="I59" i="9" a="1"/>
  <c r="I59" i="9" s="1"/>
  <c r="F59" i="9" a="1"/>
  <c r="F59" i="9" s="1"/>
  <c r="E59" i="9"/>
  <c r="I58" i="9" a="1"/>
  <c r="I58" i="9" s="1"/>
  <c r="F58" i="9" a="1"/>
  <c r="F58" i="9" s="1"/>
  <c r="E58" i="9"/>
  <c r="I57" i="9" a="1"/>
  <c r="I57" i="9" s="1"/>
  <c r="F57" i="9" a="1"/>
  <c r="F57" i="9" s="1"/>
  <c r="E57" i="9"/>
  <c r="I56" i="9" a="1"/>
  <c r="I56" i="9" s="1"/>
  <c r="F56" i="9" a="1"/>
  <c r="F56" i="9" s="1"/>
  <c r="E56" i="9"/>
  <c r="I55" i="9" a="1"/>
  <c r="I55" i="9" s="1"/>
  <c r="F55" i="9" a="1"/>
  <c r="F55" i="9" s="1"/>
  <c r="E55" i="9"/>
  <c r="I54" i="9" a="1"/>
  <c r="I54" i="9" s="1"/>
  <c r="F54" i="9" a="1"/>
  <c r="F54" i="9" s="1"/>
  <c r="E54" i="9"/>
  <c r="I53" i="9" a="1"/>
  <c r="I53" i="9" s="1"/>
  <c r="F53" i="9" a="1"/>
  <c r="F53" i="9" s="1"/>
  <c r="E53" i="9"/>
  <c r="I52" i="9" a="1"/>
  <c r="I52" i="9" s="1"/>
  <c r="F52" i="9" a="1"/>
  <c r="F52" i="9" s="1"/>
  <c r="E52" i="9"/>
  <c r="I51" i="9" a="1"/>
  <c r="I51" i="9" s="1"/>
  <c r="F51" i="9" a="1"/>
  <c r="F51" i="9" s="1"/>
  <c r="E51" i="9"/>
  <c r="I50" i="9" a="1"/>
  <c r="I50" i="9" s="1"/>
  <c r="F50" i="9" a="1"/>
  <c r="F50" i="9" s="1"/>
  <c r="E50" i="9"/>
  <c r="I49" i="9" a="1"/>
  <c r="I49" i="9" s="1"/>
  <c r="F49" i="9" a="1"/>
  <c r="F49" i="9" s="1"/>
  <c r="E49" i="9"/>
  <c r="I48" i="9" a="1"/>
  <c r="I48" i="9" s="1"/>
  <c r="F48" i="9" a="1"/>
  <c r="F48" i="9" s="1"/>
  <c r="E48" i="9"/>
  <c r="I47" i="9" a="1"/>
  <c r="I47" i="9" s="1"/>
  <c r="F47" i="9" a="1"/>
  <c r="F47" i="9" s="1"/>
  <c r="E47" i="9"/>
  <c r="I46" i="9" a="1"/>
  <c r="I46" i="9" s="1"/>
  <c r="F46" i="9" a="1"/>
  <c r="F46" i="9" s="1"/>
  <c r="E46" i="9"/>
  <c r="I45" i="9" a="1"/>
  <c r="I45" i="9" s="1"/>
  <c r="F45" i="9" a="1"/>
  <c r="F45" i="9" s="1"/>
  <c r="E45" i="9"/>
  <c r="I44" i="9" a="1"/>
  <c r="I44" i="9" s="1"/>
  <c r="F44" i="9" a="1"/>
  <c r="F44" i="9" s="1"/>
  <c r="E44" i="9"/>
  <c r="I43" i="9" a="1"/>
  <c r="I43" i="9" s="1"/>
  <c r="F43" i="9" a="1"/>
  <c r="F43" i="9" s="1"/>
  <c r="E43" i="9"/>
  <c r="I42" i="9" a="1"/>
  <c r="I42" i="9" s="1"/>
  <c r="F42" i="9" a="1"/>
  <c r="F42" i="9" s="1"/>
  <c r="E42" i="9"/>
  <c r="I41" i="9" a="1"/>
  <c r="I41" i="9" s="1"/>
  <c r="F41" i="9" a="1"/>
  <c r="F41" i="9" s="1"/>
  <c r="E41" i="9"/>
  <c r="I40" i="9" a="1"/>
  <c r="I40" i="9" s="1"/>
  <c r="F40" i="9" a="1"/>
  <c r="F40" i="9" s="1"/>
  <c r="E40" i="9"/>
  <c r="I39" i="9" a="1"/>
  <c r="I39" i="9" s="1"/>
  <c r="F39" i="9" a="1"/>
  <c r="F39" i="9" s="1"/>
  <c r="E39" i="9"/>
  <c r="I38" i="9" a="1"/>
  <c r="I38" i="9" s="1"/>
  <c r="F38" i="9" a="1"/>
  <c r="F38" i="9" s="1"/>
  <c r="E38" i="9"/>
  <c r="I37" i="9" a="1"/>
  <c r="I37" i="9" s="1"/>
  <c r="F37" i="9" a="1"/>
  <c r="F37" i="9" s="1"/>
  <c r="E37" i="9"/>
  <c r="I36" i="9" a="1"/>
  <c r="I36" i="9" s="1"/>
  <c r="F36" i="9" a="1"/>
  <c r="F36" i="9" s="1"/>
  <c r="E36" i="9"/>
  <c r="I35" i="9" a="1"/>
  <c r="I35" i="9" s="1"/>
  <c r="F35" i="9" a="1"/>
  <c r="F35" i="9" s="1"/>
  <c r="E35" i="9"/>
  <c r="I34" i="9" a="1"/>
  <c r="I34" i="9" s="1"/>
  <c r="F34" i="9" a="1"/>
  <c r="F34" i="9" s="1"/>
  <c r="E34" i="9"/>
  <c r="I33" i="9" a="1"/>
  <c r="I33" i="9" s="1"/>
  <c r="F33" i="9" a="1"/>
  <c r="F33" i="9" s="1"/>
  <c r="E33" i="9"/>
  <c r="I32" i="9" a="1"/>
  <c r="I32" i="9" s="1"/>
  <c r="F32" i="9" a="1"/>
  <c r="F32" i="9" s="1"/>
  <c r="E32" i="9"/>
  <c r="I31" i="9" a="1"/>
  <c r="I31" i="9" s="1"/>
  <c r="F31" i="9" a="1"/>
  <c r="F31" i="9" s="1"/>
  <c r="E31" i="9"/>
  <c r="I30" i="9" a="1"/>
  <c r="I30" i="9" s="1"/>
  <c r="F30" i="9" a="1"/>
  <c r="F30" i="9" s="1"/>
  <c r="E30" i="9"/>
  <c r="I29" i="9" a="1"/>
  <c r="I29" i="9" s="1"/>
  <c r="F29" i="9" a="1"/>
  <c r="F29" i="9" s="1"/>
  <c r="E29" i="9"/>
  <c r="I28" i="9" a="1"/>
  <c r="I28" i="9" s="1"/>
  <c r="F28" i="9" a="1"/>
  <c r="F28" i="9" s="1"/>
  <c r="E28" i="9"/>
  <c r="I27" i="9" a="1"/>
  <c r="I27" i="9" s="1"/>
  <c r="F27" i="9" a="1"/>
  <c r="F27" i="9" s="1"/>
  <c r="E27" i="9"/>
  <c r="I26" i="9" a="1"/>
  <c r="I26" i="9" s="1"/>
  <c r="F26" i="9" a="1"/>
  <c r="F26" i="9" s="1"/>
  <c r="E26" i="9"/>
  <c r="I25" i="9" a="1"/>
  <c r="I25" i="9" s="1"/>
  <c r="F25" i="9" a="1"/>
  <c r="F25" i="9" s="1"/>
  <c r="E25" i="9"/>
  <c r="I24" i="9" a="1"/>
  <c r="I24" i="9" s="1"/>
  <c r="F24" i="9" a="1"/>
  <c r="F24" i="9" s="1"/>
  <c r="E24" i="9"/>
  <c r="I23" i="9" a="1"/>
  <c r="I23" i="9" s="1"/>
  <c r="F23" i="9" a="1"/>
  <c r="F23" i="9" s="1"/>
  <c r="E23" i="9"/>
  <c r="I22" i="9" a="1"/>
  <c r="I22" i="9" s="1"/>
  <c r="F22" i="9" a="1"/>
  <c r="F22" i="9" s="1"/>
  <c r="E22" i="9"/>
  <c r="I21" i="9" a="1"/>
  <c r="I21" i="9" s="1"/>
  <c r="F21" i="9" a="1"/>
  <c r="F21" i="9" s="1"/>
  <c r="E21" i="9"/>
  <c r="I20" i="9" a="1"/>
  <c r="I20" i="9" s="1"/>
  <c r="F20" i="9" a="1"/>
  <c r="F20" i="9" s="1"/>
  <c r="E20" i="9"/>
  <c r="I19" i="9" a="1"/>
  <c r="I19" i="9" s="1"/>
  <c r="F19" i="9" a="1"/>
  <c r="F19" i="9" s="1"/>
  <c r="E19" i="9"/>
  <c r="I18" i="9" a="1"/>
  <c r="I18" i="9" s="1"/>
  <c r="F18" i="9" a="1"/>
  <c r="F18" i="9" s="1"/>
  <c r="E18" i="9"/>
  <c r="I17" i="9" a="1"/>
  <c r="I17" i="9" s="1"/>
  <c r="F17" i="9" a="1"/>
  <c r="F17" i="9" s="1"/>
  <c r="E17" i="9"/>
  <c r="I16" i="9" a="1"/>
  <c r="I16" i="9" s="1"/>
  <c r="F16" i="9" a="1"/>
  <c r="F16" i="9" s="1"/>
  <c r="E16" i="9"/>
  <c r="I15" i="9" a="1"/>
  <c r="I15" i="9" s="1"/>
  <c r="F15" i="9" a="1"/>
  <c r="F15" i="9" s="1"/>
  <c r="E15" i="9"/>
  <c r="I14" i="9" a="1"/>
  <c r="I14" i="9" s="1"/>
  <c r="F14" i="9" a="1"/>
  <c r="F14" i="9" s="1"/>
  <c r="E14" i="9"/>
  <c r="I13" i="9" a="1"/>
  <c r="I13" i="9" s="1"/>
  <c r="F13" i="9" a="1"/>
  <c r="F13" i="9" s="1"/>
  <c r="E13" i="9"/>
  <c r="I12" i="9" a="1"/>
  <c r="I12" i="9" s="1"/>
  <c r="F12" i="9" a="1"/>
  <c r="F12" i="9" s="1"/>
  <c r="E12" i="9"/>
  <c r="I11" i="9" a="1"/>
  <c r="I11" i="9" s="1"/>
  <c r="F11" i="9" a="1"/>
  <c r="F11" i="9" s="1"/>
  <c r="E11" i="9"/>
  <c r="I10" i="9" a="1"/>
  <c r="I10" i="9" s="1"/>
  <c r="F10" i="9" a="1"/>
  <c r="F10" i="9" s="1"/>
  <c r="E10" i="9"/>
  <c r="I9" i="9" a="1"/>
  <c r="I9" i="9" s="1"/>
  <c r="F9" i="9" a="1"/>
  <c r="F9" i="9" s="1"/>
  <c r="E9" i="9"/>
  <c r="I8" i="9" a="1"/>
  <c r="I8" i="9" s="1"/>
  <c r="F8" i="9" a="1"/>
  <c r="F8" i="9" s="1"/>
  <c r="E8" i="9"/>
  <c r="I7" i="9" a="1"/>
  <c r="I7" i="9" s="1"/>
  <c r="F7" i="9" a="1"/>
  <c r="F7" i="9" s="1"/>
  <c r="E7" i="9"/>
  <c r="I6" i="9" a="1"/>
  <c r="I6" i="9" s="1"/>
  <c r="F6" i="9" a="1"/>
  <c r="F6" i="9" s="1"/>
  <c r="E6" i="9"/>
  <c r="I5" i="9" a="1"/>
  <c r="I5" i="9" s="1"/>
  <c r="F5" i="9" a="1"/>
  <c r="F5" i="9" s="1"/>
  <c r="E5" i="9"/>
  <c r="I4" i="9" a="1"/>
  <c r="I4" i="9" s="1"/>
  <c r="F4" i="9" a="1"/>
  <c r="F4" i="9" s="1"/>
  <c r="E4" i="9"/>
  <c r="I3" i="9" a="1"/>
  <c r="I3" i="9" s="1"/>
  <c r="F3" i="9" a="1"/>
  <c r="F3" i="9" s="1"/>
  <c r="D3" i="9" a="1"/>
  <c r="D3" i="9" s="1"/>
  <c r="E3" i="9" s="1"/>
  <c r="E1" i="9"/>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s="1"/>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I32" i="6" a="1"/>
  <c r="I32" i="6" s="1"/>
  <c r="Q32" i="6" s="1"/>
  <c r="D32" i="6" a="1"/>
  <c r="D32" i="6" s="1"/>
  <c r="I31" i="6" a="1"/>
  <c r="I31" i="6" s="1"/>
  <c r="Q31" i="6" s="1"/>
  <c r="D31" i="6" a="1"/>
  <c r="D31" i="6" s="1"/>
  <c r="I30" i="6" a="1"/>
  <c r="I30" i="6" s="1"/>
  <c r="Q30" i="6" s="1"/>
  <c r="D30" i="6" a="1"/>
  <c r="D30" i="6" s="1"/>
  <c r="I29" i="6" a="1"/>
  <c r="I29" i="6" s="1"/>
  <c r="Q29" i="6" s="1"/>
  <c r="D29" i="6" a="1"/>
  <c r="D29" i="6" s="1"/>
  <c r="I28" i="6" a="1"/>
  <c r="I28" i="6" s="1"/>
  <c r="Q28" i="6" s="1"/>
  <c r="D28" i="6" a="1"/>
  <c r="D28" i="6" s="1"/>
  <c r="I27" i="6" a="1"/>
  <c r="I27" i="6" s="1"/>
  <c r="Q27" i="6" s="1"/>
  <c r="D27" i="6" a="1"/>
  <c r="D27" i="6" s="1"/>
  <c r="I26" i="6" a="1"/>
  <c r="I26" i="6" s="1"/>
  <c r="Q26" i="6" s="1"/>
  <c r="D26" i="6" a="1"/>
  <c r="D26" i="6" s="1"/>
  <c r="I25" i="6" a="1"/>
  <c r="I25" i="6" s="1"/>
  <c r="Q25" i="6" s="1"/>
  <c r="D25" i="6" a="1"/>
  <c r="D25" i="6" s="1"/>
  <c r="I24" i="6" a="1"/>
  <c r="I24" i="6" s="1"/>
  <c r="Q24" i="6" s="1"/>
  <c r="D24" i="6" a="1"/>
  <c r="D24" i="6" s="1"/>
  <c r="I23" i="6" a="1"/>
  <c r="I23" i="6" s="1"/>
  <c r="Q23" i="6" s="1"/>
  <c r="D23" i="6" a="1"/>
  <c r="D23" i="6" s="1"/>
  <c r="I22" i="6" a="1"/>
  <c r="I22" i="6" s="1"/>
  <c r="Q22" i="6" s="1"/>
  <c r="D22" i="6" a="1"/>
  <c r="D22" i="6" s="1"/>
  <c r="I21" i="6" a="1"/>
  <c r="I21" i="6" s="1"/>
  <c r="Q21" i="6" s="1"/>
  <c r="D21" i="6" a="1"/>
  <c r="D21" i="6" s="1"/>
  <c r="I20" i="6" a="1"/>
  <c r="I20" i="6" s="1"/>
  <c r="Q20" i="6" s="1"/>
  <c r="D20" i="6" a="1"/>
  <c r="D20" i="6" s="1"/>
  <c r="I19" i="6" a="1"/>
  <c r="I19" i="6" s="1"/>
  <c r="Q19" i="6" s="1"/>
  <c r="D19" i="6" a="1"/>
  <c r="D19" i="6" s="1"/>
  <c r="I18" i="6" a="1"/>
  <c r="I18" i="6" s="1"/>
  <c r="Q18" i="6" s="1"/>
  <c r="D18" i="6" a="1"/>
  <c r="D18" i="6" s="1"/>
  <c r="I17" i="6" a="1"/>
  <c r="I17" i="6" s="1"/>
  <c r="Q17" i="6" s="1"/>
  <c r="D17" i="6" a="1"/>
  <c r="D17" i="6" s="1"/>
  <c r="I16" i="6" a="1"/>
  <c r="I16" i="6" s="1"/>
  <c r="Q16" i="6" s="1"/>
  <c r="D16" i="6" a="1"/>
  <c r="D16" i="6" s="1"/>
  <c r="J15" i="6"/>
  <c r="I15" i="6" a="1"/>
  <c r="I15" i="6" s="1"/>
  <c r="Q15" i="6" s="1"/>
  <c r="D15" i="6" a="1"/>
  <c r="D15" i="6" s="1"/>
  <c r="I14" i="6" a="1"/>
  <c r="I14" i="6" s="1"/>
  <c r="Q14" i="6" s="1"/>
  <c r="D14" i="6" a="1"/>
  <c r="D14" i="6" s="1"/>
  <c r="I13" i="6" a="1"/>
  <c r="I13" i="6" s="1"/>
  <c r="Q13" i="6" s="1"/>
  <c r="D13" i="6" a="1"/>
  <c r="D13" i="6" s="1"/>
  <c r="I12" i="6" a="1"/>
  <c r="I12" i="6" s="1"/>
  <c r="Q12" i="6" s="1"/>
  <c r="D12" i="6" a="1"/>
  <c r="D12" i="6" s="1"/>
  <c r="I11" i="6" a="1"/>
  <c r="I11" i="6" s="1"/>
  <c r="Q11" i="6" s="1"/>
  <c r="D11" i="6" a="1"/>
  <c r="D11" i="6" s="1"/>
  <c r="J10" i="6"/>
  <c r="I10" i="6" a="1"/>
  <c r="I10" i="6" s="1"/>
  <c r="Q10" i="6" s="1"/>
  <c r="D10" i="6" a="1"/>
  <c r="D10" i="6" s="1"/>
  <c r="I9" i="6" a="1"/>
  <c r="I9" i="6" s="1"/>
  <c r="Q9" i="6" s="1"/>
  <c r="D9" i="6" a="1"/>
  <c r="D9" i="6" s="1"/>
  <c r="I8" i="6" a="1"/>
  <c r="I8" i="6" s="1"/>
  <c r="Q8" i="6" s="1"/>
  <c r="D8" i="6" a="1"/>
  <c r="D8" i="6" s="1"/>
  <c r="I7" i="6" a="1"/>
  <c r="I7" i="6" s="1"/>
  <c r="Q7" i="6" s="1"/>
  <c r="D7" i="6" a="1"/>
  <c r="D7" i="6" s="1"/>
  <c r="I6" i="6" a="1"/>
  <c r="I6" i="6" s="1"/>
  <c r="Q6" i="6" s="1"/>
  <c r="D6" i="6" a="1"/>
  <c r="D6" i="6" s="1"/>
  <c r="I5" i="6" a="1"/>
  <c r="I5" i="6" s="1"/>
  <c r="Q5" i="6" s="1"/>
  <c r="D5" i="6" a="1"/>
  <c r="D5" i="6" s="1"/>
  <c r="M4" i="6"/>
  <c r="O4" i="6" s="1"/>
  <c r="J32" i="6" s="1"/>
  <c r="J4" i="6"/>
  <c r="I4" i="6" a="1"/>
  <c r="I4" i="6" s="1"/>
  <c r="Q4" i="6" s="1"/>
  <c r="D4" i="6" a="1"/>
  <c r="D4" i="6" s="1"/>
  <c r="I3" i="6" a="1"/>
  <c r="I3" i="6" s="1"/>
  <c r="Q3" i="6" s="1"/>
  <c r="D3" i="6" a="1"/>
  <c r="D3" i="6" s="1"/>
  <c r="I2" i="6" a="1"/>
  <c r="I2" i="6" s="1"/>
  <c r="Q2" i="6" s="1"/>
  <c r="D2" i="6" a="1"/>
  <c r="D2" i="6" s="1"/>
  <c r="U57" i="5" l="1"/>
  <c r="V57" i="5" s="1"/>
  <c r="D26" i="15"/>
  <c r="E26" i="15" s="1"/>
  <c r="F26" i="15" s="1"/>
  <c r="E14" i="15"/>
  <c r="D19" i="15"/>
  <c r="E19" i="15" s="1"/>
  <c r="F19" i="15" s="1"/>
  <c r="D22" i="15"/>
  <c r="E22" i="15" s="1"/>
  <c r="F22" i="15" s="1"/>
  <c r="C55" i="15"/>
  <c r="E55" i="15" s="1"/>
  <c r="F55" i="15" s="1"/>
  <c r="F14" i="15"/>
  <c r="C50" i="15"/>
  <c r="J45" i="5"/>
  <c r="J53" i="5"/>
  <c r="H49" i="5"/>
  <c r="H57" i="5"/>
  <c r="J49" i="5"/>
  <c r="J57" i="5"/>
  <c r="J9" i="5"/>
  <c r="J13" i="5"/>
  <c r="T49" i="5"/>
  <c r="U49" i="5" s="1"/>
  <c r="V49" i="5" s="1"/>
  <c r="E47" i="15"/>
  <c r="E50" i="15"/>
  <c r="F50" i="15" s="1"/>
  <c r="L80" i="15"/>
  <c r="H5" i="5"/>
  <c r="E15" i="15"/>
  <c r="D20" i="15"/>
  <c r="E20" i="15" s="1"/>
  <c r="F20" i="15" s="1"/>
  <c r="K76" i="15"/>
  <c r="L76" i="15" s="1"/>
  <c r="E16" i="15"/>
  <c r="K81" i="15"/>
  <c r="L81" i="15" s="1"/>
  <c r="F16" i="15"/>
  <c r="D28" i="15"/>
  <c r="E28" i="15" s="1"/>
  <c r="F28" i="15" s="1"/>
  <c r="F47" i="15"/>
  <c r="L36" i="15"/>
  <c r="K28" i="15"/>
  <c r="E10" i="15"/>
  <c r="K26" i="15"/>
  <c r="K29" i="15"/>
  <c r="K30" i="15"/>
  <c r="K11" i="15"/>
  <c r="K12" i="15"/>
  <c r="L41" i="15"/>
  <c r="F53" i="15"/>
  <c r="F54" i="15"/>
  <c r="J21" i="15"/>
  <c r="K20" i="15" s="1"/>
  <c r="K27" i="15"/>
  <c r="E53" i="15"/>
  <c r="K13" i="15"/>
  <c r="T21" i="5"/>
  <c r="U21" i="5" s="1"/>
  <c r="V21" i="5" s="1"/>
  <c r="K21" i="5"/>
  <c r="J21" i="5"/>
  <c r="T29" i="5"/>
  <c r="U29" i="5" s="1"/>
  <c r="V29" i="5" s="1"/>
  <c r="K29" i="5"/>
  <c r="J29" i="5"/>
  <c r="T37" i="5"/>
  <c r="U37" i="5" s="1"/>
  <c r="V37" i="5" s="1"/>
  <c r="K37" i="5"/>
  <c r="J37" i="5"/>
  <c r="T2" i="5"/>
  <c r="L11" i="15" s="1"/>
  <c r="K2" i="5"/>
  <c r="T4" i="5"/>
  <c r="U4" i="5" s="1"/>
  <c r="V4" i="5" s="1"/>
  <c r="K4" i="5"/>
  <c r="T6" i="5"/>
  <c r="K6" i="5"/>
  <c r="T8" i="5"/>
  <c r="U8" i="5" s="1"/>
  <c r="V8" i="5" s="1"/>
  <c r="K8" i="5"/>
  <c r="T10" i="5"/>
  <c r="U10" i="5" s="1"/>
  <c r="V10" i="5" s="1"/>
  <c r="K10" i="5"/>
  <c r="T12" i="5"/>
  <c r="K12" i="5"/>
  <c r="T14" i="5"/>
  <c r="K14" i="5"/>
  <c r="T16" i="5"/>
  <c r="U16" i="5" s="1"/>
  <c r="V16" i="5" s="1"/>
  <c r="K16" i="5"/>
  <c r="T24" i="5"/>
  <c r="K24" i="5"/>
  <c r="J24" i="5"/>
  <c r="T32" i="5"/>
  <c r="K32" i="5"/>
  <c r="J32" i="5"/>
  <c r="T40" i="5"/>
  <c r="U40" i="5" s="1"/>
  <c r="V40" i="5" s="1"/>
  <c r="K40" i="5"/>
  <c r="J40" i="5"/>
  <c r="J5" i="5"/>
  <c r="T25" i="5"/>
  <c r="K25" i="5"/>
  <c r="J25" i="5"/>
  <c r="T41" i="5"/>
  <c r="K41" i="5"/>
  <c r="J41" i="5"/>
  <c r="T19" i="5"/>
  <c r="K19" i="5"/>
  <c r="J19" i="5"/>
  <c r="T27" i="5"/>
  <c r="U27" i="5" s="1"/>
  <c r="V27" i="5" s="1"/>
  <c r="K27" i="5"/>
  <c r="J27" i="5"/>
  <c r="T35" i="5"/>
  <c r="U35" i="5" s="1"/>
  <c r="V35" i="5" s="1"/>
  <c r="K35" i="5"/>
  <c r="J35" i="5"/>
  <c r="T22" i="5"/>
  <c r="U22" i="5" s="1"/>
  <c r="V22" i="5" s="1"/>
  <c r="K22" i="5"/>
  <c r="J22" i="5"/>
  <c r="H25" i="5"/>
  <c r="T30" i="5"/>
  <c r="U30" i="5" s="1"/>
  <c r="V30" i="5" s="1"/>
  <c r="K30" i="5"/>
  <c r="J30" i="5"/>
  <c r="T38" i="5"/>
  <c r="K38" i="5"/>
  <c r="J38" i="5"/>
  <c r="H41" i="5"/>
  <c r="T5" i="5"/>
  <c r="K5" i="5"/>
  <c r="T7" i="5"/>
  <c r="K7" i="5"/>
  <c r="T9" i="5"/>
  <c r="U9" i="5" s="1"/>
  <c r="V9" i="5" s="1"/>
  <c r="K9" i="5"/>
  <c r="T11" i="5"/>
  <c r="U11" i="5" s="1"/>
  <c r="V11" i="5" s="1"/>
  <c r="K11" i="5"/>
  <c r="T13" i="5"/>
  <c r="K13" i="5"/>
  <c r="T15" i="5"/>
  <c r="K15" i="5"/>
  <c r="T20" i="5"/>
  <c r="U20" i="5" s="1"/>
  <c r="V20" i="5" s="1"/>
  <c r="K20" i="5"/>
  <c r="J20" i="5"/>
  <c r="T28" i="5"/>
  <c r="U28" i="5" s="1"/>
  <c r="V28" i="5" s="1"/>
  <c r="K28" i="5"/>
  <c r="J28" i="5"/>
  <c r="T36" i="5"/>
  <c r="U36" i="5" s="1"/>
  <c r="V36" i="5" s="1"/>
  <c r="K36" i="5"/>
  <c r="J36" i="5"/>
  <c r="T3" i="5"/>
  <c r="U3" i="5" s="1"/>
  <c r="K3" i="5"/>
  <c r="T23" i="5"/>
  <c r="U23" i="5" s="1"/>
  <c r="V23" i="5" s="1"/>
  <c r="K23" i="5"/>
  <c r="J23" i="5"/>
  <c r="T31" i="5"/>
  <c r="U31" i="5" s="1"/>
  <c r="V31" i="5" s="1"/>
  <c r="K31" i="5"/>
  <c r="J31" i="5"/>
  <c r="T39" i="5"/>
  <c r="K39" i="5"/>
  <c r="J39" i="5"/>
  <c r="J3" i="5"/>
  <c r="T17" i="5"/>
  <c r="U17" i="5" s="1"/>
  <c r="V17" i="5" s="1"/>
  <c r="K17" i="5"/>
  <c r="J17" i="5"/>
  <c r="T33" i="5"/>
  <c r="U33" i="5" s="1"/>
  <c r="V33" i="5" s="1"/>
  <c r="K33" i="5"/>
  <c r="J33" i="5"/>
  <c r="T18" i="5"/>
  <c r="U18" i="5" s="1"/>
  <c r="V18" i="5" s="1"/>
  <c r="K18" i="5"/>
  <c r="J18" i="5"/>
  <c r="H21" i="5"/>
  <c r="T26" i="5"/>
  <c r="U26" i="5" s="1"/>
  <c r="V26" i="5" s="1"/>
  <c r="K26" i="5"/>
  <c r="J26" i="5"/>
  <c r="H29" i="5"/>
  <c r="T34" i="5"/>
  <c r="U34" i="5" s="1"/>
  <c r="V34" i="5" s="1"/>
  <c r="K34" i="5"/>
  <c r="J34" i="5"/>
  <c r="H37" i="5"/>
  <c r="T42" i="5"/>
  <c r="K42" i="5"/>
  <c r="J42" i="5"/>
  <c r="J43" i="5"/>
  <c r="K43" i="5"/>
  <c r="K44" i="5"/>
  <c r="K45" i="5"/>
  <c r="K46" i="5"/>
  <c r="K47" i="5"/>
  <c r="K48" i="5"/>
  <c r="K49" i="5"/>
  <c r="K50" i="5"/>
  <c r="K51" i="5"/>
  <c r="K52" i="5"/>
  <c r="K53" i="5"/>
  <c r="K54" i="5"/>
  <c r="K55" i="5"/>
  <c r="K56" i="5"/>
  <c r="K57" i="5"/>
  <c r="K58" i="5"/>
  <c r="K32" i="6"/>
  <c r="K15" i="6"/>
  <c r="K10" i="6"/>
  <c r="J14" i="6"/>
  <c r="K14" i="6" s="1"/>
  <c r="J28" i="6"/>
  <c r="K28" i="6" s="1"/>
  <c r="J8" i="6"/>
  <c r="K8" i="6" s="1"/>
  <c r="J22" i="6"/>
  <c r="K22" i="6" s="1"/>
  <c r="J2" i="6"/>
  <c r="K2" i="6" s="1"/>
  <c r="J16" i="6"/>
  <c r="K16" i="6" s="1"/>
  <c r="J30" i="6"/>
  <c r="K30" i="6" s="1"/>
  <c r="J7" i="6"/>
  <c r="K7" i="6" s="1"/>
  <c r="J24" i="6"/>
  <c r="K24" i="6" s="1"/>
  <c r="K4" i="6"/>
  <c r="J25" i="6"/>
  <c r="K25" i="6" s="1"/>
  <c r="J17" i="6"/>
  <c r="K17" i="6" s="1"/>
  <c r="J9" i="6"/>
  <c r="K9" i="6" s="1"/>
  <c r="J27" i="6"/>
  <c r="K27" i="6" s="1"/>
  <c r="J19" i="6"/>
  <c r="K19" i="6" s="1"/>
  <c r="J11" i="6"/>
  <c r="K11" i="6" s="1"/>
  <c r="J29" i="6"/>
  <c r="K29" i="6" s="1"/>
  <c r="J21" i="6"/>
  <c r="K21" i="6" s="1"/>
  <c r="J13" i="6"/>
  <c r="K13" i="6" s="1"/>
  <c r="J5" i="6"/>
  <c r="K5" i="6" s="1"/>
  <c r="J3" i="6"/>
  <c r="K3" i="6" s="1"/>
  <c r="J18" i="6"/>
  <c r="K18" i="6" s="1"/>
  <c r="J23" i="6"/>
  <c r="K23" i="6" s="1"/>
  <c r="J12" i="6"/>
  <c r="K12" i="6" s="1"/>
  <c r="J26" i="6"/>
  <c r="K26" i="6" s="1"/>
  <c r="J31" i="6"/>
  <c r="K31" i="6" s="1"/>
  <c r="J6" i="6"/>
  <c r="K6" i="6" s="1"/>
  <c r="J20" i="6"/>
  <c r="K20" i="6" s="1"/>
  <c r="J4" i="9"/>
  <c r="G4" i="9"/>
  <c r="J5" i="9"/>
  <c r="G5" i="9"/>
  <c r="H5" i="9" s="1"/>
  <c r="J13" i="9"/>
  <c r="G13" i="9"/>
  <c r="H13" i="9" s="1"/>
  <c r="J21" i="9"/>
  <c r="G21" i="9"/>
  <c r="H21" i="9" s="1"/>
  <c r="J29" i="9"/>
  <c r="G29" i="9"/>
  <c r="H29" i="9" s="1"/>
  <c r="J37" i="9"/>
  <c r="G37" i="9"/>
  <c r="H37" i="9" s="1"/>
  <c r="J45" i="9"/>
  <c r="G45" i="9"/>
  <c r="H45" i="9" s="1"/>
  <c r="J53" i="9"/>
  <c r="G53" i="9"/>
  <c r="H53" i="9" s="1"/>
  <c r="J61" i="9"/>
  <c r="G61" i="9"/>
  <c r="H61" i="9" s="1"/>
  <c r="J8" i="9"/>
  <c r="G8" i="9"/>
  <c r="H8" i="9" s="1"/>
  <c r="J16" i="9"/>
  <c r="G16" i="9"/>
  <c r="H16" i="9" s="1"/>
  <c r="J24" i="9"/>
  <c r="G24" i="9"/>
  <c r="H24" i="9" s="1"/>
  <c r="J32" i="9"/>
  <c r="G32" i="9"/>
  <c r="H32" i="9" s="1"/>
  <c r="J40" i="9"/>
  <c r="G40" i="9"/>
  <c r="H40" i="9" s="1"/>
  <c r="J48" i="9"/>
  <c r="G48" i="9"/>
  <c r="H48" i="9" s="1"/>
  <c r="J56" i="9"/>
  <c r="G56" i="9"/>
  <c r="H56" i="9" s="1"/>
  <c r="J3" i="9"/>
  <c r="G3" i="9"/>
  <c r="H3" i="9" s="1"/>
  <c r="J11" i="9"/>
  <c r="G11" i="9"/>
  <c r="H11" i="9" s="1"/>
  <c r="J19" i="9"/>
  <c r="G19" i="9"/>
  <c r="H19" i="9" s="1"/>
  <c r="J27" i="9"/>
  <c r="G27" i="9"/>
  <c r="H27" i="9" s="1"/>
  <c r="J35" i="9"/>
  <c r="G35" i="9"/>
  <c r="H35" i="9" s="1"/>
  <c r="J43" i="9"/>
  <c r="G43" i="9"/>
  <c r="H43" i="9" s="1"/>
  <c r="J51" i="9"/>
  <c r="G51" i="9"/>
  <c r="H51" i="9" s="1"/>
  <c r="J59" i="9"/>
  <c r="G59" i="9"/>
  <c r="H59" i="9" s="1"/>
  <c r="J6" i="9"/>
  <c r="G6" i="9"/>
  <c r="H6" i="9" s="1"/>
  <c r="J14" i="9"/>
  <c r="G14" i="9"/>
  <c r="H14" i="9" s="1"/>
  <c r="J22" i="9"/>
  <c r="G22" i="9"/>
  <c r="H22" i="9" s="1"/>
  <c r="J30" i="9"/>
  <c r="G30" i="9"/>
  <c r="H30" i="9" s="1"/>
  <c r="J38" i="9"/>
  <c r="G38" i="9"/>
  <c r="H38" i="9" s="1"/>
  <c r="J46" i="9"/>
  <c r="G46" i="9"/>
  <c r="H46" i="9" s="1"/>
  <c r="J54" i="9"/>
  <c r="G54" i="9"/>
  <c r="H54" i="9" s="1"/>
  <c r="J62" i="9"/>
  <c r="G62" i="9"/>
  <c r="H62" i="9" s="1"/>
  <c r="J9" i="9"/>
  <c r="G9" i="9"/>
  <c r="H9" i="9" s="1"/>
  <c r="J17" i="9"/>
  <c r="G17" i="9"/>
  <c r="H17" i="9" s="1"/>
  <c r="J25" i="9"/>
  <c r="G25" i="9"/>
  <c r="H25" i="9" s="1"/>
  <c r="J33" i="9"/>
  <c r="G33" i="9"/>
  <c r="H33" i="9" s="1"/>
  <c r="J41" i="9"/>
  <c r="G41" i="9"/>
  <c r="H41" i="9" s="1"/>
  <c r="J49" i="9"/>
  <c r="G49" i="9"/>
  <c r="H49" i="9" s="1"/>
  <c r="J57" i="9"/>
  <c r="G57" i="9"/>
  <c r="H57" i="9" s="1"/>
  <c r="J12" i="9"/>
  <c r="G12" i="9"/>
  <c r="H12" i="9" s="1"/>
  <c r="J20" i="9"/>
  <c r="G20" i="9"/>
  <c r="H20" i="9" s="1"/>
  <c r="J28" i="9"/>
  <c r="G28" i="9"/>
  <c r="H28" i="9" s="1"/>
  <c r="J36" i="9"/>
  <c r="G36" i="9"/>
  <c r="H36" i="9" s="1"/>
  <c r="J44" i="9"/>
  <c r="G44" i="9"/>
  <c r="H44" i="9" s="1"/>
  <c r="J52" i="9"/>
  <c r="G52" i="9"/>
  <c r="H52" i="9" s="1"/>
  <c r="J60" i="9"/>
  <c r="G60" i="9"/>
  <c r="H60" i="9" s="1"/>
  <c r="J7" i="9"/>
  <c r="G7" i="9"/>
  <c r="H7" i="9" s="1"/>
  <c r="J15" i="9"/>
  <c r="G15" i="9"/>
  <c r="H15" i="9" s="1"/>
  <c r="J23" i="9"/>
  <c r="G23" i="9"/>
  <c r="H23" i="9" s="1"/>
  <c r="J31" i="9"/>
  <c r="G31" i="9"/>
  <c r="H31" i="9" s="1"/>
  <c r="J39" i="9"/>
  <c r="G39" i="9"/>
  <c r="H39" i="9" s="1"/>
  <c r="J47" i="9"/>
  <c r="G47" i="9"/>
  <c r="H47" i="9" s="1"/>
  <c r="J55" i="9"/>
  <c r="G55" i="9"/>
  <c r="H55" i="9" s="1"/>
  <c r="J63" i="9"/>
  <c r="G63" i="9"/>
  <c r="H63" i="9" s="1"/>
  <c r="J10" i="9"/>
  <c r="G10" i="9"/>
  <c r="H10" i="9" s="1"/>
  <c r="J18" i="9"/>
  <c r="G18" i="9"/>
  <c r="H18" i="9" s="1"/>
  <c r="J26" i="9"/>
  <c r="G26" i="9"/>
  <c r="H26" i="9" s="1"/>
  <c r="J34" i="9"/>
  <c r="G34" i="9"/>
  <c r="H34" i="9" s="1"/>
  <c r="J42" i="9"/>
  <c r="G42" i="9"/>
  <c r="H42" i="9" s="1"/>
  <c r="J50" i="9"/>
  <c r="G50" i="9"/>
  <c r="H50" i="9" s="1"/>
  <c r="J58" i="9"/>
  <c r="G58" i="9"/>
  <c r="H58" i="9" s="1"/>
  <c r="U13" i="5" l="1"/>
  <c r="V13" i="5" s="1"/>
  <c r="D35" i="15"/>
  <c r="E35" i="15" s="1"/>
  <c r="F35" i="15" s="1"/>
  <c r="U14" i="5"/>
  <c r="V14" i="5" s="1"/>
  <c r="D36" i="15"/>
  <c r="E36" i="15" s="1"/>
  <c r="F36" i="15" s="1"/>
  <c r="U6" i="5"/>
  <c r="L12" i="15"/>
  <c r="U5" i="5"/>
  <c r="V5" i="5" s="1"/>
  <c r="D42" i="15"/>
  <c r="E42" i="15" s="1"/>
  <c r="F42" i="15" s="1"/>
  <c r="U32" i="5"/>
  <c r="V32" i="5" s="1"/>
  <c r="D33" i="15"/>
  <c r="E33" i="15" s="1"/>
  <c r="F33" i="15" s="1"/>
  <c r="U25" i="5"/>
  <c r="V25" i="5" s="1"/>
  <c r="D34" i="15"/>
  <c r="E34" i="15" s="1"/>
  <c r="F34" i="15" s="1"/>
  <c r="U12" i="5"/>
  <c r="V12" i="5" s="1"/>
  <c r="D39" i="15"/>
  <c r="E39" i="15" s="1"/>
  <c r="F39" i="15" s="1"/>
  <c r="U39" i="5"/>
  <c r="V39" i="5" s="1"/>
  <c r="D21" i="15"/>
  <c r="E21" i="15" s="1"/>
  <c r="F21" i="15" s="1"/>
  <c r="V3" i="5"/>
  <c r="U38" i="5"/>
  <c r="V38" i="5" s="1"/>
  <c r="D27" i="15"/>
  <c r="E27" i="15" s="1"/>
  <c r="F27" i="15" s="1"/>
  <c r="U19" i="5"/>
  <c r="V19" i="5" s="1"/>
  <c r="D40" i="15"/>
  <c r="E40" i="15" s="1"/>
  <c r="F40" i="15" s="1"/>
  <c r="U24" i="5"/>
  <c r="V24" i="5" s="1"/>
  <c r="D38" i="15"/>
  <c r="E38" i="15" s="1"/>
  <c r="F38" i="15" s="1"/>
  <c r="U2" i="5"/>
  <c r="L14" i="15"/>
  <c r="B6" i="15"/>
  <c r="B7" i="15" s="1"/>
  <c r="B9" i="15" s="1"/>
  <c r="B10" i="15" s="1"/>
  <c r="U42" i="5"/>
  <c r="V42" i="5" s="1"/>
  <c r="D23" i="15"/>
  <c r="E23" i="15" s="1"/>
  <c r="F23" i="15" s="1"/>
  <c r="U41" i="5"/>
  <c r="V41" i="5" s="1"/>
  <c r="D25" i="15"/>
  <c r="E25" i="15" s="1"/>
  <c r="F25" i="15" s="1"/>
  <c r="U15" i="5"/>
  <c r="V15" i="5" s="1"/>
  <c r="D41" i="15"/>
  <c r="E41" i="15" s="1"/>
  <c r="F41" i="15" s="1"/>
  <c r="U7" i="5"/>
  <c r="V7" i="5" s="1"/>
  <c r="D37" i="15"/>
  <c r="E37" i="15" s="1"/>
  <c r="F37" i="15" s="1"/>
  <c r="L13" i="15"/>
  <c r="K19" i="15"/>
  <c r="H4" i="9"/>
  <c r="H1" i="9" s="1"/>
  <c r="G1" i="9"/>
  <c r="V6" i="5" l="1"/>
  <c r="K47" i="15"/>
  <c r="K48" i="15"/>
  <c r="L48" i="15" s="1"/>
  <c r="V2" i="5"/>
  <c r="F5" i="15"/>
  <c r="F8" i="15" s="1"/>
  <c r="F6" i="15"/>
  <c r="K49" i="15"/>
  <c r="L49" i="15" s="1"/>
  <c r="F7" i="15" l="1"/>
  <c r="F9" i="15"/>
  <c r="F10" i="15" s="1"/>
  <c r="L47" i="15"/>
  <c r="L50" i="15" s="1"/>
  <c r="K50" i="15"/>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0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48"/>
        </ext>
      </extLst>
    </bk>
    <bk>
      <extLst>
        <ext uri="{3e2802c4-a4d2-4d8b-9148-e3be6c30e623}">
          <xlrd:rvb i="451"/>
        </ext>
      </extLst>
    </bk>
    <bk>
      <extLst>
        <ext uri="{3e2802c4-a4d2-4d8b-9148-e3be6c30e623}">
          <xlrd:rvb i="453"/>
        </ext>
      </extLst>
    </bk>
    <bk>
      <extLst>
        <ext uri="{3e2802c4-a4d2-4d8b-9148-e3be6c30e623}">
          <xlrd:rvb i="456"/>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0"/>
        </ext>
      </extLst>
    </bk>
    <bk>
      <extLst>
        <ext uri="{3e2802c4-a4d2-4d8b-9148-e3be6c30e623}">
          <xlrd:rvb i="472"/>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2"/>
        </ext>
      </extLst>
    </bk>
    <bk>
      <extLst>
        <ext uri="{3e2802c4-a4d2-4d8b-9148-e3be6c30e623}">
          <xlrd:rvb i="524"/>
        </ext>
      </extLst>
    </bk>
    <bk>
      <extLst>
        <ext uri="{3e2802c4-a4d2-4d8b-9148-e3be6c30e623}">
          <xlrd:rvb i="527"/>
        </ext>
      </extLst>
    </bk>
    <bk>
      <extLst>
        <ext uri="{3e2802c4-a4d2-4d8b-9148-e3be6c30e623}">
          <xlrd:rvb i="530"/>
        </ext>
      </extLst>
    </bk>
    <bk>
      <extLst>
        <ext uri="{3e2802c4-a4d2-4d8b-9148-e3be6c30e623}">
          <xlrd:rvb i="533"/>
        </ext>
      </extLst>
    </bk>
    <bk>
      <extLst>
        <ext uri="{3e2802c4-a4d2-4d8b-9148-e3be6c30e623}">
          <xlrd:rvb i="536"/>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8"/>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60"/>
        </ext>
      </extLst>
    </bk>
    <bk>
      <extLst>
        <ext uri="{3e2802c4-a4d2-4d8b-9148-e3be6c30e623}">
          <xlrd:rvb i="563"/>
        </ext>
      </extLst>
    </bk>
    <bk>
      <extLst>
        <ext uri="{3e2802c4-a4d2-4d8b-9148-e3be6c30e623}">
          <xlrd:rvb i="566"/>
        </ext>
      </extLst>
    </bk>
    <bk>
      <extLst>
        <ext uri="{3e2802c4-a4d2-4d8b-9148-e3be6c30e623}">
          <xlrd:rvb i="569"/>
        </ext>
      </extLst>
    </bk>
    <bk>
      <extLst>
        <ext uri="{3e2802c4-a4d2-4d8b-9148-e3be6c30e623}">
          <xlrd:rvb i="572"/>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3"/>
        </ext>
      </extLst>
    </bk>
    <bk>
      <extLst>
        <ext uri="{3e2802c4-a4d2-4d8b-9148-e3be6c30e623}">
          <xlrd:rvb i="596"/>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3"/>
        </ext>
      </extLst>
    </bk>
    <bk>
      <extLst>
        <ext uri="{3e2802c4-a4d2-4d8b-9148-e3be6c30e623}">
          <xlrd:rvb i="616"/>
        </ext>
      </extLst>
    </bk>
    <bk>
      <extLst>
        <ext uri="{3e2802c4-a4d2-4d8b-9148-e3be6c30e623}">
          <xlrd:rvb i="619"/>
        </ext>
      </extLst>
    </bk>
    <bk>
      <extLst>
        <ext uri="{3e2802c4-a4d2-4d8b-9148-e3be6c30e623}">
          <xlrd:rvb i="622"/>
        </ext>
      </extLst>
    </bk>
    <bk>
      <extLst>
        <ext uri="{3e2802c4-a4d2-4d8b-9148-e3be6c30e623}">
          <xlrd:rvb i="625"/>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7"/>
        </ext>
      </extLst>
    </bk>
    <bk>
      <extLst>
        <ext uri="{3e2802c4-a4d2-4d8b-9148-e3be6c30e623}">
          <xlrd:rvb i="660"/>
        </ext>
      </extLst>
    </bk>
    <bk>
      <extLst>
        <ext uri="{3e2802c4-a4d2-4d8b-9148-e3be6c30e623}">
          <xlrd:rvb i="663"/>
        </ext>
      </extLst>
    </bk>
    <bk>
      <extLst>
        <ext uri="{3e2802c4-a4d2-4d8b-9148-e3be6c30e623}">
          <xlrd:rvb i="666"/>
        </ext>
      </extLst>
    </bk>
    <bk>
      <extLst>
        <ext uri="{3e2802c4-a4d2-4d8b-9148-e3be6c30e623}">
          <xlrd:rvb i="668"/>
        </ext>
      </extLst>
    </bk>
    <bk>
      <extLst>
        <ext uri="{3e2802c4-a4d2-4d8b-9148-e3be6c30e623}">
          <xlrd:rvb i="671"/>
        </ext>
      </extLst>
    </bk>
    <bk>
      <extLst>
        <ext uri="{3e2802c4-a4d2-4d8b-9148-e3be6c30e623}">
          <xlrd:rvb i="674"/>
        </ext>
      </extLst>
    </bk>
    <bk>
      <extLst>
        <ext uri="{3e2802c4-a4d2-4d8b-9148-e3be6c30e623}">
          <xlrd:rvb i="677"/>
        </ext>
      </extLst>
    </bk>
    <bk>
      <extLst>
        <ext uri="{3e2802c4-a4d2-4d8b-9148-e3be6c30e623}">
          <xlrd:rvb i="680"/>
        </ext>
      </extLst>
    </bk>
    <bk>
      <extLst>
        <ext uri="{3e2802c4-a4d2-4d8b-9148-e3be6c30e623}">
          <xlrd:rvb i="683"/>
        </ext>
      </extLst>
    </bk>
    <bk>
      <extLst>
        <ext uri="{3e2802c4-a4d2-4d8b-9148-e3be6c30e623}">
          <xlrd:rvb i="686"/>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5"/>
        </ext>
      </extLst>
    </bk>
    <bk>
      <extLst>
        <ext uri="{3e2802c4-a4d2-4d8b-9148-e3be6c30e623}">
          <xlrd:rvb i="698"/>
        </ext>
      </extLst>
    </bk>
    <bk>
      <extLst>
        <ext uri="{3e2802c4-a4d2-4d8b-9148-e3be6c30e623}">
          <xlrd:rvb i="701"/>
        </ext>
      </extLst>
    </bk>
    <bk>
      <extLst>
        <ext uri="{3e2802c4-a4d2-4d8b-9148-e3be6c30e623}">
          <xlrd:rvb i="704"/>
        </ext>
      </extLst>
    </bk>
    <bk>
      <extLst>
        <ext uri="{3e2802c4-a4d2-4d8b-9148-e3be6c30e623}">
          <xlrd:rvb i="707"/>
        </ext>
      </extLst>
    </bk>
    <bk>
      <extLst>
        <ext uri="{3e2802c4-a4d2-4d8b-9148-e3be6c30e623}">
          <xlrd:rvb i="710"/>
        </ext>
      </extLst>
    </bk>
    <bk>
      <extLst>
        <ext uri="{3e2802c4-a4d2-4d8b-9148-e3be6c30e623}">
          <xlrd:rvb i="713"/>
        </ext>
      </extLst>
    </bk>
    <bk>
      <extLst>
        <ext uri="{3e2802c4-a4d2-4d8b-9148-e3be6c30e623}">
          <xlrd:rvb i="716"/>
        </ext>
      </extLst>
    </bk>
    <bk>
      <extLst>
        <ext uri="{3e2802c4-a4d2-4d8b-9148-e3be6c30e623}">
          <xlrd:rvb i="719"/>
        </ext>
      </extLst>
    </bk>
    <bk>
      <extLst>
        <ext uri="{3e2802c4-a4d2-4d8b-9148-e3be6c30e623}">
          <xlrd:rvb i="722"/>
        </ext>
      </extLst>
    </bk>
    <bk>
      <extLst>
        <ext uri="{3e2802c4-a4d2-4d8b-9148-e3be6c30e623}">
          <xlrd:rvb i="725"/>
        </ext>
      </extLst>
    </bk>
    <bk>
      <extLst>
        <ext uri="{3e2802c4-a4d2-4d8b-9148-e3be6c30e623}">
          <xlrd:rvb i="728"/>
        </ext>
      </extLst>
    </bk>
    <bk>
      <extLst>
        <ext uri="{3e2802c4-a4d2-4d8b-9148-e3be6c30e623}">
          <xlrd:rvb i="731"/>
        </ext>
      </extLst>
    </bk>
    <bk>
      <extLst>
        <ext uri="{3e2802c4-a4d2-4d8b-9148-e3be6c30e623}">
          <xlrd:rvb i="734"/>
        </ext>
      </extLst>
    </bk>
    <bk>
      <extLst>
        <ext uri="{3e2802c4-a4d2-4d8b-9148-e3be6c30e623}">
          <xlrd:rvb i="737"/>
        </ext>
      </extLst>
    </bk>
    <bk>
      <extLst>
        <ext uri="{3e2802c4-a4d2-4d8b-9148-e3be6c30e623}">
          <xlrd:rvb i="740"/>
        </ext>
      </extLst>
    </bk>
    <bk>
      <extLst>
        <ext uri="{3e2802c4-a4d2-4d8b-9148-e3be6c30e623}">
          <xlrd:rvb i="743"/>
        </ext>
      </extLst>
    </bk>
    <bk>
      <extLst>
        <ext uri="{3e2802c4-a4d2-4d8b-9148-e3be6c30e623}">
          <xlrd:rvb i="746"/>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58"/>
        </ext>
      </extLst>
    </bk>
    <bk>
      <extLst>
        <ext uri="{3e2802c4-a4d2-4d8b-9148-e3be6c30e623}">
          <xlrd:rvb i="761"/>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2"/>
        </ext>
      </extLst>
    </bk>
    <bk>
      <extLst>
        <ext uri="{3e2802c4-a4d2-4d8b-9148-e3be6c30e623}">
          <xlrd:rvb i="775"/>
        </ext>
      </extLst>
    </bk>
    <bk>
      <extLst>
        <ext uri="{3e2802c4-a4d2-4d8b-9148-e3be6c30e623}">
          <xlrd:rvb i="778"/>
        </ext>
      </extLst>
    </bk>
    <bk>
      <extLst>
        <ext uri="{3e2802c4-a4d2-4d8b-9148-e3be6c30e623}">
          <xlrd:rvb i="780"/>
        </ext>
      </extLst>
    </bk>
    <bk>
      <extLst>
        <ext uri="{3e2802c4-a4d2-4d8b-9148-e3be6c30e623}">
          <xlrd:rvb i="783"/>
        </ext>
      </extLst>
    </bk>
    <bk>
      <extLst>
        <ext uri="{3e2802c4-a4d2-4d8b-9148-e3be6c30e623}">
          <xlrd:rvb i="786"/>
        </ext>
      </extLst>
    </bk>
    <bk>
      <extLst>
        <ext uri="{3e2802c4-a4d2-4d8b-9148-e3be6c30e623}">
          <xlrd:rvb i="789"/>
        </ext>
      </extLst>
    </bk>
    <bk>
      <extLst>
        <ext uri="{3e2802c4-a4d2-4d8b-9148-e3be6c30e623}">
          <xlrd:rvb i="792"/>
        </ext>
      </extLst>
    </bk>
    <bk>
      <extLst>
        <ext uri="{3e2802c4-a4d2-4d8b-9148-e3be6c30e623}">
          <xlrd:rvb i="795"/>
        </ext>
      </extLst>
    </bk>
    <bk>
      <extLst>
        <ext uri="{3e2802c4-a4d2-4d8b-9148-e3be6c30e623}">
          <xlrd:rvb i="798"/>
        </ext>
      </extLst>
    </bk>
    <bk>
      <extLst>
        <ext uri="{3e2802c4-a4d2-4d8b-9148-e3be6c30e623}">
          <xlrd:rvb i="801"/>
        </ext>
      </extLst>
    </bk>
    <bk>
      <extLst>
        <ext uri="{3e2802c4-a4d2-4d8b-9148-e3be6c30e623}">
          <xlrd:rvb i="804"/>
        </ext>
      </extLst>
    </bk>
    <bk>
      <extLst>
        <ext uri="{3e2802c4-a4d2-4d8b-9148-e3be6c30e623}">
          <xlrd:rvb i="807"/>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9"/>
        </ext>
      </extLst>
    </bk>
    <bk>
      <extLst>
        <ext uri="{3e2802c4-a4d2-4d8b-9148-e3be6c30e623}">
          <xlrd:rvb i="822"/>
        </ext>
      </extLst>
    </bk>
    <bk>
      <extLst>
        <ext uri="{3e2802c4-a4d2-4d8b-9148-e3be6c30e623}">
          <xlrd:rvb i="825"/>
        </ext>
      </extLst>
    </bk>
    <bk>
      <extLst>
        <ext uri="{3e2802c4-a4d2-4d8b-9148-e3be6c30e623}">
          <xlrd:rvb i="828"/>
        </ext>
      </extLst>
    </bk>
    <bk>
      <extLst>
        <ext uri="{3e2802c4-a4d2-4d8b-9148-e3be6c30e623}">
          <xlrd:rvb i="831"/>
        </ext>
      </extLst>
    </bk>
    <bk>
      <extLst>
        <ext uri="{3e2802c4-a4d2-4d8b-9148-e3be6c30e623}">
          <xlrd:rvb i="834"/>
        </ext>
      </extLst>
    </bk>
    <bk>
      <extLst>
        <ext uri="{3e2802c4-a4d2-4d8b-9148-e3be6c30e623}">
          <xlrd:rvb i="837"/>
        </ext>
      </extLst>
    </bk>
    <bk>
      <extLst>
        <ext uri="{3e2802c4-a4d2-4d8b-9148-e3be6c30e623}">
          <xlrd:rvb i="840"/>
        </ext>
      </extLst>
    </bk>
    <bk>
      <extLst>
        <ext uri="{3e2802c4-a4d2-4d8b-9148-e3be6c30e623}">
          <xlrd:rvb i="842"/>
        </ext>
      </extLst>
    </bk>
    <bk>
      <extLst>
        <ext uri="{3e2802c4-a4d2-4d8b-9148-e3be6c30e623}">
          <xlrd:rvb i="845"/>
        </ext>
      </extLst>
    </bk>
    <bk>
      <extLst>
        <ext uri="{3e2802c4-a4d2-4d8b-9148-e3be6c30e623}">
          <xlrd:rvb i="848"/>
        </ext>
      </extLst>
    </bk>
    <bk>
      <extLst>
        <ext uri="{3e2802c4-a4d2-4d8b-9148-e3be6c30e623}">
          <xlrd:rvb i="851"/>
        </ext>
      </extLst>
    </bk>
    <bk>
      <extLst>
        <ext uri="{3e2802c4-a4d2-4d8b-9148-e3be6c30e623}">
          <xlrd:rvb i="854"/>
        </ext>
      </extLst>
    </bk>
    <bk>
      <extLst>
        <ext uri="{3e2802c4-a4d2-4d8b-9148-e3be6c30e623}">
          <xlrd:rvb i="857"/>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6"/>
        </ext>
      </extLst>
    </bk>
  </futureMetadata>
  <valueMetadata count="30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valueMetadata>
</metadata>
</file>

<file path=xl/sharedStrings.xml><?xml version="1.0" encoding="utf-8"?>
<sst xmlns="http://schemas.openxmlformats.org/spreadsheetml/2006/main" count="8536" uniqueCount="1110">
  <si>
    <t>📊 Portfolio Dashboard</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</si>
  <si>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</si>
  <si>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</si>
  <si>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</si>
  <si>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</si>
  <si>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</si>
  <si>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</si>
  <si>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</si>
  <si>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</si>
  <si>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</si>
  <si>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</si>
  <si>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</si>
  <si>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</si>
  <si>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</si>
  <si>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</si>
  <si>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</si>
  <si>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</si>
  <si>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</si>
  <si>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</si>
  <si>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</si>
  <si>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</si>
  <si>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</si>
  <si>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</si>
  <si>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</si>
  <si>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Allocation by Market Cap</t>
  </si>
  <si>
    <t>Combined PnL %</t>
  </si>
  <si>
    <t>Risk / Reward Ratio</t>
  </si>
  <si>
    <t>Market Cap</t>
  </si>
  <si>
    <t>Invested (₹)</t>
  </si>
  <si>
    <t>% of Total</t>
  </si>
  <si>
    <t>Returns</t>
  </si>
  <si>
    <t>Core Allocation (%)</t>
  </si>
  <si>
    <t>Small Cap</t>
  </si>
  <si>
    <t>Satellite Allocation (%)</t>
  </si>
  <si>
    <t>Advancing</t>
  </si>
  <si>
    <t>Declining</t>
  </si>
  <si>
    <t>Large Cap</t>
  </si>
  <si>
    <t>Active Holdings</t>
  </si>
  <si>
    <t>Core (Previous month close)</t>
  </si>
  <si>
    <t>Mid Cap</t>
  </si>
  <si>
    <t>Total Stocks Traded</t>
  </si>
  <si>
    <t>Satellite (Previous week close)</t>
  </si>
  <si>
    <t>TOTAL</t>
  </si>
  <si>
    <t>Core (Previous Close)</t>
  </si>
  <si>
    <t>Satellite (Previous Close)</t>
  </si>
  <si>
    <t>Top 5 Gainers / Bottom 5 Losers (Satellite)</t>
  </si>
  <si>
    <t>Core &amp; Satellite Distribution</t>
  </si>
  <si>
    <t>Symbol</t>
  </si>
  <si>
    <t>Classification</t>
  </si>
  <si>
    <t>Current (₹)</t>
  </si>
  <si>
    <t>PnL (₹)</t>
  </si>
  <si>
    <t>PnL %</t>
  </si>
  <si>
    <t>HINDALCO</t>
  </si>
  <si>
    <t>Satellite</t>
  </si>
  <si>
    <t>Core</t>
  </si>
  <si>
    <t>CUPID</t>
  </si>
  <si>
    <t>APOLLO</t>
  </si>
  <si>
    <t>BALAMINES</t>
  </si>
  <si>
    <t>CGPOWER</t>
  </si>
  <si>
    <t>NRBBEARING</t>
  </si>
  <si>
    <t>Allocation by Sector</t>
  </si>
  <si>
    <t>THERMAX</t>
  </si>
  <si>
    <t>Sector</t>
  </si>
  <si>
    <t>AUROPHARMA</t>
  </si>
  <si>
    <t>Industrial</t>
  </si>
  <si>
    <t>AJANTPHARM</t>
  </si>
  <si>
    <t xml:space="preserve">Consumption </t>
  </si>
  <si>
    <t>SUNPHARMA</t>
  </si>
  <si>
    <t>Health / Pharma / Chem</t>
  </si>
  <si>
    <t>Finance</t>
  </si>
  <si>
    <t>Tech / Platform / IT</t>
  </si>
  <si>
    <t>Top 5 Gainers / Bottom 5 Losers (Core)</t>
  </si>
  <si>
    <t>TDPOWERSYS</t>
  </si>
  <si>
    <t>POLYCAB</t>
  </si>
  <si>
    <t>Sector Allocation (Core vs Satellite)</t>
  </si>
  <si>
    <t>FEDERALBNK</t>
  </si>
  <si>
    <t>Core (₹)</t>
  </si>
  <si>
    <t>Satellite (₹)</t>
  </si>
  <si>
    <t>Total (₹)</t>
  </si>
  <si>
    <t>GVT&amp;D</t>
  </si>
  <si>
    <t>BSE</t>
  </si>
  <si>
    <t>NGLFINE</t>
  </si>
  <si>
    <t>FCL</t>
  </si>
  <si>
    <t>M&amp;M</t>
  </si>
  <si>
    <t>HBLENGINE</t>
  </si>
  <si>
    <t>APLAPOLLO</t>
  </si>
  <si>
    <t>PnL Breakdown by Cap</t>
  </si>
  <si>
    <t>⚠️ Stocks Nearest to Stop Loss</t>
  </si>
  <si>
    <t>Cap</t>
  </si>
  <si>
    <t>Total PnL</t>
  </si>
  <si>
    <t>LTP</t>
  </si>
  <si>
    <t>SL</t>
  </si>
  <si>
    <t>Diff (₹)</t>
  </si>
  <si>
    <t>Diff (%)</t>
  </si>
  <si>
    <t>Tranche</t>
  </si>
  <si>
    <t>SFL</t>
  </si>
  <si>
    <t>Tranche Distribution</t>
  </si>
  <si>
    <t>ZYDUSLIFE</t>
  </si>
  <si>
    <t>Count</t>
  </si>
  <si>
    <t>% of Holdings</t>
  </si>
  <si>
    <t>Cheat 1</t>
  </si>
  <si>
    <t>Cheat 2</t>
  </si>
  <si>
    <t>Cheat 4</t>
  </si>
  <si>
    <t>Tranch 1</t>
  </si>
  <si>
    <t>🔔 Corporate Actions (Splits / Bonus)</t>
  </si>
  <si>
    <t>Tranch 2</t>
  </si>
  <si>
    <t>Split / Bonus Details</t>
  </si>
  <si>
    <t>Adj Required</t>
  </si>
  <si>
    <t>Tranch 3</t>
  </si>
  <si>
    <t>5:1 Split on 2026-03-09</t>
  </si>
  <si>
    <t>No</t>
  </si>
  <si>
    <t>Tranch 4</t>
  </si>
  <si>
    <t>METROPOLIS</t>
  </si>
  <si>
    <t>4:1 Split on 2026-03-20</t>
  </si>
  <si>
    <t>Holding Period Distribution</t>
  </si>
  <si>
    <t>Top 5 Cheat Stocks by Holding Period</t>
  </si>
  <si>
    <t>Period</t>
  </si>
  <si>
    <t>Stock Name</t>
  </si>
  <si>
    <t>Cheat</t>
  </si>
  <si>
    <t>Holding Period (Days)</t>
  </si>
  <si>
    <t>Invested Value</t>
  </si>
  <si>
    <t>Current Value</t>
  </si>
  <si>
    <t>XIRR</t>
  </si>
  <si>
    <t>0 - 30 days</t>
  </si>
  <si>
    <t>GPIL</t>
  </si>
  <si>
    <t>31 - 90 days</t>
  </si>
  <si>
    <t>GAEL</t>
  </si>
  <si>
    <t>91 - 180 days</t>
  </si>
  <si>
    <t>180+ days</t>
  </si>
  <si>
    <t>SEAMECLTD</t>
  </si>
  <si>
    <t>CCL</t>
  </si>
  <si>
    <t>Top 10 Movers (Current Portfolio)</t>
  </si>
  <si>
    <t>Prev Week Close</t>
  </si>
  <si>
    <t>% Change</t>
  </si>
  <si>
    <t>TATATECH</t>
  </si>
  <si>
    <t>NETWEB</t>
  </si>
  <si>
    <t>LAURUSLABS</t>
  </si>
  <si>
    <t>SKIPPER</t>
  </si>
  <si>
    <t>EXIDEIND</t>
  </si>
  <si>
    <t>Top 10 Movers (Watchlist Only)</t>
  </si>
  <si>
    <t>Price</t>
  </si>
  <si>
    <t>CPPLUS</t>
  </si>
  <si>
    <t>BIRLACABLE</t>
  </si>
  <si>
    <t>STLTECH</t>
  </si>
  <si>
    <t>MODISONLTD</t>
  </si>
  <si>
    <t>ANTELOPUS</t>
  </si>
  <si>
    <t>CONFIPET</t>
  </si>
  <si>
    <t>KERNEX</t>
  </si>
  <si>
    <t>SATIN</t>
  </si>
  <si>
    <t>E2E</t>
  </si>
  <si>
    <t>KRN</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</si>
  <si>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</si>
  <si>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</si>
  <si>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</si>
  <si>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</si>
  <si>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</si>
  <si>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</si>
  <si>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</si>
  <si>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</si>
  <si>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</si>
  <si>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</si>
  <si>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SELL</t>
  </si>
  <si>
    <t>Cheat holding period long and less return (214 days, 1.56% return)</t>
  </si>
  <si>
    <t xml:space="preserve">Sakthiman- OK, </t>
  </si>
  <si>
    <t>Cheat holding period long and red (144 days, -4.47% return)</t>
  </si>
  <si>
    <t>Cheat holding period long and less return (14 days, 3.74% return)</t>
  </si>
  <si>
    <t>Cheat holding period long and red (11 days, -4.00% return)</t>
  </si>
  <si>
    <t>Cheat holding period long and red (11 days, -3.09% return)</t>
  </si>
  <si>
    <t>POCL</t>
  </si>
  <si>
    <t>Tranch LTP close to stop loss (&lt; 5% difference)</t>
  </si>
  <si>
    <t>Sakthiman- X, Reversing Positively, Wait Mode</t>
  </si>
  <si>
    <t>Consumption</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</si>
  <si>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</si>
  <si>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</si>
  <si>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</si>
  <si>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NMDC</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</si>
  <si>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</si>
  <si>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</si>
  <si>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</si>
  <si>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</si>
  <si>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</si>
  <si>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</si>
  <si>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Cheat 3</t>
  </si>
  <si>
    <t>Cheat positive return (106 days, 15.78% return, 7.10% return from prev week close)</t>
  </si>
  <si>
    <t>Green Candle, DC High, Volume almost equivalent to Average</t>
  </si>
  <si>
    <t>ASTRAMICRO</t>
  </si>
  <si>
    <t>Cheat positive return (32 days, 22.88% return, 19.39% return from prev week close)</t>
  </si>
  <si>
    <t>Green candle, DC high, Above Average Volume</t>
  </si>
  <si>
    <t>ADANIENT</t>
  </si>
  <si>
    <t>Cheat positive return (14 days, 8.42% return, 8.81% return from prev week close)</t>
  </si>
  <si>
    <t>Cheat positive return (10 days, 6.41% return, 6.28% return from prev week close)</t>
  </si>
  <si>
    <t>Tranch LTP above previous week close [&gt; 5%] (15.93% above)</t>
  </si>
  <si>
    <t>Tranch LTP above previous week close [0 to 5%] (0.10% above)</t>
  </si>
  <si>
    <t>NO</t>
  </si>
  <si>
    <t>Red Candle, DC high, Sakthiman C</t>
  </si>
  <si>
    <t>Tranch LTP above previous week close [&gt; 5%] (7.82% above)</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</si>
  <si>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</si>
  <si>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</si>
  <si>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</si>
  <si>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</si>
  <si>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</si>
  <si>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</si>
  <si>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</si>
  <si>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</si>
  <si>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</si>
  <si>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Buy breakout (RSI: 77.5, ADX: 65.9, Vol: +199% above average)</t>
  </si>
  <si>
    <t>SHILPAMED</t>
  </si>
  <si>
    <t>Buy breakout (RSI: 75.8, ADX: 37.8, Vol: +104% above average)</t>
  </si>
  <si>
    <t>SPARC</t>
  </si>
  <si>
    <t>Buy breakout (RSI: 75.3, ADX: 44.3, Vol: +511% above average)</t>
  </si>
  <si>
    <t>SUPRIYA</t>
  </si>
  <si>
    <t>Buy breakout (RSI: 78.9, ADX: 25.8, Vol: +420% above average)</t>
  </si>
  <si>
    <t>SUVEN</t>
  </si>
  <si>
    <t>Buy breakout (RSI: 76.7, ADX: 34.5, Vol: +34% above average)</t>
  </si>
  <si>
    <t>Buy breakout (RSI: 79.8, ADX: 31.5, Vol: +52% above average)</t>
  </si>
  <si>
    <t>yes</t>
  </si>
  <si>
    <t>ABB</t>
  </si>
  <si>
    <t>Buy breakout (RSI: 66.3, ADX: 38.1, Vol: +50% above average)</t>
  </si>
  <si>
    <t>Buy breakout (RSI: 73.5, ADX: 33.0, Vol: +89% above average)</t>
  </si>
  <si>
    <t>Buy breakout (RSI: 74.6, ADX: 55.7, Vol: +12% above average)</t>
  </si>
  <si>
    <t>Buy breakout (RSI: 70.5, ADX: 28.6, Vol: +78% above average)</t>
  </si>
  <si>
    <t>Buy breakout (RSI: 63.5, ADX: 28.0, Vol: +239% above average)</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</si>
  <si>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</si>
  <si>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</si>
  <si>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</si>
  <si>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</si>
  <si>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</si>
  <si>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</si>
  <si>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</si>
  <si>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Buy breakout (RSI: 65.9, ADX: 45.1, Vol: +156% above average)</t>
  </si>
  <si>
    <t>Buy breakout (RSI: 71.4, ADX: 31.9, Vol: +277% above average)</t>
  </si>
  <si>
    <t>Buy breakout (RSI: 76.2, ADX: 34.5, Vol: +109% above average)</t>
  </si>
  <si>
    <t>TRITURBINE</t>
  </si>
  <si>
    <t>Buy breakout (RSI: 82.1, ADX: 26.6, Vol: +74% above average)</t>
  </si>
  <si>
    <t>Unnamed: 0.1</t>
  </si>
  <si>
    <t>ISIN</t>
  </si>
  <si>
    <t>Trade Date</t>
  </si>
  <si>
    <t>Exchange</t>
  </si>
  <si>
    <t>Segment</t>
  </si>
  <si>
    <t>Series</t>
  </si>
  <si>
    <t>Trade Type</t>
  </si>
  <si>
    <t>Auction</t>
  </si>
  <si>
    <t>Quantity</t>
  </si>
  <si>
    <t>Trade ID</t>
  </si>
  <si>
    <t>Order ID</t>
  </si>
  <si>
    <t>Order Execution Time</t>
  </si>
  <si>
    <t>Unnamed: 0</t>
  </si>
  <si>
    <t>INE455K01017</t>
  </si>
  <si>
    <t>2025-09-08</t>
  </si>
  <si>
    <t>NSE</t>
  </si>
  <si>
    <t>EQ</t>
  </si>
  <si>
    <t>buy</t>
  </si>
  <si>
    <t>2025-09-08T13:01:01</t>
  </si>
  <si>
    <t>CIPLA</t>
  </si>
  <si>
    <t>INE059A01026</t>
  </si>
  <si>
    <t>2025-09-08T13:15:31</t>
  </si>
  <si>
    <t>INE292B01021</t>
  </si>
  <si>
    <t>2025-09-08T13:22:33</t>
  </si>
  <si>
    <t>SUPREMEIND</t>
  </si>
  <si>
    <t>INE195A01028</t>
  </si>
  <si>
    <t>2025-09-08T13:36:34</t>
  </si>
  <si>
    <t>TITAN</t>
  </si>
  <si>
    <t>INE280A01028</t>
  </si>
  <si>
    <t>2025-09-08T13:52:01</t>
  </si>
  <si>
    <t>DMART</t>
  </si>
  <si>
    <t>INE192R01011</t>
  </si>
  <si>
    <t>2025-09-08T13:56:18</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</si>
  <si>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</si>
  <si>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</si>
  <si>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</si>
  <si>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</si>
  <si>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</si>
  <si>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</si>
  <si>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</si>
  <si>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</si>
  <si>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</si>
  <si>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</si>
  <si>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</si>
  <si>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</si>
  <si>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</si>
  <si>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</si>
  <si>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</si>
  <si>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</si>
  <si>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</si>
  <si>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</si>
  <si>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</si>
  <si>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</si>
  <si>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</si>
  <si>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</si>
  <si>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</si>
  <si>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</si>
  <si>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</si>
  <si>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</si>
  <si>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</si>
  <si>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</si>
  <si>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</si>
  <si>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</si>
  <si>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</si>
  <si>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</si>
  <si>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</si>
  <si>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</si>
  <si>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</si>
  <si>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</si>
  <si>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</si>
  <si>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</si>
  <si>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</si>
  <si>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</si>
  <si>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</si>
  <si>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</si>
  <si>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</si>
  <si>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</si>
  <si>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</si>
  <si>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</si>
  <si>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</si>
  <si>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</si>
  <si>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</si>
  <si>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</si>
  <si>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</si>
  <si>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</si>
  <si>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</si>
  <si>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</si>
  <si>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</si>
  <si>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</si>
  <si>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</si>
  <si>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</si>
  <si>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</si>
  <si>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</si>
  <si>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</si>
  <si>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</si>
  <si>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</si>
  <si>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</si>
  <si>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</si>
  <si>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</si>
  <si>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</si>
  <si>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</si>
  <si>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</si>
  <si>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</si>
  <si>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</si>
  <si>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</si>
  <si>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</si>
  <si>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</si>
  <si>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</si>
  <si>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</si>
  <si>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</si>
  <si>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</si>
  <si>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</si>
  <si>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</si>
  <si>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</si>
  <si>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</si>
  <si>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</si>
  <si>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</si>
  <si>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</si>
  <si>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</si>
  <si>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</si>
  <si>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</si>
  <si>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</si>
  <si>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</si>
  <si>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</si>
  <si>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</si>
  <si>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</si>
  <si>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</si>
  <si>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</si>
  <si>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</si>
  <si>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</si>
  <si>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</si>
  <si>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</si>
  <si>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</si>
  <si>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</si>
  <si>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</si>
  <si>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</si>
  <si>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</si>
  <si>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</si>
  <si>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</si>
  <si>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</si>
  <si>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</si>
  <si>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</si>
  <si>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</si>
  <si>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</si>
  <si>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</si>
  <si>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</si>
  <si>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</si>
  <si>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</si>
  <si>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</si>
  <si>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</si>
  <si>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</si>
  <si>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</si>
  <si>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</si>
  <si>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</si>
  <si>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</si>
  <si>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</si>
  <si>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</si>
  <si>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</si>
  <si>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</si>
  <si>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</si>
  <si>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</si>
  <si>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</si>
  <si>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</si>
  <si>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</si>
  <si>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</si>
  <si>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</si>
  <si>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</si>
  <si>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</si>
  <si>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</si>
  <si>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</si>
  <si>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</si>
  <si>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</si>
  <si>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</si>
  <si>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</si>
  <si>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</si>
  <si>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</si>
  <si>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</si>
  <si>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</si>
  <si>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</si>
  <si>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</si>
  <si>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</si>
  <si>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</si>
  <si>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</si>
  <si>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</si>
  <si>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</si>
  <si>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</si>
  <si>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</si>
  <si>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</si>
  <si>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</si>
  <si>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</si>
  <si>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</si>
  <si>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</si>
  <si>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</si>
  <si>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</si>
  <si>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</si>
  <si>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</si>
  <si>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</si>
  <si>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</si>
  <si>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</si>
  <si>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</si>
  <si>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</si>
  <si>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</si>
  <si>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</si>
  <si>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</si>
  <si>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</si>
  <si>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</si>
  <si>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</si>
  <si>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</si>
  <si>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</si>
  <si>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</si>
  <si>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</si>
  <si>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</si>
  <si>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</si>
  <si>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</si>
  <si>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</si>
  <si>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</si>
  <si>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</si>
  <si>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</si>
  <si>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</si>
  <si>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</si>
  <si>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</si>
  <si>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</si>
  <si>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</si>
  <si>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</si>
  <si>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</si>
  <si>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</si>
  <si>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</si>
  <si>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</si>
  <si>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</si>
  <si>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</si>
  <si>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</si>
  <si>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</si>
  <si>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</si>
  <si>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</si>
  <si>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</si>
  <si>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</si>
  <si>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</si>
  <si>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</si>
  <si>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</si>
  <si>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</si>
  <si>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</si>
  <si>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</si>
  <si>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</si>
  <si>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</si>
  <si>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</si>
  <si>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</si>
  <si>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</si>
  <si>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</si>
  <si>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</si>
  <si>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</si>
  <si>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</si>
  <si>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</si>
  <si>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</si>
  <si>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</si>
  <si>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</si>
  <si>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</si>
  <si>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</si>
  <si>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</si>
  <si>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</si>
  <si>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</si>
  <si>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</si>
  <si>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</si>
  <si>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</si>
  <si>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</si>
  <si>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</si>
  <si>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</si>
  <si>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</si>
  <si>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</si>
  <si>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</si>
  <si>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</si>
  <si>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</si>
  <si>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</si>
  <si>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</si>
  <si>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</si>
  <si>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</si>
  <si>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</si>
  <si>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</si>
  <si>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</si>
  <si>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</si>
  <si>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</si>
  <si>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</si>
  <si>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</si>
  <si>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</si>
  <si>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</si>
  <si>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</si>
  <si>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</si>
  <si>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</si>
  <si>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</si>
  <si>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</si>
  <si>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</si>
  <si>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</si>
  <si>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</si>
  <si>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</si>
  <si>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</si>
  <si>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</si>
  <si>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</si>
  <si>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</si>
  <si>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</si>
  <si>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</si>
  <si>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</si>
  <si>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</si>
  <si>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</si>
  <si>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</si>
  <si>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</si>
  <si>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</si>
  <si>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</si>
  <si>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</si>
  <si>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</si>
  <si>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</si>
  <si>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</si>
  <si>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</si>
  <si>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</si>
  <si>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</si>
  <si>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</si>
  <si>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</si>
  <si>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</si>
  <si>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</si>
  <si>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</si>
  <si>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</si>
  <si>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</si>
  <si>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</si>
  <si>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</si>
  <si>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</si>
  <si>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</si>
  <si>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</si>
  <si>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</si>
  <si>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</si>
  <si>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</si>
  <si>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</si>
  <si>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</si>
  <si>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ACUTAAS</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</si>
  <si>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</si>
  <si>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</si>
  <si>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</si>
  <si>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</si>
  <si>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</si>
  <si>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</si>
  <si>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</si>
  <si>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</si>
  <si>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</si>
  <si>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</si>
  <si>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</si>
  <si>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</si>
  <si>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</si>
  <si>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</si>
  <si>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</si>
  <si>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</si>
  <si>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</si>
  <si>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</si>
  <si>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</si>
  <si>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</si>
  <si>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</si>
  <si>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</si>
  <si>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</si>
  <si>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</si>
  <si>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</si>
  <si>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</si>
  <si>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</si>
  <si>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</si>
  <si>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</si>
  <si>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</si>
  <si>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</si>
  <si>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</si>
  <si>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</si>
  <si>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</si>
  <si>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</si>
  <si>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</si>
  <si>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</si>
  <si>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</si>
  <si>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</si>
  <si>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</si>
  <si>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</si>
  <si>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</si>
  <si>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</si>
  <si>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</si>
  <si>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INE152A01029</t>
  </si>
  <si>
    <t>2026-05-29T15:16:11</t>
  </si>
  <si>
    <t>2026-06-01</t>
  </si>
  <si>
    <t>2026-06-01T14:06:20</t>
  </si>
  <si>
    <t>INE439E01022</t>
  </si>
  <si>
    <t>2026-06-01T14:07:05</t>
  </si>
  <si>
    <t>INE0NT901020</t>
  </si>
  <si>
    <t>2026-06-01T14:08:17</t>
  </si>
  <si>
    <t>INE010B01027</t>
  </si>
  <si>
    <t>2026-06-01T14:12:10</t>
  </si>
  <si>
    <t>INE152M01016</t>
  </si>
  <si>
    <t>2026-06-01T14:15:44</t>
  </si>
  <si>
    <t>INE302A01020</t>
  </si>
  <si>
    <t>2026-06-01T14:17:15</t>
  </si>
  <si>
    <t>CARYSIL</t>
  </si>
  <si>
    <t>INE482D01024</t>
  </si>
  <si>
    <t>2026-06-02</t>
  </si>
  <si>
    <t>2026-06-02T11:53:47</t>
  </si>
  <si>
    <t>2026-06-02T11:54:50</t>
  </si>
  <si>
    <t>POWERINDIA</t>
  </si>
  <si>
    <t>INE07Y701011</t>
  </si>
  <si>
    <t>2026-06-02T11:55:20</t>
  </si>
  <si>
    <t>SYRMA</t>
  </si>
  <si>
    <t>INE0DYJ01015</t>
  </si>
  <si>
    <t>2026-06-02T11:55:33</t>
  </si>
  <si>
    <t>VBL</t>
  </si>
  <si>
    <t>INE200M01039</t>
  </si>
  <si>
    <t>2026-06-02T11:55:45</t>
  </si>
  <si>
    <t>BAJAJ-AUTO</t>
  </si>
  <si>
    <t>INE917I01010</t>
  </si>
  <si>
    <t>2026-06-02T11:55:57</t>
  </si>
  <si>
    <t>TIPSMUSIC</t>
  </si>
  <si>
    <t>INE716B01029</t>
  </si>
  <si>
    <t>2026-06-02T11:56:15</t>
  </si>
  <si>
    <t>AIAENG</t>
  </si>
  <si>
    <t>INE212H01026</t>
  </si>
  <si>
    <t>2026-06-02T11:56:28</t>
  </si>
  <si>
    <t>2026-06-02T11:56:44</t>
  </si>
  <si>
    <t>OFSS</t>
  </si>
  <si>
    <t>INE881D01027</t>
  </si>
  <si>
    <t>2026-06-02T11:56:57</t>
  </si>
  <si>
    <t>APARINDS</t>
  </si>
  <si>
    <t>INE372A01015</t>
  </si>
  <si>
    <t>2026-06-02T11:57:07</t>
  </si>
  <si>
    <t>CRAFTSMAN</t>
  </si>
  <si>
    <t>INE00LO01017</t>
  </si>
  <si>
    <t>2026-06-02T11:57:16</t>
  </si>
  <si>
    <t>2026-06-02T11:58:06</t>
  </si>
  <si>
    <t>2026-06-02T11:58:15</t>
  </si>
  <si>
    <t>2026-06-02T11:59:39</t>
  </si>
  <si>
    <t>LALPATHLAB</t>
  </si>
  <si>
    <t>INE600L01024</t>
  </si>
  <si>
    <t>2026-06-02T12:00:18</t>
  </si>
  <si>
    <t>INE045J01034</t>
  </si>
  <si>
    <t>2026-06-02T12:01:18</t>
  </si>
  <si>
    <t>KEI</t>
  </si>
  <si>
    <t>INE878B01027</t>
  </si>
  <si>
    <t>2026-06-02T12:01:39</t>
  </si>
  <si>
    <t>KRISHANA</t>
  </si>
  <si>
    <t>INE506W01012</t>
  </si>
  <si>
    <t>2026-06-02T12:02:11</t>
  </si>
  <si>
    <t>NH</t>
  </si>
  <si>
    <t>INE410P01011</t>
  </si>
  <si>
    <t>2026-06-02T12:02:38</t>
  </si>
  <si>
    <t>PSPPROJECT</t>
  </si>
  <si>
    <t>INE488V01015</t>
  </si>
  <si>
    <t>2026-06-02T12:03:05</t>
  </si>
  <si>
    <t>RAINBOW</t>
  </si>
  <si>
    <t>INE961O01016</t>
  </si>
  <si>
    <t>2026-06-02T12:03:25</t>
  </si>
  <si>
    <t>SBCL</t>
  </si>
  <si>
    <t>INE386D01027</t>
  </si>
  <si>
    <t>2026-06-02T12:03:44</t>
  </si>
  <si>
    <t>TIMKEN</t>
  </si>
  <si>
    <t>INE325A01013</t>
  </si>
  <si>
    <t>2026-06-02T12:04:01</t>
  </si>
  <si>
    <t>2026-06-02T12:04:17</t>
  </si>
  <si>
    <t>2026-06-02T12:04:38</t>
  </si>
  <si>
    <t>NAVINFLUOR</t>
  </si>
  <si>
    <t>INE048G01026</t>
  </si>
  <si>
    <t>2026-06-02T12:05:08</t>
  </si>
  <si>
    <t>INE887E01022</t>
  </si>
  <si>
    <t>2026-06-02T12:05:25</t>
  </si>
  <si>
    <t>CAPLIPOINT</t>
  </si>
  <si>
    <t>INE475E01026</t>
  </si>
  <si>
    <t>2026-06-02T12:05:49</t>
  </si>
  <si>
    <t>2026-06-02T12:06:03</t>
  </si>
  <si>
    <t>2026-06-02T12:06:35</t>
  </si>
  <si>
    <t>2026-06-02T12:06:56</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</si>
  <si>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</si>
  <si>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</si>
  <si>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</si>
  <si>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</si>
  <si>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</si>
  <si>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</si>
  <si>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</si>
  <si>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</si>
  <si>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</si>
  <si>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</si>
  <si>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</si>
  <si>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</si>
  <si>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</si>
  <si>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</si>
  <si>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</si>
  <si>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</si>
  <si>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</si>
  <si>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</si>
  <si>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</si>
  <si>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</si>
  <si>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</si>
  <si>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</si>
  <si>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</si>
  <si>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</si>
  <si>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</si>
  <si>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Prev_Month_Close</t>
  </si>
  <si>
    <t>Month</t>
  </si>
  <si>
    <t>Company</t>
  </si>
  <si>
    <t>Company Name</t>
  </si>
  <si>
    <t>Theme</t>
  </si>
  <si>
    <t>Market Cap (MC)</t>
  </si>
  <si>
    <t>Trend Status</t>
  </si>
  <si>
    <t>No of shares</t>
  </si>
  <si>
    <t>SC (Small Cap)</t>
  </si>
  <si>
    <t>Strong Trend- Green</t>
  </si>
  <si>
    <t>NEULANDLAB</t>
  </si>
  <si>
    <t>MC (Mid Cap)</t>
  </si>
  <si>
    <t>LC (Large Cap)</t>
  </si>
  <si>
    <t>Technology</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</si>
  <si>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</si>
  <si>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</si>
  <si>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</si>
  <si>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</si>
  <si>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</si>
  <si>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</si>
  <si>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</si>
  <si>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</si>
  <si>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</si>
  <si>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</si>
  <si>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</si>
  <si>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</si>
  <si>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</si>
  <si>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</si>
  <si>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</si>
  <si>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</si>
  <si>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</si>
  <si>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</si>
  <si>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</si>
  <si>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</si>
  <si>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</si>
  <si>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</si>
  <si>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</si>
  <si>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</si>
  <si>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</si>
  <si>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</si>
  <si>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</si>
  <si>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</si>
  <si>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</si>
  <si>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</si>
  <si>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</si>
  <si>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</si>
  <si>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</si>
  <si>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</si>
  <si>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</si>
  <si>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</si>
  <si>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</si>
  <si>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</si>
  <si>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</si>
  <si>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</si>
  <si>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</si>
  <si>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</si>
  <si>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</si>
  <si>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</si>
  <si>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</si>
  <si>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</si>
  <si>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</si>
  <si>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</si>
  <si>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</si>
  <si>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</si>
  <si>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</si>
  <si>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</si>
  <si>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</si>
  <si>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</si>
  <si>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</si>
  <si>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</si>
  <si>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</si>
  <si>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</si>
  <si>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</si>
  <si>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</si>
  <si>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</si>
  <si>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</si>
  <si>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</si>
  <si>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</si>
  <si>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</si>
  <si>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</si>
  <si>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</si>
  <si>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</si>
  <si>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</si>
  <si>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</si>
  <si>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</si>
  <si>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</si>
  <si>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ALKYLAMINE</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</si>
  <si>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</si>
  <si>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</si>
  <si>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</si>
  <si>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</si>
  <si>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</si>
  <si>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</si>
  <si>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</si>
  <si>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</si>
  <si>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</si>
  <si>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</si>
  <si>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</si>
  <si>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</si>
  <si>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</si>
  <si>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</si>
  <si>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</si>
  <si>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</si>
  <si>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</si>
  <si>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</si>
  <si>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</si>
  <si>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</si>
  <si>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</si>
  <si>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</si>
  <si>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</si>
  <si>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</si>
  <si>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</si>
  <si>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</si>
  <si>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</si>
  <si>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</si>
  <si>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</si>
  <si>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</si>
  <si>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</si>
  <si>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</si>
  <si>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</si>
  <si>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</si>
  <si>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</si>
  <si>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</si>
  <si>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</si>
  <si>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</si>
  <si>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</si>
  <si>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</si>
  <si>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</si>
  <si>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</si>
  <si>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</si>
  <si>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</si>
  <si>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</si>
  <si>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</si>
  <si>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Blue</t>
  </si>
  <si>
    <t>Prev Day Close</t>
  </si>
  <si>
    <t>Diff vs Prev Day (%)</t>
  </si>
  <si>
    <t>Diff vs Prev Week (%)</t>
  </si>
  <si>
    <t>IDEAFORGE</t>
  </si>
  <si>
    <t>₹ 169.14</t>
  </si>
  <si>
    <t>₹ 161.80</t>
  </si>
  <si>
    <t>₹ 148.21</t>
  </si>
  <si>
    <t>OIL</t>
  </si>
  <si>
    <t>₹ 716.90</t>
  </si>
  <si>
    <t>₹ 690.45</t>
  </si>
  <si>
    <t>₹ 706.95</t>
  </si>
  <si>
    <t>GRINDWELL</t>
  </si>
  <si>
    <t>₹ 1,088.60</t>
  </si>
  <si>
    <t>₹ 1,079.05</t>
  </si>
  <si>
    <t>₹ 1,038.95</t>
  </si>
  <si>
    <t>ONGC</t>
  </si>
  <si>
    <t>₹ 735.35</t>
  </si>
  <si>
    <t>₹ 725.55</t>
  </si>
  <si>
    <t>₹ 595.50</t>
  </si>
  <si>
    <t>₹ 710.05</t>
  </si>
  <si>
    <t>₹ 691.25</t>
  </si>
  <si>
    <t>₹ 622.50</t>
  </si>
  <si>
    <t>APOLLOPIPE</t>
  </si>
  <si>
    <t>₹ 735.50</t>
  </si>
  <si>
    <t>₹ 730.50</t>
  </si>
  <si>
    <t>₹ 714.45</t>
  </si>
  <si>
    <t>HINDCOPPER</t>
  </si>
  <si>
    <t>₹ 809.40</t>
  </si>
  <si>
    <t>₹ 780.95</t>
  </si>
  <si>
    <t>₹ 774.10</t>
  </si>
  <si>
    <t>₹ 497.20</t>
  </si>
  <si>
    <t>₹ 491.00</t>
  </si>
  <si>
    <t>₹ 476.20</t>
  </si>
  <si>
    <t>₹ 603.45</t>
  </si>
  <si>
    <t>₹ 576.00</t>
  </si>
  <si>
    <t>₹ 551.25</t>
  </si>
  <si>
    <t>₹ 2,046.00</t>
  </si>
  <si>
    <t>₹ 2,035.80</t>
  </si>
  <si>
    <t>₹ 2,028.00</t>
  </si>
  <si>
    <t>₹ 4,545.50</t>
  </si>
  <si>
    <t>₹ 4,435.80</t>
  </si>
  <si>
    <t>₹ 4,454.60</t>
  </si>
  <si>
    <t>₹ 270.85</t>
  </si>
  <si>
    <t>₹ 267.55</t>
  </si>
  <si>
    <t>₹ 264.50</t>
  </si>
  <si>
    <t>CARERATING</t>
  </si>
  <si>
    <t>₹ 1,529.80</t>
  </si>
  <si>
    <t>₹ 1,463.30</t>
  </si>
  <si>
    <t>₹ 1,367.90</t>
  </si>
  <si>
    <t>Green</t>
  </si>
  <si>
    <t>₹ 385.75</t>
  </si>
  <si>
    <t>₹ 384.60</t>
  </si>
  <si>
    <t>₹ 373.90</t>
  </si>
  <si>
    <t>₹ 5,026.70</t>
  </si>
  <si>
    <t>₹ 4,848.30</t>
  </si>
  <si>
    <t>₹ 4,849.50</t>
  </si>
  <si>
    <t>MCLEODRUSS</t>
  </si>
  <si>
    <t>₹ 422.30</t>
  </si>
  <si>
    <t>₹ 412.10</t>
  </si>
  <si>
    <t>₹ 355.05</t>
  </si>
  <si>
    <t>₹ 2,843.90</t>
  </si>
  <si>
    <t>₹ 2,819.80</t>
  </si>
  <si>
    <t>₹ 2,735.80</t>
  </si>
  <si>
    <t>₹ 1,816.40</t>
  </si>
  <si>
    <t>₹ 1,731.50</t>
  </si>
  <si>
    <t>₹ 1,734.40</t>
  </si>
  <si>
    <t>MENONBE</t>
  </si>
  <si>
    <t>₹ 917.00</t>
  </si>
  <si>
    <t>₹ 879.15</t>
  </si>
  <si>
    <t>₹ 865.70</t>
  </si>
  <si>
    <t>₹ 1,379.00</t>
  </si>
  <si>
    <t>₹ 1,357.00</t>
  </si>
  <si>
    <t>₹ 1,174.90</t>
  </si>
  <si>
    <t>MEDANTA</t>
  </si>
  <si>
    <t>₹ 766.45</t>
  </si>
  <si>
    <t>₹ 746.55</t>
  </si>
  <si>
    <t>₹ 704.90</t>
  </si>
  <si>
    <t>MANKIND</t>
  </si>
  <si>
    <t>₹ 345.90</t>
  </si>
  <si>
    <t>₹ 344.45</t>
  </si>
  <si>
    <t>₹ 339.35</t>
  </si>
  <si>
    <t>IPCALAB</t>
  </si>
  <si>
    <t>₹ 3,988.10</t>
  </si>
  <si>
    <t>₹ 3,851.70</t>
  </si>
  <si>
    <t>₹ 3,851.30</t>
  </si>
  <si>
    <t>NLCINDIA</t>
  </si>
  <si>
    <t>₹ 92.37</t>
  </si>
  <si>
    <t>₹ 90.67</t>
  </si>
  <si>
    <t>₹ 87.85</t>
  </si>
  <si>
    <t>SOLARA</t>
  </si>
  <si>
    <t>ARTEMISMED</t>
  </si>
  <si>
    <t>ZENTEC</t>
  </si>
  <si>
    <t>Orange</t>
  </si>
  <si>
    <t>MTARTECH</t>
  </si>
  <si>
    <t>MCX</t>
  </si>
  <si>
    <t>BBOX</t>
  </si>
  <si>
    <t>WHEELS</t>
  </si>
  <si>
    <t>CUMMINSIND</t>
  </si>
  <si>
    <t>ADANIPORTS</t>
  </si>
  <si>
    <t>SAKAR</t>
  </si>
  <si>
    <t>MANINDS</t>
  </si>
  <si>
    <t>VIJAYA</t>
  </si>
  <si>
    <t>RADICO</t>
  </si>
  <si>
    <t>NATIONALUM</t>
  </si>
  <si>
    <t>GESHIP</t>
  </si>
  <si>
    <t>ATHERENERG</t>
  </si>
  <si>
    <t>ANANDRATHI</t>
  </si>
  <si>
    <t>VEDL</t>
  </si>
  <si>
    <t>ATLANTAELE</t>
  </si>
  <si>
    <t>AZAD</t>
  </si>
  <si>
    <t>SMSPHARMA</t>
  </si>
  <si>
    <t>GRAPHITE</t>
  </si>
  <si>
    <t>ASTERDM</t>
  </si>
  <si>
    <t>SHAILY</t>
  </si>
  <si>
    <t>GRWRHITECH</t>
  </si>
  <si>
    <t>NYKAA</t>
  </si>
  <si>
    <t>ANURAS</t>
  </si>
  <si>
    <t>HSCL</t>
  </si>
  <si>
    <t>BIOCON</t>
  </si>
  <si>
    <t>Red</t>
  </si>
  <si>
    <t>DIACABS</t>
  </si>
  <si>
    <t>GRSE</t>
  </si>
  <si>
    <t>KSCL</t>
  </si>
  <si>
    <t>AVALON</t>
  </si>
  <si>
    <t>COALINDIA</t>
  </si>
  <si>
    <t>AVANTIFEED</t>
  </si>
  <si>
    <t>UNIONBANK</t>
  </si>
  <si>
    <t>BAJAJCON</t>
  </si>
  <si>
    <t>COCHINSHIP</t>
  </si>
  <si>
    <t>SOUTHWEST</t>
  </si>
  <si>
    <t>RRKABEL</t>
  </si>
  <si>
    <t>NIBE</t>
  </si>
  <si>
    <t>GLAND</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</si>
  <si>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</si>
  <si>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</si>
  <si>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</si>
  <si>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</si>
  <si>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</si>
  <si>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</si>
  <si>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</si>
  <si>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</si>
  <si>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</si>
  <si>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</si>
  <si>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</si>
  <si>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</si>
  <si>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</si>
  <si>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</si>
  <si>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</si>
  <si>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</si>
  <si>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</si>
  <si>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</si>
  <si>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</si>
  <si>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</si>
  <si>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</si>
  <si>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</si>
  <si>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</si>
  <si>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</si>
  <si>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</si>
  <si>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BLUE</t>
  </si>
  <si>
    <t>MARINE</t>
  </si>
  <si>
    <t>ORANGE</t>
  </si>
  <si>
    <t>WOCKPHARMA</t>
  </si>
  <si>
    <t>CEMPRO</t>
  </si>
  <si>
    <t>WELCORP</t>
  </si>
  <si>
    <t>BLISSGVS</t>
  </si>
  <si>
    <t>KOPRAN</t>
  </si>
  <si>
    <t>SJS</t>
  </si>
  <si>
    <t>GRANULES</t>
  </si>
  <si>
    <t>ENRIN</t>
  </si>
  <si>
    <t>SIGMAADV</t>
  </si>
  <si>
    <t>THYROCARE</t>
  </si>
  <si>
    <t>ABSLAMC</t>
  </si>
  <si>
    <t>CENTUM</t>
  </si>
  <si>
    <t>SKYGOLD</t>
  </si>
  <si>
    <t>GREEN</t>
  </si>
  <si>
    <t>TIMEX</t>
  </si>
  <si>
    <t>MOTHERSON</t>
  </si>
  <si>
    <t>MINDACORP</t>
  </si>
  <si>
    <t>STARHEALTH</t>
  </si>
  <si>
    <t>RED</t>
  </si>
  <si>
    <t>TATACOMM</t>
  </si>
  <si>
    <t>HESTERBIO</t>
  </si>
  <si>
    <t>Total_Buy_Quantity</t>
  </si>
  <si>
    <t>Total_Buy_Value</t>
  </si>
  <si>
    <t>Total_Sell_Quantity</t>
  </si>
  <si>
    <t>Total_Sell_Value</t>
  </si>
  <si>
    <t>Average_Sell_Price</t>
  </si>
  <si>
    <t>Realized_PnL</t>
  </si>
  <si>
    <t>Total_PnL</t>
  </si>
  <si>
    <t>Total_PnL_Percentage</t>
  </si>
  <si>
    <t>▲</t>
  </si>
  <si>
    <t>▼</t>
  </si>
  <si>
    <t>2:1 Split on 2025-09-23</t>
  </si>
  <si>
    <t>Buy Price</t>
  </si>
  <si>
    <t>P/L</t>
  </si>
  <si>
    <t>Previous Day Close</t>
  </si>
  <si>
    <t>1 Day Change %</t>
  </si>
  <si>
    <t xml:space="preserve">SL Price </t>
  </si>
  <si>
    <t>SL-LTP Diff</t>
  </si>
  <si>
    <t>NIFTY</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</si>
  <si>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</si>
  <si>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</si>
  <si>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</si>
  <si>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</si>
  <si>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</si>
  <si>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</si>
  <si>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</si>
  <si>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</si>
  <si>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</si>
  <si>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</si>
  <si>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</si>
  <si>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</si>
  <si>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</si>
  <si>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</si>
  <si>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</si>
  <si>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</si>
  <si>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</si>
  <si>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</si>
  <si>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</si>
  <si>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</si>
  <si>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</si>
  <si>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</si>
  <si>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</si>
  <si>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</si>
  <si>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Cheat holding period long and less return (220 days, 2.60% return)</t>
  </si>
  <si>
    <t>Cheat holding period long and red (150 days, -5.96% return)</t>
  </si>
  <si>
    <t>Cheat holding period long and red (17 days, -2.79% return)</t>
  </si>
  <si>
    <t>Cheat holding period long and red (17 days, -6.27% return)</t>
  </si>
  <si>
    <t>Cheat holding period long and red (13 days, -1.69% return)</t>
  </si>
  <si>
    <t>Cheat positive return (153 days, 11.69% return, 0.05% return from prev week close)</t>
  </si>
  <si>
    <t>Cheat positive return (125 days, 20.71% return, 1.21% return from prev week close)</t>
  </si>
  <si>
    <t>Cheat positive return (3 days, 3.53% return, 4.37% return from prev week close)</t>
  </si>
  <si>
    <t>Cheat positive return (3 days, 7.29% return, 5.64% return from prev week close)</t>
  </si>
  <si>
    <t>Cheat positive return (3 days, 5.05% return, 4.61% return from prev week close)</t>
  </si>
  <si>
    <t>Tranch LTP above previous week close [0 to 5%] (1.21% above)</t>
  </si>
  <si>
    <t>Tranch LTP above previous week close [0 to 5%] (2.49% above)</t>
  </si>
  <si>
    <t>Tranch LTP above previous week close [&gt; 5%] (18.26% above)</t>
  </si>
  <si>
    <t>Tranch LTP above previous week close [0 to 5%] (3.12% above)</t>
  </si>
  <si>
    <t>Tranch LTP above previous week close [0 to 5%] (4.79% above)</t>
  </si>
  <si>
    <t>Tranch LTP above previous week close [&gt; 5%] (6.10% above)</t>
  </si>
  <si>
    <t>2026-06-04</t>
  </si>
  <si>
    <t>2026-06-04T11:45:35</t>
  </si>
  <si>
    <t>2026-06-04T11:48:33</t>
  </si>
  <si>
    <t>2026-06-04T11:55:25</t>
  </si>
  <si>
    <t>🕒 Last Transacted Date: 04 Jun 2026</t>
  </si>
  <si>
    <t>Buy breakout (RSI: 75.4, ADX: 34.7, Vol: +40% above average)</t>
  </si>
  <si>
    <t>Buy breakout (RSI: 79.4, ADX: 57.0, Vol: +92% above average)</t>
  </si>
  <si>
    <t>Buy breakout (RSI: 75.9, ADX: 31.2, Vol: +50% above average)</t>
  </si>
  <si>
    <t>Buy breakout (RSI: 69.3, ADX: 29.7, Vol: +43% above average)</t>
  </si>
  <si>
    <t>Buy breakout (RSI: 74.4, ADX: 26.2, Vol: +160% above average)</t>
  </si>
  <si>
    <t>Buy breakout (RSI: 70.4, ADX: 26.0, Vol: +225% above average)</t>
  </si>
  <si>
    <t>Buy breakout (RSI: 64.0, ADX: 27.9, Vol: +8% above average)</t>
  </si>
  <si>
    <t>TF Classfication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</si>
</sst>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44D]\ * #,##0.00_ ;_ [$₹-44D]\ * \-#,##0.00_ ;_ [$₹-44D]\ * &quot;-&quot;??_ ;_ @_ "/>
    <numFmt numFmtId="165" formatCode="[$₹-4009]\ #,##0.00"/>
    <numFmt numFmtId="166" formatCode="_ [$₹-4009]\ * #,##0.00_ ;_ [$₹-4009]\ * \-#,##0.00_ ;_ [$₹-4009]\ * &quot;-&quot;??_ ;_ @_ "/>
    <numFmt numFmtId="167" formatCode="_ &quot;₹&quot;\ * #,##0_ ;_ &quot;₹&quot;\ * \-#,##0_ ;_ &quot;₹&quot;\ * &quot;-&quot;??_ ;_ @_ "/>
  </numFmts>
  <fonts count="27">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sz val="11"/>
      <color rgb="FF000000"/>
      <name val="Calibri"/>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b/>
      <sz val="11"/>
      <color rgb="FF8B0000"/>
      <name val="Calibri"/>
    </font>
    <font>
      <sz val="11"/>
      <color theme="1"/>
      <name val="Calibri"/>
      <family val="2"/>
      <scheme val="minor"/>
    </font>
  </fonts>
  <fills count="23">
    <fill>
      <patternFill patternType="none"/>
    </fill>
    <fill>
      <patternFill patternType="gray125"/>
    </fill>
    <fill>
      <patternFill patternType="solid">
        <fgColor rgb="FFFFFF00"/>
        <bgColor indexed="64"/>
      </patternFill>
    </fill>
    <fill>
      <patternFill patternType="solid">
        <fgColor rgb="FFD6DCE4"/>
        <bgColor indexed="64"/>
      </patternFill>
    </fill>
    <fill>
      <patternFill patternType="solid">
        <fgColor rgb="FFBDD7EE"/>
        <bgColor indexed="64"/>
      </patternFill>
    </fill>
    <fill>
      <patternFill patternType="solid">
        <fgColor rgb="FFC6EFCE"/>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FADBD8"/>
        <bgColor rgb="FFFADBD8"/>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1">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3">
    <xf numFmtId="0" fontId="0" fillId="0" borderId="0"/>
    <xf numFmtId="44" fontId="26" fillId="0" borderId="0"/>
    <xf numFmtId="9" fontId="26" fillId="0" borderId="0"/>
  </cellStyleXfs>
  <cellXfs count="91">
    <xf numFmtId="0" fontId="0" fillId="0" borderId="0" xfId="0"/>
    <xf numFmtId="164"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2" fillId="0" borderId="0" xfId="0" applyFont="1"/>
    <xf numFmtId="0" fontId="1" fillId="0" borderId="10" xfId="0" applyFont="1" applyBorder="1"/>
    <xf numFmtId="165" fontId="0" fillId="0" borderId="10" xfId="0" applyNumberFormat="1" applyBorder="1"/>
    <xf numFmtId="1" fontId="0" fillId="0" borderId="10" xfId="0" applyNumberFormat="1" applyBorder="1"/>
    <xf numFmtId="10" fontId="0" fillId="0" borderId="10" xfId="0" applyNumberFormat="1" applyBorder="1"/>
    <xf numFmtId="2" fontId="0" fillId="0" borderId="10" xfId="0" applyNumberFormat="1" applyBorder="1"/>
    <xf numFmtId="165" fontId="1" fillId="0" borderId="10" xfId="0" applyNumberFormat="1" applyFont="1" applyBorder="1"/>
    <xf numFmtId="10" fontId="1" fillId="0" borderId="10" xfId="0" applyNumberFormat="1" applyFont="1" applyBorder="1"/>
    <xf numFmtId="0" fontId="0" fillId="0" borderId="10" xfId="0" applyBorder="1"/>
    <xf numFmtId="0" fontId="19" fillId="19" borderId="10" xfId="0" applyFont="1" applyFill="1" applyBorder="1"/>
    <xf numFmtId="0" fontId="19" fillId="20" borderId="10" xfId="0" applyFont="1" applyFill="1" applyBorder="1"/>
    <xf numFmtId="0" fontId="19" fillId="21" borderId="10" xfId="0" applyFont="1" applyFill="1" applyBorder="1"/>
    <xf numFmtId="0" fontId="2" fillId="0" borderId="10" xfId="0" applyFont="1" applyBorder="1"/>
    <xf numFmtId="1" fontId="2" fillId="0" borderId="10" xfId="0" applyNumberFormat="1" applyFont="1" applyBorder="1"/>
    <xf numFmtId="165" fontId="2" fillId="0" borderId="10" xfId="0" applyNumberFormat="1" applyFont="1" applyBorder="1"/>
    <xf numFmtId="10" fontId="23" fillId="0" borderId="10" xfId="0" applyNumberFormat="1" applyFont="1" applyBorder="1"/>
    <xf numFmtId="10" fontId="24" fillId="0" borderId="10" xfId="0" applyNumberFormat="1" applyFont="1" applyBorder="1"/>
    <xf numFmtId="0" fontId="25" fillId="0" borderId="10" xfId="0" applyFont="1" applyBorder="1"/>
    <xf numFmtId="0" fontId="0" fillId="0" borderId="9" xfId="0" applyBorder="1"/>
    <xf numFmtId="1" fontId="0" fillId="0" borderId="9" xfId="0" applyNumberFormat="1" applyBorder="1"/>
    <xf numFmtId="165" fontId="0" fillId="0" borderId="9" xfId="0" applyNumberFormat="1" applyBorder="1"/>
    <xf numFmtId="0" fontId="19" fillId="19" borderId="9" xfId="0" applyFont="1" applyFill="1" applyBorder="1"/>
    <xf numFmtId="0" fontId="0" fillId="0" borderId="9" xfId="0" applyBorder="1" applyAlignment="1">
      <alignment horizontal="center"/>
    </xf>
    <xf numFmtId="10" fontId="0" fillId="0" borderId="9" xfId="0" applyNumberFormat="1" applyBorder="1"/>
    <xf numFmtId="0" fontId="19" fillId="20" borderId="9" xfId="0" applyFont="1" applyFill="1" applyBorder="1"/>
    <xf numFmtId="0" fontId="19" fillId="21" borderId="9" xfId="0" applyFont="1" applyFill="1" applyBorder="1"/>
    <xf numFmtId="0" fontId="18" fillId="0" borderId="9" xfId="0" applyFont="1" applyBorder="1"/>
    <xf numFmtId="14" fontId="0" fillId="0" borderId="9" xfId="0" applyNumberFormat="1" applyBorder="1"/>
    <xf numFmtId="0" fontId="3" fillId="0" borderId="9" xfId="0" applyFont="1" applyBorder="1" applyAlignment="1">
      <alignment readingOrder="1"/>
    </xf>
    <xf numFmtId="164" fontId="0" fillId="0" borderId="9" xfId="0" applyNumberFormat="1" applyBorder="1" applyAlignment="1">
      <alignment horizontal="right"/>
    </xf>
    <xf numFmtId="164" fontId="0" fillId="0" borderId="9" xfId="0" applyNumberFormat="1" applyBorder="1"/>
    <xf numFmtId="0" fontId="10" fillId="3" borderId="9" xfId="0" applyFont="1" applyFill="1" applyBorder="1" applyAlignment="1">
      <alignment horizontal="center"/>
    </xf>
    <xf numFmtId="0" fontId="0" fillId="4" borderId="9" xfId="0" applyFill="1" applyBorder="1" applyAlignment="1">
      <alignment horizontal="center"/>
    </xf>
    <xf numFmtId="0" fontId="0" fillId="0" borderId="9" xfId="0" applyBorder="1" applyAlignment="1">
      <alignment horizontal="right"/>
    </xf>
    <xf numFmtId="10" fontId="0" fillId="0" borderId="9" xfId="0" applyNumberFormat="1" applyBorder="1" applyAlignment="1">
      <alignment horizontal="right"/>
    </xf>
    <xf numFmtId="0" fontId="0" fillId="5" borderId="9" xfId="0" applyFill="1" applyBorder="1" applyAlignment="1">
      <alignment horizontal="center"/>
    </xf>
    <xf numFmtId="0" fontId="9" fillId="0" borderId="9" xfId="0" applyFont="1" applyBorder="1" applyAlignment="1">
      <alignment readingOrder="1"/>
    </xf>
    <xf numFmtId="0" fontId="17" fillId="0" borderId="9" xfId="0" applyFont="1" applyBorder="1" applyAlignment="1">
      <alignment wrapText="1"/>
    </xf>
    <xf numFmtId="0" fontId="8" fillId="22" borderId="9" xfId="0" applyFont="1" applyFill="1" applyBorder="1" applyAlignment="1">
      <alignment horizontal="center" vertical="center" wrapText="1"/>
    </xf>
    <xf numFmtId="0" fontId="7" fillId="15" borderId="9" xfId="0" applyFont="1" applyFill="1" applyBorder="1"/>
    <xf numFmtId="0" fontId="5" fillId="16" borderId="9" xfId="0" applyFont="1" applyFill="1" applyBorder="1"/>
    <xf numFmtId="0" fontId="6" fillId="17" borderId="9" xfId="0" applyFont="1" applyFill="1" applyBorder="1"/>
    <xf numFmtId="0" fontId="4" fillId="18" borderId="9" xfId="0" applyFont="1" applyFill="1" applyBorder="1"/>
    <xf numFmtId="0" fontId="8" fillId="22" borderId="10" xfId="0" applyFont="1" applyFill="1" applyBorder="1" applyAlignment="1">
      <alignment horizontal="center"/>
    </xf>
    <xf numFmtId="0" fontId="7" fillId="15" borderId="10" xfId="0" applyFont="1" applyFill="1" applyBorder="1"/>
    <xf numFmtId="0" fontId="6" fillId="17" borderId="10" xfId="0" applyFont="1" applyFill="1" applyBorder="1"/>
    <xf numFmtId="0" fontId="4" fillId="18" borderId="10" xfId="0" applyFont="1" applyFill="1" applyBorder="1"/>
    <xf numFmtId="0" fontId="5" fillId="16" borderId="10" xfId="0" applyFont="1" applyFill="1" applyBorder="1"/>
    <xf numFmtId="0" fontId="11" fillId="6" borderId="10" xfId="0" applyFont="1" applyFill="1" applyBorder="1" applyAlignment="1">
      <alignment horizontal="center" vertical="center"/>
    </xf>
    <xf numFmtId="0" fontId="0" fillId="0" borderId="10" xfId="0" applyBorder="1" applyAlignment="1">
      <alignment horizontal="center"/>
    </xf>
    <xf numFmtId="14" fontId="0" fillId="0" borderId="10" xfId="0" applyNumberFormat="1" applyBorder="1" applyAlignment="1">
      <alignment horizontal="center"/>
    </xf>
    <xf numFmtId="0" fontId="0" fillId="0" borderId="10" xfId="0" applyBorder="1" applyAlignment="1">
      <alignment horizontal="left"/>
    </xf>
    <xf numFmtId="0" fontId="0" fillId="0" borderId="10" xfId="0" applyBorder="1" applyAlignment="1">
      <alignment horizontal="left" wrapText="1"/>
    </xf>
    <xf numFmtId="0" fontId="14" fillId="9" borderId="10" xfId="0" applyFont="1" applyFill="1" applyBorder="1" applyAlignment="1">
      <alignment horizontal="center"/>
    </xf>
    <xf numFmtId="0" fontId="15" fillId="0" borderId="10" xfId="0" applyFont="1" applyBorder="1" applyAlignment="1">
      <alignment horizontal="center"/>
    </xf>
    <xf numFmtId="0" fontId="13" fillId="8" borderId="10" xfId="0" applyFont="1" applyFill="1" applyBorder="1" applyAlignment="1">
      <alignment horizontal="center"/>
    </xf>
    <xf numFmtId="0" fontId="16" fillId="10" borderId="10" xfId="0" applyFont="1" applyFill="1" applyBorder="1" applyAlignment="1">
      <alignment horizontal="center"/>
    </xf>
    <xf numFmtId="0" fontId="12" fillId="7" borderId="10" xfId="0" applyFont="1" applyFill="1" applyBorder="1" applyAlignment="1">
      <alignment horizontal="center"/>
    </xf>
    <xf numFmtId="0" fontId="8" fillId="22" borderId="10" xfId="0" applyFont="1" applyFill="1" applyBorder="1" applyAlignment="1">
      <alignment horizontal="center" vertical="center" wrapText="1"/>
    </xf>
    <xf numFmtId="0" fontId="8" fillId="22" borderId="1" xfId="0" applyFont="1" applyFill="1" applyBorder="1" applyAlignment="1">
      <alignment horizontal="center" vertical="center" wrapText="1"/>
    </xf>
    <xf numFmtId="17" fontId="0" fillId="0" borderId="10" xfId="0" applyNumberFormat="1" applyBorder="1"/>
    <xf numFmtId="0" fontId="0" fillId="11" borderId="10" xfId="0" applyFill="1" applyBorder="1"/>
    <xf numFmtId="0" fontId="0" fillId="12" borderId="10" xfId="0" applyFill="1" applyBorder="1"/>
    <xf numFmtId="0" fontId="0" fillId="13" borderId="10" xfId="0" applyFill="1" applyBorder="1"/>
    <xf numFmtId="0" fontId="0" fillId="14" borderId="10" xfId="0" applyFill="1" applyBorder="1"/>
    <xf numFmtId="0" fontId="0" fillId="0" borderId="9" xfId="0" applyBorder="1" applyAlignment="1">
      <alignment wrapText="1"/>
    </xf>
    <xf numFmtId="9" fontId="0" fillId="0" borderId="0" xfId="2" applyFont="1"/>
    <xf numFmtId="166" fontId="0" fillId="0" borderId="0" xfId="0" applyNumberFormat="1"/>
    <xf numFmtId="0" fontId="8" fillId="22" borderId="0" xfId="0" applyFont="1" applyFill="1" applyAlignment="1">
      <alignment horizontal="center" vertical="center" wrapText="1"/>
    </xf>
    <xf numFmtId="2" fontId="0" fillId="0" borderId="0" xfId="0" applyNumberFormat="1"/>
    <xf numFmtId="1" fontId="0" fillId="0" borderId="0" xfId="0" applyNumberFormat="1"/>
    <xf numFmtId="167" fontId="0" fillId="0" borderId="0" xfId="1" applyNumberFormat="1" applyFont="1"/>
    <xf numFmtId="1" fontId="0" fillId="2" borderId="0" xfId="0" applyNumberFormat="1" applyFill="1"/>
    <xf numFmtId="9" fontId="0" fillId="0" borderId="9" xfId="2" applyFont="1" applyBorder="1"/>
    <xf numFmtId="165" fontId="0" fillId="0" borderId="7" xfId="0" applyNumberFormat="1" applyBorder="1"/>
    <xf numFmtId="0" fontId="20" fillId="0" borderId="0" xfId="0" applyFont="1" applyAlignment="1">
      <alignment horizontal="center"/>
    </xf>
    <xf numFmtId="0" fontId="0" fillId="0" borderId="0" xfId="0"/>
    <xf numFmtId="0" fontId="21" fillId="0" borderId="0" xfId="0" applyFont="1" applyAlignment="1">
      <alignment horizontal="right"/>
    </xf>
  </cellXfs>
  <cellStyles count="3">
    <cellStyle name="Currency" xfId="1" builtinId="4"/>
    <cellStyle name="Normal" xfId="0" builtinId="0"/>
    <cellStyle name="Percent" xfId="2" builtinId="5"/>
  </cellStyles>
  <dxfs count="44">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left style="thin">
          <color rgb="FF000000"/>
        </left>
        <right style="thin">
          <color rgb="FF00000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97">
  <rv s="0">
    <v>https://www.bing.com/financeapi/forcetrigger?t=bxdqsm&amp;q=XNSE%3aACRYSIL&amp;form=skydnc</v>
    <v>Learn more on Bing</v>
  </rv>
  <rv s="1">
    <v>en-IN</v>
    <v>bxdqsm</v>
    <v>268435456</v>
    <v>1</v>
    <v>Powered by Refinitiv</v>
    <v>0</v>
    <v>CARYSIL LIMITED (XNSE:CARYSIL)</v>
    <v>2</v>
    <v>3</v>
    <v>Finance</v>
    <v>4</v>
    <v>1171.5999999999999</v>
    <v>732.1</v>
    <v>1.2571000000000001</v>
    <v>6.8</v>
    <v>6.2090000000000001E-3</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1125</v>
    <v>Homebuilding &amp; Construction Supplies</v>
    <v>Stock</v>
    <v>46178.467499999999</v>
    <v>0</v>
    <v>1088.3</v>
    <v>22596230000</v>
    <v>CARYSIL LIMITED</v>
    <v>CARYSIL LIMITED</v>
    <v>1095.2</v>
    <v>31.923500000000001</v>
    <v>1095.2</v>
    <v>1102</v>
    <v>28442610</v>
    <v>CARYSIL</v>
    <v>CARYSIL LIMITED (XNSE:CARYSIL)</v>
    <v>82441</v>
    <v>254040</v>
    <v>1987</v>
  </rv>
  <rv s="2">
    <v>1</v>
  </rv>
  <rv s="0">
    <v>https://www.bing.com/financeapi/forcetrigger?t=ahi2yc&amp;q=XNSE%3aHBLPOWER&amp;form=skydnc</v>
    <v>Learn more on Bing</v>
  </rv>
  <rv s="1">
    <v>en-IN</v>
    <v>ahi2yc</v>
    <v>268435456</v>
    <v>1</v>
    <v>Powered by Refinitiv</v>
    <v>0</v>
    <v>HBL Engineering Limited (XNSE:HBLENGINE)</v>
    <v>2</v>
    <v>3</v>
    <v>Finance</v>
    <v>4</v>
    <v>1122</v>
    <v>551.6</v>
    <v>0.93289999999999995</v>
    <v>-1.7</v>
    <v>-2.134E-3</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811.9</v>
    <v>Machinery, Equipment &amp; Components</v>
    <v>Stock</v>
    <v>46178.467523148145</v>
    <v>3</v>
    <v>790.3</v>
    <v>234520800000</v>
    <v>HBL Engineering Limited</v>
    <v>HBL Engineering Limited</v>
    <v>797.75</v>
    <v>27.048300000000001</v>
    <v>796.65</v>
    <v>794.95</v>
    <v>277194900</v>
    <v>HBLENGINE</v>
    <v>HBL Engineering Limited (XNSE:HBLENGINE)</v>
    <v>1051941</v>
    <v>2455140</v>
    <v>1986</v>
  </rv>
  <rv s="2">
    <v>4</v>
  </rv>
  <rv s="0">
    <v>https://www.bing.com/financeapi/forcetrigger?t=ahj6c7&amp;q=XNSE%3aNEULANDLAB&amp;form=skydnc</v>
    <v>Learn more on Bing</v>
  </rv>
  <rv s="1">
    <v>en-IN</v>
    <v>ahj6c7</v>
    <v>268435456</v>
    <v>1</v>
    <v>Powered by Refinitiv</v>
    <v>0</v>
    <v>NEULAND LABORATORIES LTD. (XNSE:NEULANDLAB)</v>
    <v>2</v>
    <v>3</v>
    <v>Finance</v>
    <v>4</v>
    <v>19747</v>
    <v>11412</v>
    <v>0.97599999999999998</v>
    <v>-49</v>
    <v>-2.9060000000000002E-3</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17050</v>
    <v>Pharmaceuticals</v>
    <v>Stock</v>
    <v>46178.467499999999</v>
    <v>6</v>
    <v>16755</v>
    <v>183801000000</v>
    <v>NEULAND LABORATORIES LTD.</v>
    <v>NEULAND LABORATORIES LTD.</v>
    <v>16950</v>
    <v>59.256300000000003</v>
    <v>16860</v>
    <v>16811</v>
    <v>12829890</v>
    <v>NEULANDLAB</v>
    <v>NEULAND LABORATORIES LTD. (XNSE:NEULANDLAB)</v>
    <v>13332</v>
    <v>45660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0.84670000000000001</v>
    <v>345</v>
    <v>9.4459999999999995E-3</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37440</v>
    <v>Machinery, Equipment &amp; Components</v>
    <v>Stock</v>
    <v>46178.467534722222</v>
    <v>9</v>
    <v>36600</v>
    <v>762454800000</v>
    <v>HITACHI ENERGY INDIA LIMITED</v>
    <v>HITACHI ENERGY INDIA LIMITED</v>
    <v>36940</v>
    <v>166.35830000000001</v>
    <v>36525</v>
    <v>36870</v>
    <v>44572360</v>
    <v>POWERINDIA</v>
    <v>HITACHI ENERGY INDIA LIMITED (XNSE:POWERINDIA)</v>
    <v>109445</v>
    <v>260970</v>
    <v>2019</v>
  </rv>
  <rv s="2">
    <v>10</v>
  </rv>
  <rv s="3">
    <v>en-IN</v>
    <v>c776w7</v>
    <v>268435456</v>
    <v>1</v>
    <v>Powered by Refinitiv</v>
    <v>5</v>
    <v>SYRMA SGS TECHNOLOGY LIMITED (XNSE:SYRMA)</v>
    <v>6</v>
    <v>3</v>
    <v>Finance</v>
    <v>4</v>
    <v>1234</v>
    <v>500</v>
    <v>0.71389999999999998</v>
    <v>5.2</v>
    <v>4.2570000000000004E-3</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1234</v>
    <v>Electronic Equipment &amp; Parts</v>
    <v>Stock</v>
    <v>46178.467511574076</v>
    <v>1212.8</v>
    <v>135875200000</v>
    <v>SYRMA SGS TECHNOLOGY LIMITED</v>
    <v>SYRMA SGS TECHNOLOGY LIMITED</v>
    <v>1230</v>
    <v>72.420299999999997</v>
    <v>1221.5999999999999</v>
    <v>1226.8</v>
    <v>192625000</v>
    <v>SYRMA</v>
    <v>SYRMA SGS TECHNOLOGY LIMITED (XNSE:SYRMA)</v>
    <v>737121</v>
    <v>1401560</v>
    <v>2004</v>
  </rv>
  <rv s="2">
    <v>12</v>
  </rv>
  <rv s="0">
    <v>https://www.bing.com/financeapi/forcetrigger?t=ahkjqh&amp;q=XNSE%3aVBL&amp;form=skydnc</v>
    <v>Learn more on Bing</v>
  </rv>
  <rv s="1">
    <v>en-IN</v>
    <v>ahkjqh</v>
    <v>268435456</v>
    <v>1</v>
    <v>Powered by Refinitiv</v>
    <v>0</v>
    <v>VARUN BEVERAGES LIMITED (XNSE:VBL)</v>
    <v>2</v>
    <v>3</v>
    <v>Finance</v>
    <v>4</v>
    <v>544.4</v>
    <v>381</v>
    <v>1.1856</v>
    <v>-5.0999999999999996</v>
    <v>-9.6519999999999991E-3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527.9</v>
    <v>Beverages</v>
    <v>Stock</v>
    <v>46178.467534722222</v>
    <v>14</v>
    <v>518.29999999999995</v>
    <v>1695053000000</v>
    <v>VARUN BEVERAGES LIMITED</v>
    <v>VARUN BEVERAGES LIMITED</v>
    <v>527.5</v>
    <v>55.636499999999998</v>
    <v>528.4</v>
    <v>523.29999999999995</v>
    <v>3382296000</v>
    <v>VBL</v>
    <v>VARUN BEVERAGES LIMITED (XNSE:VBL)</v>
    <v>3217921</v>
    <v>7877070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0.99180000000000001</v>
    <v>-20</v>
    <v>-1.9300000000000001E-3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10446</v>
    <v>20</v>
    <v>Automobiles &amp; Auto Parts</v>
    <v>Stock</v>
    <v>46178.467534722222</v>
    <v>21</v>
    <v>10317</v>
    <v>2669985000000</v>
    <v>BAJAJ AUTO LIMITED.</v>
    <v>BAJAJ AUTO LIMITED.</v>
    <v>10394</v>
    <v>26.924700000000001</v>
    <v>10362</v>
    <v>10342</v>
    <v>279271700</v>
    <v>BAJAJ-AUTO</v>
    <v>BAJAJ AUTO LIMITED. (XNSE:BAJAJ-AUTO)</v>
    <v>247150</v>
    <v>422080</v>
    <v>2007</v>
  </rv>
  <rv s="2">
    <v>22</v>
  </rv>
  <rv s="0">
    <v>https://www.bing.com/financeapi/forcetrigger?t=ahkdp2&amp;q=XNSE%3aTIPSINDLTD&amp;form=skydnc</v>
    <v>Learn more on Bing</v>
  </rv>
  <rv s="1">
    <v>en-IN</v>
    <v>ahkdp2</v>
    <v>268435456</v>
    <v>1</v>
    <v>Powered by Refinitiv</v>
    <v>0</v>
    <v>TIPS MUSIC LIMITED (XNSE:TIPSMUSIC)</v>
    <v>2</v>
    <v>3</v>
    <v>Finance</v>
    <v>4</v>
    <v>726.75</v>
    <v>481.15</v>
    <v>1.1346000000000001</v>
    <v>18.850000000000001</v>
    <v>2.8046000000000001E-2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726.75</v>
    <v>Media &amp; Publishing</v>
    <v>Stock</v>
    <v>46178.467511574076</v>
    <v>24</v>
    <v>675</v>
    <v>65015150000</v>
    <v>TIPS MUSIC LIMITED</v>
    <v>TIPS MUSIC LIMITED</v>
    <v>675</v>
    <v>40.738799999999998</v>
    <v>672.1</v>
    <v>690.95</v>
    <v>127831600</v>
    <v>TIPSMUSIC</v>
    <v>TIPS MUSIC LIMITED (XNSE:TIPSMUSIC)</v>
    <v>1683476</v>
    <v>223510</v>
    <v>1996</v>
  </rv>
  <rv s="2">
    <v>25</v>
  </rv>
  <rv s="0">
    <v>https://www.bing.com/financeapi/forcetrigger?t=ahgsvh&amp;q=XNSE%3aAIAENG&amp;form=skydnc</v>
    <v>Learn more on Bing</v>
  </rv>
  <rv s="1">
    <v>en-IN</v>
    <v>ahgsvh</v>
    <v>268435456</v>
    <v>1</v>
    <v>Powered by Refinitiv</v>
    <v>0</v>
    <v>AIA ENGINEERING LIMITED (XNSE:AIAENG)</v>
    <v>2</v>
    <v>3</v>
    <v>Finance</v>
    <v>4</v>
    <v>4775</v>
    <v>3001.1</v>
    <v>0.63800000000000001</v>
    <v>34.200000000000003</v>
    <v>7.4399999999999996E-3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4775</v>
    <v>Machinery, Equipment &amp; Components</v>
    <v>Stock</v>
    <v>46178.467523148145</v>
    <v>27</v>
    <v>4602.5</v>
    <v>364425400000</v>
    <v>AIA ENGINEERING LIMITED</v>
    <v>AIA ENGINEERING LIMITED</v>
    <v>4690</v>
    <v>34.021700000000003</v>
    <v>4596.5</v>
    <v>4630.7</v>
    <v>93320370</v>
    <v>AIAENG</v>
    <v>AIA ENGINEERING LIMITED (XNSE:AIAENG)</v>
    <v>206638</v>
    <v>211920</v>
    <v>1991</v>
  </rv>
  <rv s="2">
    <v>28</v>
  </rv>
  <rv s="0">
    <v>https://www.bing.com/financeapi/forcetrigger?t=c3ecoc&amp;q=XNSE%3aAMIORG&amp;form=skydnc</v>
    <v>Learn more on Bing</v>
  </rv>
  <rv s="1">
    <v>en-IN</v>
    <v>c3ecoc</v>
    <v>268435456</v>
    <v>1</v>
    <v>Powered by Refinitiv</v>
    <v>0</v>
    <v>ACUTAAS CHEMICALS LIMITED (XNSE:ACUTAAS)</v>
    <v>2</v>
    <v>3</v>
    <v>Finance</v>
    <v>4</v>
    <v>3348.9</v>
    <v>1059</v>
    <v>0.36259999999999998</v>
    <v>163.6</v>
    <v>5.1695000000000005E-2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3348.9</v>
    <v>Chemicals</v>
    <v>Stock</v>
    <v>46178.467499999999</v>
    <v>30</v>
    <v>3161.7</v>
    <v>137813700000</v>
    <v>ACUTAAS CHEMICALS LIMITED</v>
    <v>ACUTAAS CHEMICALS LIMITED</v>
    <v>3163.1</v>
    <v>76.495099999999994</v>
    <v>3164.7</v>
    <v>3328.3</v>
    <v>81871120</v>
    <v>ACUTAAS</v>
    <v>ACUTAAS CHEMICALS LIMITED (XNSE:ACUTAAS)</v>
    <v>1067585</v>
    <v>420560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1.1802999999999999</v>
    <v>-161.5</v>
    <v>-1.5993E-2</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10198</v>
    <v>Software &amp; IT Services</v>
    <v>Stock</v>
    <v>46178.467511574076</v>
    <v>33</v>
    <v>9908.5</v>
    <v>669682100000</v>
    <v>ORACLE FINANCIAL SERVICES SOFTWARE LIMITED</v>
    <v>ORACLE FINANCIAL SERVICES SOFTWARE LIMITED</v>
    <v>10175</v>
    <v>32.735399999999998</v>
    <v>10098</v>
    <v>9936.5</v>
    <v>87064330</v>
    <v>OFSS</v>
    <v>ORACLE FINANCIAL SERVICES SOFTWARE LIMITED (XNSE:OFSS)</v>
    <v>197221</v>
    <v>331710</v>
    <v>1989</v>
  </rv>
  <rv s="2">
    <v>34</v>
  </rv>
  <rv s="0">
    <v>https://www.bing.com/financeapi/forcetrigger?t=ahgwbh&amp;q=XNSE%3aAPARINDS&amp;form=skydnc</v>
    <v>Learn more on Bing</v>
  </rv>
  <rv s="1">
    <v>en-IN</v>
    <v>ahgwbh</v>
    <v>268435456</v>
    <v>1</v>
    <v>Powered by Refinitiv</v>
    <v>0</v>
    <v>APAR INDUSTRIES LIMITED (XNSE:APARINDS)</v>
    <v>2</v>
    <v>3</v>
    <v>Finance</v>
    <v>4</v>
    <v>14174</v>
    <v>6801</v>
    <v>0.81689999999999996</v>
    <v>169</v>
    <v>1.2327999999999999E-2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14174</v>
    <v>Machinery, Equipment &amp; Components</v>
    <v>Stock</v>
    <v>46178.467511574076</v>
    <v>36</v>
    <v>13655</v>
    <v>307347900000</v>
    <v>APAR INDUSTRIES LIMITED</v>
    <v>APAR INDUSTRIES LIMITED</v>
    <v>13825</v>
    <v>57.061799999999998</v>
    <v>13709</v>
    <v>13878</v>
    <v>40174240</v>
    <v>APARINDS</v>
    <v>APAR INDUSTRIES LIMITED (XNSE:APARINDS)</v>
    <v>100710</v>
    <v>144810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0.88390000000000002</v>
    <v>-109</v>
    <v>-1.1880999999999999E-2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9289</v>
    <v>Machinery, Equipment &amp; Components</v>
    <v>Stock</v>
    <v>46178.467499999999</v>
    <v>39</v>
    <v>9033.5</v>
    <v>183365900000</v>
    <v>CRAFTSMAN AUTOMATION LIMITED</v>
    <v>CRAFTSMAN AUTOMATION LIMITED</v>
    <v>9200.5</v>
    <v>56.314799999999998</v>
    <v>9174</v>
    <v>9065</v>
    <v>23855580</v>
    <v>CRAFTSMAN</v>
    <v>CRAFTSMAN AUTOMATION LIMITED (XNSE:CRAFTSMAN)</v>
    <v>37933</v>
    <v>73620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0.87460000000000004</v>
    <v>-24.3</v>
    <v>-1.5565000000000001E-2</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1584.8</v>
    <v>Healthcare Providers &amp; Services</v>
    <v>Stock</v>
    <v>46178.467511574076</v>
    <v>42</v>
    <v>1528</v>
    <v>237651800000</v>
    <v>DR. LAL PATHLABS LIMITED</v>
    <v>DR. LAL PATHLABS LIMITED</v>
    <v>1561.1</v>
    <v>50.727600000000002</v>
    <v>1561.2</v>
    <v>1536.9</v>
    <v>167060500</v>
    <v>LALPATHLAB</v>
    <v>DR. LAL PATHLABS LIMITED (XNSE:LALPATHLAB)</v>
    <v>228362</v>
    <v>222970</v>
    <v>1995</v>
  </rv>
  <rv s="2">
    <v>43</v>
  </rv>
  <rv s="0">
    <v>https://www.bing.com/financeapi/forcetrigger?t=b1nulh&amp;q=XNSE%3aFCL&amp;form=skydnc</v>
    <v>Learn more on Bing</v>
  </rv>
  <rv s="1">
    <v>en-IN</v>
    <v>b1nulh</v>
    <v>268435456</v>
    <v>1</v>
    <v>Powered by Refinitiv</v>
    <v>0</v>
    <v>FINEOTEX CHEMICAL LIMITED (XNSE:FCL)</v>
    <v>2</v>
    <v>3</v>
    <v>Finance</v>
    <v>4</v>
    <v>44.44</v>
    <v>19.100000000000001</v>
    <v>1.1793</v>
    <v>-0.3</v>
    <v>-7.3119999999999999E-3</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41.75</v>
    <v>Chemicals</v>
    <v>Stock</v>
    <v>46178.467499999999</v>
    <v>45</v>
    <v>40.06</v>
    <v>26807660000</v>
    <v>FINEOTEX CHEMICAL LIMITED</v>
    <v>FINEOTEX CHEMICAL LIMITED</v>
    <v>41.3</v>
    <v>42.02</v>
    <v>41.03</v>
    <v>40.729999999999997</v>
    <v>1164501000</v>
    <v>FCL</v>
    <v>FINEOTEX CHEMICAL LIMITED (XNSE:FCL)</v>
    <v>15341694</v>
    <v>46723660</v>
    <v>2004</v>
  </rv>
  <rv s="2">
    <v>46</v>
  </rv>
  <rv s="0">
    <v>https://www.bing.com/financeapi/forcetrigger?t=ahil6h&amp;q=XNSE%3aKEI&amp;form=skydnc</v>
    <v>Learn more on Bing</v>
  </rv>
  <rv s="1">
    <v>en-IN</v>
    <v>ahil6h</v>
    <v>268435456</v>
    <v>1</v>
    <v>Powered by Refinitiv</v>
    <v>0</v>
    <v>KEI INDUSTRIES LIMITED (XNSE:KEI)</v>
    <v>2</v>
    <v>3</v>
    <v>Finance</v>
    <v>4</v>
    <v>5476.3</v>
    <v>3500</v>
    <v>1.3371999999999999</v>
    <v>39.5</v>
    <v>7.4580000000000002E-3</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5398</v>
    <v>Machinery, Equipment &amp; Components</v>
    <v>Stock</v>
    <v>46178.467523148145</v>
    <v>48</v>
    <v>5287</v>
    <v>412115000000</v>
    <v>KEI INDUSTRIES LIMITED</v>
    <v>KEI INDUSTRIES LIMITED</v>
    <v>5336</v>
    <v>55.5261</v>
    <v>5296</v>
    <v>5335.5</v>
    <v>95600590</v>
    <v>KEI</v>
    <v>KEI INDUSTRIES LIMITED (XNSE:KEI)</v>
    <v>203971</v>
    <v>301530</v>
    <v>1992</v>
  </rv>
  <rv s="2">
    <v>49</v>
  </rv>
  <rv s="0">
    <v>https://www.bing.com/financeapi/forcetrigger?t=ahiooc&amp;q=XNSE%3aKRISHANA&amp;form=skydnc</v>
    <v>Learn more on Bing</v>
  </rv>
  <rv s="1">
    <v>en-IN</v>
    <v>ahiooc</v>
    <v>268435456</v>
    <v>1</v>
    <v>Powered by Refinitiv</v>
    <v>0</v>
    <v>KRISHANA PHOSCHEM LIMITED (XNSE:KRISHANA)</v>
    <v>2</v>
    <v>3</v>
    <v>Finance</v>
    <v>4</v>
    <v>718.5</v>
    <v>375.4</v>
    <v>1.0170999999999999</v>
    <v>-17.850000000000001</v>
    <v>-2.6076000000000002E-2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370</v>
    <v>National Stock Exchange of India</v>
    <v>XNSE</v>
    <v>XNSE</v>
    <v>Wing A/2, 1st Floor, Ostwal Heights, Urban Forest, Atun, RAJASTHAN, 311802 IN</v>
    <v>690</v>
    <v>Chemicals</v>
    <v>Stock</v>
    <v>46178.467523148145</v>
    <v>51</v>
    <v>664</v>
    <v>30851970000</v>
    <v>KRISHANA PHOSCHEM LIMITED</v>
    <v>KRISHANA PHOSCHEM LIMITED</v>
    <v>684.55</v>
    <v>22.881399999999999</v>
    <v>684.55</v>
    <v>666.7</v>
    <v>61827600</v>
    <v>KRISHANA</v>
    <v>KRISHANA PHOSCHEM LIMITED (XNSE:KRISHANA)</v>
    <v>248114</v>
    <v>330640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0.8044</v>
    <v>20</v>
    <v>1.0260999999999999E-2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1979</v>
    <v>Healthcare Providers &amp; Services</v>
    <v>Stock</v>
    <v>46178.467523148145</v>
    <v>54</v>
    <v>1934.3</v>
    <v>383391600000</v>
    <v>NARAYANA HRUDAYALAYA LIMITED</v>
    <v>NARAYANA HRUDAYALAYA LIMITED</v>
    <v>1934.3</v>
    <v>48.55</v>
    <v>1949.2</v>
    <v>1969.2</v>
    <v>203099800</v>
    <v>NH</v>
    <v>NARAYANA HRUDAYALAYA LIMITED (XNSE:NH)</v>
    <v>224931</v>
    <v>506460</v>
    <v>2000</v>
  </rv>
  <rv s="2">
    <v>55</v>
  </rv>
  <rv s="0">
    <v>https://www.bing.com/financeapi/forcetrigger?t=bprqu2&amp;q=XNSE%3aPOLYCAB&amp;form=skydnc</v>
    <v>Learn more on Bing</v>
  </rv>
  <rv s="1">
    <v>en-IN</v>
    <v>bprqu2</v>
    <v>268435456</v>
    <v>1</v>
    <v>Powered by Refinitiv</v>
    <v>0</v>
    <v>POLYCAB INDIA LIMITED (XNSE:POLYCAB)</v>
    <v>2</v>
    <v>3</v>
    <v>Finance</v>
    <v>4</v>
    <v>9833</v>
    <v>5760</v>
    <v>1.1596</v>
    <v>-18.5</v>
    <v>-1.9040000000000001E-3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9833</v>
    <v>Machinery, Equipment &amp; Components</v>
    <v>Stock</v>
    <v>46178.467511574076</v>
    <v>57</v>
    <v>9656</v>
    <v>1137384000000</v>
    <v>POLYCAB INDIA LIMITED</v>
    <v>POLYCAB INDIA LIMITED</v>
    <v>9755</v>
    <v>54.3733</v>
    <v>9717.5</v>
    <v>9699</v>
    <v>150580600</v>
    <v>POLYCAB</v>
    <v>POLYCAB INDIA LIMITED (XNSE:POLYCAB)</v>
    <v>256030</v>
    <v>269580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1.0146999999999999</v>
    <v>-25.2</v>
    <v>-2.8041999999999997E-2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908.9</v>
    <v>Construction &amp; Engineering</v>
    <v>Stock</v>
    <v>46178.467534722222</v>
    <v>60</v>
    <v>863.55</v>
    <v>32807550000</v>
    <v>PSP PROJECTS LIMITED</v>
    <v>PSP PROJECTS LIMITED</v>
    <v>907.95</v>
    <v>62.570300000000003</v>
    <v>898.65</v>
    <v>873.45</v>
    <v>39641790</v>
    <v>PSPPROJECT</v>
    <v>PSP PROJECTS LIMITED (XNSE:PSPPROJECT)</v>
    <v>136987</v>
    <v>207910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0.75819999999999999</v>
    <v>-3.7</v>
    <v>-2.7469999999999999E-3</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8-2-120/103/1, SURVEY NO. 403, ROAD NO. 2, BANJARA HILLS, 500034 IN</v>
    <v>1366.9</v>
    <v>Healthcare Providers &amp; Services</v>
    <v>Stock</v>
    <v>46178.467511574076</v>
    <v>63</v>
    <v>1332.1</v>
    <v>127629400000</v>
    <v>RAINBOW CHILDREN'S MEDICARE LIMITED</v>
    <v>RAINBOW CHILDREN'S MEDICARE LIMITED</v>
    <v>1356.9</v>
    <v>49.0077</v>
    <v>1347</v>
    <v>1343.3</v>
    <v>101440100</v>
    <v>RAINBOW</v>
    <v>RAINBOW CHILDREN'S MEDICARE LIMITED (XNSE:RAINBOW)</v>
    <v>76791</v>
    <v>109630</v>
    <v>1998</v>
  </rv>
  <rv s="2">
    <v>64</v>
  </rv>
  <rv s="0">
    <v>https://www.bing.com/financeapi/forcetrigger?t=c2jsmw&amp;q=XNSE%3aSBCL&amp;form=skydnc</v>
    <v>Learn more on Bing</v>
  </rv>
  <rv s="1">
    <v>en-IN</v>
    <v>c2jsmw</v>
    <v>268435456</v>
    <v>1</v>
    <v>Powered by Refinitiv</v>
    <v>0</v>
    <v>SHIVALIK BIMETAL CONTROLS LTD (XNSE:SBCL)</v>
    <v>2</v>
    <v>3</v>
    <v>Finance</v>
    <v>4</v>
    <v>789</v>
    <v>368.6</v>
    <v>1.6748000000000001</v>
    <v>-15.1</v>
    <v>-2.0747000000000002E-2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747.5</v>
    <v>Machinery, Equipment &amp; Components</v>
    <v>Stock</v>
    <v>46178.467499999999</v>
    <v>66</v>
    <v>703.05</v>
    <v>24971420000</v>
    <v>SHIVALIK BIMETAL CONTROLS LTD</v>
    <v>SHIVALIK BIMETAL CONTROLS LTD</v>
    <v>736</v>
    <v>43.71</v>
    <v>727.8</v>
    <v>712.7</v>
    <v>57604200</v>
    <v>SBCL</v>
    <v>SHIVALIK BIMETAL CONTROLS LTD (XNSE:SBCL)</v>
    <v>325013</v>
    <v>643750</v>
    <v>1984</v>
  </rv>
  <rv s="2">
    <v>67</v>
  </rv>
  <rv s="0">
    <v>https://www.bing.com/financeapi/forcetrigger?t=ahkdjc&amp;q=XNSE%3aTIMKEN&amp;form=skydnc</v>
    <v>Learn more on Bing</v>
  </rv>
  <rv s="1">
    <v>en-IN</v>
    <v>ahkdjc</v>
    <v>268435456</v>
    <v>1</v>
    <v>Powered by Refinitiv</v>
    <v>0</v>
    <v>TIMKEN INDIA LIMITED (XNSE:TIMKEN)</v>
    <v>2</v>
    <v>3</v>
    <v>Finance</v>
    <v>4</v>
    <v>3775</v>
    <v>2800.5</v>
    <v>0.91559999999999997</v>
    <v>72.3</v>
    <v>2.0245000000000003E-2</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3711.7</v>
    <v>Machinery, Equipment &amp; Components</v>
    <v>Stock</v>
    <v>46178.467523148145</v>
    <v>69</v>
    <v>3601.5</v>
    <v>228665000000</v>
    <v>TIMKEN INDIA LIMITED</v>
    <v>TIMKEN INDIA LIMITED</v>
    <v>3619</v>
    <v>66.069999999999993</v>
    <v>3571.3</v>
    <v>3643.6</v>
    <v>75218730</v>
    <v>TIMKEN</v>
    <v>TIMKEN INDIA LIMITED (XNSE:TIMKEN)</v>
    <v>81085</v>
    <v>111100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0.90549999999999997</v>
    <v>148</v>
    <v>8.091000000000001E-3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18745</v>
    <v>Chemicals</v>
    <v>Stock</v>
    <v>46178.467523148145</v>
    <v>72</v>
    <v>18350</v>
    <v>1148862000000</v>
    <v>SOLAR INDUSTRIES INDIA LIMITED</v>
    <v>SOLAR INDUSTRIES INDIA LIMITED</v>
    <v>18380</v>
    <v>99.476799999999997</v>
    <v>18293</v>
    <v>18441</v>
    <v>90490050</v>
    <v>SOLARINDS</v>
    <v>SOLAR INDUSTRIES INDIA LIMITED (XNSE:SOLARINDS)</v>
    <v>102618</v>
    <v>193290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411.25</v>
    <v>0.69030000000000002</v>
    <v>-10.95</v>
    <v>-2.0123000000000002E-2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554.20000000000005</v>
    <v>Healthcare Providers &amp; Services</v>
    <v>Stock</v>
    <v>46178.467511574076</v>
    <v>75</v>
    <v>530.4</v>
    <v>98814160000</v>
    <v>METROPOLIS HEALTHCARE LIMITED</v>
    <v>METROPOLIS HEALTHCARE LIMITED</v>
    <v>544.15</v>
    <v>59.31</v>
    <v>544.15</v>
    <v>533.20000000000005</v>
    <v>207332000</v>
    <v>METROPOLIS</v>
    <v>METROPOLIS HEALTHCARE LIMITED (XNSE:METROPOLIS)</v>
    <v>163325</v>
    <v>240060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4225</v>
    <v>0.84960000000000002</v>
    <v>-58</v>
    <v>-8.1799999999999998E-3</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7160</v>
    <v>Chemicals</v>
    <v>Stock</v>
    <v>46178.467523148145</v>
    <v>78</v>
    <v>7002</v>
    <v>306836900000</v>
    <v>NAVIN FLUORINE INTERNATIONAL LIMITED</v>
    <v>NAVIN FLUORINE INTERNATIONAL LIMITED</v>
    <v>7125</v>
    <v>53.946800000000003</v>
    <v>7090.5</v>
    <v>7032.5</v>
    <v>51291160</v>
    <v>NAVINFLUOR</v>
    <v>NAVIN FLUORINE INTERNATIONAL LIMITED (XNSE:NAVINFLUOR)</v>
    <v>68758</v>
    <v>177400</v>
    <v>1998</v>
  </rv>
  <rv s="2">
    <v>79</v>
  </rv>
  <rv s="0">
    <v>https://www.bing.com/financeapi/forcetrigger?t=c6qgur&amp;q=XNSE%3aNGLFINE&amp;form=skydnc</v>
    <v>Learn more on Bing</v>
  </rv>
  <rv s="1">
    <v>en-IN</v>
    <v>c6qgur</v>
    <v>268435456</v>
    <v>1</v>
    <v>Powered by Refinitiv</v>
    <v>0</v>
    <v>NGL FINE-CHEM LIMITED (XNSE:NGLFINE)</v>
    <v>2</v>
    <v>3</v>
    <v>Finance</v>
    <v>4</v>
    <v>3005</v>
    <v>980</v>
    <v>1.0537000000000001</v>
    <v>160.9</v>
    <v>6.2323000000000003E-2</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2850</v>
    <v>Pharmaceuticals</v>
    <v>Stock</v>
    <v>46178.467511574076</v>
    <v>81</v>
    <v>2589.8000000000002</v>
    <v>8873496000</v>
    <v>NGL FINE-CHEM LIMITED</v>
    <v>NGL FINE-CHEM LIMITED</v>
    <v>2589.8000000000002</v>
    <v>35.265500000000003</v>
    <v>2581.6999999999998</v>
    <v>2742.6</v>
    <v>6178020</v>
    <v>NGLFINE</v>
    <v>NGL FINE-CHEM LIMITED (XNSE:NGLFINE)</v>
    <v>40222</v>
    <v>33120</v>
    <v>1981</v>
  </rv>
  <rv s="2">
    <v>82</v>
  </rv>
  <rv s="0">
    <v>https://www.bing.com/financeapi/forcetrigger?t=ahhboc&amp;q=XNSE%3aCAPLIPOINT&amp;form=skydnc</v>
    <v>Learn more on Bing</v>
  </rv>
  <rv s="1">
    <v>en-IN</v>
    <v>ahhboc</v>
    <v>268435456</v>
    <v>1</v>
    <v>Powered by Refinitiv</v>
    <v>0</v>
    <v>CAPLIN POINT LABORATORIES LIMITED (XNSE:CAPLIPOINT)</v>
    <v>2</v>
    <v>3</v>
    <v>Finance</v>
    <v>4</v>
    <v>2395</v>
    <v>1500.3</v>
    <v>0.7883</v>
    <v>13.4</v>
    <v>6.6349999999999994E-3</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2048.6999999999998</v>
    <v>Pharmaceuticals</v>
    <v>Stock</v>
    <v>46178.467499999999</v>
    <v>84</v>
    <v>2015.2</v>
    <v>137740800000</v>
    <v>CAPLIN POINT LABORATORIES LIMITED</v>
    <v>CAPLIN POINT LABORATORIES LIMITED</v>
    <v>2025</v>
    <v>23.94</v>
    <v>2019.7</v>
    <v>2033.1</v>
    <v>76011700</v>
    <v>CAPLIPOINT</v>
    <v>CAPLIN POINT LABORATORIES LIMITED (XNSE:CAPLIPOINT)</v>
    <v>84426</v>
    <v>110300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1.4337</v>
    <v>-6.5</v>
    <v>-9.3740000000000004E-3</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699.2</v>
    <v>Machinery, Equipment &amp; Components</v>
    <v>Stock</v>
    <v>46178.467546296299</v>
    <v>87</v>
    <v>681.55</v>
    <v>163173200000</v>
    <v>TRIVENI TURBINE LIMITED</v>
    <v>TRIVENI TURBINE LIMITED</v>
    <v>693.55</v>
    <v>62.445500000000003</v>
    <v>693.4</v>
    <v>686.9</v>
    <v>317895000</v>
    <v>TRITURBINE</v>
    <v>TRIVENI TURBINE LIMITED (XNSE:TRITURBINE)</v>
    <v>664837</v>
    <v>5362330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1.3159000000000001</v>
    <v>-12.7</v>
    <v>-9.5809999999999992E-3</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1354.8</v>
    <v>Machinery, Equipment &amp; Components</v>
    <v>Stock</v>
    <v>46178.467546296299</v>
    <v>90</v>
    <v>1303.0999999999999</v>
    <v>107366500000</v>
    <v>TD POWER SYSTEMS LIMITED</v>
    <v>TD POWER SYSTEMS LIMITED</v>
    <v>1340</v>
    <v>85.86</v>
    <v>1325.5</v>
    <v>1312.8</v>
    <v>156228400</v>
    <v>TDPOWERSYS</v>
    <v>TD POWER SYSTEMS LIMITED (XNSE:TDPOWERSYS)</v>
    <v>686757</v>
    <v>1414320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1.2055</v>
    <v>-19.5</v>
    <v>-3.8340000000000002E-3</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5103</v>
    <v>Machinery, Equipment &amp; Components</v>
    <v>Stock</v>
    <v>46178.467534722222</v>
    <v>93</v>
    <v>4986.5</v>
    <v>699391100000</v>
    <v>GE VERNOVA T&amp;D INDIA LIMITED</v>
    <v>GE VERNOVA T&amp;D INDIA LIMITED</v>
    <v>5080</v>
    <v>105.19</v>
    <v>5086.5</v>
    <v>5067</v>
    <v>256046500</v>
    <v>GVT&amp;D</v>
    <v>GE VERNOVA T&amp;D INDIA LIMITED (XNSE:GVT&amp;D)</v>
    <v>888594</v>
    <v>1156800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0.84899999999999998</v>
    <v>1.05</v>
    <v>3.689E-3</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286.55</v>
    <v>Electrical Utilities &amp; IPPs</v>
    <v>Stock</v>
    <v>46178.467523148145</v>
    <v>96</v>
    <v>283</v>
    <v>2406996000000</v>
    <v>POWER GRID CORPORATION OF INDIA LIMITED</v>
    <v>POWER GRID CORPORATION OF INDIA LIMITED</v>
    <v>284</v>
    <v>13.486800000000001</v>
    <v>284.60000000000002</v>
    <v>285.64999999999998</v>
    <v>9300604000</v>
    <v>POWERGRID</v>
    <v>POWER GRID CORPORATION OF INDIA LIMITED (XNSE:POWERGRID)</v>
    <v>6955072</v>
    <v>18639300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1.1958</v>
    <v>-1.6</v>
    <v>-3.895E-3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413.75</v>
    <v>Electrical Utilities &amp; IPPs</v>
    <v>Stock</v>
    <v>46178.467499999999</v>
    <v>99</v>
    <v>406.55</v>
    <v>1177323000000</v>
    <v>THE TATA POWER COMPANY LIMITED</v>
    <v>THE TATA POWER COMPANY LIMITED</v>
    <v>411.45</v>
    <v>34.914700000000003</v>
    <v>410.8</v>
    <v>409.2</v>
    <v>3195340000</v>
    <v>TATAPOWER</v>
    <v>THE TATA POWER COMPANY LIMITED (XNSE:TATAPOWER)</v>
    <v>2616616</v>
    <v>5503210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0.76490000000000002</v>
    <v>37.9</v>
    <v>9.4809999999999998E-3</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4085</v>
    <v>Machinery, Equipment &amp; Components</v>
    <v>Stock</v>
    <v>46178.467499999999</v>
    <v>102</v>
    <v>4004.7</v>
    <v>592312800000</v>
    <v>SCHAEFFLER INDIA LIMITED</v>
    <v>SCHAEFFLER INDIA LIMITED</v>
    <v>4033</v>
    <v>51.9392</v>
    <v>3997.4</v>
    <v>4035.3</v>
    <v>156303700</v>
    <v>SCHAEFFLER</v>
    <v>SCHAEFFLER INDIA LIMITED (XNSE:SCHAEFFLER)</v>
    <v>81172</v>
    <v>87080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0.75390000000000001</v>
    <v>2.1</v>
    <v>1.1799999999999998E-3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1802.9</v>
    <v>Pharmaceuticals</v>
    <v>Stock</v>
    <v>46178.467499999999</v>
    <v>105</v>
    <v>1779</v>
    <v>4147730000000</v>
    <v>SUN PHARMACEUTICAL INDUSTRIES LIMITED</v>
    <v>SUN PHARMACEUTICAL INDUSTRIES LIMITED</v>
    <v>1789</v>
    <v>38.578000000000003</v>
    <v>1780.1</v>
    <v>1782.2</v>
    <v>2399335000</v>
    <v>SUNPHARMA</v>
    <v>SUN PHARMACEUTICAL INDUSTRIES LIMITED (XNSE:SUNPHARMA)</v>
    <v>2495159</v>
    <v>3353800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0.4299</v>
    <v>14.2</v>
    <v>7.8519999999999996E-3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1854.7</v>
    <v>Metals &amp; Mining</v>
    <v>Stock</v>
    <v>46178.467546296299</v>
    <v>108</v>
    <v>1810</v>
    <v>528952200000</v>
    <v>APL APOLLO TUBES LIMITED</v>
    <v>APL APOLLO TUBES LIMITED</v>
    <v>1810</v>
    <v>42.0535</v>
    <v>1808.4</v>
    <v>1822.6</v>
    <v>277658400</v>
    <v>APLAPOLLO</v>
    <v>APL APOLLO TUBES LIMITED (XNSE:APLAPOLLO)</v>
    <v>985798</v>
    <v>925430</v>
    <v>1986</v>
  </rv>
  <rv s="2">
    <v>109</v>
  </rv>
  <rv s="0">
    <v>https://www.bing.com/financeapi/forcetrigger?t=ahhpbh&amp;q=XNSE%3aESABINDIA&amp;form=skydnc</v>
    <v>Learn more on Bing</v>
  </rv>
  <rv s="1">
    <v>en-IN</v>
    <v>ahhpbh</v>
    <v>268435456</v>
    <v>1</v>
    <v>Powered by Refinitiv</v>
    <v>0</v>
    <v>ESAB INDIA LIMITED (XNSE:ESABINDIA)</v>
    <v>2</v>
    <v>3</v>
    <v>Finance</v>
    <v>4</v>
    <v>7319.5</v>
    <v>4710</v>
    <v>0.67449999999999999</v>
    <v>-12.5</v>
    <v>-2.1050000000000001E-3</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5975.5</v>
    <v>Machinery, Equipment &amp; Components</v>
    <v>Stock</v>
    <v>46178.467499999999</v>
    <v>111</v>
    <v>5885.5</v>
    <v>86631910000</v>
    <v>ESAB INDIA LIMITED</v>
    <v>ESAB INDIA LIMITED</v>
    <v>5964</v>
    <v>44.113900000000001</v>
    <v>5937</v>
    <v>5924.5</v>
    <v>15393020</v>
    <v>ESABINDIA</v>
    <v>ESAB INDIA LIMITED (XNSE:ESABINDIA)</v>
    <v>3026</v>
    <v>8030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1641.9</v>
    <v>1.2937000000000001</v>
    <v>-22.6</v>
    <v>-9.6839999999999999E-3</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2345.1</v>
    <v>Automobiles &amp; Auto Parts</v>
    <v>Stock</v>
    <v>46178.467523148145</v>
    <v>114</v>
    <v>2252.3000000000002</v>
    <v>59369260000</v>
    <v>FIEM INDUSTRIES LIMITED</v>
    <v>FIEM INDUSTRIES LIMITED</v>
    <v>2343.5</v>
    <v>24.991</v>
    <v>2333.8000000000002</v>
    <v>2311.1999999999998</v>
    <v>26319660</v>
    <v>FIEMIND</v>
    <v>FIEM INDUSTRIES LIMITED (XNSE:FIEMIND)</v>
    <v>95607</v>
    <v>64480</v>
    <v>1989</v>
  </rv>
  <rv s="2">
    <v>115</v>
  </rv>
  <rv s="0">
    <v>https://www.bing.com/financeapi/forcetrigger?t=ahjyhw&amp;q=XNSE%3aSIEMENS&amp;form=skydnc</v>
    <v>Learn more on Bing</v>
  </rv>
  <rv s="1">
    <v>en-IN</v>
    <v>ahjyhw</v>
    <v>268435456</v>
    <v>1</v>
    <v>Powered by Refinitiv</v>
    <v>0</v>
    <v>SIEMENS LIMITED (XNSE:SIEMENS)</v>
    <v>2</v>
    <v>3</v>
    <v>Finance</v>
    <v>4</v>
    <v>3937.3</v>
    <v>2826</v>
    <v>1.3289</v>
    <v>13.9</v>
    <v>3.7699999999999999E-3</v>
    <v>INR</v>
    <v>Siemens Limited is a technology company focused on industry, infrastructure and mobility. Its segments include Digital Industries, Smart Infrastructure, Mobility and Others. Digital Industries offers a product portfolio as well as system solutions for automation used in discrete and process industries; these offerings include automation systems and software for factories, numerical control systems, servo motors, drives and inverters as well as integrated automation systems for machine tools and production machines. Smart Infrastructure offers products, systems, solutions, services, and software to support the global transition from fossils to renewable energy sources. Mobility offerings encompass vehicles and selected components for urban and regional transport, such as metro systems, trams and light rail, commuter trains, as well as trains and passenger coaches for intercity and long-distance services, such as high-speed rail.</v>
    <v>9848</v>
    <v>National Stock Exchange of India</v>
    <v>XNSE</v>
    <v>XNSE</v>
    <v>Birla Aurora, Level 21, Plot No. 1080, Dr. Annie Besant Road, Worli, Kharghar Node, MUMBAI, MAHARASHTRA, 400030 IN</v>
    <v>3724.9</v>
    <v>Machinery, Equipment &amp; Components</v>
    <v>Stock</v>
    <v>46178.467499999999</v>
    <v>117</v>
    <v>3647.1</v>
    <v>1049736000000</v>
    <v>SIEMENS LIMITED</v>
    <v>SIEMENS LIMITED</v>
    <v>3695</v>
    <v>86.588899999999995</v>
    <v>3686.9</v>
    <v>3700.8</v>
    <v>356120500</v>
    <v>SIEMENS</v>
    <v>SIEMENS LIMITED (XNSE:SIEMENS)</v>
    <v>343897</v>
    <v>779030</v>
    <v>1957</v>
  </rv>
  <rv s="2">
    <v>118</v>
  </rv>
  <rv s="0">
    <v>https://www.bing.com/financeapi/forcetrigger?t=b14qjc&amp;q=XNSE%3aSIRCA&amp;form=skydnc</v>
    <v>Learn more on Bing</v>
  </rv>
  <rv s="1">
    <v>en-IN</v>
    <v>b14qjc</v>
    <v>268435456</v>
    <v>1</v>
    <v>Powered by Refinitiv</v>
    <v>0</v>
    <v>SIRCA PAINTS INDIA LIMITED (XNSE:SIRCA)</v>
    <v>2</v>
    <v>3</v>
    <v>Finance</v>
    <v>4</v>
    <v>539</v>
    <v>346.9</v>
    <v>0.71389999999999998</v>
    <v>0.7</v>
    <v>1.6719999999999999E-3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422</v>
    <v>Chemicals</v>
    <v>Stock</v>
    <v>46178.467511574076</v>
    <v>120</v>
    <v>414.5</v>
    <v>27203750000</v>
    <v>SIRCA PAINTS INDIA LIMITED</v>
    <v>SIRCA PAINTS INDIA LIMITED</v>
    <v>420.5</v>
    <v>35.911799999999999</v>
    <v>418.75</v>
    <v>419.45</v>
    <v>56792800</v>
    <v>SIRCA</v>
    <v>SIRCA PAINTS INDIA LIMITED (XNSE:SIRCA)</v>
    <v>335280</v>
    <v>383240</v>
    <v>2006</v>
  </rv>
  <rv s="2">
    <v>121</v>
  </rv>
  <rv s="0">
    <v>https://www.bing.com/financeapi/forcetrigger?t=ahkdxm&amp;q=XNSE%3aTITAN&amp;form=skydnc</v>
    <v>Learn more on Bing</v>
  </rv>
  <rv s="1">
    <v>en-IN</v>
    <v>ahkdxm</v>
    <v>268435456</v>
    <v>1</v>
    <v>Powered by Refinitiv</v>
    <v>0</v>
    <v>TITAN COMPANY LIMITED (XNSE:TITAN)</v>
    <v>2</v>
    <v>3</v>
    <v>Finance</v>
    <v>4</v>
    <v>4605</v>
    <v>3303.1</v>
    <v>1.2116</v>
    <v>29.2</v>
    <v>6.9010000000000009E-3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4289</v>
    <v>Textiles &amp; Apparel</v>
    <v>Stock</v>
    <v>46178.467499999999</v>
    <v>123</v>
    <v>4223.2</v>
    <v>3760362000000</v>
    <v>TITAN COMPANY LIMITED</v>
    <v>TITAN COMPANY LIMITED</v>
    <v>4269</v>
    <v>74.492000000000004</v>
    <v>4231</v>
    <v>4260.2</v>
    <v>887045300</v>
    <v>TITAN</v>
    <v>TITAN COMPANY LIMITED (XNSE:TITAN)</v>
    <v>1390200</v>
    <v>917290</v>
    <v>1984</v>
  </rv>
  <rv s="2">
    <v>124</v>
  </rv>
  <rv s="0">
    <v>https://www.bing.com/financeapi/forcetrigger?t=c4o2nm&amp;q=XNSE%3aDATAPATTNS&amp;form=skydnc</v>
    <v>Learn more on Bing</v>
  </rv>
  <rv s="1">
    <v>en-IN</v>
    <v>c4o2nm</v>
    <v>268435456</v>
    <v>1</v>
    <v>Powered by Refinitiv</v>
    <v>0</v>
    <v>DATA PATTERNS (INDIA) LIMITED (XNSE:DATAPATTNS)</v>
    <v>2</v>
    <v>3</v>
    <v>Finance</v>
    <v>4</v>
    <v>4320</v>
    <v>2131</v>
    <v>1.8149</v>
    <v>20.2</v>
    <v>4.8180000000000002E-3</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4320</v>
    <v>Aerospace &amp; Defense</v>
    <v>Stock</v>
    <v>46178.467511574076</v>
    <v>126</v>
    <v>4151</v>
    <v>145082500000</v>
    <v>DATA PATTERNS (INDIA) LIMITED</v>
    <v>DATA PATTERNS (INDIA) LIMITED</v>
    <v>4210</v>
    <v>86.911500000000004</v>
    <v>4192.3999999999996</v>
    <v>4212.6000000000004</v>
    <v>55983970</v>
    <v>DATAPATTNS</v>
    <v>DATA PATTERNS (INDIA) LIMITED (XNSE:DATAPATTNS)</v>
    <v>1177096</v>
    <v>864690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1.2977000000000001</v>
    <v>-1.3</v>
    <v>-5.2810000000000001E-3</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248.1</v>
    <v>Banking Services</v>
    <v>Stock</v>
    <v>46178.467499999999</v>
    <v>129</v>
    <v>243.2</v>
    <v>205709700000</v>
    <v>CITY UNION BANK LIMITED</v>
    <v>CITY UNION BANK LIMITED</v>
    <v>247</v>
    <v>13.694100000000001</v>
    <v>246.15</v>
    <v>244.85</v>
    <v>743090500</v>
    <v>CUB</v>
    <v>CITY UNION BANK LIMITED (XNSE:CUB)</v>
    <v>1323695</v>
    <v>1307270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0.74629999999999996</v>
    <v>26.5</v>
    <v>4.0169999999999997E-3</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6636.5</v>
    <v>Pharmaceuticals</v>
    <v>Stock</v>
    <v>46178.467511574076</v>
    <v>132</v>
    <v>6567</v>
    <v>1708689000000</v>
    <v>DIVI'S LABORATORIES LIMITED</v>
    <v>DIVI'S LABORATORIES LIMITED</v>
    <v>6636.5</v>
    <v>68.400999999999996</v>
    <v>6596.5</v>
    <v>6623</v>
    <v>265468600</v>
    <v>DIVISLAB</v>
    <v>DIVI'S LABORATORIES LIMITED (XNSE:DIVISLAB)</v>
    <v>200964</v>
    <v>446550</v>
    <v>1990</v>
  </rv>
  <rv s="2">
    <v>133</v>
  </rv>
  <rv s="0">
    <v>https://www.bing.com/financeapi/forcetrigger?t=ahhktc&amp;q=XNSE%3aDMART&amp;form=skydnc</v>
    <v>Learn more on Bing</v>
  </rv>
  <rv s="1">
    <v>en-IN</v>
    <v>ahhktc</v>
    <v>268435456</v>
    <v>1</v>
    <v>Powered by Refinitiv</v>
    <v>0</v>
    <v>AVENUE SUPERMARTS LIMITED (XNSE:DMART)</v>
    <v>2</v>
    <v>3</v>
    <v>Finance</v>
    <v>4</v>
    <v>4949.5</v>
    <v>3529</v>
    <v>1.1116999999999999</v>
    <v>4.9000000000000004</v>
    <v>1.1840000000000002E-3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4235.2</v>
    <v>Food &amp; Drug Retailing</v>
    <v>Stock</v>
    <v>46178.467534722222</v>
    <v>135</v>
    <v>4112</v>
    <v>2490291000000</v>
    <v>AVENUE SUPERMARTS LIMITED</v>
    <v>AVENUE SUPERMARTS LIMITED</v>
    <v>4139.3</v>
    <v>90.67</v>
    <v>4139.3</v>
    <v>4144.2</v>
    <v>652163800</v>
    <v>DMART</v>
    <v>AVENUE SUPERMARTS LIMITED (XNSE:DMART)</v>
    <v>366231</v>
    <v>585580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0.81459999999999999</v>
    <v>-40</v>
    <v>-5.6259999999999999E-3</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7150</v>
    <v>Automobiles &amp; Auto Parts</v>
    <v>Stock</v>
    <v>46178.467499999999</v>
    <v>138</v>
    <v>7029</v>
    <v>2030912000000</v>
    <v>EICHER MOTORS LIMITED</v>
    <v>EICHER MOTORS LIMITED</v>
    <v>7140</v>
    <v>35.1601</v>
    <v>7110</v>
    <v>7070</v>
    <v>274497500</v>
    <v>EICHERMOT</v>
    <v>EICHER MOTORS LIMITED (XNSE:EICHERMOT)</v>
    <v>422329</v>
    <v>639140</v>
    <v>1982</v>
  </rv>
  <rv s="2">
    <v>139</v>
  </rv>
  <rv s="0">
    <v>https://www.bing.com/financeapi/forcetrigger?t=ahiyvh&amp;q=XNSE%3aMINDAIND&amp;form=skydnc</v>
    <v>Learn more on Bing</v>
  </rv>
  <rv s="1">
    <v>en-IN</v>
    <v>ahiyvh</v>
    <v>268435456</v>
    <v>1</v>
    <v>Powered by Refinitiv</v>
    <v>0</v>
    <v>UNO MINDA LIMITED (XNSE:UNOMINDA)</v>
    <v>2</v>
    <v>3</v>
    <v>Finance</v>
    <v>4</v>
    <v>1382</v>
    <v>994</v>
    <v>0.99790000000000001</v>
    <v>7.2</v>
    <v>6.6490000000000004E-3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1106.8</v>
    <v>Automobiles &amp; Auto Parts</v>
    <v>Stock</v>
    <v>46178.467523148145</v>
    <v>141</v>
    <v>1070.9000000000001</v>
    <v>692923600000</v>
    <v>UNO MINDA LIMITED</v>
    <v>UNO MINDA LIMITED</v>
    <v>1096</v>
    <v>52.429099999999998</v>
    <v>1082.8</v>
    <v>1090</v>
    <v>577467200</v>
    <v>UNOMINDA</v>
    <v>UNO MINDA LIMITED (XNSE:UNOMINDA)</v>
    <v>1052282</v>
    <v>900940</v>
    <v>1992</v>
  </rv>
  <rv s="2">
    <v>142</v>
  </rv>
  <rv s="0">
    <v>https://www.bing.com/financeapi/forcetrigger?t=ahj5zr&amp;q=XNSE%3aNESCO&amp;form=skydnc</v>
    <v>Learn more on Bing</v>
  </rv>
  <rv s="1">
    <v>en-IN</v>
    <v>ahj5zr</v>
    <v>268435456</v>
    <v>1</v>
    <v>Powered by Refinitiv</v>
    <v>0</v>
    <v>NESCO LIMITED (XNSE:NESCO)</v>
    <v>2</v>
    <v>3</v>
    <v>Finance</v>
    <v>4</v>
    <v>1638.9</v>
    <v>911.65</v>
    <v>0.91120000000000001</v>
    <v>-20.399999999999999</v>
    <v>-1.8005E-2</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1143.9000000000001</v>
    <v>Real Estate Operations</v>
    <v>Stock</v>
    <v>46178.467523148145</v>
    <v>144</v>
    <v>1110.0999999999999</v>
    <v>81951980000</v>
    <v>NESCO LIMITED</v>
    <v>NESCO LIMITED</v>
    <v>1133</v>
    <v>18.992799999999999</v>
    <v>1133</v>
    <v>1112.5999999999999</v>
    <v>70459960</v>
    <v>NESCO</v>
    <v>NESCO LIMITED (XNSE:NESCO)</v>
    <v>39605</v>
    <v>44070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1.0446</v>
    <v>3.3</v>
    <v>2.3860000000000001E-3</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HARYANA, 122002 IN</v>
    <v>1393.2</v>
    <v>Food &amp; Tobacco</v>
    <v>Stock</v>
    <v>46178.467534722222</v>
    <v>147</v>
    <v>1372.3</v>
    <v>2542868000000</v>
    <v>NESTLE INDIA LIMITED</v>
    <v>NESTLE INDIA LIMITED</v>
    <v>1383</v>
    <v>76.17</v>
    <v>1382.9</v>
    <v>1386.2</v>
    <v>1928314000</v>
    <v>NESTLEIND</v>
    <v>NESTLE INDIA LIMITED (XNSE:NESTLEIND)</v>
    <v>1342143</v>
    <v>2567310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1.0153000000000001</v>
    <v>-31.7</v>
    <v>-9.7169999999999999E-3</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3284.8</v>
    <v>Chemicals</v>
    <v>Stock</v>
    <v>46178.467511574076</v>
    <v>150</v>
    <v>3214.4</v>
    <v>105609900000</v>
    <v>PRIVI SPECIALITY CHEMICALS LIMITED</v>
    <v>PRIVI SPECIALITY CHEMICALS LIMITED</v>
    <v>3240</v>
    <v>38.529499999999999</v>
    <v>3262.4</v>
    <v>3230.7</v>
    <v>39062710</v>
    <v>PRIVISCL</v>
    <v>PRIVI SPECIALITY CHEMICALS LIMITED (XNSE:PRIVISCL)</v>
    <v>26194</v>
    <v>74340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1.1747000000000001</v>
    <v>-18.399999999999999</v>
    <v>-1.601E-2</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1156</v>
    <v>Food &amp; Tobacco</v>
    <v>Stock</v>
    <v>46178.467499999999</v>
    <v>153</v>
    <v>1129</v>
    <v>1176972000000</v>
    <v>TATA CONSUMER PRODUCTS LIMITED</v>
    <v>TATA CONSUMER PRODUCTS LIMITED</v>
    <v>1149.8</v>
    <v>72.603399999999993</v>
    <v>1149.3</v>
    <v>1130.9000000000001</v>
    <v>989638800</v>
    <v>TATACONSUM</v>
    <v>TATA CONSUMER PRODUCTS LIMITED (XNSE:TATACONSUM)</v>
    <v>998276</v>
    <v>2680800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0.9496</v>
    <v>2.5</v>
    <v>1.158E-3</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2184.6999999999998</v>
    <v>Pharmaceuticals</v>
    <v>Stock</v>
    <v>46178.467534722222</v>
    <v>156</v>
    <v>2100</v>
    <v>38297740000</v>
    <v>RPG LIFE SCIENCES LIMITED</v>
    <v>RPG LIFE SCIENCES LIMITED</v>
    <v>2161</v>
    <v>31.0396</v>
    <v>2159.1</v>
    <v>2161.6</v>
    <v>16539010</v>
    <v>RPGLIFE</v>
    <v>RPG LIFE SCIENCES LIMITED (XNSE:RPGLIFE)</v>
    <v>11853</v>
    <v>7200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3102</v>
    <v>0.53710000000000002</v>
    <v>81</v>
    <v>1.8664E-2</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17729</v>
    <v>National Stock Exchange of India</v>
    <v>XNSE</v>
    <v>XNSE</v>
    <v>Avirat, Thaltej Shilaj Road, AHMEDABAD, GUJARAT, 380059 IN</v>
    <v>4453.5</v>
    <v>Pharmaceuticals</v>
    <v>Stock</v>
    <v>46178.467499999999</v>
    <v>159</v>
    <v>4323</v>
    <v>1333577000000</v>
    <v>TORRENT PHARMACEUTICALS LTD</v>
    <v>TORRENT PHARMACEUTICALS LTD</v>
    <v>4350</v>
    <v>69.164400000000001</v>
    <v>4339.8999999999996</v>
    <v>4420.8999999999996</v>
    <v>338445400</v>
    <v>TORNTPHARM</v>
    <v>TORRENT PHARMACEUTICALS LTD (XNSE:TORNTPHARM)</v>
    <v>425216</v>
    <v>752430</v>
    <v>1972</v>
  </rv>
  <rv s="2">
    <v>160</v>
  </rv>
  <rv s="0">
    <v>https://www.bing.com/financeapi/forcetrigger?t=ahhcc7&amp;q=XNSE%3aCCL&amp;form=skydnc</v>
    <v>Learn more on Bing</v>
  </rv>
  <rv s="1">
    <v>en-IN</v>
    <v>ahhcc7</v>
    <v>268435456</v>
    <v>1</v>
    <v>Powered by Refinitiv</v>
    <v>0</v>
    <v>CCL PRODUCTS (INDIA) LIMITED (XNSE:CCL)</v>
    <v>2</v>
    <v>3</v>
    <v>Finance</v>
    <v>4</v>
    <v>1217.5</v>
    <v>779.5</v>
    <v>0.39900000000000002</v>
    <v>11.4</v>
    <v>1.0677000000000001E-2</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1085</v>
    <v>Food &amp; Tobacco</v>
    <v>Stock</v>
    <v>46178.467511574076</v>
    <v>162</v>
    <v>1065.3</v>
    <v>128820100000</v>
    <v>CCL PRODUCTS (INDIA) LIMITED</v>
    <v>CCL PRODUCTS (INDIA) LIMITED</v>
    <v>1069</v>
    <v>37.018900000000002</v>
    <v>1067.7</v>
    <v>1079.0999999999999</v>
    <v>133198400</v>
    <v>CCL</v>
    <v>CCL PRODUCTS (INDIA) LIMITED (XNSE:CCL)</v>
    <v>147309</v>
    <v>199520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1.0552999999999999</v>
    <v>15.6</v>
    <v>1.0681000000000001E-2</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1499.4</v>
    <v>Food &amp; Tobacco</v>
    <v>Stock</v>
    <v>46178.467511574076</v>
    <v>165</v>
    <v>1459.8</v>
    <v>78982450000</v>
    <v>MANORAMA INDUSTRIES LIMITED</v>
    <v>MANORAMA INDUSTRIES LIMITED</v>
    <v>1460.5</v>
    <v>41.002800000000001</v>
    <v>1460.5</v>
    <v>1476.1</v>
    <v>59708530</v>
    <v>MANORAMA</v>
    <v>MANORAMA INDUSTRIES LIMITED (XNSE:MANORAMA)</v>
    <v>101240</v>
    <v>155020</v>
    <v>2005</v>
  </rv>
  <rv s="2">
    <v>166</v>
  </rv>
  <rv s="0">
    <v>https://www.bing.com/financeapi/forcetrigger?t=ahh5pr&amp;q=XNSE%3aBEL&amp;form=skydnc</v>
    <v>Learn more on Bing</v>
  </rv>
  <rv s="1">
    <v>en-IN</v>
    <v>ahh5pr</v>
    <v>268435456</v>
    <v>1</v>
    <v>Powered by Refinitiv</v>
    <v>0</v>
    <v>BHARAT ELECTRONICS LIMITED (XNSE:BEL)</v>
    <v>2</v>
    <v>3</v>
    <v>Finance</v>
    <v>4</v>
    <v>473.45</v>
    <v>361.2</v>
    <v>1.1365000000000001</v>
    <v>-1.7</v>
    <v>-4.1470000000000005E-3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412</v>
    <v>Aerospace &amp; Defense</v>
    <v>Stock</v>
    <v>46178.467499999999</v>
    <v>168</v>
    <v>405.1</v>
    <v>3024056000000</v>
    <v>BHARAT ELECTRONICS LIMITED</v>
    <v>BHARAT ELECTRONICS LIMITED</v>
    <v>410.1</v>
    <v>49.24</v>
    <v>409.9</v>
    <v>408.2</v>
    <v>7309779000</v>
    <v>BEL</v>
    <v>BHARAT ELECTRONICS LIMITED (XNSE:BEL)</v>
    <v>11084641</v>
    <v>13477930</v>
    <v>1954</v>
  </rv>
  <rv s="2">
    <v>169</v>
  </rv>
  <rv s="0">
    <v>https://www.bing.com/financeapi/forcetrigger?t=ahizgh&amp;q=XNSE%3aM%26M&amp;form=skydnc</v>
    <v>Learn more on Bing</v>
  </rv>
  <rv s="1">
    <v>en-IN</v>
    <v>ahizgh</v>
    <v>268435456</v>
    <v>1</v>
    <v>Powered by Refinitiv</v>
    <v>0</v>
    <v>MAHINDRA AND MAHINDRA LIMITED (XNSE:M&amp;M)</v>
    <v>2</v>
    <v>3</v>
    <v>Finance</v>
    <v>4</v>
    <v>3839.9</v>
    <v>2896</v>
    <v>0.96319999999999995</v>
    <v>24.4</v>
    <v>8.09E-3</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3059</v>
    <v>Automobiles &amp; Auto Parts</v>
    <v>Stock</v>
    <v>46178.467499999999</v>
    <v>171</v>
    <v>3012.7</v>
    <v>4393970000000</v>
    <v>MAHINDRA AND MAHINDRA LIMITED</v>
    <v>MAHINDRA AND MAHINDRA LIMITED</v>
    <v>3039.9</v>
    <v>19.8596</v>
    <v>3016.1</v>
    <v>3040.5</v>
    <v>1200762000</v>
    <v>M&amp;M</v>
    <v>MAHINDRA AND MAHINDRA LIMITED (XNSE:M&amp;M)</v>
    <v>1685633</v>
    <v>3701880</v>
    <v>1945</v>
  </rv>
  <rv s="2">
    <v>172</v>
  </rv>
  <rv s="0">
    <v>https://www.bing.com/financeapi/forcetrigger?t=ahhr77&amp;q=XNSE%3aFEDERALBNK&amp;form=skydnc</v>
    <v>Learn more on Bing</v>
  </rv>
  <rv s="1">
    <v>en-IN</v>
    <v>ahhr77</v>
    <v>268435456</v>
    <v>1</v>
    <v>Powered by Refinitiv</v>
    <v>0</v>
    <v>THE FEDERAL BANK LTD (XNSE:FEDERALBNK)</v>
    <v>2</v>
    <v>3</v>
    <v>Finance</v>
    <v>4</v>
    <v>305.39999999999998</v>
    <v>185.11</v>
    <v>0.88900000000000001</v>
    <v>4.05</v>
    <v>1.3495999999999999E-2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305.39999999999998</v>
    <v>Banking Services</v>
    <v>Stock</v>
    <v>46178.467499999999</v>
    <v>174</v>
    <v>295.75</v>
    <v>613857500000</v>
    <v>THE FEDERAL BANK LTD</v>
    <v>THE FEDERAL BANK LTD</v>
    <v>300.5</v>
    <v>17.212800000000001</v>
    <v>300.10000000000002</v>
    <v>304.14999999999998</v>
    <v>2465764000</v>
    <v>FEDERALBNK</v>
    <v>THE FEDERAL BANK LTD (XNSE:FEDERALBNK)</v>
    <v>9322801</v>
    <v>31774650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0.54700000000000004</v>
    <v>21.4</v>
    <v>6.3639999999999999E-3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3397</v>
    <v>Automobiles &amp; Auto Parts</v>
    <v>Stock</v>
    <v>46178.467511574076</v>
    <v>177</v>
    <v>3345</v>
    <v>1783511000000</v>
    <v>TVS MOTOR COMPANY LIMITED</v>
    <v>TVS MOTOR COMPANY LIMITED</v>
    <v>3380</v>
    <v>53.264600000000002</v>
    <v>3362.5</v>
    <v>3383.9</v>
    <v>2375309000</v>
    <v>TVSMOTOR</v>
    <v>TVS MOTOR COMPANY LIMITED (XNSE:TVSMOTOR)</v>
    <v>813580</v>
    <v>1203720</v>
    <v>1992</v>
  </rv>
  <rv s="2">
    <v>178</v>
  </rv>
  <rv s="0">
    <v>https://www.bing.com/financeapi/forcetrigger?t=ahjiw7&amp;q=XNSE%3aPRICOLLTD&amp;form=skydnc</v>
    <v>Learn more on Bing</v>
  </rv>
  <rv s="1">
    <v>en-IN</v>
    <v>ahjiw7</v>
    <v>268435456</v>
    <v>1</v>
    <v>Powered by Refinitiv</v>
    <v>0</v>
    <v>PRICOL LIMITED (XNSE:PRICOLLTD)</v>
    <v>2</v>
    <v>3</v>
    <v>Finance</v>
    <v>4</v>
    <v>694.2</v>
    <v>415.1</v>
    <v>0.79</v>
    <v>-7.1</v>
    <v>-1.2490000000000001E-2</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570.79999999999995</v>
    <v>Automobiles &amp; Auto Parts</v>
    <v>Stock</v>
    <v>46178.467534722222</v>
    <v>180</v>
    <v>560</v>
    <v>76206410000</v>
    <v>PRICOL LIMITED</v>
    <v>PRICOL LIMITED</v>
    <v>569.9</v>
    <v>27.65</v>
    <v>568.45000000000005</v>
    <v>561.35</v>
    <v>121881500</v>
    <v>PRICOLLTD</v>
    <v>PRICOL LIMITED (XNSE:PRICOLLTD)</v>
    <v>161028</v>
    <v>477890</v>
    <v>2011</v>
  </rv>
  <rv s="2">
    <v>181</v>
  </rv>
  <rv s="0">
    <v>https://www.bing.com/financeapi/forcetrigger?t=ahisfr&amp;q=XNSE%3aLUPIN&amp;form=skydnc</v>
    <v>Learn more on Bing</v>
  </rv>
  <rv s="1">
    <v>en-IN</v>
    <v>ahisfr</v>
    <v>268435456</v>
    <v>1</v>
    <v>Powered by Refinitiv</v>
    <v>0</v>
    <v>LUPIN LIMITED (XNSE:LUPIN)</v>
    <v>2</v>
    <v>3</v>
    <v>Finance</v>
    <v>4</v>
    <v>2494</v>
    <v>1836.8</v>
    <v>0.51790000000000003</v>
    <v>17.899999999999999</v>
    <v>7.9559999999999995E-3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2306.3000000000002</v>
    <v>Pharmaceuticals</v>
    <v>Stock</v>
    <v>46178.467511574076</v>
    <v>183</v>
    <v>2260</v>
    <v>995364600000</v>
    <v>LUPIN LIMITED</v>
    <v>LUPIN LIMITED</v>
    <v>2275.4</v>
    <v>18.289400000000001</v>
    <v>2249.8000000000002</v>
    <v>2267.6999999999998</v>
    <v>457232500</v>
    <v>LUPIN</v>
    <v>LUPIN LIMITED (XNSE:LUPIN)</v>
    <v>1024417</v>
    <v>1115740</v>
    <v>1983</v>
  </rv>
  <rv s="2">
    <v>184</v>
  </rv>
  <rv s="0">
    <v>https://www.bing.com/financeapi/forcetrigger?t=ahhffr&amp;q=XNSE%3aCONTROLPR&amp;form=skydnc</v>
    <v>Learn more on Bing</v>
  </rv>
  <rv s="1">
    <v>en-IN</v>
    <v>ahhffr</v>
    <v>268435456</v>
    <v>1</v>
    <v>Powered by Refinitiv</v>
    <v>0</v>
    <v>CONTROL PRINT LIMITED (XNSE:CONTROLPR)</v>
    <v>2</v>
    <v>3</v>
    <v>Finance</v>
    <v>4</v>
    <v>917.5</v>
    <v>517</v>
    <v>0.72560000000000002</v>
    <v>-3.65</v>
    <v>-5.9419999999999994E-3</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619.95000000000005</v>
    <v>Machinery, Equipment &amp; Components</v>
    <v>Stock</v>
    <v>46178.467534722222</v>
    <v>186</v>
    <v>606</v>
    <v>10676140000</v>
    <v>CONTROL PRINT LIMITED</v>
    <v>CONTROL PRINT LIMITED</v>
    <v>618.85</v>
    <v>22.401</v>
    <v>614.29999999999995</v>
    <v>610.65</v>
    <v>15994210</v>
    <v>CONTROLPR</v>
    <v>CONTROL PRINT LIMITED (XNSE:CONTROLPR)</v>
    <v>13583</v>
    <v>30930</v>
    <v>1991</v>
  </rv>
  <rv s="2">
    <v>187</v>
  </rv>
  <rv s="0">
    <v>https://www.bing.com/financeapi/forcetrigger?t=ays3k2&amp;q=XNSE%3aNEWGEN&amp;form=skydnc</v>
    <v>Learn more on Bing</v>
  </rv>
  <rv s="1">
    <v>en-IN</v>
    <v>ays3k2</v>
    <v>268435456</v>
    <v>1</v>
    <v>Powered by Refinitiv</v>
    <v>0</v>
    <v>NEWGEN SOFTWARE TECHNOLOGIES LIMITED (XNSE:NEWGEN)</v>
    <v>2</v>
    <v>3</v>
    <v>Finance</v>
    <v>4</v>
    <v>1336</v>
    <v>401.05</v>
    <v>1.3875999999999999</v>
    <v>-7.5</v>
    <v>-1.5103999999999999E-2</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500.5</v>
    <v>Software &amp; IT Services</v>
    <v>Stock</v>
    <v>46178.467499999999</v>
    <v>189</v>
    <v>484.1</v>
    <v>110114900000</v>
    <v>NEWGEN SOFTWARE TECHNOLOGIES LIMITED</v>
    <v>NEWGEN SOFTWARE TECHNOLOGIES LIMITED</v>
    <v>484.1</v>
    <v>22.863499999999998</v>
    <v>496.55</v>
    <v>489.05</v>
    <v>141351700</v>
    <v>NEWGEN</v>
    <v>NEWGEN SOFTWARE TECHNOLOGIES LIMITED (XNSE:NEWGEN)</v>
    <v>1386065</v>
    <v>5636450</v>
    <v>1992</v>
  </rv>
  <rv s="2">
    <v>190</v>
  </rv>
  <rv s="0">
    <v>https://www.bing.com/financeapi/forcetrigger?t=ahkeu2&amp;q=XNSE%3aTRENT&amp;form=skydnc</v>
    <v>Learn more on Bing</v>
  </rv>
  <rv s="1">
    <v>en-IN</v>
    <v>ahkeu2</v>
    <v>268435456</v>
    <v>1</v>
    <v>Powered by Refinitiv</v>
    <v>0</v>
    <v>TRENT LIMITED (XNSE:TRENT)</v>
    <v>2</v>
    <v>3</v>
    <v>Finance</v>
    <v>4</v>
    <v>6261</v>
    <v>2751</v>
    <v>1.5956999999999999</v>
    <v>-63.4</v>
    <v>-2.2343000000000002E-2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31226</v>
    <v>National Stock Exchange of India</v>
    <v>XNSE</v>
    <v>XNSE</v>
    <v>Trent House, G-Block, Plot No C-60, Besides Citi Bank,, Bandra Kurla Complex, Bandra (East), MUMBAI, MAHARASHTRA, 400051 IN</v>
    <v>2837.5</v>
    <v>Diversified Retail</v>
    <v>Stock</v>
    <v>46178.467499999999</v>
    <v>192</v>
    <v>2753</v>
    <v>1394186000000</v>
    <v>TRENT LIMITED</v>
    <v>TRENT LIMITED</v>
    <v>2830</v>
    <v>86.023300000000006</v>
    <v>2837.6</v>
    <v>2774.2</v>
    <v>533232300</v>
    <v>TRENT</v>
    <v>TRENT LIMITED (XNSE:TRENT)</v>
    <v>1346639</v>
    <v>1138920</v>
    <v>1952</v>
  </rv>
  <rv s="2">
    <v>193</v>
  </rv>
  <rv s="0">
    <v>https://www.bing.com/financeapi/forcetrigger?t=ahgqzr&amp;q=XNSE%3aACE&amp;form=skydnc</v>
    <v>Learn more on Bing</v>
  </rv>
  <rv s="1">
    <v>en-IN</v>
    <v>ahgqzr</v>
    <v>268435456</v>
    <v>1</v>
    <v>Powered by Refinitiv</v>
    <v>0</v>
    <v>ACTION CONSTRUCTION EQUIPMENT LIMITED (XNSE:ACE)</v>
    <v>2</v>
    <v>3</v>
    <v>Finance</v>
    <v>4</v>
    <v>1277</v>
    <v>745.1</v>
    <v>0.98399999999999999</v>
    <v>31.25</v>
    <v>3.5958999999999998E-2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909</v>
    <v>Machinery, Equipment &amp; Components</v>
    <v>Stock</v>
    <v>46178.467523148145</v>
    <v>195</v>
    <v>867</v>
    <v>105501000000</v>
    <v>ACTION CONSTRUCTION EQUIPMENT LIMITED</v>
    <v>ACTION CONSTRUCTION EQUIPMENT LIMITED</v>
    <v>874.5</v>
    <v>24.92</v>
    <v>869.05</v>
    <v>900.3</v>
    <v>119020100</v>
    <v>ACE</v>
    <v>ACTION CONSTRUCTION EQUIPMENT LIMITED (XNSE:ACE)</v>
    <v>393889</v>
    <v>259560</v>
    <v>1995</v>
  </rv>
  <rv s="2">
    <v>196</v>
  </rv>
  <rv s="0">
    <v>https://www.bing.com/financeapi/forcetrigger?t=ahjh1h&amp;q=XNSE%3aPOLYMED&amp;form=skydnc</v>
    <v>Learn more on Bing</v>
  </rv>
  <rv s="1">
    <v>en-IN</v>
    <v>ahjh1h</v>
    <v>268435456</v>
    <v>1</v>
    <v>Powered by Refinitiv</v>
    <v>0</v>
    <v>POLY MEDICURE LIMITED (XNSE:POLYMED)</v>
    <v>2</v>
    <v>3</v>
    <v>Finance</v>
    <v>4</v>
    <v>2316.6</v>
    <v>1182</v>
    <v>0.75849999999999995</v>
    <v>14.8</v>
    <v>1.0533999999999998E-2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1435</v>
    <v>Healthcare Equipment &amp; Supplies</v>
    <v>Stock</v>
    <v>46178.467546296299</v>
    <v>198</v>
    <v>1384</v>
    <v>173679500000</v>
    <v>POLY MEDICURE LIMITED</v>
    <v>POLY MEDICURE LIMITED</v>
    <v>1410</v>
    <v>44.661799999999999</v>
    <v>1405</v>
    <v>1419.8</v>
    <v>101359500</v>
    <v>POLYMED</v>
    <v>POLY MEDICURE LIMITED (XNSE:POLYMED)</v>
    <v>260723</v>
    <v>257890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0.50129999999999997</v>
    <v>22.8</v>
    <v>5.3509000000000001E-2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450</v>
    <v>Machinery, Equipment &amp; Components</v>
    <v>Stock</v>
    <v>46178.467523148145</v>
    <v>201</v>
    <v>423.3</v>
    <v>25291000000</v>
    <v>JASH ENGINEERING LTD</v>
    <v>JASH ENGINEERING LTD</v>
    <v>429.9</v>
    <v>35.51</v>
    <v>426.1</v>
    <v>448.9</v>
    <v>62905120</v>
    <v>JASH</v>
    <v>JASH ENGINEERING LTD (XNSE:JASH)</v>
    <v>384068</v>
    <v>215300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1.2294</v>
    <v>-4.9000000000000004</v>
    <v>-2.4450000000000001E-3</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2020.9</v>
    <v>Personal &amp; Household Products &amp; Services</v>
    <v>Stock</v>
    <v>46178.467523148145</v>
    <v>204</v>
    <v>1991</v>
    <v>572992100000</v>
    <v>COLGATE-PALMOLIVE (INDIA) LIMITED</v>
    <v>COLGATE-PALMOLIVE (INDIA) LIMITED</v>
    <v>2016</v>
    <v>41.032200000000003</v>
    <v>2004.4</v>
    <v>1999.5</v>
    <v>271985600</v>
    <v>COLPAL</v>
    <v>COLGATE-PALMOLIVE (INDIA) LIMITED (XNSE:COLPAL)</v>
    <v>174541</v>
    <v>579710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0.82189999999999996</v>
    <v>64.7</v>
    <v>1.3795999999999999E-2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4808</v>
    <v>Chemicals</v>
    <v>Stock</v>
    <v>46178.467499999999</v>
    <v>207</v>
    <v>4690.2</v>
    <v>129072400000</v>
    <v>FINE ORGANIC INDUSTRIES LIMITED</v>
    <v>FINE ORGANIC INDUSTRIES LIMITED</v>
    <v>4779.8999999999996</v>
    <v>34.479999999999997</v>
    <v>4689.7</v>
    <v>4754.3999999999996</v>
    <v>30659980</v>
    <v>FINEORG</v>
    <v>FINE ORGANIC INDUSTRIES LIMITED (XNSE:FINEORG)</v>
    <v>17984</v>
    <v>8340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0.12520000000000001</v>
    <v>215</v>
    <v>8.3269999999999993E-3</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26180</v>
    <v>Pharmaceuticals</v>
    <v>Stock</v>
    <v>46178.467534722222</v>
    <v>210</v>
    <v>25870</v>
    <v>596892900000</v>
    <v>ABBOTT INDIA LIMITED</v>
    <v>ABBOTT INDIA LIMITED</v>
    <v>26000</v>
    <v>35.35</v>
    <v>25820</v>
    <v>26035</v>
    <v>21249300</v>
    <v>ABBOTINDIA</v>
    <v>ABBOTT INDIA LIMITED (XNSE:ABBOTINDIA)</v>
    <v>3619</v>
    <v>8490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1.4850000000000001</v>
    <v>0.9</v>
    <v>3.3989999999999997E-3</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273.39999999999998</v>
    <v>Software &amp; IT Services</v>
    <v>Stock</v>
    <v>46178.467511574076</v>
    <v>213</v>
    <v>263.55</v>
    <v>97506620000</v>
    <v>SONATA SOFTWARE LIMITED</v>
    <v>SONATA SOFTWARE LIMITED</v>
    <v>266.45</v>
    <v>15.872199999999999</v>
    <v>264.8</v>
    <v>265.7</v>
    <v>276794500</v>
    <v>SONATSOFTW</v>
    <v>SONATA SOFTWARE LIMITED (XNSE:SONATSOFTW)</v>
    <v>577592</v>
    <v>2139550</v>
    <v>1994</v>
  </rv>
  <rv s="2">
    <v>214</v>
  </rv>
  <rv s="0">
    <v>https://www.bing.com/financeapi/forcetrigger?t=bplj52&amp;q=XNSE%3aMSTCLTD&amp;form=skydnc</v>
    <v>Learn more on Bing</v>
  </rv>
  <rv s="1">
    <v>en-IN</v>
    <v>bplj52</v>
    <v>268435456</v>
    <v>1</v>
    <v>Powered by Refinitiv</v>
    <v>0</v>
    <v>MSTC LIMITED (XNSE:MSTCLTD)</v>
    <v>2</v>
    <v>3</v>
    <v>Finance</v>
    <v>4</v>
    <v>574.95000000000005</v>
    <v>362.15</v>
    <v>1.8939999999999999</v>
    <v>-19.5</v>
    <v>-3.6664000000000002E-2</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534.5</v>
    <v>Software &amp; IT Services</v>
    <v>Stock</v>
    <v>46178.467511574076</v>
    <v>216</v>
    <v>506.95</v>
    <v>33482240000</v>
    <v>MSTC LIMITED</v>
    <v>MSTC LIMITED</v>
    <v>529</v>
    <v>16.6434</v>
    <v>531.85</v>
    <v>512.35</v>
    <v>70400000</v>
    <v>MSTCLTD</v>
    <v>MSTC LIMITED (XNSE:MSTCLTD)</v>
    <v>3416610</v>
    <v>1495110</v>
    <v>1964</v>
  </rv>
  <rv s="2">
    <v>217</v>
  </rv>
  <rv s="0">
    <v>https://www.bing.com/financeapi/forcetrigger?t=ahh3oc&amp;q=XNSE%3aBALAMINES&amp;form=skydnc</v>
    <v>Learn more on Bing</v>
  </rv>
  <rv s="1">
    <v>en-IN</v>
    <v>ahh3oc</v>
    <v>268435456</v>
    <v>1</v>
    <v>Powered by Refinitiv</v>
    <v>0</v>
    <v>BALAJI AMINES LIMITED (XNSE:BALAMINES)</v>
    <v>2</v>
    <v>3</v>
    <v>Finance</v>
    <v>4</v>
    <v>2185</v>
    <v>968.1</v>
    <v>1.7690999999999999</v>
    <v>-56.6</v>
    <v>-2.6953999999999999E-2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2150</v>
    <v>Chemicals</v>
    <v>Stock</v>
    <v>46178.467523148145</v>
    <v>219</v>
    <v>1992</v>
    <v>39717140000</v>
    <v>BALAJI AMINES LIMITED</v>
    <v>BALAJI AMINES LIMITED</v>
    <v>2100</v>
    <v>39.385100000000001</v>
    <v>2099.9</v>
    <v>2043.3</v>
    <v>32401000</v>
    <v>BALAMINES</v>
    <v>BALAJI AMINES LIMITED (XNSE:BALAMINES)</v>
    <v>528900</v>
    <v>901040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0.75660000000000005</v>
    <v>0.15</v>
    <v>3.4009999999999997E-4</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444.95</v>
    <v>Machinery, Equipment &amp; Components</v>
    <v>Stock</v>
    <v>46178.467499999999</v>
    <v>222</v>
    <v>440.35</v>
    <v>32174630000</v>
    <v>SHANTHI GEARS LIMITED</v>
    <v>SHANTHI GEARS LIMITED</v>
    <v>441.5</v>
    <v>44.159199999999998</v>
    <v>441</v>
    <v>441.15</v>
    <v>76715850</v>
    <v>SHANTIGEAR</v>
    <v>SHANTHI GEARS LIMITED (XNSE:SHANTIGEAR)</v>
    <v>4684</v>
    <v>11890</v>
    <v>1972</v>
  </rv>
  <rv s="2">
    <v>223</v>
  </rv>
  <rv s="0">
    <v>https://www.bing.com/financeapi/forcetrigger?t=ahj75r&amp;q=XNSE%3aCOFORGE&amp;form=skydnc</v>
    <v>Learn more on Bing</v>
  </rv>
  <rv s="1">
    <v>en-IN</v>
    <v>ahj75r</v>
    <v>268435456</v>
    <v>1</v>
    <v>Powered by Refinitiv</v>
    <v>0</v>
    <v>COFORGE LIMITED (XNSE:COFORGE)</v>
    <v>2</v>
    <v>3</v>
    <v>Finance</v>
    <v>4</v>
    <v>1994</v>
    <v>1008.1</v>
    <v>0.88600000000000001</v>
    <v>-1</v>
    <v>-6.9610000000000006E-4</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1473.3</v>
    <v>Software &amp; IT Services</v>
    <v>Stock</v>
    <v>46178.467511574076</v>
    <v>225</v>
    <v>1424.6</v>
    <v>572418900000</v>
    <v>COFORGE LIMITED</v>
    <v>COFORGE LIMITED</v>
    <v>1453.7</v>
    <v>33.897100000000002</v>
    <v>1436.5</v>
    <v>1435.5</v>
    <v>442671500</v>
    <v>COFORGE</v>
    <v>COFORGE LIMITED (XNSE:COFORGE)</v>
    <v>2525034</v>
    <v>3664790</v>
    <v>1992</v>
  </rv>
  <rv s="2">
    <v>226</v>
  </rv>
  <rv s="0">
    <v>https://www.bing.com/financeapi/forcetrigger?t=ahior7&amp;q=XNSE%3aKSB&amp;form=skydnc</v>
    <v>Learn more on Bing</v>
  </rv>
  <rv s="1">
    <v>en-IN</v>
    <v>ahior7</v>
    <v>268435456</v>
    <v>1</v>
    <v>Powered by Refinitiv</v>
    <v>0</v>
    <v>KSB LIMITED (XNSE:KSB)</v>
    <v>2</v>
    <v>3</v>
    <v>Finance</v>
    <v>4</v>
    <v>1028.3</v>
    <v>666.65</v>
    <v>0.69730000000000003</v>
    <v>18.55</v>
    <v>2.3317000000000001E-2</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817</v>
    <v>Machinery, Equipment &amp; Components</v>
    <v>Stock</v>
    <v>46178.467499999999</v>
    <v>228</v>
    <v>797.65</v>
    <v>127727400000</v>
    <v>KSB LIMITED</v>
    <v>KSB LIMITED</v>
    <v>809.5</v>
    <v>54.815300000000001</v>
    <v>795.55</v>
    <v>814.1</v>
    <v>174039200</v>
    <v>KSB</v>
    <v>KSB LIMITED (XNSE:KSB)</v>
    <v>298661</v>
    <v>183580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169.21</v>
    <v>0.88060000000000005</v>
    <v>-0.06</v>
    <v>-3.4830000000000001E-4</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175.75</v>
    <v>Food &amp; Tobacco</v>
    <v>Stock</v>
    <v>46178.467499999999</v>
    <v>231</v>
    <v>171.5</v>
    <v>70988510000</v>
    <v>MRS.BECTORS FOOD SPECIALITIES LIMITED</v>
    <v>MRS.BECTORS FOOD SPECIALITIES LIMITED</v>
    <v>172.99</v>
    <v>37.549100000000003</v>
    <v>172.26</v>
    <v>172.2</v>
    <v>306990600</v>
    <v>BECTORFOOD</v>
    <v>MRS.BECTORS FOOD SPECIALITIES LIMITED (XNSE:BECTORFOOD)</v>
    <v>820574</v>
    <v>805080</v>
    <v>1995</v>
  </rv>
  <rv s="2">
    <v>232</v>
  </rv>
  <rv s="0">
    <v>https://www.bing.com/financeapi/forcetrigger?t=ahhedm&amp;q=XNSE%3aCIPLA&amp;form=skydnc</v>
    <v>Learn more on Bing</v>
  </rv>
  <rv s="1">
    <v>en-IN</v>
    <v>ahhedm</v>
    <v>268435456</v>
    <v>1</v>
    <v>Powered by Refinitiv</v>
    <v>0</v>
    <v>CIPLA LIMITED (XNSE:CIPLA)</v>
    <v>2</v>
    <v>3</v>
    <v>Finance</v>
    <v>4</v>
    <v>1673</v>
    <v>1165.7</v>
    <v>0.62029999999999996</v>
    <v>2.6</v>
    <v>1.8590000000000002E-3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31369</v>
    <v>National Stock Exchange of India</v>
    <v>XNSE</v>
    <v>XNSE</v>
    <v>CIPLA HOUSE PENINSULA BUSINESS PARK, GANPATRAO KADAM MARG, LOWER PAREL, MAHARASHTRA, 400013 IN</v>
    <v>1406.1</v>
    <v>Pharmaceuticals</v>
    <v>Stock</v>
    <v>46178.467499999999</v>
    <v>234</v>
    <v>1382</v>
    <v>1169896000000</v>
    <v>CIPLA LIMITED</v>
    <v>CIPLA LIMITED</v>
    <v>1394</v>
    <v>29.171800000000001</v>
    <v>1398.7</v>
    <v>1401.3</v>
    <v>807800500</v>
    <v>CIPLA</v>
    <v>CIPLA LIMITED (XNSE:CIPLA)</v>
    <v>1050391</v>
    <v>2018530</v>
    <v>1935</v>
  </rv>
  <rv s="2">
    <v>235</v>
  </rv>
  <rv s="0">
    <v>https://www.bing.com/financeapi/forcetrigger?t=ahh9sm&amp;q=XNSE%3aBRITANNIA&amp;form=skydnc</v>
    <v>Learn more on Bing</v>
  </rv>
  <rv s="1">
    <v>en-IN</v>
    <v>ahh9sm</v>
    <v>268435456</v>
    <v>1</v>
    <v>Powered by Refinitiv</v>
    <v>0</v>
    <v>BRITANNIA INDUSTRIES LTD (XNSE:BRITANNIA)</v>
    <v>2</v>
    <v>3</v>
    <v>Finance</v>
    <v>4</v>
    <v>6336</v>
    <v>5035</v>
    <v>0.98880000000000001</v>
    <v>30.5</v>
    <v>5.9919999999999999E-3</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5135</v>
    <v>Food &amp; Tobacco</v>
    <v>Stock</v>
    <v>46178.467499999999</v>
    <v>237</v>
    <v>5071</v>
    <v>1425459000000</v>
    <v>BRITANNIA INDUSTRIES LTD</v>
    <v>BRITANNIA INDUSTRIES LTD</v>
    <v>5095</v>
    <v>48.683199999999999</v>
    <v>5090</v>
    <v>5120.5</v>
    <v>240868300</v>
    <v>BRITANNIA</v>
    <v>BRITANNIA INDUSTRIES LTD (XNSE:BRITANNIA)</v>
    <v>159398</v>
    <v>495320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0.45350000000000001</v>
    <v>56.5</v>
    <v>7.3309999999999998E-3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7805.5</v>
    <v>Personal &amp; Household Products &amp; Services</v>
    <v>Stock</v>
    <v>46178.467499999999</v>
    <v>240</v>
    <v>7707</v>
    <v>263744800000</v>
    <v>GILLETTE INDIA LIMITED</v>
    <v>GILLETTE INDIA LIMITED</v>
    <v>7738</v>
    <v>38.660400000000003</v>
    <v>7706.5</v>
    <v>7763</v>
    <v>32585220</v>
    <v>GILLETTE</v>
    <v>GILLETTE INDIA LIMITED (XNSE:GILLETTE)</v>
    <v>34944</v>
    <v>43340</v>
    <v>1984</v>
  </rv>
  <rv s="2">
    <v>241</v>
  </rv>
  <rv s="0">
    <v>https://www.bing.com/financeapi/forcetrigger?t=br7hhw&amp;q=XNSE%3aAFFLE&amp;form=skydnc</v>
    <v>Learn more on Bing</v>
  </rv>
  <rv s="1">
    <v>en-IN</v>
    <v>br7hhw</v>
    <v>268435456</v>
    <v>1</v>
    <v>Powered by Refinitiv</v>
    <v>0</v>
    <v>Affle 3i Limited (XNSE:AFFLE)</v>
    <v>2</v>
    <v>3</v>
    <v>Finance</v>
    <v>4</v>
    <v>2185.9</v>
    <v>1251.3</v>
    <v>0.87350000000000005</v>
    <v>-6</v>
    <v>-4.0479999999999995E-3</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1512.1</v>
    <v>Media &amp; Publishing</v>
    <v>Stock</v>
    <v>46178.467511574076</v>
    <v>243</v>
    <v>1465.9</v>
    <v>243763300000</v>
    <v>Affle 3i Limited</v>
    <v>Affle 3i Limited</v>
    <v>1483</v>
    <v>45.544600000000003</v>
    <v>1482.1</v>
    <v>1476.1</v>
    <v>140645400</v>
    <v>AFFLE</v>
    <v>Affle 3i Limited (XNSE:AFFLE)</v>
    <v>178011</v>
    <v>199430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1.0923</v>
    <v>25.1</v>
    <v>9.4299999999999991E-3</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11111</v>
    <v>National Stock Exchange of India</v>
    <v>XNSE</v>
    <v>XNSE</v>
    <v>6A &amp; 6B, Shantinagar, Santacruz (East), MUMBAI, MAHARASHTRA, 400055 IN</v>
    <v>2699.8</v>
    <v>Chemicals</v>
    <v>Stock</v>
    <v>46178.467499999999</v>
    <v>246</v>
    <v>2665</v>
    <v>2766744000000</v>
    <v>ASIAN PAINTS LIMITED</v>
    <v>ASIAN PAINTS LIMITED</v>
    <v>2666</v>
    <v>59.532499999999999</v>
    <v>2661.6</v>
    <v>2686.7</v>
    <v>958644300</v>
    <v>ASIANPAINT</v>
    <v>ASIAN PAINTS LIMITED (XNSE:ASIANPAINT)</v>
    <v>1615011</v>
    <v>1460660</v>
    <v>1945</v>
  </rv>
  <rv s="2">
    <v>247</v>
  </rv>
  <rv s="0">
    <v>https://www.bing.com/financeapi/forcetrigger?t=ahgzkr&amp;q=XNSE%3aASTEC&amp;form=skydnc</v>
    <v>Learn more on Bing</v>
  </rv>
  <rv s="1">
    <v>en-IN</v>
    <v>ahgzkr</v>
    <v>268435456</v>
    <v>1</v>
    <v>Powered by Refinitiv</v>
    <v>0</v>
    <v>ASTEC LIFESCIENCES LIMITED (XNSE:ASTEC)</v>
    <v>2</v>
    <v>3</v>
    <v>Finance</v>
    <v>4</v>
    <v>990.82</v>
    <v>513.4</v>
    <v>1.0018</v>
    <v>-19.25</v>
    <v>-2.4767000000000001E-2</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800.75</v>
    <v>Chemicals</v>
    <v>Stock</v>
    <v>46178.467534722222</v>
    <v>249</v>
    <v>755.05</v>
    <v>15983100000</v>
    <v>ASTEC LIFESCIENCES LIMITED</v>
    <v>ASTEC LIFESCIENCES LIMITED</v>
    <v>776.9</v>
    <v>0</v>
    <v>777.25</v>
    <v>758</v>
    <v>22282820</v>
    <v>ASTEC</v>
    <v>ASTEC LIFESCIENCES LIMITED (XNSE:ASTEC)</v>
    <v>45986</v>
    <v>172910</v>
    <v>1994</v>
  </rv>
  <rv s="2">
    <v>250</v>
  </rv>
  <rv s="0">
    <v>https://www.bing.com/financeapi/forcetrigger?t=ahgznm&amp;q=XNSE%3aASTRAL&amp;form=skydnc</v>
    <v>Learn more on Bing</v>
  </rv>
  <rv s="1">
    <v>en-IN</v>
    <v>ahgznm</v>
    <v>268435456</v>
    <v>1</v>
    <v>Powered by Refinitiv</v>
    <v>0</v>
    <v>ASTRAL LIMITED (XNSE:ASTRAL)</v>
    <v>2</v>
    <v>3</v>
    <v>Finance</v>
    <v>4</v>
    <v>1768.7</v>
    <v>1263.7</v>
    <v>0.58609999999999995</v>
    <v>-30.5</v>
    <v>-1.9685999999999999E-2</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1564.4</v>
    <v>Homebuilding &amp; Construction Supplies</v>
    <v>Stock</v>
    <v>46178.467523148145</v>
    <v>252</v>
    <v>1513.6</v>
    <v>386453300000</v>
    <v>ASTRAL LIMITED</v>
    <v>ASTRAL LIMITED</v>
    <v>1555</v>
    <v>76.016000000000005</v>
    <v>1549.3</v>
    <v>1518.8</v>
    <v>268634700</v>
    <v>ASTRAL</v>
    <v>ASTRAL LIMITED (XNSE:ASTRAL)</v>
    <v>391870</v>
    <v>934280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2015.4</v>
    <v>0.73050000000000004</v>
    <v>-49.9</v>
    <v>-2.2766000000000002E-2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2236</v>
    <v>Automobiles &amp; Auto Parts</v>
    <v>Stock</v>
    <v>46178.467499999999</v>
    <v>255</v>
    <v>2135</v>
    <v>463168700000</v>
    <v>BALKRISHNA INDUSTRIES LIMITED</v>
    <v>BALKRISHNA INDUSTRIES LIMITED</v>
    <v>2204</v>
    <v>33.312600000000003</v>
    <v>2191.9</v>
    <v>2142</v>
    <v>193317200</v>
    <v>BALKRISIND</v>
    <v>BALKRISHNA INDUSTRIES LIMITED (XNSE:BALKRISIND)</v>
    <v>196497</v>
    <v>272020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1.4109</v>
    <v>17.2</v>
    <v>1.1575E-2</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1549</v>
    <v>Banking Services</v>
    <v>Stock</v>
    <v>46178.467499999999</v>
    <v>258</v>
    <v>1480.1</v>
    <v>1435758000000</v>
    <v>CHOLAMANDALAM INVESTMENT AND FINANCE COMPANY LIMITED</v>
    <v>CHOLAMANDALAM INVESTMENT AND FINANCE COMPANY LIMITED</v>
    <v>1486.5</v>
    <v>23.99</v>
    <v>1486</v>
    <v>1503.2</v>
    <v>852441100</v>
    <v>CHOLAFIN</v>
    <v>CHOLAMANDALAM INVESTMENT AND FINANCE COMPANY LIMITED (XNSE:CHOLAFIN)</v>
    <v>2458256</v>
    <v>1367840</v>
    <v>1978</v>
  </rv>
  <rv s="2">
    <v>259</v>
  </rv>
  <rv s="0">
    <v>https://www.bing.com/financeapi/forcetrigger?t=ahhiur&amp;q=XNSE%3aDEEPAKNTR&amp;form=skydnc</v>
    <v>Learn more on Bing</v>
  </rv>
  <rv s="1">
    <v>en-IN</v>
    <v>ahhiur</v>
    <v>268435456</v>
    <v>1</v>
    <v>Powered by Refinitiv</v>
    <v>0</v>
    <v>DEEPAK NITRITE LIMITED (XNSE:DEEPAKNTR)</v>
    <v>2</v>
    <v>3</v>
    <v>Finance</v>
    <v>4</v>
    <v>2036.2</v>
    <v>1280</v>
    <v>1.7737000000000001</v>
    <v>3.4</v>
    <v>2.0280000000000003E-3</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1716</v>
    <v>Chemicals</v>
    <v>Stock</v>
    <v>46178.467534722222</v>
    <v>261</v>
    <v>1675</v>
    <v>214300800000</v>
    <v>DEEPAK NITRITE LIMITED</v>
    <v>DEEPAK NITRITE LIMITED</v>
    <v>1690</v>
    <v>41.627299999999998</v>
    <v>1676.7</v>
    <v>1680.1</v>
    <v>136393000</v>
    <v>DEEPAKNTR</v>
    <v>DEEPAK NITRITE LIMITED (XNSE:DEEPAKNTR)</v>
    <v>58651</v>
    <v>144990</v>
    <v>1970</v>
  </rv>
  <rv s="2">
    <v>262</v>
  </rv>
  <rv s="0">
    <v>https://www.bing.com/financeapi/forcetrigger?t=az8ysm&amp;q=XNSE%3aGMMPFAUDLR&amp;form=skydnc</v>
    <v>Learn more on Bing</v>
  </rv>
  <rv s="1">
    <v>en-IN</v>
    <v>az8ysm</v>
    <v>268435456</v>
    <v>1</v>
    <v>Powered by Refinitiv</v>
    <v>0</v>
    <v>GMM PFAUDLER LIMITED (XNSE:GMMPFAUDLR)</v>
    <v>2</v>
    <v>3</v>
    <v>Finance</v>
    <v>4</v>
    <v>1418</v>
    <v>755.25</v>
    <v>0.80289999999999995</v>
    <v>6.3</v>
    <v>8.0590000000000002E-3</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797</v>
    <v>Machinery, Equipment &amp; Components</v>
    <v>Stock</v>
    <v>46178.467499999999</v>
    <v>264</v>
    <v>776.55</v>
    <v>46067670000</v>
    <v>GMM PFAUDLER LIMITED</v>
    <v>GMM PFAUDLER LIMITED</v>
    <v>789</v>
    <v>57.3508</v>
    <v>781.7</v>
    <v>788</v>
    <v>44957220</v>
    <v>GMMPFAUDLR</v>
    <v>GMM PFAUDLER LIMITED (XNSE:GMMPFAUDLR)</v>
    <v>124677</v>
    <v>339060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0.52310000000000001</v>
    <v>15.6</v>
    <v>4.4024000000000001E-2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378</v>
    <v>Pharmaceuticals</v>
    <v>Stock</v>
    <v>46178.467511574076</v>
    <v>267</v>
    <v>358</v>
    <v>32080370000</v>
    <v>GUFIC BIOSCIENCES LIMITED</v>
    <v>GUFIC BIOSCIENCES LIMITED</v>
    <v>359</v>
    <v>74.163499999999999</v>
    <v>354.35</v>
    <v>369.95</v>
    <v>100282500</v>
    <v>GUFICBIO</v>
    <v>GUFIC BIOSCIENCES LIMITED (XNSE:GUFICBIO)</v>
    <v>243828</v>
    <v>214110</v>
    <v>1984</v>
  </rv>
  <rv s="2">
    <v>268</v>
  </rv>
  <rv s="0">
    <v>https://www.bing.com/financeapi/forcetrigger?t=azjfim&amp;q=XNSE%3aHAL&amp;form=skydnc</v>
    <v>Learn more on Bing</v>
  </rv>
  <rv s="1">
    <v>en-IN</v>
    <v>azjfim</v>
    <v>268435456</v>
    <v>1</v>
    <v>Powered by Refinitiv</v>
    <v>0</v>
    <v>HINDUSTAN AERONAUTICS LIMITED (XNSE:HAL)</v>
    <v>2</v>
    <v>3</v>
    <v>Finance</v>
    <v>4</v>
    <v>5147</v>
    <v>3479.1</v>
    <v>1.6637</v>
    <v>25.9</v>
    <v>6.1799999999999997E-3</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4262.5</v>
    <v>Aerospace &amp; Defense</v>
    <v>Stock</v>
    <v>46178.467499999999</v>
    <v>270</v>
    <v>4205.3</v>
    <v>2977654000000</v>
    <v>HINDUSTAN AERONAUTICS LIMITED</v>
    <v>HINDUSTAN AERONAUTICS LIMITED</v>
    <v>4219</v>
    <v>30.938300000000002</v>
    <v>4191</v>
    <v>4216.8999999999996</v>
    <v>668775000</v>
    <v>HAL</v>
    <v>HINDUSTAN AERONAUTICS LIMITED (XNSE:HAL)</v>
    <v>492608</v>
    <v>1289750</v>
    <v>1963</v>
  </rv>
  <rv s="2">
    <v>271</v>
  </rv>
  <rv s="0">
    <v>https://www.bing.com/financeapi/forcetrigger?t=bra83m&amp;q=XNSE%3aHNDFDS&amp;form=skydnc</v>
    <v>Learn more on Bing</v>
  </rv>
  <rv s="1">
    <v>en-IN</v>
    <v>bra83m</v>
    <v>268435456</v>
    <v>1</v>
    <v>Powered by Refinitiv</v>
    <v>0</v>
    <v>HINDUSTAN FOODS LIMITED (XNSE:HNDFDS)</v>
    <v>2</v>
    <v>3</v>
    <v>Finance</v>
    <v>4</v>
    <v>584.9</v>
    <v>442</v>
    <v>0.80489999999999995</v>
    <v>-6.45</v>
    <v>-1.2017999999999999E-2</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541.04999999999995</v>
    <v>Food &amp; Tobacco</v>
    <v>Stock</v>
    <v>46178.467523148145</v>
    <v>273</v>
    <v>529</v>
    <v>59902180000</v>
    <v>HINDUSTAN FOODS LIMITED</v>
    <v>HINDUSTAN FOODS LIMITED</v>
    <v>541</v>
    <v>43.858600000000003</v>
    <v>536.70000000000005</v>
    <v>530.25</v>
    <v>121162700</v>
    <v>HNDFDS</v>
    <v>HINDUSTAN FOODS LIMITED (XNSE:HNDFDS)</v>
    <v>24203</v>
    <v>73420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0.87360000000000004</v>
    <v>1.9</v>
    <v>5.4479999999999997E-3</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359.5</v>
    <v>Professional &amp; Commercial Services</v>
    <v>Stock</v>
    <v>46178.467499999999</v>
    <v>276</v>
    <v>346.5</v>
    <v>43007220000</v>
    <v>ION EXCHANGE (INDIA) LIMITED</v>
    <v>ION EXCHANGE (INDIA) LIMITED</v>
    <v>353.05</v>
    <v>29.138300000000001</v>
    <v>348.75</v>
    <v>350.65</v>
    <v>122930500</v>
    <v>IONEXCHANG</v>
    <v>ION EXCHANGE (INDIA) LIMITED (XNSE:IONEXCHANG)</v>
    <v>228175</v>
    <v>339350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0.99819999999999998</v>
    <v>4.8</v>
    <v>6.2100000000000002E-3</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784.3</v>
    <v>Software &amp; IT Services</v>
    <v>Stock</v>
    <v>46178.467511574076</v>
    <v>279</v>
    <v>767.25</v>
    <v>319290400000</v>
    <v>KPIT TECHNOLOGIES LIMITED</v>
    <v>KPIT TECHNOLOGIES LIMITED</v>
    <v>780.05</v>
    <v>33.196800000000003</v>
    <v>773</v>
    <v>777.8</v>
    <v>272227200</v>
    <v>KPITTECH</v>
    <v>KPIT TECHNOLOGIES LIMITED (XNSE:KPITTECH)</v>
    <v>848126</v>
    <v>1934050</v>
    <v>2018</v>
  </rv>
  <rv s="2">
    <v>280</v>
  </rv>
  <rv s="0">
    <v>https://www.bing.com/financeapi/forcetrigger?t=ahis4c&amp;q=XNSE%3aLTI&amp;form=skydnc</v>
    <v>Learn more on Bing</v>
  </rv>
  <rv s="1">
    <v>en-IN</v>
    <v>ahis4c</v>
    <v>268435456</v>
    <v>1</v>
    <v>Powered by Refinitiv</v>
    <v>0</v>
    <v>LTM Limited (XNSE:LTM)</v>
    <v>2</v>
    <v>3</v>
    <v>Finance</v>
    <v>4</v>
    <v>6429.5</v>
    <v>3901</v>
    <v>1.4646999999999999</v>
    <v>-40.5</v>
    <v>-9.9559999999999996E-3</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4127.8</v>
    <v>Software &amp; IT Services</v>
    <v>Stock</v>
    <v>46178.467534722222</v>
    <v>282</v>
    <v>4007.5</v>
    <v>1808606000000</v>
    <v>LTM Limited</v>
    <v>LTM Limited</v>
    <v>4119</v>
    <v>24.02</v>
    <v>4067.7</v>
    <v>4027.2</v>
    <v>296589200</v>
    <v>LTM</v>
    <v>LTM Limited (XNSE:LTM)</v>
    <v>247813</v>
    <v>618440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0.86240000000000006</v>
    <v>3.25</v>
    <v>4.6050000000000006E-3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722.95</v>
    <v>Containers &amp; Packaging</v>
    <v>Stock</v>
    <v>46178.467511574076</v>
    <v>285</v>
    <v>702.1</v>
    <v>19241200000</v>
    <v>MOLD-TEK PACKAGING LIMITED</v>
    <v>MOLD-TEK PACKAGING LIMITED</v>
    <v>710</v>
    <v>32.330100000000002</v>
    <v>705.75</v>
    <v>709</v>
    <v>33228910</v>
    <v>MOLDTKPAC</v>
    <v>MOLD-TEK PACKAGING LIMITED (XNSE:MOLDTKPAC)</v>
    <v>73433</v>
    <v>119550</v>
    <v>1997</v>
  </rv>
  <rv s="2">
    <v>286</v>
  </rv>
  <rv s="0">
    <v>https://www.bing.com/financeapi/forcetrigger?t=ahjbvh&amp;q=XNSE%3aPAGEIND&amp;form=skydnc</v>
    <v>Learn more on Bing</v>
  </rv>
  <rv s="1">
    <v>en-IN</v>
    <v>ahjbvh</v>
    <v>268435456</v>
    <v>1</v>
    <v>Powered by Refinitiv</v>
    <v>0</v>
    <v>PAGE INDUSTRIES LIMITED (XNSE:PAGEIND)</v>
    <v>2</v>
    <v>3</v>
    <v>Finance</v>
    <v>4</v>
    <v>50590</v>
    <v>29805</v>
    <v>0.70399999999999996</v>
    <v>-490</v>
    <v>-1.2617E-2</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39090</v>
    <v>Textiles &amp; Apparel</v>
    <v>Stock</v>
    <v>46178.467523148145</v>
    <v>288</v>
    <v>38180</v>
    <v>386426000000</v>
    <v>PAGE INDUSTRIES LIMITED</v>
    <v>PAGE INDUSTRIES LIMITED</v>
    <v>38945</v>
    <v>55.993600000000001</v>
    <v>38835</v>
    <v>38345</v>
    <v>11153870</v>
    <v>PAGEIND</v>
    <v>PAGE INDUSTRIES LIMITED (XNSE:PAGEIND)</v>
    <v>18046</v>
    <v>48290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1.0589</v>
    <v>-83</v>
    <v>-1.6206000000000002E-2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5233.5</v>
    <v>Software &amp; IT Services</v>
    <v>Stock</v>
    <v>46178.467534722222</v>
    <v>291</v>
    <v>5011</v>
    <v>989862700000</v>
    <v>PERSISTENT SYSTEMS LIMITED</v>
    <v>PERSISTENT SYSTEMS LIMITED</v>
    <v>5199</v>
    <v>42.077199999999998</v>
    <v>5121.5</v>
    <v>5038.5</v>
    <v>156231000</v>
    <v>PERSISTENT</v>
    <v>PERSISTENT SYSTEMS LIMITED (XNSE:PERSISTENT)</v>
    <v>423726</v>
    <v>666170</v>
    <v>1990</v>
  </rv>
  <rv s="2">
    <v>292</v>
  </rv>
  <rv s="0">
    <v>https://www.bing.com/financeapi/forcetrigger?t=ahjfec&amp;q=XNSE%3aPIIND&amp;form=skydnc</v>
    <v>Learn more on Bing</v>
  </rv>
  <rv s="1">
    <v>en-IN</v>
    <v>ahjfec</v>
    <v>268435456</v>
    <v>1</v>
    <v>Powered by Refinitiv</v>
    <v>0</v>
    <v>PI INDUSTRIES LIMITED (XNSE:PIIND)</v>
    <v>2</v>
    <v>3</v>
    <v>Finance</v>
    <v>4</v>
    <v>4330</v>
    <v>2657.2</v>
    <v>1.4878</v>
    <v>10.4</v>
    <v>3.8409999999999998E-3</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2768.2</v>
    <v>Chemicals</v>
    <v>Stock</v>
    <v>46178.467546296299</v>
    <v>294</v>
    <v>2710.1</v>
    <v>495614400000</v>
    <v>PI INDUSTRIES LIMITED</v>
    <v>PI INDUSTRIES LIMITED</v>
    <v>2710.1</v>
    <v>31.2151</v>
    <v>2707.5</v>
    <v>2717.9</v>
    <v>151703200</v>
    <v>PIIND</v>
    <v>PI INDUSTRIES LIMITED (XNSE:PIIND)</v>
    <v>100881</v>
    <v>747930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0.99260000000000004</v>
    <v>5.5</v>
    <v>3.7390000000000001E-3</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1485.5</v>
    <v>Chemicals</v>
    <v>Stock</v>
    <v>46178.467499999999</v>
    <v>297</v>
    <v>1466.3</v>
    <v>1525452000000</v>
    <v>PIDILITE INDUSTRIES LIMITED</v>
    <v>PIDILITE INDUSTRIES LIMITED</v>
    <v>1475</v>
    <v>61.17</v>
    <v>1471.1</v>
    <v>1476.6</v>
    <v>1017775000</v>
    <v>PIDILITIND</v>
    <v>PIDILITE INDUSTRIES LIMITED (XNSE:PIDILITIND)</v>
    <v>489330</v>
    <v>964090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1.3864000000000001</v>
    <v>4</v>
    <v>9.3430000000000006E-3</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443.95</v>
    <v>Metals &amp; Mining</v>
    <v>Stock</v>
    <v>46178.467534722222</v>
    <v>300</v>
    <v>429.15</v>
    <v>26710620000</v>
    <v>RAJRATAN GLOBAL WIRE LIMITED</v>
    <v>RAJRATAN GLOBAL WIRE LIMITED</v>
    <v>434</v>
    <v>31.247299999999999</v>
    <v>428.15</v>
    <v>432.15</v>
    <v>50771000</v>
    <v>RAJRATAN</v>
    <v>RAJRATAN GLOBAL WIRE LIMITED (XNSE:RAJRATAN)</v>
    <v>81406</v>
    <v>44770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0.94</v>
    <v>-1.55</v>
    <v>-3.8640000000000002E-3</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401.55</v>
    <v>Construction Materials</v>
    <v>Stock</v>
    <v>46178.467557870368</v>
    <v>303</v>
    <v>390</v>
    <v>92430040000</v>
    <v>RHI MAGNESITA INDIA LIMITED</v>
    <v>RHI MAGNESITA INDIA LIMITED</v>
    <v>396</v>
    <v>0</v>
    <v>401.15</v>
    <v>399.6</v>
    <v>206501400</v>
    <v>RHIM</v>
    <v>RHI MAGNESITA INDIA LIMITED (XNSE:RHIM)</v>
    <v>331233</v>
    <v>1724930</v>
    <v>2010</v>
  </rv>
  <rv s="2">
    <v>304</v>
  </rv>
  <rv s="0">
    <v>https://www.bing.com/financeapi/forcetrigger?t=ahjs52&amp;q=XNSE%3aSAKSOFT&amp;form=skydnc</v>
    <v>Learn more on Bing</v>
  </rv>
  <rv s="1">
    <v>en-IN</v>
    <v>ahjs52</v>
    <v>268435456</v>
    <v>1</v>
    <v>Powered by Refinitiv</v>
    <v>0</v>
    <v>SAKSOFT LIMITED (XNSE:SAKSOFT)</v>
    <v>2</v>
    <v>3</v>
    <v>Finance</v>
    <v>4</v>
    <v>253.99</v>
    <v>107.59</v>
    <v>1.6836</v>
    <v>1.08</v>
    <v>7.5980000000000006E-3</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145</v>
    <v>Software &amp; IT Services</v>
    <v>Stock</v>
    <v>46178.467511574076</v>
    <v>306</v>
    <v>142.01</v>
    <v>23879740000</v>
    <v>SAKSOFT LIMITED</v>
    <v>SAKSOFT LIMITED</v>
    <v>142.55000000000001</v>
    <v>14.77</v>
    <v>142.15</v>
    <v>143.22999999999999</v>
    <v>127822200</v>
    <v>SAKSOFT</v>
    <v>SAKSOFT LIMITED (XNSE:SAKSOFT)</v>
    <v>173379</v>
    <v>622100</v>
    <v>1999</v>
  </rv>
  <rv s="2">
    <v>307</v>
  </rv>
  <rv s="0">
    <v>https://www.bing.com/financeapi/forcetrigger?t=ahk3nm&amp;q=XNSE%3aSRF&amp;form=skydnc</v>
    <v>Learn more on Bing</v>
  </rv>
  <rv s="1">
    <v>en-IN</v>
    <v>ahk3nm</v>
    <v>268435456</v>
    <v>1</v>
    <v>Powered by Refinitiv</v>
    <v>0</v>
    <v>SRF LIMITED (XNSE:SRF)</v>
    <v>2</v>
    <v>3</v>
    <v>Finance</v>
    <v>4</v>
    <v>3325</v>
    <v>2355</v>
    <v>0.91080000000000005</v>
    <v>-21.7</v>
    <v>-7.9590000000000008E-3</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8425</v>
    <v>National Stock Exchange of India</v>
    <v>XNSE</v>
    <v>XNSE</v>
    <v>THE GALLERIA, DLF MAYUR VIHAR, UNIT NO. 236 &amp; 237 2ND FLOOR, MAYUR PLACE, MAYUR VIHAR PHASE I EXTN. NEW DELHI EAST DELHI DL, DELHI, 110091 IN</v>
    <v>2745</v>
    <v>Chemicals</v>
    <v>Stock</v>
    <v>46178.467499999999</v>
    <v>309</v>
    <v>2692</v>
    <v>901012900000</v>
    <v>SRF LIMITED</v>
    <v>SRF LIMITED</v>
    <v>2745</v>
    <v>43.690800000000003</v>
    <v>2726.6</v>
    <v>2704.9</v>
    <v>296406000</v>
    <v>SRF</v>
    <v>SRF LIMITED (XNSE:SRF)</v>
    <v>162064</v>
    <v>590500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0.56989999999999996</v>
    <v>-1.05</v>
    <v>-2.2190000000000001E-3</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475.75</v>
    <v>Chemicals</v>
    <v>Stock</v>
    <v>46178.467534722222</v>
    <v>312</v>
    <v>467.8</v>
    <v>220572500000</v>
    <v>SUMITOMO CHEMICAL INDIA LIMITED</v>
    <v>SUMITOMO CHEMICAL INDIA LIMITED</v>
    <v>474.95</v>
    <v>43.386899999999997</v>
    <v>473.1</v>
    <v>472.05</v>
    <v>499145800</v>
    <v>SUMICHEM</v>
    <v>SUMITOMO CHEMICAL INDIA LIMITED (XNSE:SUMICHEM)</v>
    <v>90956</v>
    <v>345230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0.61960000000000004</v>
    <v>-40.799999999999997</v>
    <v>-1.1200000000000002E-2</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3642.9</v>
    <v>Chemicals</v>
    <v>Stock</v>
    <v>46178.467499999999</v>
    <v>315</v>
    <v>3572.2</v>
    <v>440122700000</v>
    <v>THE SUPREME INDUSTRIES LIMITED</v>
    <v>THE SUPREME INDUSTRIES LIMITED</v>
    <v>3642.8</v>
    <v>47.963700000000003</v>
    <v>3642.8</v>
    <v>3602</v>
    <v>127026900</v>
    <v>SUPREMEIND</v>
    <v>THE SUPREME INDUSTRIES LIMITED (XNSE:SUPREMEIND)</v>
    <v>133176</v>
    <v>169400</v>
    <v>1942</v>
  </rv>
  <rv s="2">
    <v>316</v>
  </rv>
  <rv s="0">
    <v>https://www.bing.com/financeapi/forcetrigger?t=ahk9m7&amp;q=XNSE%3aTATAELXSI&amp;form=skydnc</v>
    <v>Learn more on Bing</v>
  </rv>
  <rv s="1">
    <v>en-IN</v>
    <v>ahk9m7</v>
    <v>268435456</v>
    <v>1</v>
    <v>Powered by Refinitiv</v>
    <v>0</v>
    <v>TATA ELXSI LIMITED (XNSE:TATAELXSI)</v>
    <v>2</v>
    <v>3</v>
    <v>Finance</v>
    <v>4</v>
    <v>6735</v>
    <v>3945</v>
    <v>1.0033000000000001</v>
    <v>5.9</v>
    <v>1.374E-3</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11046</v>
    <v>National Stock Exchange of India</v>
    <v>XNSE</v>
    <v>XNSE</v>
    <v>ITPL ROAD WHITEFIELD ROAD, KARNATAKA, 560048 IN</v>
    <v>4365</v>
    <v>Software &amp; IT Services</v>
    <v>Stock</v>
    <v>46178.467499999999</v>
    <v>318</v>
    <v>4272.1000000000004</v>
    <v>360876300000</v>
    <v>TATA ELXSI LIMITED</v>
    <v>TATA ELXSI LIMITED</v>
    <v>4343</v>
    <v>42.57</v>
    <v>4295.2</v>
    <v>4301.1000000000004</v>
    <v>62297060</v>
    <v>TATAELXSI</v>
    <v>TATA ELXSI LIMITED (XNSE:TATAELXSI)</v>
    <v>169218</v>
    <v>333310</v>
    <v>1989</v>
  </rv>
  <rv s="2">
    <v>319</v>
  </rv>
  <rv s="0">
    <v>https://www.bing.com/financeapi/forcetrigger?t=ahkalh&amp;q=XNSE%3aTCIEXP&amp;form=skydnc</v>
    <v>Learn more on Bing</v>
  </rv>
  <rv s="1">
    <v>en-IN</v>
    <v>ahkalh</v>
    <v>268435456</v>
    <v>1</v>
    <v>Powered by Refinitiv</v>
    <v>0</v>
    <v>TCI EXPRESS LIMITED (XNSE:TCIEXP)</v>
    <v>2</v>
    <v>3</v>
    <v>Finance</v>
    <v>4</v>
    <v>848</v>
    <v>447.55</v>
    <v>0.75870000000000004</v>
    <v>-11.85</v>
    <v>-2.1949E-2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541.95000000000005</v>
    <v>Freight &amp; Logistics Services</v>
    <v>Stock</v>
    <v>46178.467534722222</v>
    <v>321</v>
    <v>525.1</v>
    <v>20433140000</v>
    <v>TCI EXPRESS LIMITED</v>
    <v>TCI EXPRESS LIMITED</v>
    <v>530.5</v>
    <v>24.1449</v>
    <v>539.9</v>
    <v>528.04999999999995</v>
    <v>38418990</v>
    <v>TCIEXP</v>
    <v>TCI EXPRESS LIMITED (XNSE:TCIEXP)</v>
    <v>9628</v>
    <v>52710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0.95750000000000002</v>
    <v>30.6</v>
    <v>9.8760000000000011E-3</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3157</v>
    <v>Automobiles &amp; Auto Parts</v>
    <v>Stock</v>
    <v>46178.467499999999</v>
    <v>324</v>
    <v>3076.6</v>
    <v>461965600000</v>
    <v>TUBE INVESTMENTS OF INDIA LIMITED</v>
    <v>TUBE INVESTMENTS OF INDIA LIMITED</v>
    <v>3099.8</v>
    <v>95.325699999999998</v>
    <v>3098.4</v>
    <v>3129</v>
    <v>193562300</v>
    <v>TIINDIA</v>
    <v>TUBE INVESTMENTS OF INDIA LIMITED (XNSE:TIINDIA)</v>
    <v>192369</v>
    <v>327020</v>
    <v>2008</v>
  </rv>
  <rv s="2">
    <v>325</v>
  </rv>
  <rv s="0">
    <v>https://www.bing.com/financeapi/forcetrigger?t=ahkk5r&amp;q=XNSE%3aVGUARD&amp;form=skydnc</v>
    <v>Learn more on Bing</v>
  </rv>
  <rv s="1">
    <v>en-IN</v>
    <v>ahkk5r</v>
    <v>268435456</v>
    <v>1</v>
    <v>Powered by Refinitiv</v>
    <v>0</v>
    <v>V GUARD INDUSTRIES LIMITED (XNSE:VGUARD)</v>
    <v>2</v>
    <v>3</v>
    <v>Finance</v>
    <v>4</v>
    <v>409.75</v>
    <v>290</v>
    <v>0.4849</v>
    <v>9.25</v>
    <v>3.0710000000000001E-2</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313.5</v>
    <v>Machinery, Equipment &amp; Components</v>
    <v>Stock</v>
    <v>46178.467523148145</v>
    <v>327</v>
    <v>301.2</v>
    <v>136597700000</v>
    <v>V GUARD INDUSTRIES LIMITED</v>
    <v>V GUARD INDUSTRIES LIMITED</v>
    <v>301.2</v>
    <v>44.097999999999999</v>
    <v>301.2</v>
    <v>310.45</v>
    <v>436891100</v>
    <v>VGUARD</v>
    <v>V GUARD INDUSTRIES LIMITED (XNSE:VGUARD)</v>
    <v>382792</v>
    <v>423940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0.68389999999999995</v>
    <v>4.0999999999999996</v>
    <v>3.1540000000000001E-3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1314.9</v>
    <v>Chemicals</v>
    <v>Stock</v>
    <v>46178.467534722222</v>
    <v>330</v>
    <v>1296.0999999999999</v>
    <v>163698400000</v>
    <v>VINATI ORGANICS LIMITED</v>
    <v>VINATI ORGANICS LIMITED</v>
    <v>1305</v>
    <v>30.37</v>
    <v>1300</v>
    <v>1304.0999999999999</v>
    <v>103665600</v>
    <v>VINATIORGA</v>
    <v>VINATI ORGANICS LIMITED (XNSE:VINATIORGA)</v>
    <v>45914</v>
    <v>64440</v>
    <v>1989</v>
  </rv>
  <rv s="2">
    <v>331</v>
  </rv>
  <rv s="0">
    <v>https://www.bing.com/financeapi/forcetrigger?t=ahjtlh&amp;q=XNSE%3aSAREGAMA&amp;form=skydnc</v>
    <v>Learn more on Bing</v>
  </rv>
  <rv s="1">
    <v>en-IN</v>
    <v>ahjtlh</v>
    <v>268435456</v>
    <v>1</v>
    <v>Powered by Refinitiv</v>
    <v>0</v>
    <v>SAREGAMA INDIA LIMITED (XNSE:SAREGAMA)</v>
    <v>2</v>
    <v>3</v>
    <v>Finance</v>
    <v>4</v>
    <v>603</v>
    <v>307.05</v>
    <v>1.0964</v>
    <v>23.6</v>
    <v>5.2142999999999995E-2</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479</v>
    <v>Media &amp; Publishing</v>
    <v>Stock</v>
    <v>46178.467499999999</v>
    <v>333</v>
    <v>454.6</v>
    <v>67631700000</v>
    <v>SAREGAMA INDIA LIMITED</v>
    <v>SAREGAMA INDIA LIMITED</v>
    <v>457</v>
    <v>42.26</v>
    <v>452.6</v>
    <v>476.2</v>
    <v>191959500</v>
    <v>SAREGAMA</v>
    <v>SAREGAMA INDIA LIMITED (XNSE:SAREGAMA)</v>
    <v>4026582</v>
    <v>3535120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1.1261000000000001</v>
    <v>6.55</v>
    <v>3.1213999999999999E-2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219</v>
    <v>Construction &amp; Engineering</v>
    <v>Stock</v>
    <v>46178.467499999999</v>
    <v>336</v>
    <v>212</v>
    <v>6743978000</v>
    <v>Likhitha Infrastructure Ltd</v>
    <v>Likhitha Infrastructure Ltd</v>
    <v>214.5</v>
    <v>21.769600000000001</v>
    <v>209.84</v>
    <v>216.39</v>
    <v>39450000</v>
    <v>LIKHITHA</v>
    <v>Likhitha Infrastructure Ltd (XNSE:LIKHITHA)</v>
    <v>48112</v>
    <v>37300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0.92490000000000006</v>
    <v>10.4</v>
    <v>8.3090000000000004E-3</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1265</v>
    <v>342</v>
    <v>Banking Services</v>
    <v>Stock</v>
    <v>46178.467499999999</v>
    <v>343</v>
    <v>1250</v>
    <v>10272960000000</v>
    <v>ICICI BANK LIMITED</v>
    <v>ICICI BANK LIMITED</v>
    <v>1257</v>
    <v>16.489999999999998</v>
    <v>1251.7</v>
    <v>1262.0999999999999</v>
    <v>7170613000</v>
    <v>ICICIBANK</v>
    <v>ICICI BANK LIMITED (XNSE:ICICIBANK)</v>
    <v>10166393</v>
    <v>16434470</v>
    <v>1994</v>
  </rv>
  <rv s="2">
    <v>344</v>
  </rv>
  <rv s="0">
    <v>https://www.bing.com/financeapi/forcetrigger?t=ahgpjc&amp;q=XNSE%3a3MINDIA&amp;form=skydnc</v>
    <v>Learn more on Bing</v>
  </rv>
  <rv s="1">
    <v>en-IN</v>
    <v>ahgpjc</v>
    <v>268435456</v>
    <v>1</v>
    <v>Powered by Refinitiv</v>
    <v>0</v>
    <v>3M INDIA LIMITED (XNSE:3MINDIA)</v>
    <v>2</v>
    <v>3</v>
    <v>Finance</v>
    <v>4</v>
    <v>38030</v>
    <v>27940.31</v>
    <v>0.7651</v>
    <v>-295</v>
    <v>-9.136E-3</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32580</v>
    <v>Consumer Goods Conglomerates</v>
    <v>Stock</v>
    <v>46178.467499999999</v>
    <v>346</v>
    <v>31800</v>
    <v>394221100000</v>
    <v>3M INDIA LIMITED</v>
    <v>3M INDIA LIMITED</v>
    <v>32580</v>
    <v>69.006799999999998</v>
    <v>32290</v>
    <v>31995</v>
    <v>11265070</v>
    <v>3MINDIA</v>
    <v>3M INDIA LIMITED (XNSE:3MINDIA)</v>
    <v>2208</v>
    <v>9480</v>
    <v>1987</v>
  </rv>
  <rv s="2">
    <v>347</v>
  </rv>
  <rv s="0">
    <v>https://www.bing.com/financeapi/forcetrigger?t=ahgq1h&amp;q=XNSE%3aAARTIIND&amp;form=skydnc</v>
    <v>Learn more on Bing</v>
  </rv>
  <rv s="1">
    <v>en-IN</v>
    <v>ahgq1h</v>
    <v>268435456</v>
    <v>1</v>
    <v>Powered by Refinitiv</v>
    <v>0</v>
    <v>AARTI INDUSTRIES LTD (XNSE:AARTIIND)</v>
    <v>2</v>
    <v>3</v>
    <v>Finance</v>
    <v>4</v>
    <v>523.1</v>
    <v>338.05</v>
    <v>1.54</v>
    <v>-2.0499999999999998</v>
    <v>-4.4559999999999999E-3</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462.1</v>
    <v>Chemicals</v>
    <v>Stock</v>
    <v>46178.467488425929</v>
    <v>349</v>
    <v>454.5</v>
    <v>131621600000</v>
    <v>AARTI INDUSTRIES LTD</v>
    <v>AARTI INDUSTRIES LTD</v>
    <v>461.4</v>
    <v>39.799999999999997</v>
    <v>460.1</v>
    <v>458.05</v>
    <v>362594500</v>
    <v>AARTIIND</v>
    <v>AARTI INDUSTRIES LTD (XNSE:AARTIIND)</v>
    <v>639930</v>
    <v>676720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1.2596000000000001</v>
    <v>-25.5</v>
    <v>-1.4159999999999999E-2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1833.2</v>
    <v>Chemicals</v>
    <v>Stock</v>
    <v>46178.467499999999</v>
    <v>352</v>
    <v>1766</v>
    <v>82387950000</v>
    <v>ALKYL AMINES CHEMICALS LIMITED</v>
    <v>ALKYL AMINES CHEMICALS LIMITED</v>
    <v>1809</v>
    <v>50.434699999999999</v>
    <v>1800.8</v>
    <v>1775.3</v>
    <v>51144050</v>
    <v>ALKYLAMINE</v>
    <v>ALKYL AMINES CHEMICALS LIMITED (XNSE:ALKYLAMINE)</v>
    <v>103872</v>
    <v>346340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1.3265</v>
    <v>15</v>
    <v>1.7155E-2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913</v>
    <v>Banking Services</v>
    <v>Stock</v>
    <v>46178.467499999999</v>
    <v>355</v>
    <v>874</v>
    <v>5898163000000</v>
    <v>BAJAJ FINANCE LIMITED</v>
    <v>BAJAJ FINANCE LIMITED</v>
    <v>874</v>
    <v>28.57</v>
    <v>874.4</v>
    <v>889.4</v>
    <v>6221349000</v>
    <v>BAJFINANCE</v>
    <v>BAJAJ FINANCE LIMITED (XNSE:BAJFINANCE)</v>
    <v>13274646</v>
    <v>12919220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0.87470000000000003</v>
    <v>-7</v>
    <v>-4.895E-3</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1449</v>
    <v>Chemicals</v>
    <v>Stock</v>
    <v>46178.467499999999</v>
    <v>358</v>
    <v>1415</v>
    <v>36408460000</v>
    <v>BHARAT RASAYAN LIMITED</v>
    <v>BHARAT RASAYAN LIMITED</v>
    <v>1449</v>
    <v>16.230599999999999</v>
    <v>1429.9</v>
    <v>1422.9</v>
    <v>16621070</v>
    <v>BHARATRAS</v>
    <v>BHARAT RASAYAN LIMITED (XNSE:BHARATRAS)</v>
    <v>5615</v>
    <v>23210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0.81820000000000004</v>
    <v>-22</v>
    <v>-3.9750000000000002E-3</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5641.5</v>
    <v>Homebuilding &amp; Construction Supplies</v>
    <v>Stock</v>
    <v>46178.467523148145</v>
    <v>361</v>
    <v>5502</v>
    <v>65435870000</v>
    <v>CERA SANITARYWARE LIMITED</v>
    <v>CERA SANITARYWARE LIMITED</v>
    <v>5560</v>
    <v>34.816499999999998</v>
    <v>5534.5</v>
    <v>5512.5</v>
    <v>12892970</v>
    <v>CERA</v>
    <v>CERA SANITARYWARE LIMITED (XNSE:CERA)</v>
    <v>3601</v>
    <v>7900</v>
    <v>1998</v>
  </rv>
  <rv s="2">
    <v>362</v>
  </rv>
  <rv s="0">
    <v>https://www.bing.com/financeapi/forcetrigger?t=ahhgf2&amp;q=XNSE%3aCRISIL&amp;form=skydnc</v>
    <v>Learn more on Bing</v>
  </rv>
  <rv s="1">
    <v>en-IN</v>
    <v>ahhgf2</v>
    <v>268435456</v>
    <v>1</v>
    <v>Powered by Refinitiv</v>
    <v>0</v>
    <v>CRISIL LIMITED (XNSE:CRISIL)</v>
    <v>2</v>
    <v>3</v>
    <v>Finance</v>
    <v>4</v>
    <v>6139</v>
    <v>3686</v>
    <v>0.37730000000000002</v>
    <v>-24.9</v>
    <v>-6.378E-3</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3933.7</v>
    <v>Professional &amp; Commercial Services</v>
    <v>Stock</v>
    <v>46178.467499999999</v>
    <v>364</v>
    <v>3870.5</v>
    <v>352164900000</v>
    <v>CRISIL LIMITED</v>
    <v>CRISIL LIMITED</v>
    <v>3925</v>
    <v>33.7913</v>
    <v>3903.8</v>
    <v>3878.9</v>
    <v>73130020</v>
    <v>CRISIL</v>
    <v>CRISIL LIMITED (XNSE:CRISIL)</v>
    <v>28045</v>
    <v>37510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0.995</v>
    <v>-56</v>
    <v>-4.875E-3</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EMS &amp; others. Its consumer electronics include light-emitting diode (LED) televisions (TVs) and refrigerators. Its home appliances include washing machines. Its lighting products include LED bulbs, outdoor lighting, smart lights, battens, and downlighters. Its mobile phones, EMS &amp; others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11683</v>
    <v>Computers, Phones &amp; Household Electronics</v>
    <v>Stock</v>
    <v>46178.467546296299</v>
    <v>367</v>
    <v>11403</v>
    <v>681986400000</v>
    <v>DIXON TECHNOLOGIES (INDIA) LIMITED</v>
    <v>DIXON TECHNOLOGIES (INDIA) LIMITED</v>
    <v>11524</v>
    <v>42.0929</v>
    <v>11488</v>
    <v>11432</v>
    <v>61085920</v>
    <v>DIXON</v>
    <v>DIXON TECHNOLOGIES (INDIA) LIMITED (XNSE:DIXON)</v>
    <v>378237</v>
    <v>549270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1.4473</v>
    <v>2.65</v>
    <v>4.3959999999999997E-3</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610</v>
    <v>Chemicals</v>
    <v>Stock</v>
    <v>46178.467499999999</v>
    <v>370</v>
    <v>602.79999999999995</v>
    <v>9240283000</v>
    <v>FAIRCHEM ORGANICS LIMITED</v>
    <v>FAIRCHEM ORGANICS LIMITED</v>
    <v>602.79999999999995</v>
    <v>141.79159999999999</v>
    <v>602.79999999999995</v>
    <v>605.45000000000005</v>
    <v>12595900</v>
    <v>FAIRCHEMOR</v>
    <v>FAIRCHEM ORGANICS LIMITED (XNSE:FAIRCHEMOR)</v>
    <v>2332</v>
    <v>16950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1.0891</v>
    <v>-4.2</v>
    <v>-2.3939999999999999E-3</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1771.9</v>
    <v>Chemicals</v>
    <v>Stock</v>
    <v>46178.467499999999</v>
    <v>373</v>
    <v>1738.2</v>
    <v>66459930000</v>
    <v>GALAXY SURFACTANTS LTD</v>
    <v>GALAXY SURFACTANTS LTD</v>
    <v>1754.9</v>
    <v>23.208200000000001</v>
    <v>1754.1</v>
    <v>1749.9</v>
    <v>35454750</v>
    <v>GALAXYSURF</v>
    <v>GALAXY SURFACTANTS LTD (XNSE:GALAXYSURF)</v>
    <v>15282</v>
    <v>6540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1.1604000000000001</v>
    <v>-2.2999999999999998</v>
    <v>-5.7099999999999998E-3</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408.95</v>
    <v>Natural Gas Utilities</v>
    <v>Stock</v>
    <v>46178.467511574076</v>
    <v>376</v>
    <v>398.15</v>
    <v>281310600000</v>
    <v>GUJARAT ENERGY LIMITED</v>
    <v>GUJARAT ENERGY LIMITED</v>
    <v>406</v>
    <v>24.49</v>
    <v>402.8</v>
    <v>400.5</v>
    <v>938230800</v>
    <v>GUJGASLTD</v>
    <v>GUJARAT ENERGY LIMITED (XNSE:GUJGASLTD)</v>
    <v>386970</v>
    <v>889520</v>
    <v>2012</v>
  </rv>
  <rv s="2">
    <v>377</v>
  </rv>
  <rv s="0">
    <v>https://www.bing.com/financeapi/forcetrigger?t=ahi2vh&amp;q=XNSE%3aHAVELLS&amp;form=skydnc</v>
    <v>Learn more on Bing</v>
  </rv>
  <rv s="1">
    <v>en-IN</v>
    <v>ahi2vh</v>
    <v>268435456</v>
    <v>1</v>
    <v>Powered by Refinitiv</v>
    <v>0</v>
    <v>HAVELLS INDIA LIMITED (XNSE:HAVELLS)</v>
    <v>2</v>
    <v>3</v>
    <v>Finance</v>
    <v>4</v>
    <v>1621.1</v>
    <v>1123.5999999999999</v>
    <v>0.91500000000000004</v>
    <v>-15.9</v>
    <v>-1.3632E-2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1177.5999999999999</v>
    <v>Machinery, Equipment &amp; Components</v>
    <v>Stock</v>
    <v>46178.467511574076</v>
    <v>379</v>
    <v>1147.8</v>
    <v>898043600000</v>
    <v>HAVELLS INDIA LIMITED</v>
    <v>HAVELLS INDIA LIMITED</v>
    <v>1177.5999999999999</v>
    <v>42.675899999999999</v>
    <v>1166.4000000000001</v>
    <v>1150.5</v>
    <v>627561600</v>
    <v>HAVELLS</v>
    <v>HAVELLS INDIA LIMITED (XNSE:HAVELLS)</v>
    <v>751308</v>
    <v>1160770</v>
    <v>1983</v>
  </rv>
  <rv s="2">
    <v>380</v>
  </rv>
  <rv s="0">
    <v>https://www.bing.com/financeapi/forcetrigger?t=ahi3jc&amp;q=XNSE%3aHDFCBANK&amp;form=skydnc</v>
    <v>Learn more on Bing</v>
  </rv>
  <rv s="1">
    <v>en-IN</v>
    <v>ahi3jc</v>
    <v>268435456</v>
    <v>1</v>
    <v>Powered by Refinitiv</v>
    <v>0</v>
    <v>HDFC BANK LIMITED (XNSE:HDFCBANK)</v>
    <v>2</v>
    <v>3</v>
    <v>Finance</v>
    <v>4</v>
    <v>1020.5</v>
    <v>726.65</v>
    <v>1.0033000000000001</v>
    <v>-7.15</v>
    <v>-9.4799999999999988E-3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758.7</v>
    <v>Banking Services</v>
    <v>Stock</v>
    <v>46178.467499999999</v>
    <v>382</v>
    <v>744.65</v>
    <v>14420670000000</v>
    <v>HDFC BANK LIMITED</v>
    <v>HDFC BANK LIMITED</v>
    <v>753.95</v>
    <v>15.093400000000001</v>
    <v>754.2</v>
    <v>747.05</v>
    <v>15397540000</v>
    <v>HDFCBANK</v>
    <v>HDFC BANK LIMITED (XNSE:HDFCBANK)</v>
    <v>22116568</v>
    <v>43825420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555.1</v>
    <v>0.97189999999999999</v>
    <v>1.55</v>
    <v>2.702E-3</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590</v>
    <v>Insurance</v>
    <v>Stock</v>
    <v>46178.467499999999</v>
    <v>385</v>
    <v>573.9</v>
    <v>1614571000000</v>
    <v>HDFC LIFE INSURANCE COMPANY LIMITED</v>
    <v>HDFC LIFE INSURANCE COMPANY LIMITED</v>
    <v>577.4</v>
    <v>64.61</v>
    <v>573.75</v>
    <v>575.29999999999995</v>
    <v>2157411000</v>
    <v>HDFCLIFE</v>
    <v>HDFC LIFE INSURANCE COMPANY LIMITED (XNSE:HDFCLIFE)</v>
    <v>3882527</v>
    <v>3491250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1.1048</v>
    <v>25.1</v>
    <v>1.4483999999999999E-2</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1773.5</v>
    <v>Insurance</v>
    <v>Stock</v>
    <v>46178.467546296299</v>
    <v>388</v>
    <v>1737.7</v>
    <v>939092900000</v>
    <v>ICICI LOMBARD GENERAL INSURANCE COMPANY LIMITED</v>
    <v>ICICI LOMBARD GENERAL INSURANCE COMPANY LIMITED</v>
    <v>1737.7</v>
    <v>31.523499999999999</v>
    <v>1732.9</v>
    <v>1758</v>
    <v>499107700</v>
    <v>ICICIGI</v>
    <v>ICICI LOMBARD GENERAL INSURANCE COMPANY LIMITED (XNSE:ICICIGI)</v>
    <v>756353</v>
    <v>751530</v>
    <v>2000</v>
  </rv>
  <rv s="2">
    <v>389</v>
  </rv>
  <rv s="0">
    <v>https://www.bing.com/financeapi/forcetrigger?t=ahi96h&amp;q=XNSE%3aIEX&amp;form=skydnc</v>
    <v>Learn more on Bing</v>
  </rv>
  <rv s="1">
    <v>en-IN</v>
    <v>ahi96h</v>
    <v>268435456</v>
    <v>1</v>
    <v>Powered by Refinitiv</v>
    <v>0</v>
    <v>INDIAN ENERGY EXCHANGE LIMITED (XNSE:IEX)</v>
    <v>2</v>
    <v>3</v>
    <v>Finance</v>
    <v>4</v>
    <v>215.4</v>
    <v>114.6</v>
    <v>1.5363</v>
    <v>-1.69</v>
    <v>-1.3621000000000001E-2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124.99</v>
    <v>Investment Banking &amp; Investment Services</v>
    <v>Stock</v>
    <v>46178.467499999999</v>
    <v>391</v>
    <v>122.2</v>
    <v>125667000000</v>
    <v>INDIAN ENERGY EXCHANGE LIMITED</v>
    <v>INDIAN ENERGY EXCHANGE LIMITED</v>
    <v>124.07</v>
    <v>22.4</v>
    <v>124.07</v>
    <v>122.38</v>
    <v>891692700</v>
    <v>IEX</v>
    <v>INDIAN ENERGY EXCHANGE LIMITED (XNSE:IEX)</v>
    <v>5393034</v>
    <v>3962340</v>
    <v>2007</v>
  </rv>
  <rv s="2">
    <v>392</v>
  </rv>
  <rv s="0">
    <v>https://www.bing.com/financeapi/forcetrigger?t=ahi9kr&amp;q=XNSE%3aIGL&amp;form=skydnc</v>
    <v>Learn more on Bing</v>
  </rv>
  <rv s="1">
    <v>en-IN</v>
    <v>ahi9kr</v>
    <v>268435456</v>
    <v>1</v>
    <v>Powered by Refinitiv</v>
    <v>0</v>
    <v>INDRAPRASTHA GAS LIMITED (XNSE:IGL)</v>
    <v>2</v>
    <v>3</v>
    <v>Finance</v>
    <v>4</v>
    <v>229</v>
    <v>141.74</v>
    <v>1.1012</v>
    <v>2.27</v>
    <v>1.4008E-2</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165.4</v>
    <v>Natural Gas Utilities</v>
    <v>Stock</v>
    <v>46178.467511574076</v>
    <v>394</v>
    <v>161.97999999999999</v>
    <v>253596300000</v>
    <v>INDRAPRASTHA GAS LIMITED</v>
    <v>INDRAPRASTHA GAS LIMITED</v>
    <v>162.15</v>
    <v>14.857100000000001</v>
    <v>162.05000000000001</v>
    <v>164.32</v>
    <v>1400002000</v>
    <v>IGL</v>
    <v>INDRAPRASTHA GAS LIMITED (XNSE:IGL)</v>
    <v>2353993</v>
    <v>5810170</v>
    <v>1998</v>
  </rv>
  <rv s="2">
    <v>395</v>
  </rv>
  <rv s="0">
    <v>https://www.bing.com/financeapi/forcetrigger?t=ahj4p2&amp;q=XNSE%3aNAUKRI&amp;form=skydnc</v>
    <v>Learn more on Bing</v>
  </rv>
  <rv s="1">
    <v>en-IN</v>
    <v>ahj4p2</v>
    <v>268435456</v>
    <v>1</v>
    <v>Powered by Refinitiv</v>
    <v>0</v>
    <v>INFO EDGE (INDIA) LIMITED (XNSE:NAUKRI)</v>
    <v>2</v>
    <v>3</v>
    <v>Finance</v>
    <v>4</v>
    <v>1550</v>
    <v>908.3</v>
    <v>1.3388</v>
    <v>-20.399999999999999</v>
    <v>-2.0220999999999999E-2</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1019.9</v>
    <v>Software &amp; IT Services</v>
    <v>Stock</v>
    <v>46178.467523148145</v>
    <v>397</v>
    <v>985.35</v>
    <v>862635900000</v>
    <v>INFO EDGE (INDIA) LIMITED</v>
    <v>INFO EDGE (INDIA) LIMITED</v>
    <v>1018.9</v>
    <v>44.146900000000002</v>
    <v>1008.85</v>
    <v>988.45</v>
    <v>647737400</v>
    <v>NAUKRI</v>
    <v>INFO EDGE (INDIA) LIMITED (XNSE:NAUKRI)</v>
    <v>1456438</v>
    <v>4494100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1.5491999999999999</v>
    <v>1.1000000000000001</v>
    <v>2.085E-3</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535</v>
    <v>Passenger Transportation Services</v>
    <v>Stock</v>
    <v>46178.467523148145</v>
    <v>400</v>
    <v>525</v>
    <v>504160000000</v>
    <v>INDIAN RAILWAY CATERING AND TOURISM CORPORATION LIMITED</v>
    <v>INDIAN RAILWAY CATERING AND TOURISM CORPORATION LIMITED</v>
    <v>530.5</v>
    <v>30.28</v>
    <v>527.5</v>
    <v>528.6</v>
    <v>800000000</v>
    <v>IRCTC</v>
    <v>INDIAN RAILWAY CATERING AND TOURISM CORPORATION LIMITED (XNSE:IRCTC)</v>
    <v>712866</v>
    <v>1171020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1.2918000000000001</v>
    <v>-11.4</v>
    <v>-1.0409E-2</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1104.0999999999999</v>
    <v>Homebuilding &amp; Construction Supplies</v>
    <v>Stock</v>
    <v>46178.467499999999</v>
    <v>403</v>
    <v>1079.7</v>
    <v>158404300000</v>
    <v>KAJARIA CERAMICS LIMITED</v>
    <v>KAJARIA CERAMICS LIMITED</v>
    <v>1098</v>
    <v>35.335000000000001</v>
    <v>1095.2</v>
    <v>1083.8</v>
    <v>159272300</v>
    <v>KAJARIACER</v>
    <v>KAJARIA CERAMICS LIMITED (XNSE:KAJARIACER)</v>
    <v>78960</v>
    <v>259650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0.96499999999999997</v>
    <v>-4.05</v>
    <v>-1.0616E-2</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383.7</v>
    <v>Banking Services</v>
    <v>Stock</v>
    <v>46178.467499999999</v>
    <v>406</v>
    <v>374.65</v>
    <v>4241952000000</v>
    <v>KOTAK MAHINDRA BANK LIMITED</v>
    <v>KOTAK MAHINDRA BANK LIMITED</v>
    <v>381.5</v>
    <v>19.670000000000002</v>
    <v>381.5</v>
    <v>377.45</v>
    <v>10946510000</v>
    <v>KOTAKBANK</v>
    <v>KOTAK MAHINDRA BANK LIMITED (XNSE:KOTAKBANK)</v>
    <v>10129597</v>
    <v>15645320</v>
    <v>1985</v>
  </rv>
  <rv s="2">
    <v>407</v>
  </rv>
  <rv s="0">
    <v>https://www.bing.com/financeapi/forcetrigger?t=ahiwfr&amp;q=XNSE%3aMASTEK&amp;form=skydnc</v>
    <v>Learn more on Bing</v>
  </rv>
  <rv s="1">
    <v>en-IN</v>
    <v>ahiwfr</v>
    <v>268435456</v>
    <v>1</v>
    <v>Powered by Refinitiv</v>
    <v>0</v>
    <v>MASTEK LIMITED (XNSE:MASTEK)</v>
    <v>2</v>
    <v>3</v>
    <v>Finance</v>
    <v>4</v>
    <v>2818</v>
    <v>1334.2</v>
    <v>1.1556</v>
    <v>-13</v>
    <v>-7.77E-3</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1703.8</v>
    <v>Software &amp; IT Services</v>
    <v>Stock</v>
    <v>46178.467499999999</v>
    <v>409</v>
    <v>1652</v>
    <v>63057740000</v>
    <v>MASTEK LIMITED</v>
    <v>MASTEK LIMITED</v>
    <v>1680</v>
    <v>12.83</v>
    <v>1673.1</v>
    <v>1660.1</v>
    <v>31000780</v>
    <v>MASTEK</v>
    <v>MASTEK LIMITED (XNSE:MASTEK)</v>
    <v>28701</v>
    <v>86500</v>
    <v>1982</v>
  </rv>
  <rv s="2">
    <v>410</v>
  </rv>
  <rv s="0">
    <v>https://www.bing.com/financeapi/forcetrigger?t=ahiyh7&amp;q=XNSE%3aMGL&amp;form=skydnc</v>
    <v>Learn more on Bing</v>
  </rv>
  <rv s="1">
    <v>en-IN</v>
    <v>ahiyh7</v>
    <v>268435456</v>
    <v>1</v>
    <v>Powered by Refinitiv</v>
    <v>0</v>
    <v>MAHANAGAR GAS LIMITED (XNSE:MGL)</v>
    <v>2</v>
    <v>3</v>
    <v>Finance</v>
    <v>4</v>
    <v>1586.9</v>
    <v>900</v>
    <v>1.4441999999999999</v>
    <v>14.7</v>
    <v>1.3682000000000001E-2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1107.9000000000001</v>
    <v>Natural Gas Utilities</v>
    <v>Stock</v>
    <v>46178.467534722222</v>
    <v>412</v>
    <v>1075.4000000000001</v>
    <v>105099600000</v>
    <v>MAHANAGAR GAS LIMITED</v>
    <v>MAHANAGAR GAS LIMITED</v>
    <v>1084.9000000000001</v>
    <v>12.803900000000001</v>
    <v>1074.4000000000001</v>
    <v>1089.0999999999999</v>
    <v>98777780</v>
    <v>MGL</v>
    <v>MAHANAGAR GAS LIMITED (XNSE:MGL)</v>
    <v>304504</v>
    <v>218670</v>
    <v>1995</v>
  </rv>
  <rv s="2">
    <v>413</v>
  </rv>
  <rv s="0">
    <v>https://www.bing.com/financeapi/forcetrigger?t=ahj29c&amp;q=XNSE%3aMRF&amp;form=skydnc</v>
    <v>Learn more on Bing</v>
  </rv>
  <rv s="1">
    <v>en-IN</v>
    <v>ahj29c</v>
    <v>268435456</v>
    <v>1</v>
    <v>Powered by Refinitiv</v>
    <v>0</v>
    <v>MRF LIMITED (XNSE:MRF)</v>
    <v>2</v>
    <v>3</v>
    <v>Finance</v>
    <v>4</v>
    <v>163600</v>
    <v>122000</v>
    <v>1.0184</v>
    <v>-1210</v>
    <v>-9.7019999999999988E-3</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125950</v>
    <v>Automobiles &amp; Auto Parts</v>
    <v>Stock</v>
    <v>46178.467499999999</v>
    <v>415</v>
    <v>123350</v>
    <v>626459300000</v>
    <v>MRF LIMITED</v>
    <v>MRF LIMITED</v>
    <v>125950</v>
    <v>21.6431</v>
    <v>124715</v>
    <v>123505</v>
    <v>4241140</v>
    <v>MRF</v>
    <v>MRF LIMITED (XNSE:MRF)</v>
    <v>7169</v>
    <v>5970</v>
    <v>1960</v>
  </rv>
  <rv s="2">
    <v>416</v>
  </rv>
  <rv s="0">
    <v>https://www.bing.com/financeapi/forcetrigger?t=ahjnmw&amp;q=XNSE%3aRELAXO&amp;form=skydnc</v>
    <v>Learn more on Bing</v>
  </rv>
  <rv s="1">
    <v>en-IN</v>
    <v>ahjnmw</v>
    <v>268435456</v>
    <v>1</v>
    <v>Powered by Refinitiv</v>
    <v>0</v>
    <v>RELAXO FOOTWEARS LIMITED (XNSE:RELAXO)</v>
    <v>2</v>
    <v>3</v>
    <v>Finance</v>
    <v>4</v>
    <v>526</v>
    <v>236.5</v>
    <v>0.92249999999999999</v>
    <v>-7.15</v>
    <v>-2.1204000000000001E-2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346.4</v>
    <v>Textiles &amp; Apparel</v>
    <v>Stock</v>
    <v>46178.467546296299</v>
    <v>418</v>
    <v>326.8</v>
    <v>98492550000</v>
    <v>RELAXO FOOTWEARS LIMITED</v>
    <v>RELAXO FOOTWEARS LIMITED</v>
    <v>337.8</v>
    <v>45.840299999999999</v>
    <v>337.2</v>
    <v>330.05</v>
    <v>248938600</v>
    <v>RELAXO</v>
    <v>RELAXO FOOTWEARS LIMITED (XNSE:RELAXO)</v>
    <v>188000</v>
    <v>1968460</v>
    <v>1984</v>
  </rv>
  <rv s="2">
    <v>419</v>
  </rv>
  <rv s="0">
    <v>https://www.bing.com/financeapi/forcetrigger?t=ahkau2&amp;q=XNSE%3aTCS&amp;form=skydnc</v>
    <v>Learn more on Bing</v>
  </rv>
  <rv s="1">
    <v>en-IN</v>
    <v>ahkau2</v>
    <v>268435456</v>
    <v>1</v>
    <v>Powered by Refinitiv</v>
    <v>0</v>
    <v>TATA CONSULTANCY SERVICES LIMITED (XNSE:TCS)</v>
    <v>2</v>
    <v>3</v>
    <v>Finance</v>
    <v>4</v>
    <v>3487.02</v>
    <v>2192</v>
    <v>1.0817000000000001</v>
    <v>-42.1</v>
    <v>-1.8786000000000001E-2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2271.8000000000002</v>
    <v>Software &amp; IT Services</v>
    <v>Stock</v>
    <v>46178.467511574076</v>
    <v>421</v>
    <v>2192</v>
    <v>11823910000000</v>
    <v>TATA CONSULTANCY SERVICES LIMITED</v>
    <v>TATA CONSULTANCY SERVICES LIMITED</v>
    <v>2262.9</v>
    <v>16.167100000000001</v>
    <v>2241</v>
    <v>2198.9</v>
    <v>3618087000</v>
    <v>TCS</v>
    <v>TATA CONSULTANCY SERVICES LIMITED (XNSE:TCS)</v>
    <v>5019717</v>
    <v>7112640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0.94169999999999998</v>
    <v>6.2</v>
    <v>3.1090000000000002E-3</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6222</v>
    <v>National Stock Exchange of India</v>
    <v>XNSE</v>
    <v>XNSE</v>
    <v>6th floor, Tower 2, Assotech Business Cresterra, Plot No.22, Sec 135, NOIDA, UTTAR PRADESH, 201305 IN</v>
    <v>2011.5</v>
    <v>Software &amp; IT Services</v>
    <v>Stock</v>
    <v>46178.467511574076</v>
    <v>424</v>
    <v>1989.7</v>
    <v>129551000000</v>
    <v>INDIAMART INTERMESH LIMITED</v>
    <v>INDIAMART INTERMESH LIMITED</v>
    <v>1994.2</v>
    <v>25.294499999999999</v>
    <v>1994.2</v>
    <v>2000.4</v>
    <v>60138660</v>
    <v>INDIAMART</v>
    <v>INDIAMART INTERMESH LIMITED (XNSE:INDIAMART)</v>
    <v>27102</v>
    <v>54280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0.83860000000000001</v>
    <v>49</v>
    <v>3.0932000000000001E-2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1646.7</v>
    <v>Textiles &amp; Apparel</v>
    <v>Stock</v>
    <v>46178.467523148145</v>
    <v>427</v>
    <v>1581.4</v>
    <v>104049800000</v>
    <v>SAFARI INDUSTRIES (INDIA) LIMITED</v>
    <v>SAFARI INDUSTRIES (INDIA) LIMITED</v>
    <v>1586</v>
    <v>47.64</v>
    <v>1584.1</v>
    <v>1633.1</v>
    <v>48995550</v>
    <v>SAFARI</v>
    <v>SAFARI INDUSTRIES (INDIA) LIMITED (XNSE:SAFARI)</v>
    <v>92293</v>
    <v>210450</v>
    <v>1980</v>
  </rv>
  <rv s="2">
    <v>428</v>
  </rv>
  <rv s="0">
    <v>https://www.bing.com/financeapi/forcetrigger?t=ahkldm&amp;q=XNSE%3aVIPIND&amp;form=skydnc</v>
    <v>Learn more on Bing</v>
  </rv>
  <rv s="1">
    <v>en-IN</v>
    <v>ahkldm</v>
    <v>268435456</v>
    <v>1</v>
    <v>Powered by Refinitiv</v>
    <v>0</v>
    <v>V I P INDUSTRIES LIMITED (XNSE:VIPIND)</v>
    <v>2</v>
    <v>3</v>
    <v>Finance</v>
    <v>4</v>
    <v>492.3</v>
    <v>278.25</v>
    <v>0.71030000000000004</v>
    <v>-0.95</v>
    <v>-2.872E-3</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334.4</v>
    <v>Textiles &amp; Apparel</v>
    <v>Stock</v>
    <v>46178.467499999999</v>
    <v>430</v>
    <v>327.14999999999998</v>
    <v>53247980000</v>
    <v>V I P INDUSTRIES LIMITED</v>
    <v>V I P INDUSTRIES LIMITED</v>
    <v>330.95</v>
    <v>0</v>
    <v>330.8</v>
    <v>329.85</v>
    <v>142051800</v>
    <v>VIPIND</v>
    <v>V I P INDUSTRIES LIMITED (XNSE:VIPIND)</v>
    <v>311310</v>
    <v>3934330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0.70509999999999995</v>
    <v>-11.85</v>
    <v>-1.9047000000000001E-2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631.70000000000005</v>
    <v>Machinery, Equipment &amp; Components</v>
    <v>Stock</v>
    <v>46178.467499999999</v>
    <v>433</v>
    <v>608.4</v>
    <v>138971900000</v>
    <v>ELGI EQUIPMENTS LIMITED</v>
    <v>ELGI EQUIPMENTS LIMITED</v>
    <v>622.95000000000005</v>
    <v>44.798299999999998</v>
    <v>622.15</v>
    <v>610.29999999999995</v>
    <v>315241500</v>
    <v>ELGIEQUIP</v>
    <v>ELGI EQUIPMENTS LIMITED (XNSE:ELGIEQUIP)</v>
    <v>378367</v>
    <v>1287250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1.1386000000000001</v>
    <v>11.2</v>
    <v>1.0888999999999999E-2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1070</v>
    <v>Construction Materials</v>
    <v>Stock</v>
    <v>46178.467499999999</v>
    <v>436</v>
    <v>1023.9</v>
    <v>154339000000</v>
    <v>CARBORUNDUM UNIVERSAL LIMITED</v>
    <v>CARBORUNDUM UNIVERSAL LIMITED</v>
    <v>1040.0999999999999</v>
    <v>99.77</v>
    <v>1028.5999999999999</v>
    <v>1039.8</v>
    <v>190493500</v>
    <v>CARBORUNIV</v>
    <v>CARBORUNDUM UNIVERSAL LIMITED (XNSE:CARBORUNIV)</v>
    <v>311452</v>
    <v>210640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1.4648000000000001</v>
    <v>-6.6</v>
    <v>-3.8600000000000001E-3</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1740.5</v>
    <v>Banking Services</v>
    <v>Stock</v>
    <v>46178.467534722222</v>
    <v>439</v>
    <v>1698</v>
    <v>3211215000000</v>
    <v>BAJAJ FINSERV LIMITED</v>
    <v>BAJAJ FINSERV LIMITED</v>
    <v>1720</v>
    <v>27.8</v>
    <v>1709.8</v>
    <v>1703.2</v>
    <v>1598508000</v>
    <v>BAJAJFINSV</v>
    <v>BAJAJ FINSERV LIMITED (XNSE:BAJAJFINSV)</v>
    <v>1414054</v>
    <v>665840</v>
    <v>2007</v>
  </rv>
  <rv s="2">
    <v>440</v>
  </rv>
  <rv s="0">
    <v>https://www.bing.com/financeapi/forcetrigger?t=ahh8nm&amp;q=XNSE%3aBLS&amp;form=skydnc</v>
    <v>Learn more on Bing</v>
  </rv>
  <rv s="1">
    <v>en-IN</v>
    <v>ahh8nm</v>
    <v>268435456</v>
    <v>1</v>
    <v>Powered by Refinitiv</v>
    <v>0</v>
    <v>BLS INTERNATIONAL SERVICES LIMITED (XNSE:BLS)</v>
    <v>2</v>
    <v>3</v>
    <v>Finance</v>
    <v>4</v>
    <v>418.7</v>
    <v>218.9</v>
    <v>1.3967000000000001</v>
    <v>-2.25</v>
    <v>-8.5440000000000012E-3</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268.95</v>
    <v>Professional &amp; Commercial Services</v>
    <v>Stock</v>
    <v>46178.467534722222</v>
    <v>442</v>
    <v>260.25</v>
    <v>122416300000</v>
    <v>BLS INTERNATIONAL SERVICES LIMITED</v>
    <v>BLS INTERNATIONAL SERVICES LIMITED</v>
    <v>264.89999999999998</v>
    <v>15.79</v>
    <v>263.35000000000002</v>
    <v>261.10000000000002</v>
    <v>411522200</v>
    <v>BLS</v>
    <v>BLS INTERNATIONAL SERVICES LIMITED (XNSE:BLS)</v>
    <v>1055446</v>
    <v>1554850</v>
    <v>1983</v>
  </rv>
  <rv s="2">
    <v>443</v>
  </rv>
  <rv s="0">
    <v>https://www.bing.com/financeapi/forcetrigger?t=ahh92w&amp;q=XNSE%3aBLUESTARCO&amp;form=skydnc</v>
    <v>Learn more on Bing</v>
  </rv>
  <rv s="1">
    <v>en-IN</v>
    <v>ahh92w</v>
    <v>268435456</v>
    <v>1</v>
    <v>Powered by Refinitiv</v>
    <v>0</v>
    <v>BLUE STAR LIMITED (XNSE:BLUESTARCO)</v>
    <v>2</v>
    <v>3</v>
    <v>Finance</v>
    <v>4</v>
    <v>2040</v>
    <v>1450</v>
    <v>0.54769999999999996</v>
    <v>-25.8</v>
    <v>-1.6049000000000001E-2</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1625.9</v>
    <v>Machinery, Equipment &amp; Components</v>
    <v>Stock</v>
    <v>46178.467511574076</v>
    <v>445</v>
    <v>1572.1</v>
    <v>368663600000</v>
    <v>BLUE STAR LIMITED</v>
    <v>BLUE STAR LIMITED</v>
    <v>1625.9</v>
    <v>61.668599999999998</v>
    <v>1607.6</v>
    <v>1581.8</v>
    <v>205592600</v>
    <v>BLUESTARCO</v>
    <v>BLUE STAR LIMITED (XNSE:BLUESTARCO)</v>
    <v>479288</v>
    <v>359300</v>
    <v>1949</v>
  </rv>
  <rv s="2">
    <v>446</v>
  </rv>
  <rv s="7">
    <v>12</v>
    <v>Industry</v>
    <v>0</v>
  </rv>
  <rv s="0">
    <v>https://www.bing.com/financeapi/forcetrigger?t=bp8hh7&amp;q=XNSE%3aANUP&amp;form=skydnc</v>
    <v>Learn more on Bing</v>
  </rv>
  <rv s="1">
    <v>en-IN</v>
    <v>bp8hh7</v>
    <v>268435456</v>
    <v>1</v>
    <v>Powered by Refinitiv</v>
    <v>0</v>
    <v>THE ANUP ENGINEERING LIMITED (XNSE:ANUP)</v>
    <v>2</v>
    <v>3</v>
    <v>Finance</v>
    <v>4</v>
    <v>2954.9</v>
    <v>1422.3</v>
    <v>0.57850000000000001</v>
    <v>4.3</v>
    <v>2.2500000000000003E-3</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1946.7</v>
    <v>Machinery, Equipment &amp; Components</v>
    <v>Stock</v>
    <v>46178.467511574076</v>
    <v>449</v>
    <v>1899.1</v>
    <v>41192710000</v>
    <v>THE ANUP ENGINEERING LIMITED</v>
    <v>THE ANUP ENGINEERING LIMITED</v>
    <v>1914.9</v>
    <v>34.747799999999998</v>
    <v>1911</v>
    <v>1915.3</v>
    <v>20031470</v>
    <v>ANUP</v>
    <v>THE ANUP ENGINEERING LIMITED (XNSE:ANUP)</v>
    <v>17228</v>
    <v>43470</v>
    <v>2017</v>
  </rv>
  <rv s="2">
    <v>450</v>
  </rv>
  <rv s="3">
    <v>en-IN</v>
    <v>c839c7</v>
    <v>268435456</v>
    <v>1</v>
    <v>Powered by Refinitiv</v>
    <v>5</v>
    <v>BIKAJI FOODS INTERNATIONAL LIMITED (XNSE:BIKAJI)</v>
    <v>6</v>
    <v>3</v>
    <v>Finance</v>
    <v>4</v>
    <v>818.7</v>
    <v>592.54999999999995</v>
    <v>0.97760000000000002</v>
    <v>9.35</v>
    <v>1.4482999999999999E-2</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658.85</v>
    <v>Food &amp; Tobacco</v>
    <v>Stock</v>
    <v>46178.467523148145</v>
    <v>645.04999999999995</v>
    <v>175790800000</v>
    <v>BIKAJI FOODS INTERNATIONAL LIMITED</v>
    <v>BIKAJI FOODS INTERNATIONAL LIMITED</v>
    <v>645.04999999999995</v>
    <v>63.525700000000001</v>
    <v>645.6</v>
    <v>654.95000000000005</v>
    <v>250736400</v>
    <v>BIKAJI</v>
    <v>BIKAJI FOODS INTERNATIONAL LIMITED (XNSE:BIKAJI)</v>
    <v>206341</v>
    <v>204560</v>
    <v>1995</v>
  </rv>
  <rv s="2">
    <v>452</v>
  </rv>
  <rv s="0">
    <v>https://www.bing.com/financeapi/forcetrigger?t=bwd9u2&amp;q=XNSE%3aANGELONE&amp;form=skydnc</v>
    <v>Learn more on Bing</v>
  </rv>
  <rv s="1">
    <v>en-IN</v>
    <v>bwd9u2</v>
    <v>268435456</v>
    <v>1</v>
    <v>Powered by Refinitiv</v>
    <v>0</v>
    <v>ANGEL ONE LIMITED (XNSE:ANGELONE)</v>
    <v>2</v>
    <v>3</v>
    <v>Finance</v>
    <v>4</v>
    <v>351</v>
    <v>208.63</v>
    <v>1.0949</v>
    <v>-5.0999999999999996</v>
    <v>-1.5101999999999999E-2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342.4</v>
    <v>Investment Banking &amp; Investment Services</v>
    <v>Stock</v>
    <v>46178.467499999999</v>
    <v>454</v>
    <v>319.5</v>
    <v>221623800000</v>
    <v>ANGEL ONE LIMITED</v>
    <v>ANGEL ONE LIMITED</v>
    <v>337.7</v>
    <v>32.970500000000001</v>
    <v>337.7</v>
    <v>332.6</v>
    <v>913349400</v>
    <v>ANGELONE</v>
    <v>ANGEL ONE LIMITED (XNSE:ANGELONE)</v>
    <v>13273649</v>
    <v>8873800</v>
    <v>1996</v>
  </rv>
  <rv s="2">
    <v>455</v>
  </rv>
  <rv s="0">
    <v>https://www.bing.com/financeapi/forcetrigger?t=ahhcf2&amp;q=XNSE%3aCDSL&amp;form=skydnc</v>
    <v>Learn more on Bing</v>
  </rv>
  <rv s="1">
    <v>en-IN</v>
    <v>ahhcf2</v>
    <v>268435456</v>
    <v>1</v>
    <v>Powered by Refinitiv</v>
    <v>0</v>
    <v>CENTRAL DEPOSITORY SERVICES (INDIA) LIMITED (XNSE:CDSL)</v>
    <v>2</v>
    <v>3</v>
    <v>Finance</v>
    <v>4</v>
    <v>1828.9</v>
    <v>1116.3</v>
    <v>1.2000999999999999</v>
    <v>0.6</v>
    <v>4.9310000000000001E-4</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1235.0999999999999</v>
    <v>Investment Banking &amp; Investment Services</v>
    <v>Stock</v>
    <v>46178.467534722222</v>
    <v>457</v>
    <v>1208.2</v>
    <v>296759100000</v>
    <v>CENTRAL DEPOSITORY SERVICES (INDIA) LIMITED</v>
    <v>CENTRAL DEPOSITORY SERVICES (INDIA) LIMITED</v>
    <v>1224</v>
    <v>55.771900000000002</v>
    <v>1216.9000000000001</v>
    <v>1217.5</v>
    <v>209000000</v>
    <v>CDSL</v>
    <v>CENTRAL DEPOSITORY SERVICES (INDIA) LIMITED (XNSE:CDSL)</v>
    <v>1137730</v>
    <v>1542710</v>
    <v>1997</v>
  </rv>
  <rv s="2">
    <v>458</v>
  </rv>
  <rv s="0">
    <v>https://www.bing.com/financeapi/forcetrigger?t=bwd9im&amp;q=XNSE%3aCAMS&amp;form=skydnc</v>
    <v>Learn more on Bing</v>
  </rv>
  <rv s="1">
    <v>en-IN</v>
    <v>bwd9im</v>
    <v>268435456</v>
    <v>1</v>
    <v>Powered by Refinitiv</v>
    <v>0</v>
    <v>COMPUTER AGE MANAGEMENT SERVICES LIMITED (XNSE:CAMS)</v>
    <v>2</v>
    <v>3</v>
    <v>Finance</v>
    <v>4</v>
    <v>875</v>
    <v>611.4</v>
    <v>0.89080000000000004</v>
    <v>1.85</v>
    <v>2.4369999999999999E-3</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778</v>
    <v>Professional &amp; Commercial Services</v>
    <v>Stock</v>
    <v>46178.467499999999</v>
    <v>460</v>
    <v>760</v>
    <v>176248600000</v>
    <v>COMPUTER AGE MANAGEMENT SERVICES LIMITED</v>
    <v>COMPUTER AGE MANAGEMENT SERVICES LIMITED</v>
    <v>760</v>
    <v>39.479999999999997</v>
    <v>759.15</v>
    <v>761</v>
    <v>247984500</v>
    <v>CAMS</v>
    <v>COMPUTER AGE MANAGEMENT SERVICES LIMITED (XNSE:CAMS)</v>
    <v>993994</v>
    <v>1350610</v>
    <v>1988</v>
  </rv>
  <rv s="2">
    <v>461</v>
  </rv>
  <rv s="0">
    <v>https://www.bing.com/financeapi/forcetrigger?t=ahha27&amp;q=XNSE%3aBSE&amp;form=skydnc</v>
    <v>Learn more on Bing</v>
  </rv>
  <rv s="1">
    <v>en-IN</v>
    <v>ahha27</v>
    <v>268435456</v>
    <v>1</v>
    <v>Powered by Refinitiv</v>
    <v>0</v>
    <v>BSE Limited (XNSE:BSE)</v>
    <v>2</v>
    <v>3</v>
    <v>Finance</v>
    <v>4</v>
    <v>4446.8</v>
    <v>2021.5</v>
    <v>0.97740000000000005</v>
    <v>-153.4</v>
    <v>-3.8031999999999996E-2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4121</v>
    <v>Investment Banking &amp; Investment Services</v>
    <v>Stock</v>
    <v>46178.467534722222</v>
    <v>463</v>
    <v>3822.9</v>
    <v>1153471000000</v>
    <v>BSE Limited</v>
    <v>BSE Limited</v>
    <v>4053</v>
    <v>66.87</v>
    <v>4033.4</v>
    <v>3880</v>
    <v>407299100</v>
    <v>BSE</v>
    <v>BSE Limited (XNSE:BSE)</v>
    <v>6658969</v>
    <v>4032960</v>
    <v>2005</v>
  </rv>
  <rv s="2">
    <v>464</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0.48809999999999998</v>
    <v>-5.85</v>
    <v>-6.7930000000000004E-3</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874</v>
    <v>Investment Banking &amp; Investment Services</v>
    <v>Stock</v>
    <v>46178.467523148145</v>
    <v>466</v>
    <v>847</v>
    <v>503297100000</v>
    <v>MOTILAL OSWAL FINANCIAL SERVICES LIMITED</v>
    <v>MOTILAL OSWAL FINANCIAL SERVICES LIMITED</v>
    <v>865</v>
    <v>27.450299999999999</v>
    <v>861.2</v>
    <v>855.35</v>
    <v>601860000</v>
    <v>MOTILALOFS</v>
    <v>MOTILAL OSWAL FINANCIAL SERVICES LIMITED (XNSE:MOTILALOFS)</v>
    <v>583710</v>
    <v>898790</v>
    <v>2005</v>
  </rv>
  <rv s="2">
    <v>467</v>
  </rv>
  <rv s="3">
    <v>en-IN</v>
    <v>c8gy3m</v>
    <v>268435456</v>
    <v>1</v>
    <v>Powered by Refinitiv</v>
    <v>5</v>
    <v>KFIN TECHNOLOGIES LIMITED (XNSE:KFINTECH)</v>
    <v>6</v>
    <v>3</v>
    <v>Finance</v>
    <v>4</v>
    <v>1388.5</v>
    <v>784.95</v>
    <v>1.2145999999999999</v>
    <v>15.5</v>
    <v>1.8164E-2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873.8</v>
    <v>Financial Technology (Fintech) &amp; Infrastructure</v>
    <v>Stock</v>
    <v>46178.467523148145</v>
    <v>850.8</v>
    <v>181913300000</v>
    <v>KFIN TECHNOLOGIES LIMITED</v>
    <v>KFIN TECHNOLOGIES LIMITED</v>
    <v>854.6</v>
    <v>42.86</v>
    <v>853.35</v>
    <v>868.85</v>
    <v>172615100</v>
    <v>KFINTECH</v>
    <v>KFIN TECHNOLOGIES LIMITED (XNSE:KFINTECH)</v>
    <v>1244789</v>
    <v>1165780</v>
    <v>2017</v>
  </rv>
  <rv s="2">
    <v>469</v>
  </rv>
  <rv s="3">
    <v>en-IN</v>
    <v>ca9dw7</v>
    <v>268435456</v>
    <v>1</v>
    <v>Powered by Refinitiv</v>
    <v>5</v>
    <v>IDEAFORGE TECHNOLOGY LIMITED (XNSE:IDEAFORGE)</v>
    <v>6</v>
    <v>3</v>
    <v>Finance</v>
    <v>4</v>
    <v>945</v>
    <v>366</v>
    <v>1.458</v>
    <v>45</v>
    <v>0.05</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945</v>
    <v>Aerospace &amp; Defense</v>
    <v>Stock</v>
    <v>46178.467534722222</v>
    <v>945</v>
    <v>20236240000</v>
    <v>IDEAFORGE TECHNOLOGY LIMITED</v>
    <v>IDEAFORGE TECHNOLOGY LIMITED</v>
    <v>945</v>
    <v>0</v>
    <v>900</v>
    <v>945</v>
    <v>43388900</v>
    <v>IDEAFORGE</v>
    <v>IDEAFORGE TECHNOLOGY LIMITED (XNSE:IDEAFORGE)</v>
    <v>221612</v>
    <v>375490</v>
    <v>2007</v>
  </rv>
  <rv s="2">
    <v>471</v>
  </rv>
  <rv s="0">
    <v>http://en.wikipedia.org/wiki/Oil_India</v>
    <v>Wikipedia</v>
  </rv>
  <rv s="4">
    <v>339</v>
    <v>473</v>
  </rv>
  <rv s="5">
    <v>11</v>
    <v>https://www.bing.com/th?id=AMMS_c95bda5ece615d354bb4f1ba57fc6de6&amp;qlt=95</v>
    <v>474</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0.82010000000000005</v>
    <v>-5.55</v>
    <v>-1.1351999999999999E-2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494.95</v>
    <v>475</v>
    <v>Oil &amp; Gas</v>
    <v>Stock</v>
    <v>46178.467534722222</v>
    <v>476</v>
    <v>482</v>
    <v>728557600000</v>
    <v>OIL INDIA LIMITED</v>
    <v>OIL INDIA LIMITED</v>
    <v>491.8</v>
    <v>11.8759</v>
    <v>488.9</v>
    <v>483.35</v>
    <v>1626608000</v>
    <v>OIL</v>
    <v>OIL INDIA LIMITED (XNSE:OIL)</v>
    <v>2550336</v>
    <v>3382270</v>
    <v>1959</v>
  </rv>
  <rv s="2">
    <v>477</v>
  </rv>
  <rv s="0">
    <v>https://www.bing.com/financeapi/forcetrigger?t=ahhzcw&amp;q=XNSE%3aGRINDWELL&amp;form=skydnc</v>
    <v>Learn more on Bing</v>
  </rv>
  <rv s="1">
    <v>en-IN</v>
    <v>ahhzcw</v>
    <v>268435456</v>
    <v>1</v>
    <v>Powered by Refinitiv</v>
    <v>0</v>
    <v>GRINDWELL NORTON LIMITED (XNSE:GRINDWELL)</v>
    <v>2</v>
    <v>3</v>
    <v>Finance</v>
    <v>4</v>
    <v>2002.7</v>
    <v>1329</v>
    <v>1.1533</v>
    <v>36.799999999999997</v>
    <v>1.9153E-2</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1971.9</v>
    <v>Machinery, Equipment &amp; Components</v>
    <v>Stock</v>
    <v>46178.467523148145</v>
    <v>479</v>
    <v>1915</v>
    <v>174682900000</v>
    <v>GRINDWELL NORTON LIMITED</v>
    <v>GRINDWELL NORTON LIMITED</v>
    <v>1915.1</v>
    <v>52.218699999999998</v>
    <v>1921.4</v>
    <v>1958.2</v>
    <v>110720000</v>
    <v>GRINDWELL</v>
    <v>GRINDWELL NORTON LIMITED (XNSE:GRINDWELL)</v>
    <v>76304</v>
    <v>79000</v>
    <v>1950</v>
  </rv>
  <rv s="2">
    <v>480</v>
  </rv>
  <rv s="0">
    <v>https://www.bing.com/financeapi/forcetrigger?t=ahj9zr&amp;q=XNSE%3aONGC&amp;form=skydnc</v>
    <v>Learn more on Bing</v>
  </rv>
  <rv s="1">
    <v>en-IN</v>
    <v>ahj9zr</v>
    <v>268435456</v>
    <v>1</v>
    <v>Powered by Refinitiv</v>
    <v>0</v>
    <v>OIL AND NATURAL GAS CORPORATION LIMITED (XNSE:ONGC)</v>
    <v>2</v>
    <v>3</v>
    <v>Finance</v>
    <v>4</v>
    <v>307.5</v>
    <v>228.61</v>
    <v>0.58950000000000002</v>
    <v>-2.8</v>
    <v>-1.0465E-2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268.45</v>
    <v>Oil &amp; Gas</v>
    <v>Stock</v>
    <v>46178.467499999999</v>
    <v>482</v>
    <v>263.7</v>
    <v>3066821000000</v>
    <v>OIL AND NATURAL GAS CORPORATION LIMITED</v>
    <v>OIL AND NATURAL GAS CORPORATION LIMITED</v>
    <v>267.8</v>
    <v>8.0397999999999996</v>
    <v>267.55</v>
    <v>264.75</v>
    <v>12580280000</v>
    <v>ONGC</v>
    <v>OIL AND NATURAL GAS CORPORATION LIMITED (XNSE:ONGC)</v>
    <v>7493239</v>
    <v>20845990</v>
    <v>1993</v>
  </rv>
  <rv s="2">
    <v>483</v>
  </rv>
  <rv s="0">
    <v>https://www.bing.com/financeapi/forcetrigger?t=bspynm&amp;q=XNSE%3aAPOLLOPIPE&amp;form=skydnc</v>
    <v>Learn more on Bing</v>
  </rv>
  <rv s="1">
    <v>en-IN</v>
    <v>bspynm</v>
    <v>268435456</v>
    <v>1</v>
    <v>Powered by Refinitiv</v>
    <v>0</v>
    <v>APOLLO PIPES LIMITED (XNSE:APOLLOPIPE)</v>
    <v>2</v>
    <v>3</v>
    <v>Finance</v>
    <v>4</v>
    <v>554</v>
    <v>252.1</v>
    <v>0.72729999999999995</v>
    <v>17.850000000000001</v>
    <v>3.7187999999999999E-2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506</v>
    <v>Homebuilding &amp; Construction Supplies</v>
    <v>Stock</v>
    <v>46178.467523148145</v>
    <v>485</v>
    <v>477.05</v>
    <v>12778790000</v>
    <v>APOLLO PIPES LIMITED</v>
    <v>APOLLO PIPES LIMITED</v>
    <v>480</v>
    <v>302.75479999999999</v>
    <v>480</v>
    <v>497.85</v>
    <v>43919360</v>
    <v>APOLLOPIPE</v>
    <v>APOLLO PIPES LIMITED (XNSE:APOLLOPIPE)</v>
    <v>326312</v>
    <v>325280</v>
    <v>1985</v>
  </rv>
  <rv s="2">
    <v>486</v>
  </rv>
  <rv s="0">
    <v>https://www.bing.com/financeapi/forcetrigger?t=ahi5f2&amp;q=XNSE%3aHINDCOPPER&amp;form=skydnc</v>
    <v>Learn more on Bing</v>
  </rv>
  <rv s="1">
    <v>en-IN</v>
    <v>ahi5f2</v>
    <v>268435456</v>
    <v>1</v>
    <v>Powered by Refinitiv</v>
    <v>0</v>
    <v>HINDUSTAN COPPER LTD (XNSE:HINDCOPPER)</v>
    <v>2</v>
    <v>3</v>
    <v>Finance</v>
    <v>4</v>
    <v>760.05</v>
    <v>226.7</v>
    <v>1.5168999999999999</v>
    <v>-15.05</v>
    <v>-2.7798E-2</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541.1</v>
    <v>Metals &amp; Mining</v>
    <v>Stock</v>
    <v>46178.467534722222</v>
    <v>488</v>
    <v>522.75</v>
    <v>521661100000</v>
    <v>HINDUSTAN COPPER LTD</v>
    <v>HINDUSTAN COPPER LTD</v>
    <v>538</v>
    <v>55.4636</v>
    <v>541.4</v>
    <v>526.35</v>
    <v>967024000</v>
    <v>HINDCOPPER</v>
    <v>HINDUSTAN COPPER LTD (XNSE:HINDCOPPER)</v>
    <v>3321996</v>
    <v>4574140</v>
    <v>1967</v>
  </rv>
  <rv s="2">
    <v>489</v>
  </rv>
  <rv s="0">
    <v>https://www.bing.com/financeapi/forcetrigger?t=ayp6zr&amp;q=XNSE%3aAPOLLO&amp;form=skydnc</v>
    <v>Learn more on Bing</v>
  </rv>
  <rv s="1">
    <v>en-IN</v>
    <v>ayp6zr</v>
    <v>268435456</v>
    <v>1</v>
    <v>Powered by Refinitiv</v>
    <v>0</v>
    <v>APOLLO MICRO SYSTEMS LIMITED (XNSE:APOLLO)</v>
    <v>2</v>
    <v>3</v>
    <v>Finance</v>
    <v>4</v>
    <v>446.9</v>
    <v>162.34</v>
    <v>1.2073</v>
    <v>2.15</v>
    <v>5.1289999999999999E-3</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432.7</v>
    <v>Aerospace &amp; Defense</v>
    <v>Stock</v>
    <v>46178.467499999999</v>
    <v>491</v>
    <v>414.85</v>
    <v>88930090000</v>
    <v>APOLLO MICRO SYSTEMS LIMITED</v>
    <v>APOLLO MICRO SYSTEMS LIMITED</v>
    <v>422</v>
    <v>128.85319999999999</v>
    <v>419.2</v>
    <v>421.35</v>
    <v>357305500</v>
    <v>APOLLO</v>
    <v>APOLLO MICRO SYSTEMS LIMITED (XNSE:APOLLO)</v>
    <v>27746500</v>
    <v>44601380</v>
    <v>1997</v>
  </rv>
  <rv s="2">
    <v>492</v>
  </rv>
  <rv s="0">
    <v>https://www.bing.com/financeapi/forcetrigger?t=ahi4oc&amp;q=XNSE%3aHFCL&amp;form=skydnc</v>
    <v>Learn more on Bing</v>
  </rv>
  <rv s="1">
    <v>en-IN</v>
    <v>ahi4oc</v>
    <v>268435456</v>
    <v>1</v>
    <v>Powered by Refinitiv</v>
    <v>0</v>
    <v>HFCL LIMITED (XNSE:HFCL)</v>
    <v>2</v>
    <v>3</v>
    <v>Finance</v>
    <v>4</v>
    <v>208.98</v>
    <v>59.82</v>
    <v>1.4966999999999999</v>
    <v>-9.85</v>
    <v>-4.9980000000000004E-2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197</v>
    <v>Communications &amp; Networking</v>
    <v>Stock</v>
    <v>46178.467546296299</v>
    <v>494</v>
    <v>187.23</v>
    <v>90391200000</v>
    <v>HFCL LIMITED</v>
    <v>HFCL LIMITED</v>
    <v>196</v>
    <v>87.901399999999995</v>
    <v>197.08</v>
    <v>187.23</v>
    <v>1530264000</v>
    <v>HFCL</v>
    <v>HFCL LIMITED (XNSE:HFCL)</v>
    <v>43262952</v>
    <v>67699410</v>
    <v>1987</v>
  </rv>
  <rv s="2">
    <v>495</v>
  </rv>
  <rv s="0">
    <v>https://www.bing.com/financeapi/forcetrigger?t=ahh1k2&amp;q=XNSE%3aAUROPHARMA&amp;form=skydnc</v>
    <v>Learn more on Bing</v>
  </rv>
  <rv s="1">
    <v>en-IN</v>
    <v>ahh1k2</v>
    <v>268435456</v>
    <v>1</v>
    <v>Powered by Refinitiv</v>
    <v>0</v>
    <v>AUROBINDO PHARMA LTD (XNSE:AUROPHARMA)</v>
    <v>2</v>
    <v>3</v>
    <v>Finance</v>
    <v>4</v>
    <v>1550</v>
    <v>1016.1</v>
    <v>0.60150000000000003</v>
    <v>-1.3</v>
    <v>-8.8820000000000001E-4</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1496.5</v>
    <v>Pharmaceuticals</v>
    <v>Stock</v>
    <v>46178.467499999999</v>
    <v>497</v>
    <v>1456</v>
    <v>678202100000</v>
    <v>AUROBINDO PHARMA LTD</v>
    <v>AUROBINDO PHARMA LTD</v>
    <v>1483.9</v>
    <v>24.26</v>
    <v>1463.6</v>
    <v>1462.3</v>
    <v>575377900</v>
    <v>AUROPHARMA</v>
    <v>AUROBINDO PHARMA LTD (XNSE:AUROPHARMA)</v>
    <v>1282019</v>
    <v>1526680</v>
    <v>1986</v>
  </rv>
  <rv s="2">
    <v>498</v>
  </rv>
  <rv s="0">
    <v>https://www.bing.com/financeapi/forcetrigger?t=ahjuw7&amp;q=XNSE%3aSELAN&amp;form=skydnc</v>
    <v>Learn more on Bing</v>
  </rv>
  <rv s="1">
    <v>en-IN</v>
    <v>ahjuw7</v>
    <v>268435456</v>
    <v>1</v>
    <v>Powered by Refinitiv</v>
    <v>0</v>
    <v>ANTELOPUS SELAN ENERGY LIMITED (XNSE:ANTELOPUS)</v>
    <v>2</v>
    <v>3</v>
    <v>Finance</v>
    <v>4</v>
    <v>925</v>
    <v>357</v>
    <v>0.80230000000000001</v>
    <v>-16</v>
    <v>-1.7479999999999999E-2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925</v>
    <v>Oil &amp; Gas</v>
    <v>Stock</v>
    <v>46178.467523148145</v>
    <v>500</v>
    <v>876</v>
    <v>12932710000</v>
    <v>ANTELOPUS SELAN ENERGY LIMITED</v>
    <v>ANTELOPUS SELAN ENERGY LIMITED</v>
    <v>925</v>
    <v>35.296300000000002</v>
    <v>915.35</v>
    <v>899.35</v>
    <v>35162360</v>
    <v>ANTELOPUS</v>
    <v>ANTELOPUS SELAN ENERGY LIMITED (XNSE:ANTELOPUS)</v>
    <v>218479</v>
    <v>157430</v>
    <v>1985</v>
  </rv>
  <rv s="2">
    <v>501</v>
  </rv>
  <rv s="0">
    <v>https://www.bing.com/financeapi/forcetrigger?t=ahhbzr&amp;q=XNSE%3aCARERATING&amp;form=skydnc</v>
    <v>Learn more on Bing</v>
  </rv>
  <rv s="1">
    <v>en-IN</v>
    <v>ahhbzr</v>
    <v>268435456</v>
    <v>1</v>
    <v>Powered by Refinitiv</v>
    <v>0</v>
    <v>CARE RATINGS LIMITED (XNSE:CARERATING)</v>
    <v>2</v>
    <v>3</v>
    <v>Finance</v>
    <v>4</v>
    <v>1964</v>
    <v>1392.7</v>
    <v>0.3579</v>
    <v>-9</v>
    <v>-5.5600000000000007E-3</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1623.8</v>
    <v>Professional &amp; Commercial Services</v>
    <v>Stock</v>
    <v>46178.467557870368</v>
    <v>503</v>
    <v>1595.1</v>
    <v>48625760000</v>
    <v>CARE RATINGS LIMITED</v>
    <v>CARE RATINGS LIMITED</v>
    <v>1611</v>
    <v>28.37</v>
    <v>1618.6</v>
    <v>1609.6</v>
    <v>30049160</v>
    <v>CARERATING</v>
    <v>CARE RATINGS LIMITED (XNSE:CARERATING)</v>
    <v>19529</v>
    <v>45490</v>
    <v>1993</v>
  </rv>
  <rv s="2">
    <v>504</v>
  </rv>
  <rv s="0">
    <v>https://www.bing.com/financeapi/forcetrigger?t=ahhaur&amp;q=XNSE%3aZYDUSLIFE&amp;form=skydnc</v>
    <v>Learn more on Bing</v>
  </rv>
  <rv s="1">
    <v>en-IN</v>
    <v>ahhaur</v>
    <v>268435456</v>
    <v>1</v>
    <v>Powered by Refinitiv</v>
    <v>0</v>
    <v>ZYDUS LIFESCIENCES LIMITED (XNSE:ZYDUSLIFE)</v>
    <v>2</v>
    <v>3</v>
    <v>Finance</v>
    <v>4</v>
    <v>1115.5</v>
    <v>835.5</v>
    <v>0.52010000000000001</v>
    <v>4.4000000000000004</v>
    <v>4.0569999999999998E-3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1097</v>
    <v>Pharmaceuticals</v>
    <v>Stock</v>
    <v>46178.467511574076</v>
    <v>506</v>
    <v>1082.2</v>
    <v>906314900000</v>
    <v>ZYDUS LIFESCIENCES LIMITED</v>
    <v>ZYDUS LIFESCIENCES LIMITED</v>
    <v>1085.0999999999999</v>
    <v>21.65</v>
    <v>1084.5999999999999</v>
    <v>1089</v>
    <v>1006234000</v>
    <v>ZYDUSLIFE</v>
    <v>ZYDUS LIFESCIENCES LIMITED (XNSE:ZYDUSLIFE)</v>
    <v>919205</v>
    <v>3310610</v>
    <v>1995</v>
  </rv>
  <rv s="2">
    <v>507</v>
  </rv>
  <rv s="0">
    <v>https://www.bing.com/financeapi/forcetrigger?t=ahixf2&amp;q=XNSE%3aMCLEODRUSS&amp;form=skydnc</v>
    <v>Learn more on Bing</v>
  </rv>
  <rv s="1">
    <v>en-IN</v>
    <v>ahixf2</v>
    <v>268435456</v>
    <v>1</v>
    <v>Powered by Refinitiv</v>
    <v>0</v>
    <v>MCLEOD RUSSEL INDIA LIMITED (XNSE:MCLEODRUSS)</v>
    <v>2</v>
    <v>3</v>
    <v>Finance</v>
    <v>4</v>
    <v>78.41</v>
    <v>28.5</v>
    <v>1.6383000000000001</v>
    <v>-1.44</v>
    <v>-1.9903000000000001E-2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71.010000000000005</v>
    <v>Food &amp; Tobacco</v>
    <v>Stock</v>
    <v>46178.467523148145</v>
    <v>509</v>
    <v>70.91</v>
    <v>4783028000</v>
    <v>MCLEOD RUSSEL INDIA LIMITED</v>
    <v>MCLEOD RUSSEL INDIA LIMITED</v>
    <v>71.010000000000005</v>
    <v>0</v>
    <v>72.349999999999994</v>
    <v>70.91</v>
    <v>104455700</v>
    <v>MCLEODRUSS</v>
    <v>MCLEOD RUSSEL INDIA LIMITED (XNSE:MCLEODRUSS)</v>
    <v>496879</v>
    <v>488060</v>
    <v>1998</v>
  </rv>
  <rv s="2">
    <v>510</v>
  </rv>
  <rv s="0">
    <v>https://www.bing.com/financeapi/forcetrigger?t=ahgt7w&amp;q=XNSE%3aAJANTPHARM&amp;form=skydnc</v>
    <v>Learn more on Bing</v>
  </rv>
  <rv s="1">
    <v>en-IN</v>
    <v>ahgt7w</v>
    <v>268435456</v>
    <v>1</v>
    <v>Powered by Refinitiv</v>
    <v>0</v>
    <v>AJANTA PHARMA LIMITED (XNSE:AJANTPHARM)</v>
    <v>2</v>
    <v>3</v>
    <v>Finance</v>
    <v>4</v>
    <v>3314.9</v>
    <v>2329.9</v>
    <v>0.61550000000000005</v>
    <v>28.8</v>
    <v>9.7699999999999992E-3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3025.1</v>
    <v>Pharmaceuticals</v>
    <v>Stock</v>
    <v>46178.467511574076</v>
    <v>512</v>
    <v>2900</v>
    <v>341149200000</v>
    <v>AJANTA PHARMA LIMITED</v>
    <v>AJANTA PHARMA LIMITED</v>
    <v>2981.1</v>
    <v>34.869999999999997</v>
    <v>2947.7</v>
    <v>2976.5</v>
    <v>124935600</v>
    <v>AJANTPHARM</v>
    <v>AJANTA PHARMA LIMITED (XNSE:AJANTPHARM)</v>
    <v>108169</v>
    <v>114650</v>
    <v>1979</v>
  </rv>
  <rv s="2">
    <v>513</v>
  </rv>
  <rv s="0">
    <v>https://www.bing.com/financeapi/forcetrigger?t=ahixw7&amp;q=XNSE%3aMENONBE&amp;form=skydnc</v>
    <v>Learn more on Bing</v>
  </rv>
  <rv s="1">
    <v>en-IN</v>
    <v>ahixw7</v>
    <v>268435456</v>
    <v>1</v>
    <v>Powered by Refinitiv</v>
    <v>0</v>
    <v>MENON BEARINGS LIMITED (XNSE:MENONBE)</v>
    <v>2</v>
    <v>3</v>
    <v>Finance</v>
    <v>4</v>
    <v>159.9</v>
    <v>101.5</v>
    <v>0.69579999999999997</v>
    <v>-2.77</v>
    <v>-1.9578999999999999E-2</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142.59</v>
    <v>Automobiles &amp; Auto Parts</v>
    <v>Stock</v>
    <v>46178.467511574076</v>
    <v>515</v>
    <v>137.61000000000001</v>
    <v>7107553000</v>
    <v>MENON BEARINGS LIMITED</v>
    <v>MENON BEARINGS LIMITED</v>
    <v>141.47999999999999</v>
    <v>20.338699999999999</v>
    <v>141.47999999999999</v>
    <v>138.71</v>
    <v>56040000</v>
    <v>MENONBE</v>
    <v>MENON BEARINGS LIMITED (XNSE:MENONBE)</v>
    <v>68023</v>
    <v>138160</v>
    <v>1991</v>
  </rv>
  <rv s="2">
    <v>516</v>
  </rv>
  <rv s="0">
    <v>https://www.bing.com/financeapi/forcetrigger?t=ahjvmw&amp;q=XNSE%3aSFL&amp;form=skydnc</v>
    <v>Learn more on Bing</v>
  </rv>
  <rv s="1">
    <v>en-IN</v>
    <v>ahjvmw</v>
    <v>268435456</v>
    <v>1</v>
    <v>Powered by Refinitiv</v>
    <v>0</v>
    <v>SHEELA FOAM LIMITED (XNSE:SFL)</v>
    <v>2</v>
    <v>3</v>
    <v>Finance</v>
    <v>4</v>
    <v>769.9</v>
    <v>456.8</v>
    <v>0.72409999999999997</v>
    <v>19.600000000000001</v>
    <v>3.1453000000000002E-2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647</v>
    <v>Household Goods</v>
    <v>Stock</v>
    <v>46178.467534722222</v>
    <v>518</v>
    <v>621.04999999999995</v>
    <v>61927090000</v>
    <v>SHEELA FOAM LIMITED</v>
    <v>SHEELA FOAM LIMITED</v>
    <v>626</v>
    <v>42.42</v>
    <v>623.15</v>
    <v>642.75</v>
    <v>109203300</v>
    <v>SFL</v>
    <v>SHEELA FOAM LIMITED (XNSE:SFL)</v>
    <v>500842</v>
    <v>537810</v>
    <v>1971</v>
  </rv>
  <rv s="2">
    <v>519</v>
  </rv>
  <rv s="3">
    <v>en-IN</v>
    <v>c839hw</v>
    <v>268435456</v>
    <v>1</v>
    <v>Powered by Refinitiv</v>
    <v>5</v>
    <v>GLOBAL HEALTH LIMITED (XNSE:MEDANTA)</v>
    <v>6</v>
    <v>3</v>
    <v>Finance</v>
    <v>4</v>
    <v>1456.5</v>
    <v>956</v>
    <v>0.498</v>
    <v>8.1999999999999993</v>
    <v>6.6569999999999997E-3</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1253.3</v>
    <v>Healthcare Providers &amp; Services</v>
    <v>Stock</v>
    <v>46178.467523148145</v>
    <v>1228.0999999999999</v>
    <v>313849100000</v>
    <v>GLOBAL HEALTH LIMITED</v>
    <v>GLOBAL HEALTH LIMITED</v>
    <v>1231.9000000000001</v>
    <v>59.874499999999998</v>
    <v>1231.8</v>
    <v>1240</v>
    <v>269070700</v>
    <v>MEDANTA</v>
    <v>GLOBAL HEALTH LIMITED (XNSE:MEDANTA)</v>
    <v>310258</v>
    <v>158700</v>
    <v>2004</v>
  </rv>
  <rv s="2">
    <v>521</v>
  </rv>
  <rv s="3">
    <v>en-IN</v>
    <v>c9qntc</v>
    <v>268435456</v>
    <v>1</v>
    <v>Powered by Refinitiv</v>
    <v>5</v>
    <v>MANKIND PHARMA LIMITED (XNSE:MANKIND)</v>
    <v>6</v>
    <v>3</v>
    <v>Finance</v>
    <v>4</v>
    <v>2716.5</v>
    <v>1909.7</v>
    <v>0.502</v>
    <v>-16.899999999999999</v>
    <v>-7.1819999999999991E-3</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2371.6999999999998</v>
    <v>Pharmaceuticals</v>
    <v>Stock</v>
    <v>46178.467523148145</v>
    <v>2331</v>
    <v>913909100000</v>
    <v>MANKIND PHARMA LIMITED</v>
    <v>MANKIND PHARMA LIMITED</v>
    <v>2354.1999999999998</v>
    <v>50.401299999999999</v>
    <v>2353</v>
    <v>2336.1</v>
    <v>412909200</v>
    <v>MANKIND</v>
    <v>MANKIND PHARMA LIMITED (XNSE:MANKIND)</v>
    <v>160181</v>
    <v>881770</v>
    <v>1991</v>
  </rv>
  <rv s="2">
    <v>523</v>
  </rv>
  <rv s="0">
    <v>https://www.bing.com/financeapi/forcetrigger?t=ahidnm&amp;q=XNSE%3aIPCALAB&amp;form=skydnc</v>
    <v>Learn more on Bing</v>
  </rv>
  <rv s="1">
    <v>en-IN</v>
    <v>ahidnm</v>
    <v>268435456</v>
    <v>1</v>
    <v>Powered by Refinitiv</v>
    <v>0</v>
    <v>IPCA LABORATORIES LIMITED (XNSE:IPCALAB)</v>
    <v>2</v>
    <v>3</v>
    <v>Finance</v>
    <v>4</v>
    <v>1678.3</v>
    <v>1251.5999999999999</v>
    <v>0.4531</v>
    <v>27.9</v>
    <v>1.7285999999999999E-2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1650.6</v>
    <v>Pharmaceuticals</v>
    <v>Stock</v>
    <v>46178.467499999999</v>
    <v>525</v>
    <v>1610.3</v>
    <v>382535200000</v>
    <v>IPCA LABORATORIES LIMITED</v>
    <v>IPCA LABORATORIES LIMITED</v>
    <v>1614.9</v>
    <v>36.502899999999997</v>
    <v>1614</v>
    <v>1641.9</v>
    <v>253704200</v>
    <v>IPCALAB</v>
    <v>IPCA LABORATORIES LIMITED (XNSE:IPCALAB)</v>
    <v>242278</v>
    <v>282050</v>
    <v>1949</v>
  </rv>
  <rv s="2">
    <v>526</v>
  </rv>
  <rv s="0">
    <v>https://www.bing.com/financeapi/forcetrigger?t=ahj827&amp;q=XNSE%3aNLCINDIA&amp;form=skydnc</v>
    <v>Learn more on Bing</v>
  </rv>
  <rv s="1">
    <v>en-IN</v>
    <v>ahj827</v>
    <v>268435456</v>
    <v>1</v>
    <v>Powered by Refinitiv</v>
    <v>0</v>
    <v>NLC INDIA LIMITED (XNSE:NLCINDIA)</v>
    <v>2</v>
    <v>3</v>
    <v>Finance</v>
    <v>4</v>
    <v>387.8</v>
    <v>220.71</v>
    <v>1.1769000000000001</v>
    <v>-2</v>
    <v>-5.9069999999999999E-3</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347.9</v>
    <v>Electrical Utilities &amp; IPPs</v>
    <v>Stock</v>
    <v>46178.467511574076</v>
    <v>528</v>
    <v>333.35</v>
    <v>354077700000</v>
    <v>NLC INDIA LIMITED</v>
    <v>NLC INDIA LIMITED</v>
    <v>340.5</v>
    <v>12.75</v>
    <v>338.6</v>
    <v>336.6</v>
    <v>1386637000</v>
    <v>NLCINDIA</v>
    <v>NLC INDIA LIMITED (XNSE:NLCINDIA)</v>
    <v>3367303</v>
    <v>5205870</v>
    <v>1956</v>
  </rv>
  <rv s="2">
    <v>529</v>
  </rv>
  <rv s="0">
    <v>https://www.bing.com/financeapi/forcetrigger?t=ahiw77&amp;q=XNSE%3aMARKSANS&amp;form=skydnc</v>
    <v>Learn more on Bing</v>
  </rv>
  <rv s="1">
    <v>en-IN</v>
    <v>ahiw77</v>
    <v>268435456</v>
    <v>1</v>
    <v>Powered by Refinitiv</v>
    <v>0</v>
    <v>MARKSANS PHARMA LIMITED (XNSE:MARKSANS)</v>
    <v>2</v>
    <v>3</v>
    <v>Finance</v>
    <v>4</v>
    <v>270.7</v>
    <v>155</v>
    <v>1.5108999999999999</v>
    <v>-5.95</v>
    <v>-2.4881E-2</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244.42</v>
    <v>Pharmaceuticals</v>
    <v>Stock</v>
    <v>46178.467511574076</v>
    <v>531</v>
    <v>230.5</v>
    <v>78646570000</v>
    <v>MARKSANS PHARMA LIMITED</v>
    <v>MARKSANS PHARMA LIMITED</v>
    <v>240.9</v>
    <v>25.91</v>
    <v>239.14</v>
    <v>233.19</v>
    <v>453163800</v>
    <v>MARKSANS</v>
    <v>MARKSANS PHARMA LIMITED (XNSE:MARKSANS)</v>
    <v>1734226</v>
    <v>7367690</v>
    <v>1992</v>
  </rv>
  <rv s="2">
    <v>532</v>
  </rv>
  <rv s="0">
    <v>https://www.bing.com/financeapi/forcetrigger?t=b1ntur&amp;q=XNSE%3aSOLARA&amp;form=skydnc</v>
    <v>Learn more on Bing</v>
  </rv>
  <rv s="1">
    <v>en-IN</v>
    <v>b1ntur</v>
    <v>268435456</v>
    <v>1</v>
    <v>Powered by Refinitiv</v>
    <v>0</v>
    <v>SOLARA ACTIVE PHARMA SCIENCES LIMITED (XNSE:SOLARA)</v>
    <v>2</v>
    <v>3</v>
    <v>Finance</v>
    <v>4</v>
    <v>734.4</v>
    <v>422</v>
    <v>1.639</v>
    <v>-8.4</v>
    <v>-1.5462E-2</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553.20000000000005</v>
    <v>Pharmaceuticals</v>
    <v>Stock</v>
    <v>46178.467499999999</v>
    <v>534</v>
    <v>532</v>
    <v>25036230000</v>
    <v>SOLARA ACTIVE PHARMA SCIENCES LIMITED</v>
    <v>SOLARA ACTIVE PHARMA SCIENCES LIMITED</v>
    <v>549</v>
    <v>0</v>
    <v>543.25</v>
    <v>534.85</v>
    <v>48173760</v>
    <v>SOLARA</v>
    <v>SOLARA ACTIVE PHARMA SCIENCES LIMITED (XNSE:SOLARA)</v>
    <v>98310</v>
    <v>158690</v>
    <v>2017</v>
  </rv>
  <rv s="2">
    <v>535</v>
  </rv>
  <rv s="0">
    <v>https://www.bing.com/financeapi/forcetrigger?t=btjqa2&amp;q=XNSE%3aARTEMISMED&amp;form=skydnc</v>
    <v>Learn more on Bing</v>
  </rv>
  <rv s="1">
    <v>en-IN</v>
    <v>btjqa2</v>
    <v>268435456</v>
    <v>1</v>
    <v>Powered by Refinitiv</v>
    <v>0</v>
    <v>ARTEMIS MEDICARE SERVICES LIMITED (XNSE:ARTEMISMED)</v>
    <v>2</v>
    <v>3</v>
    <v>Finance</v>
    <v>4</v>
    <v>297.5</v>
    <v>203.35</v>
    <v>1.8746</v>
    <v>-2.9</v>
    <v>-1.0697000000000002E-2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276.8</v>
    <v>Healthcare Providers &amp; Services</v>
    <v>Stock</v>
    <v>46178.467534722222</v>
    <v>537</v>
    <v>267.10000000000002</v>
    <v>40550140000</v>
    <v>ARTEMIS MEDICARE SERVICES LIMITED</v>
    <v>ARTEMIS MEDICARE SERVICES LIMITED</v>
    <v>271.39999999999998</v>
    <v>40.884099999999997</v>
    <v>271.10000000000002</v>
    <v>268.2</v>
    <v>158306200</v>
    <v>ARTEMISMED</v>
    <v>ARTEMIS MEDICARE SERVICES LIMITED (XNSE:ARTEMISMED)</v>
    <v>109214</v>
    <v>169090</v>
    <v>2004</v>
  </rv>
  <rv s="2">
    <v>538</v>
  </rv>
  <rv s="0">
    <v>https://www.bing.com/financeapi/forcetrigger?t=ahjtzr&amp;q=XNSE%3aSATIN&amp;form=skydnc</v>
    <v>Learn more on Bing</v>
  </rv>
  <rv s="1">
    <v>en-IN</v>
    <v>ahjtzr</v>
    <v>268435456</v>
    <v>1</v>
    <v>Powered by Refinitiv</v>
    <v>0</v>
    <v>SATIN CREDITCARE NETWORK LIMITED (XNSE:SATIN)</v>
    <v>2</v>
    <v>3</v>
    <v>Finance</v>
    <v>4</v>
    <v>247</v>
    <v>133.01</v>
    <v>1.0641</v>
    <v>-0.54</v>
    <v>-2.232E-3</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244.9</v>
    <v>Banking Services</v>
    <v>Stock</v>
    <v>46178.467511574076</v>
    <v>540</v>
    <v>235.53</v>
    <v>16601590000</v>
    <v>SATIN CREDITCARE NETWORK LIMITED</v>
    <v>SATIN CREDITCARE NETWORK LIMITED</v>
    <v>241.89</v>
    <v>7.9930000000000003</v>
    <v>241.93</v>
    <v>241.39</v>
    <v>110086900</v>
    <v>SATIN</v>
    <v>SATIN CREDITCARE NETWORK LIMITED (XNSE:SATIN)</v>
    <v>706024</v>
    <v>572010</v>
    <v>1990</v>
  </rv>
  <rv s="2">
    <v>541</v>
  </rv>
  <rv s="0">
    <v>https://www.bing.com/financeapi/forcetrigger?t=ahkpxm&amp;q=XNSE%3aZENTEC&amp;form=skydnc</v>
    <v>Learn more on Bing</v>
  </rv>
  <rv s="1">
    <v>en-IN</v>
    <v>ahkpxm</v>
    <v>268435456</v>
    <v>1</v>
    <v>Powered by Refinitiv</v>
    <v>0</v>
    <v>ZEN TECHNOLOGIES LIMITED (XNSE:ZENTEC)</v>
    <v>2</v>
    <v>3</v>
    <v>Finance</v>
    <v>4</v>
    <v>2268</v>
    <v>1223</v>
    <v>1.679</v>
    <v>5.5</v>
    <v>3.039E-3</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1868.9</v>
    <v>Aerospace &amp; Defense</v>
    <v>Stock</v>
    <v>46178.467511574076</v>
    <v>543</v>
    <v>1797.3</v>
    <v>111166200000</v>
    <v>ZEN TECHNOLOGIES LIMITED</v>
    <v>ZEN TECHNOLOGIES LIMITED</v>
    <v>1823</v>
    <v>84.353300000000004</v>
    <v>1809.8</v>
    <v>1815.3</v>
    <v>89931270</v>
    <v>ZENTEC</v>
    <v>ZEN TECHNOLOGIES LIMITED (XNSE:ZENTEC)</v>
    <v>1598541</v>
    <v>1129230</v>
    <v>1993</v>
  </rv>
  <rv s="2">
    <v>544</v>
  </rv>
  <rv s="0">
    <v>https://www.bing.com/financeapi/forcetrigger?t=c111oc&amp;q=XNSE%3aMTARTECH&amp;form=skydnc</v>
    <v>Learn more on Bing</v>
  </rv>
  <rv s="1">
    <v>en-IN</v>
    <v>c111oc</v>
    <v>268435456</v>
    <v>1</v>
    <v>Powered by Refinitiv</v>
    <v>0</v>
    <v>MTAR TECHNOLOGIES LIMITED (XNSE:MTARTECH)</v>
    <v>2</v>
    <v>3</v>
    <v>Finance</v>
    <v>4</v>
    <v>8449.5</v>
    <v>1390.5</v>
    <v>1.0249999999999999</v>
    <v>-220</v>
    <v>-2.8367E-2</v>
    <v>INR</v>
    <v>MTAR Technologies Limited is an India-based engineering company. The Company is engaged in the manufacture of mission-critical precision engineered systems for clean energy, civil nuclear power, fuel cells, hydro wind, space and defense sectors. It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TELANGANA, 500037 IN</v>
    <v>7848.5</v>
    <v>Machinery, Equipment &amp; Components</v>
    <v>Stock</v>
    <v>46178.467499999999</v>
    <v>546</v>
    <v>7420</v>
    <v>81033070000</v>
    <v>MTAR TECHNOLOGIES LIMITED</v>
    <v>MTAR TECHNOLOGIES LIMITED</v>
    <v>7795</v>
    <v>246.41919999999999</v>
    <v>7755.5</v>
    <v>7535.5</v>
    <v>30759590</v>
    <v>MTARTECH</v>
    <v>MTAR TECHNOLOGIES LIMITED (XNSE:MTARTECH)</v>
    <v>1254939</v>
    <v>2177330</v>
    <v>1999</v>
  </rv>
  <rv s="2">
    <v>547</v>
  </rv>
  <rv s="0">
    <v>https://www.bing.com/financeapi/forcetrigger?t=ahixkr&amp;q=XNSE%3aMCX&amp;form=skydnc</v>
    <v>Learn more on Bing</v>
  </rv>
  <rv s="1">
    <v>en-IN</v>
    <v>ahixkr</v>
    <v>268435456</v>
    <v>1</v>
    <v>Powered by Refinitiv</v>
    <v>0</v>
    <v>MULTI COMMODITY EXCHANGE OF INDIA LIMITED (XNSE:MCX)</v>
    <v>2</v>
    <v>3</v>
    <v>Finance</v>
    <v>4</v>
    <v>3480</v>
    <v>1312.2</v>
    <v>1.1249</v>
    <v>-98.5</v>
    <v>-3.4041999999999996E-2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2931.9</v>
    <v>Investment Banking &amp; Investment Services</v>
    <v>Stock</v>
    <v>46178.467557870368</v>
    <v>549</v>
    <v>2751</v>
    <v>583600800000</v>
    <v>MULTI COMMODITY EXCHANGE OF INDIA LIMITED</v>
    <v>MULTI COMMODITY EXCHANGE OF INDIA LIMITED</v>
    <v>2910</v>
    <v>70.522400000000005</v>
    <v>2893.5</v>
    <v>2795</v>
    <v>254514100</v>
    <v>MCX</v>
    <v>MULTI COMMODITY EXCHANGE OF INDIA LIMITED (XNSE:MCX)</v>
    <v>4709089</v>
    <v>4514400</v>
    <v>2002</v>
  </rv>
  <rv s="2">
    <v>550</v>
  </rv>
  <rv s="0">
    <v>https://www.bing.com/financeapi/forcetrigger?t=ahgsbh&amp;q=XNSE%3aBBOX&amp;form=skydnc</v>
    <v>Learn more on Bing</v>
  </rv>
  <rv s="1">
    <v>en-IN</v>
    <v>ahgsbh</v>
    <v>268435456</v>
    <v>1</v>
    <v>Powered by Refinitiv</v>
    <v>0</v>
    <v>BLACK BOX LIMITED (XNSE:BBOX)</v>
    <v>2</v>
    <v>3</v>
    <v>Finance</v>
    <v>4</v>
    <v>1103</v>
    <v>435.05</v>
    <v>1.1589</v>
    <v>-5.3</v>
    <v>-4.9160000000000002E-3</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commercial and industrial businesses.</v>
    <v>314</v>
    <v>National Stock Exchange of India</v>
    <v>XNSE</v>
    <v>XNSE</v>
    <v>501, 5TH FLOOR, BUILDING NO.9, AIROLI KNOWLEDGE PARK,, MIDC INDUSTRIAL AREA,, AIROLI, THANE, MAHARASHTRA, 400708 IN</v>
    <v>1103</v>
    <v>Software &amp; IT Services</v>
    <v>Stock</v>
    <v>46178.467499999999</v>
    <v>552</v>
    <v>1061</v>
    <v>88028660000</v>
    <v>BLACK BOX LIMITED</v>
    <v>BLACK BOX LIMITED</v>
    <v>1100</v>
    <v>83.951499999999996</v>
    <v>1078.2</v>
    <v>1072.9000000000001</v>
    <v>177599200</v>
    <v>BBOX</v>
    <v>BLACK BOX LIMITED (XNSE:BBOX)</v>
    <v>616162</v>
    <v>1160970</v>
    <v>1986</v>
  </rv>
  <rv s="2">
    <v>553</v>
  </rv>
  <rv s="0">
    <v>https://www.bing.com/financeapi/forcetrigger?t=ahko2w&amp;q=XNSE%3aWHEELS&amp;form=skydnc</v>
    <v>Learn more on Bing</v>
  </rv>
  <rv s="1">
    <v>en-IN</v>
    <v>ahko2w</v>
    <v>268435456</v>
    <v>1</v>
    <v>Powered by Refinitiv</v>
    <v>0</v>
    <v>WHEELS INDIA LIMITED (XNSE:WHEELS)</v>
    <v>2</v>
    <v>3</v>
    <v>Finance</v>
    <v>4</v>
    <v>1744</v>
    <v>705.85</v>
    <v>0.75160000000000005</v>
    <v>-41</v>
    <v>-2.682E-2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1617.7</v>
    <v>Automobiles &amp; Auto Parts</v>
    <v>Stock</v>
    <v>46178.467499999999</v>
    <v>555</v>
    <v>1460.5</v>
    <v>19844490000</v>
    <v>WHEELS INDIA LIMITED</v>
    <v>WHEELS INDIA LIMITED</v>
    <v>1546.1</v>
    <v>25.03</v>
    <v>1528.7</v>
    <v>1487.7</v>
    <v>24433010</v>
    <v>WHEELS</v>
    <v>WHEELS INDIA LIMITED (XNSE:WHEELS)</v>
    <v>180561</v>
    <v>179960</v>
    <v>1960</v>
  </rv>
  <rv s="2">
    <v>556</v>
  </rv>
  <rv s="0">
    <v>https://www.bing.com/financeapi/forcetrigger?t=ahk552&amp;q=XNSE%3aSTLTECH&amp;form=skydnc</v>
    <v>Learn more on Bing</v>
  </rv>
  <rv s="1">
    <v>en-IN</v>
    <v>ahk552</v>
    <v>268435456</v>
    <v>1</v>
    <v>Powered by Refinitiv</v>
    <v>0</v>
    <v>STERLITE TECHNOLOGIES LIMITED (XNSE:STLTECH)</v>
    <v>2</v>
    <v>3</v>
    <v>Finance</v>
    <v>4</v>
    <v>679.9</v>
    <v>70.11</v>
    <v>0.58630000000000004</v>
    <v>-32.35</v>
    <v>-4.9646999999999997E-2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679.9</v>
    <v>Communications &amp; Networking</v>
    <v>Stock</v>
    <v>46178.467511574076</v>
    <v>558</v>
    <v>619.04999999999995</v>
    <v>45349750000</v>
    <v>STERLITE TECHNOLOGIES LIMITED</v>
    <v>STERLITE TECHNOLOGIES LIMITED</v>
    <v>645</v>
    <v>543.20180000000005</v>
    <v>651.6</v>
    <v>619.25</v>
    <v>488167600</v>
    <v>STLTECH</v>
    <v>STERLITE TECHNOLOGIES LIMITED (XNSE:STLTECH)</v>
    <v>8658536</v>
    <v>2478540</v>
    <v>2000</v>
  </rv>
  <rv s="2">
    <v>559</v>
  </rv>
  <rv s="0">
    <v>https://www.bing.com/financeapi/forcetrigger?t=ahhh2w&amp;q=XNSE%3aCUPID&amp;form=skydnc</v>
    <v>Learn more on Bing</v>
  </rv>
  <rv s="1">
    <v>en-IN</v>
    <v>ahhh2w</v>
    <v>268435456</v>
    <v>1</v>
    <v>Powered by Refinitiv</v>
    <v>0</v>
    <v>CUPID LIMITED (XNSE:CUPID)</v>
    <v>2</v>
    <v>3</v>
    <v>Finance</v>
    <v>4</v>
    <v>137.9</v>
    <v>17.68</v>
    <v>0.47010000000000002</v>
    <v>4.01</v>
    <v>3.0130000000000001E-2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137.9</v>
    <v>Personal &amp; Household Products &amp; Services</v>
    <v>Stock</v>
    <v>46178.467534722222</v>
    <v>561</v>
    <v>133.65</v>
    <v>117816800000</v>
    <v>CUPID LIMITED</v>
    <v>CUPID LIMITED</v>
    <v>134</v>
    <v>170.14150000000001</v>
    <v>133.09</v>
    <v>137.1</v>
    <v>268467100</v>
    <v>CUPID</v>
    <v>CUPID LIMITED (XNSE:CUPID)</v>
    <v>15150953</v>
    <v>11916010</v>
    <v>1993</v>
  </rv>
  <rv s="2">
    <v>562</v>
  </rv>
  <rv s="0">
    <v>https://www.bing.com/financeapi/forcetrigger?t=ahipz2&amp;q=XNSE%3aLAURUSLABS&amp;form=skydnc</v>
    <v>Learn more on Bing</v>
  </rv>
  <rv s="1">
    <v>en-IN</v>
    <v>ahipz2</v>
    <v>268435456</v>
    <v>1</v>
    <v>Powered by Refinitiv</v>
    <v>0</v>
    <v>LAURUS LABS LIMITED (XNSE:LAURUSLABS)</v>
    <v>2</v>
    <v>3</v>
    <v>Finance</v>
    <v>4</v>
    <v>1450.1</v>
    <v>606.20000000000005</v>
    <v>0.86439999999999995</v>
    <v>19.600000000000001</v>
    <v>1.3733E-2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1450.1</v>
    <v>Pharmaceuticals</v>
    <v>Stock</v>
    <v>46178.467534722222</v>
    <v>564</v>
    <v>1428.4</v>
    <v>571330300000</v>
    <v>LAURUS LABS LIMITED</v>
    <v>LAURUS LABS LIMITED</v>
    <v>1435</v>
    <v>86.65</v>
    <v>1427.2</v>
    <v>1446.8</v>
    <v>539856600</v>
    <v>LAURUSLABS</v>
    <v>LAURUS LABS LIMITED (XNSE:LAURUSLABS)</v>
    <v>1515580</v>
    <v>1912910</v>
    <v>2005</v>
  </rv>
  <rv s="2">
    <v>565</v>
  </rv>
  <rv s="0">
    <v>https://www.bing.com/financeapi/forcetrigger?t=ahimh7&amp;q=XNSE%3aKIRLOSENG&amp;form=skydnc</v>
    <v>Learn more on Bing</v>
  </rv>
  <rv s="1">
    <v>en-IN</v>
    <v>ahimh7</v>
    <v>268435456</v>
    <v>1</v>
    <v>Powered by Refinitiv</v>
    <v>0</v>
    <v>KIRLOSKAR OIL ENGINES LIMITED (XNSE:KIRLOSENG)</v>
    <v>2</v>
    <v>3</v>
    <v>Finance</v>
    <v>4</v>
    <v>1990.8</v>
    <v>825.6</v>
    <v>1.3031999999999999</v>
    <v>-36.6</v>
    <v>-1.8769999999999998E-2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1974</v>
    <v>Machinery, Equipment &amp; Components</v>
    <v>Stock</v>
    <v>46178.467534722222</v>
    <v>567</v>
    <v>1902.3</v>
    <v>167243400000</v>
    <v>KIRLOSKAR OIL ENGINES LIMITED</v>
    <v>KIRLOSKAR OIL ENGINES LIMITED</v>
    <v>1974</v>
    <v>48.816600000000001</v>
    <v>1949.9</v>
    <v>1913.3</v>
    <v>145379900</v>
    <v>KIRLOSENG</v>
    <v>KIRLOSKAR OIL ENGINES LIMITED (XNSE:KIRLOSENG)</v>
    <v>248496</v>
    <v>502490</v>
    <v>2009</v>
  </rv>
  <rv s="2">
    <v>568</v>
  </rv>
  <rv s="0">
    <v>https://www.bing.com/financeapi/forcetrigger?t=ahhgz2&amp;q=XNSE%3aCUMMINSIND&amp;form=skydnc</v>
    <v>Learn more on Bing</v>
  </rv>
  <rv s="1">
    <v>en-IN</v>
    <v>ahhgz2</v>
    <v>268435456</v>
    <v>1</v>
    <v>Powered by Refinitiv</v>
    <v>0</v>
    <v>CUMMINS INDIA LIMITED (XNSE:CUMMINSIND)</v>
    <v>2</v>
    <v>3</v>
    <v>Finance</v>
    <v>4</v>
    <v>6100</v>
    <v>3212.2</v>
    <v>1.1840999999999999</v>
    <v>-3.5</v>
    <v>-6.0479999999999996E-4</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5869</v>
    <v>Automobiles &amp; Auto Parts</v>
    <v>Stock</v>
    <v>46178.467499999999</v>
    <v>570</v>
    <v>5750</v>
    <v>1102646000000</v>
    <v>CUMMINS INDIA LIMITED</v>
    <v>CUMMINS INDIA LIMITED</v>
    <v>5845</v>
    <v>67.887299999999996</v>
    <v>5787.5</v>
    <v>5784</v>
    <v>277200000</v>
    <v>CUMMINSIND</v>
    <v>CUMMINS INDIA LIMITED (XNSE:CUMMINSIND)</v>
    <v>381090</v>
    <v>708990</v>
    <v>1962</v>
  </rv>
  <rv s="2">
    <v>571</v>
  </rv>
  <rv s="0">
    <v>https://www.bing.com/financeapi/forcetrigger?t=ahgr6h&amp;q=XNSE%3aADANIPORTS&amp;form=skydnc</v>
    <v>Learn more on Bing</v>
  </rv>
  <rv s="1">
    <v>en-IN</v>
    <v>ahgr6h</v>
    <v>268435456</v>
    <v>1</v>
    <v>Powered by Refinitiv</v>
    <v>0</v>
    <v>ADANI PORTS AND SPECIAL ECONOMIC ZONE LIMITED (XNSE:ADANIPORTS)</v>
    <v>2</v>
    <v>3</v>
    <v>Finance</v>
    <v>4</v>
    <v>1842.8</v>
    <v>1290.5</v>
    <v>1.3854</v>
    <v>33.299999999999997</v>
    <v>1.8593999999999999E-2</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3372</v>
    <v>National Stock Exchange of India</v>
    <v>XNSE</v>
    <v>XNSE</v>
    <v>Adani Corporate House, Shantigram, Near Vaishno Devi Circle, S. G. Highway, Khodiyar, AHMEDABAD, GUJARAT, 382421 IN</v>
    <v>1827.9</v>
    <v>Transport Infrastructure</v>
    <v>Stock</v>
    <v>46178.467523148145</v>
    <v>573</v>
    <v>1796.7</v>
    <v>3291436000000</v>
    <v>ADANI PORTS AND SPECIAL ECONOMIC ZONE LIMITED</v>
    <v>ADANI PORTS AND SPECIAL ECONOMIC ZONE LIMITED</v>
    <v>1801.5</v>
    <v>31.328099999999999</v>
    <v>1790.9</v>
    <v>1824.2</v>
    <v>2303959000</v>
    <v>ADANIPORTS</v>
    <v>ADANI PORTS AND SPECIAL ECONOMIC ZONE LIMITED (XNSE:ADANIPORTS)</v>
    <v>1640762</v>
    <v>2021200</v>
    <v>1998</v>
  </rv>
  <rv s="2">
    <v>574</v>
  </rv>
  <rv s="0">
    <v>https://www.bing.com/financeapi/forcetrigger?t=ahjryc&amp;q=XNSE%3aSAKAR&amp;form=skydnc</v>
    <v>Learn more on Bing</v>
  </rv>
  <rv s="1">
    <v>en-IN</v>
    <v>ahjryc</v>
    <v>268435456</v>
    <v>1</v>
    <v>Powered by Refinitiv</v>
    <v>0</v>
    <v>SAKAR HEALTHCARE LIMITED (XNSE:SAKAR)</v>
    <v>2</v>
    <v>3</v>
    <v>Finance</v>
    <v>4</v>
    <v>871.3</v>
    <v>306.35000000000002</v>
    <v>0.79720000000000002</v>
    <v>-41.65</v>
    <v>-5.1114E-2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824.9</v>
    <v>Pharmaceuticals</v>
    <v>Stock</v>
    <v>46178.467511574076</v>
    <v>576</v>
    <v>763.35</v>
    <v>8347054000</v>
    <v>SAKAR HEALTHCARE LIMITED</v>
    <v>SAKAR HEALTHCARE LIMITED</v>
    <v>823.8</v>
    <v>56.479199999999999</v>
    <v>814.85</v>
    <v>773.2</v>
    <v>21949910</v>
    <v>SAKAR</v>
    <v>SAKAR HEALTHCARE LIMITED (XNSE:SAKAR)</v>
    <v>134932</v>
    <v>182620</v>
    <v>2004</v>
  </rv>
  <rv s="2">
    <v>577</v>
  </rv>
  <rv s="0">
    <v>https://www.bing.com/financeapi/forcetrigger?t=ahivm7&amp;q=XNSE%3aMANINDS&amp;form=skydnc</v>
    <v>Learn more on Bing</v>
  </rv>
  <rv s="1">
    <v>en-IN</v>
    <v>ahivm7</v>
    <v>268435456</v>
    <v>1</v>
    <v>Powered by Refinitiv</v>
    <v>0</v>
    <v>MAN INDUSTRIES (INDIA) LIMITED (XNSE:MANINDS)</v>
    <v>2</v>
    <v>3</v>
    <v>Finance</v>
    <v>4</v>
    <v>606.4</v>
    <v>302.05</v>
    <v>1.9573</v>
    <v>48.5</v>
    <v>9.9171999999999996E-2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551.9</v>
    <v>Metals &amp; Mining</v>
    <v>Stock</v>
    <v>46178.467523148145</v>
    <v>579</v>
    <v>488.3</v>
    <v>25735780000</v>
    <v>MAN INDUSTRIES (INDIA) LIMITED</v>
    <v>MAN INDUSTRIES (INDIA) LIMITED</v>
    <v>494.35</v>
    <v>22.7775</v>
    <v>489.05</v>
    <v>537.54999999999995</v>
    <v>75009570</v>
    <v>MANINDS</v>
    <v>MAN INDUSTRIES (INDIA) LIMITED (XNSE:MANINDS)</v>
    <v>7371575</v>
    <v>1329980</v>
    <v>1988</v>
  </rv>
  <rv s="2">
    <v>580</v>
  </rv>
  <rv s="0">
    <v>https://www.bing.com/financeapi/forcetrigger?t=c3ecr7&amp;q=XNSE%3aVIJAYA&amp;form=skydnc</v>
    <v>Learn more on Bing</v>
  </rv>
  <rv s="1">
    <v>en-IN</v>
    <v>c3ecr7</v>
    <v>268435456</v>
    <v>1</v>
    <v>Powered by Refinitiv</v>
    <v>0</v>
    <v>VIJAYA DIAGNOSTIC CENTRE LIMITED (XNSE:VIJAYA)</v>
    <v>2</v>
    <v>3</v>
    <v>Finance</v>
    <v>4</v>
    <v>1427.8</v>
    <v>848</v>
    <v>0.7349</v>
    <v>13</v>
    <v>9.5630000000000003E-3</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1427.8</v>
    <v>Healthcare Providers &amp; Services</v>
    <v>Stock</v>
    <v>46178.467499999999</v>
    <v>582</v>
    <v>1344</v>
    <v>102804100000</v>
    <v>VIJAYA DIAGNOSTIC CENTRE LIMITED</v>
    <v>VIJAYA DIAGNOSTIC CENTRE LIMITED</v>
    <v>1373.5</v>
    <v>80.819999999999993</v>
    <v>1359.4</v>
    <v>1372.4</v>
    <v>102896700</v>
    <v>VIJAYA</v>
    <v>VIJAYA DIAGNOSTIC CENTRE LIMITED (XNSE:VIJAYA)</v>
    <v>546490</v>
    <v>265150</v>
    <v>2002</v>
  </rv>
  <rv s="2">
    <v>583</v>
  </rv>
  <rv s="0">
    <v>https://www.bing.com/financeapi/forcetrigger?t=ahh6ur&amp;q=XNSE%3aBHARATFORG&amp;form=skydnc</v>
    <v>Learn more on Bing</v>
  </rv>
  <rv s="1">
    <v>en-IN</v>
    <v>ahh6ur</v>
    <v>268435456</v>
    <v>1</v>
    <v>Powered by Refinitiv</v>
    <v>0</v>
    <v>BHARAT FORGE LTD (XNSE:BHARATFORG)</v>
    <v>2</v>
    <v>3</v>
    <v>Finance</v>
    <v>4</v>
    <v>2044</v>
    <v>1100.5</v>
    <v>1.1393</v>
    <v>-7.7</v>
    <v>-3.9740000000000001E-3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1952</v>
    <v>Metals &amp; Mining</v>
    <v>Stock</v>
    <v>46178.467499999999</v>
    <v>585</v>
    <v>1917.1</v>
    <v>698152800000</v>
    <v>BHARAT FORGE LTD</v>
    <v>BHARAT FORGE LTD</v>
    <v>1928.1</v>
    <v>85.465000000000003</v>
    <v>1937.5</v>
    <v>1929.8</v>
    <v>478088600</v>
    <v>BHARATFORG</v>
    <v>BHARAT FORGE LTD (XNSE:BHARATFORG)</v>
    <v>380703</v>
    <v>1057060</v>
    <v>1961</v>
  </rv>
  <rv s="2">
    <v>586</v>
  </rv>
  <rv s="0">
    <v>https://www.bing.com/financeapi/forcetrigger?t=ahjkrw&amp;q=XNSE%3aRADICO&amp;form=skydnc</v>
    <v>Learn more on Bing</v>
  </rv>
  <rv s="1">
    <v>en-IN</v>
    <v>ahjkrw</v>
    <v>268435456</v>
    <v>1</v>
    <v>Powered by Refinitiv</v>
    <v>0</v>
    <v>RADICO KHAITAN LIMITED (XNSE:RADICO)</v>
    <v>2</v>
    <v>3</v>
    <v>Finance</v>
    <v>4</v>
    <v>3679</v>
    <v>2500</v>
    <v>0.85150000000000003</v>
    <v>-11.7</v>
    <v>-3.3410000000000002E-3</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3547.7</v>
    <v>Beverages</v>
    <v>Stock</v>
    <v>46178.467511574076</v>
    <v>588</v>
    <v>3465.3</v>
    <v>392026800000</v>
    <v>RADICO KHAITAN LIMITED</v>
    <v>RADICO KHAITAN LIMITED</v>
    <v>3522.3</v>
    <v>77.296300000000002</v>
    <v>3502.4</v>
    <v>3490.7</v>
    <v>133931400</v>
    <v>RADICO</v>
    <v>RADICO KHAITAN LIMITED (XNSE:RADICO)</v>
    <v>191865</v>
    <v>274310</v>
    <v>1983</v>
  </rv>
  <rv s="2">
    <v>589</v>
  </rv>
  <rv s="0">
    <v>https://www.bing.com/financeapi/forcetrigger?t=ahj4jc&amp;q=XNSE%3aNATIONALUM&amp;form=skydnc</v>
    <v>Learn more on Bing</v>
  </rv>
  <rv s="1">
    <v>en-IN</v>
    <v>ahj4jc</v>
    <v>268435456</v>
    <v>1</v>
    <v>Powered by Refinitiv</v>
    <v>0</v>
    <v>NATIONAL ALUMINIUM CO LTD (XNSE:NATIONALUM)</v>
    <v>2</v>
    <v>3</v>
    <v>Finance</v>
    <v>4</v>
    <v>445.15</v>
    <v>176.34</v>
    <v>0.74819999999999998</v>
    <v>-18.3</v>
    <v>-4.4202999999999999E-2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412.5</v>
    <v>Metals &amp; Mining</v>
    <v>Stock</v>
    <v>46178.467511574076</v>
    <v>591</v>
    <v>391.5</v>
    <v>656412200000</v>
    <v>NATIONAL ALUMINIUM CO LTD</v>
    <v>NATIONAL ALUMINIUM CO LTD</v>
    <v>412.5</v>
    <v>12.5341</v>
    <v>414</v>
    <v>395.7</v>
    <v>1836632000</v>
    <v>NATIONALUM</v>
    <v>NATIONAL ALUMINIUM CO LTD (XNSE:NATIONALUM)</v>
    <v>14357059</v>
    <v>18259200</v>
    <v>1981</v>
  </rv>
  <rv s="2">
    <v>592</v>
  </rv>
  <rv s="0">
    <v>https://www.bing.com/financeapi/forcetrigger?t=ahhurw&amp;q=XNSE%3aGESHIP&amp;form=skydnc</v>
    <v>Learn more on Bing</v>
  </rv>
  <rv s="1">
    <v>en-IN</v>
    <v>ahhurw</v>
    <v>268435456</v>
    <v>1</v>
    <v>Powered by Refinitiv</v>
    <v>0</v>
    <v>THE GREAT EASTERN SHIPPING COMPANY LIMITED (XNSE:GESHIP)</v>
    <v>2</v>
    <v>3</v>
    <v>Finance</v>
    <v>4</v>
    <v>1798</v>
    <v>913.1</v>
    <v>1.0451999999999999</v>
    <v>-28</v>
    <v>-1.8766999999999999E-2</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1499.8</v>
    <v>Oil &amp; Gas Related Equipment and Services</v>
    <v>Stock</v>
    <v>46178.467523148145</v>
    <v>594</v>
    <v>1453.7</v>
    <v>157943300000</v>
    <v>THE GREAT EASTERN SHIPPING COMPANY LIMITED</v>
    <v>THE GREAT EASTERN SHIPPING COMPANY LIMITED</v>
    <v>1492</v>
    <v>7.1032999999999999</v>
    <v>1492</v>
    <v>1464</v>
    <v>142767200</v>
    <v>GESHIP</v>
    <v>THE GREAT EASTERN SHIPPING COMPANY LIMITED (XNSE:GESHIP)</v>
    <v>404560</v>
    <v>1424710</v>
    <v>1948</v>
  </rv>
  <rv s="2">
    <v>595</v>
  </rv>
  <rv s="3">
    <v>en-IN</v>
    <v>cgof5r</v>
    <v>268435456</v>
    <v>1</v>
    <v>Powered by Refinitiv</v>
    <v>5</v>
    <v>ATHER ENERGY LIMITED (XNSE:ATHERENERG)</v>
    <v>6</v>
    <v>3</v>
    <v>Finance</v>
    <v>4</v>
    <v>1047</v>
    <v>301</v>
    <v>1.2969999999999999</v>
    <v>45.45</v>
    <v>4.5995000000000001E-2</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1042</v>
    <v>Leisure Products</v>
    <v>Stock</v>
    <v>46178.467592592591</v>
    <v>983.75</v>
    <v>249475900000</v>
    <v>ATHER ENERGY LIMITED</v>
    <v>ATHER ENERGY LIMITED</v>
    <v>993</v>
    <v>0</v>
    <v>988.15</v>
    <v>1033.5999999999999</v>
    <v>383121000</v>
    <v>ATHERENERG</v>
    <v>ATHER ENERGY LIMITED (XNSE:ATHERENERG)</v>
    <v>4325836</v>
    <v>5329410</v>
    <v>2013</v>
  </rv>
  <rv s="2">
    <v>597</v>
  </rv>
  <rv s="0">
    <v>https://www.bing.com/financeapi/forcetrigger?t=c4etk2&amp;q=XNSE%3aANANDRATHI&amp;form=skydnc</v>
    <v>Learn more on Bing</v>
  </rv>
  <rv s="1">
    <v>en-IN</v>
    <v>c4etk2</v>
    <v>268435456</v>
    <v>1</v>
    <v>Powered by Refinitiv</v>
    <v>0</v>
    <v>Anand Rathi Wealth Ltd (XNSE:ANANDRATHI)</v>
    <v>2</v>
    <v>3</v>
    <v>Finance</v>
    <v>4</v>
    <v>3735</v>
    <v>1721</v>
    <v>0.16739999999999999</v>
    <v>2.7</v>
    <v>1.542E-3</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1763</v>
    <v>Investment Banking &amp; Investment Services</v>
    <v>Stock</v>
    <v>46178.467511574076</v>
    <v>599</v>
    <v>1734.6</v>
    <v>261697600000</v>
    <v>Anand Rathi Wealth Ltd</v>
    <v>Anand Rathi Wealth Ltd</v>
    <v>1748.9</v>
    <v>73.555899999999994</v>
    <v>1750.6</v>
    <v>1753.3</v>
    <v>166041300</v>
    <v>ANANDRATHI</v>
    <v>Anand Rathi Wealth Ltd (XNSE:ANANDRATHI)</v>
    <v>356008</v>
    <v>1246280</v>
    <v>1995</v>
  </rv>
  <rv s="2">
    <v>600</v>
  </rv>
  <rv s="0">
    <v>https://www.bing.com/financeapi/forcetrigger?t=ahkjtc&amp;q=XNSE%3aVEDL&amp;form=skydnc</v>
    <v>Learn more on Bing</v>
  </rv>
  <rv s="1">
    <v>en-IN</v>
    <v>ahkjtc</v>
    <v>268435456</v>
    <v>1</v>
    <v>Powered by Refinitiv</v>
    <v>0</v>
    <v>VEDANTA LIMITED (XNSE:VEDL)</v>
    <v>2</v>
    <v>3</v>
    <v>Finance</v>
    <v>4</v>
    <v>360</v>
    <v>157.16999999999999</v>
    <v>0.84889999999999999</v>
    <v>-11.9</v>
    <v>-3.6336E-2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329.7</v>
    <v>Metals &amp; Mining</v>
    <v>Stock</v>
    <v>46178.467499999999</v>
    <v>602</v>
    <v>312.35000000000002</v>
    <v>2488569000000</v>
    <v>VEDANTA LIMITED</v>
    <v>VEDANTA LIMITED</v>
    <v>329.6</v>
    <v>16.328399999999998</v>
    <v>327.5</v>
    <v>315.60000000000002</v>
    <v>3904802000</v>
    <v>VEDL</v>
    <v>VEDANTA LIMITED (XNSE:VEDL)</v>
    <v>20824974</v>
    <v>23226890</v>
    <v>1965</v>
  </rv>
  <rv s="2">
    <v>603</v>
  </rv>
  <rv s="3">
    <v>en-IN</v>
    <v>ci8lk2</v>
    <v>268435456</v>
    <v>1</v>
    <v>Powered by Refinitiv</v>
    <v>5</v>
    <v>ATLANTA ELECTRICALS LIMITED (XNSE:ATLANTAELE)</v>
    <v>6</v>
    <v>3</v>
    <v>Finance</v>
    <v>4</v>
    <v>2152.6</v>
    <v>707.6</v>
    <v>-3.883</v>
    <v>-107.5</v>
    <v>-4.9965000000000002E-2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2144.1999999999998</v>
    <v>Machinery, Equipment &amp; Components</v>
    <v>Stock</v>
    <v>46178.467592592591</v>
    <v>2044</v>
    <v>63020630000</v>
    <v>ATLANTA ELECTRICALS LIMITED</v>
    <v>ATLANTA ELECTRICALS LIMITED</v>
    <v>2140</v>
    <v>31.25</v>
    <v>2151.5</v>
    <v>2044</v>
    <v>76896630</v>
    <v>ATLANTAELE</v>
    <v>ATLANTA ELECTRICALS LIMITED (XNSE:ATLANTAELE)</v>
    <v>64072</v>
    <v>120180</v>
    <v>1988</v>
  </rv>
  <rv s="2">
    <v>605</v>
  </rv>
  <rv s="3">
    <v>en-IN</v>
    <v>ces5ec</v>
    <v>268435456</v>
    <v>1</v>
    <v>Powered by Refinitiv</v>
    <v>5</v>
    <v>KRN HEAT EXCHANGER AND REFRIGERATION LIMITED (XNSE:KRN)</v>
    <v>6</v>
    <v>3</v>
    <v>Finance</v>
    <v>4</v>
    <v>1405</v>
    <v>589.79999999999995</v>
    <v>2.2130000000000001</v>
    <v>-0.9</v>
    <v>-7.3910000000000002E-4</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1278.5</v>
    <v>Machinery, Equipment &amp; Components</v>
    <v>Stock</v>
    <v>46178.467546296299</v>
    <v>1201</v>
    <v>44227530000</v>
    <v>KRN HEAT EXCHANGER AND REFRIGERATION LIMITED</v>
    <v>KRN HEAT EXCHANGER AND REFRIGERATION LIMITED</v>
    <v>1278</v>
    <v>99</v>
    <v>1217.7</v>
    <v>1216.8</v>
    <v>65458490</v>
    <v>KRN</v>
    <v>KRN HEAT EXCHANGER AND REFRIGERATION LIMITED (XNSE:KRN)</v>
    <v>264459</v>
    <v>167230</v>
    <v>2017</v>
  </rv>
  <rv s="2">
    <v>607</v>
  </rv>
  <rv s="3">
    <v>en-IN</v>
    <v>cc1w2w</v>
    <v>268435456</v>
    <v>1</v>
    <v>Powered by Refinitiv</v>
    <v>5</v>
    <v>AZAD ENGINEERING LIMITED (XNSE:AZAD)</v>
    <v>6</v>
    <v>3</v>
    <v>Finance</v>
    <v>4</v>
    <v>2350</v>
    <v>1360</v>
    <v>1.7050000000000001</v>
    <v>7.2</v>
    <v>3.2719999999999997E-3</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2242.9</v>
    <v>Machinery, Equipment &amp; Components</v>
    <v>Stock</v>
    <v>46178.467534722222</v>
    <v>2196</v>
    <v>100999400000</v>
    <v>AZAD ENGINEERING LIMITED</v>
    <v>AZAD ENGINEERING LIMITED</v>
    <v>2221</v>
    <v>107.5877</v>
    <v>2200.5</v>
    <v>2207.6999999999998</v>
    <v>64581740</v>
    <v>AZAD</v>
    <v>AZAD ENGINEERING LIMITED (XNSE:AZAD)</v>
    <v>387649</v>
    <v>398510</v>
    <v>1983</v>
  </rv>
  <rv s="2">
    <v>609</v>
  </rv>
  <rv s="0">
    <v>https://www.bing.com/financeapi/forcetrigger?t=ahk1gh&amp;q=XNSE%3aSMSPHARMA&amp;form=skydnc</v>
    <v>Learn more on Bing</v>
  </rv>
  <rv s="1">
    <v>en-IN</v>
    <v>ahk1gh</v>
    <v>268435456</v>
    <v>1</v>
    <v>Powered by Refinitiv</v>
    <v>0</v>
    <v>SMS PHARMACEUTICALS LIMITED (XNSE:SMSPHARMA)</v>
    <v>2</v>
    <v>3</v>
    <v>Finance</v>
    <v>4</v>
    <v>447.8</v>
    <v>207.7</v>
    <v>1.1636</v>
    <v>15.45</v>
    <v>4.3686999999999997E-2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378.65</v>
    <v>Pharmaceuticals</v>
    <v>Stock</v>
    <v>46178.467523148145</v>
    <v>611</v>
    <v>351</v>
    <v>31724630000</v>
    <v>SMS PHARMACEUTICALS LIMITED</v>
    <v>SMS PHARMACEUTICALS LIMITED</v>
    <v>353.65</v>
    <v>32.606000000000002</v>
    <v>353.65</v>
    <v>369.1</v>
    <v>93652030</v>
    <v>SMSPHARMA</v>
    <v>SMS PHARMACEUTICALS LIMITED (XNSE:SMSPHARMA)</v>
    <v>332556</v>
    <v>485710</v>
    <v>1987</v>
  </rv>
  <rv s="2">
    <v>612</v>
  </rv>
  <rv s="0">
    <v>https://www.bing.com/financeapi/forcetrigger?t=ahhyp2&amp;q=XNSE%3aGRAPHITE&amp;form=skydnc</v>
    <v>Learn more on Bing</v>
  </rv>
  <rv s="1">
    <v>en-IN</v>
    <v>ahhyp2</v>
    <v>268435456</v>
    <v>1</v>
    <v>Powered by Refinitiv</v>
    <v>0</v>
    <v>GRAPHITE INDIA LIMITED (XNSE:GRAPHITE)</v>
    <v>2</v>
    <v>3</v>
    <v>Finance</v>
    <v>4</v>
    <v>802.4</v>
    <v>505.8</v>
    <v>1.3983000000000001</v>
    <v>-10.15</v>
    <v>-1.4186000000000001E-2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721</v>
    <v>Machinery, Equipment &amp; Components</v>
    <v>Stock</v>
    <v>46178.467499999999</v>
    <v>614</v>
    <v>701.55</v>
    <v>117088600000</v>
    <v>GRAPHITE INDIA LIMITED</v>
    <v>GRAPHITE INDIA LIMITED</v>
    <v>720</v>
    <v>79.77</v>
    <v>715.5</v>
    <v>705.35</v>
    <v>195375600</v>
    <v>GRAPHITE</v>
    <v>GRAPHITE INDIA LIMITED (XNSE:GRAPHITE)</v>
    <v>686387</v>
    <v>1197400</v>
    <v>1974</v>
  </rv>
  <rv s="2">
    <v>615</v>
  </rv>
  <rv s="0">
    <v>https://www.bing.com/financeapi/forcetrigger?t=az66u2&amp;q=XNSE%3aASTERDM&amp;form=skydnc</v>
    <v>Learn more on Bing</v>
  </rv>
  <rv s="1">
    <v>en-IN</v>
    <v>az66u2</v>
    <v>268435456</v>
    <v>1</v>
    <v>Powered by Refinitiv</v>
    <v>0</v>
    <v>ASTER DM HEALTHCARE LIMITED (XNSE:ASTERDM)</v>
    <v>2</v>
    <v>3</v>
    <v>Finance</v>
    <v>4</v>
    <v>776.55</v>
    <v>519.1</v>
    <v>0.97099999999999997</v>
    <v>15.95</v>
    <v>2.1610999999999998E-2</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756</v>
    <v>Healthcare Providers &amp; Services</v>
    <v>Stock</v>
    <v>46178.467499999999</v>
    <v>617</v>
    <v>738.9</v>
    <v>313382100000</v>
    <v>ASTER DM HEALTHCARE LIMITED</v>
    <v>ASTER DM HEALTHCARE LIMITED</v>
    <v>738.9</v>
    <v>100</v>
    <v>738.05</v>
    <v>754</v>
    <v>516918500</v>
    <v>ASTERDM</v>
    <v>ASTER DM HEALTHCARE LIMITED (XNSE:ASTERDM)</v>
    <v>233590</v>
    <v>449640</v>
    <v>2008</v>
  </rv>
  <rv s="2">
    <v>618</v>
  </rv>
  <rv s="0">
    <v>https://www.bing.com/financeapi/forcetrigger?t=ahj8jc&amp;q=XNSE%3aNRBBEARING&amp;form=skydnc</v>
    <v>Learn more on Bing</v>
  </rv>
  <rv s="1">
    <v>en-IN</v>
    <v>ahj8jc</v>
    <v>268435456</v>
    <v>1</v>
    <v>Powered by Refinitiv</v>
    <v>0</v>
    <v>NRB BEARINGS LIMITED (XNSE:NRBBEARING)</v>
    <v>2</v>
    <v>3</v>
    <v>Finance</v>
    <v>4</v>
    <v>391.7</v>
    <v>212.55</v>
    <v>1.1479999999999999</v>
    <v>14.05</v>
    <v>3.7809000000000002E-2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391.7</v>
    <v>Machinery, Equipment &amp; Components</v>
    <v>Stock</v>
    <v>46178.467511574076</v>
    <v>620</v>
    <v>370.05</v>
    <v>24700720000</v>
    <v>NRB BEARINGS LIMITED</v>
    <v>NRB BEARINGS LIMITED</v>
    <v>376</v>
    <v>26.199000000000002</v>
    <v>371.6</v>
    <v>385.65</v>
    <v>96922600</v>
    <v>NRBBEARING</v>
    <v>NRB BEARINGS LIMITED (XNSE:NRBBEARING)</v>
    <v>792877</v>
    <v>526030</v>
    <v>1965</v>
  </rv>
  <rv s="2">
    <v>621</v>
  </rv>
  <rv s="0">
    <v>https://www.bing.com/financeapi/forcetrigger?t=c5olz2&amp;q=XNSE%3aSHAILY&amp;form=skydnc</v>
    <v>Learn more on Bing</v>
  </rv>
  <rv s="1">
    <v>en-IN</v>
    <v>c5olz2</v>
    <v>268435456</v>
    <v>1</v>
    <v>Powered by Refinitiv</v>
    <v>0</v>
    <v>SHAILY ENGINEERING PLASTICS LIMITED (XNSE:SHAILY)</v>
    <v>2</v>
    <v>3</v>
    <v>Finance</v>
    <v>4</v>
    <v>3198</v>
    <v>1535.9</v>
    <v>0.38100000000000001</v>
    <v>-4.5</v>
    <v>-1.467E-3</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3149.9</v>
    <v>Chemicals</v>
    <v>Stock</v>
    <v>46178.467511574076</v>
    <v>623</v>
    <v>3018.5</v>
    <v>99768510000</v>
    <v>SHAILY ENGINEERING PLASTICS LIMITED</v>
    <v>SHAILY ENGINEERING PLASTICS LIMITED</v>
    <v>3117.1</v>
    <v>82.848299999999995</v>
    <v>3067.4</v>
    <v>3062.9</v>
    <v>45995250</v>
    <v>SHAILY</v>
    <v>SHAILY ENGINEERING PLASTICS LIMITED (XNSE:SHAILY)</v>
    <v>227359</v>
    <v>356630</v>
    <v>1980</v>
  </rv>
  <rv s="2">
    <v>624</v>
  </rv>
  <rv s="3">
    <v>en-IN</v>
    <v>c8zrar</v>
    <v>268435456</v>
    <v>1</v>
    <v>Powered by Refinitiv</v>
    <v>5</v>
    <v>PONDY OXIDES AND CHEMICALS LIMITED (XNSE:POCL)</v>
    <v>6</v>
    <v>3</v>
    <v>Finance</v>
    <v>4</v>
    <v>1619</v>
    <v>689</v>
    <v>1.968</v>
    <v>-18.7</v>
    <v>-1.4328E-2</v>
    <v>INR</v>
    <v>Pondy Oxides and Chemicals Limited is an India-based recycler of non-ferrous metals and manufacturer of lead and lead alloys.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and Copper.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1315</v>
    <v>Metals &amp; Mining</v>
    <v>Stock</v>
    <v>46178.467523148145</v>
    <v>1281.4000000000001</v>
    <v>42285580000</v>
    <v>PONDY OXIDES AND CHEMICALS LIMITED</v>
    <v>PONDY OXIDES AND CHEMICALS LIMITED</v>
    <v>1306</v>
    <v>29.67</v>
    <v>1305.0999999999999</v>
    <v>1286.4000000000001</v>
    <v>30511280</v>
    <v>POCL</v>
    <v>PONDY OXIDES AND CHEMICALS LIMITED (XNSE:POCL)</v>
    <v>190062</v>
    <v>559640</v>
    <v>1995</v>
  </rv>
  <rv s="2">
    <v>626</v>
  </rv>
  <rv s="0">
    <v>https://www.bing.com/financeapi/forcetrigger?t=ahjwur&amp;q=XNSE%3aSHILPAMED&amp;form=skydnc</v>
    <v>Learn more on Bing</v>
  </rv>
  <rv s="1">
    <v>en-IN</v>
    <v>ahjwur</v>
    <v>268435456</v>
    <v>1</v>
    <v>Powered by Refinitiv</v>
    <v>0</v>
    <v>SHILPA MEDICARE LIMITED (XNSE:SHILPAMED)</v>
    <v>2</v>
    <v>3</v>
    <v>Finance</v>
    <v>4</v>
    <v>543</v>
    <v>259.5</v>
    <v>0.43609999999999999</v>
    <v>12.25</v>
    <v>2.3297999999999999E-2</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543</v>
    <v>Pharmaceuticals</v>
    <v>Stock</v>
    <v>46178.467534722222</v>
    <v>628</v>
    <v>524.4</v>
    <v>57677080000</v>
    <v>SHILPA MEDICARE LIMITED</v>
    <v>SHILPA MEDICARE LIMITED</v>
    <v>530.15</v>
    <v>42.9818</v>
    <v>525.79999999999995</v>
    <v>538.04999999999995</v>
    <v>195581800</v>
    <v>SHILPAMED</v>
    <v>SHILPA MEDICARE LIMITED (XNSE:SHILPAMED)</v>
    <v>1777281</v>
    <v>2081710</v>
    <v>1987</v>
  </rv>
  <rv s="2">
    <v>629</v>
  </rv>
  <rv s="0">
    <v>https://www.bing.com/financeapi/forcetrigger?t=ahj852&amp;q=XNSE%3aNMDC&amp;form=skydnc</v>
    <v>Learn more on Bing</v>
  </rv>
  <rv s="1">
    <v>en-IN</v>
    <v>ahj852</v>
    <v>268435456</v>
    <v>1</v>
    <v>Powered by Refinitiv</v>
    <v>0</v>
    <v>NMDC LIMITED (XNSE:NMDC)</v>
    <v>2</v>
    <v>3</v>
    <v>Finance</v>
    <v>4</v>
    <v>97.49</v>
    <v>66.8</v>
    <v>0.78690000000000004</v>
    <v>-1.8</v>
    <v>-1.9007E-2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95.01</v>
    <v>Metals &amp; Mining</v>
    <v>Stock</v>
    <v>46178.467523148145</v>
    <v>631</v>
    <v>91.61</v>
    <v>721984100000</v>
    <v>NMDC LIMITED</v>
    <v>NMDC LIMITED</v>
    <v>94.99</v>
    <v>10.9542</v>
    <v>94.7</v>
    <v>92.9</v>
    <v>8791817000</v>
    <v>NMDC</v>
    <v>NMDC LIMITED (XNSE:NMDC)</v>
    <v>40684291</v>
    <v>38935560</v>
    <v>1958</v>
  </rv>
  <rv s="2">
    <v>632</v>
  </rv>
  <rv s="0">
    <v>https://www.bing.com/financeapi/forcetrigger?t=c53jr7&amp;q=XNSE%3aGRWRHITECH&amp;form=skydnc</v>
    <v>Learn more on Bing</v>
  </rv>
  <rv s="1">
    <v>en-IN</v>
    <v>c53jr7</v>
    <v>268435456</v>
    <v>1</v>
    <v>Powered by Refinitiv</v>
    <v>0</v>
    <v>GARWARE HI-TECH FILMS LIMITED (XNSE:GRWRHITECH)</v>
    <v>2</v>
    <v>3</v>
    <v>Finance</v>
    <v>4</v>
    <v>6166</v>
    <v>2681</v>
    <v>1.1227</v>
    <v>29.5</v>
    <v>5.0309999999999999E-3</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5959.5</v>
    <v>Chemicals</v>
    <v>Stock</v>
    <v>46178.467511574076</v>
    <v>634</v>
    <v>5755.5</v>
    <v>69866780000</v>
    <v>GARWARE HI-TECH FILMS LIMITED</v>
    <v>GARWARE HI-TECH FILMS LIMITED</v>
    <v>5863.5</v>
    <v>40.270000000000003</v>
    <v>5863.5</v>
    <v>5893</v>
    <v>23232390</v>
    <v>GRWRHITECH</v>
    <v>GARWARE HI-TECH FILMS LIMITED (XNSE:GRWRHITECH)</v>
    <v>57041</v>
    <v>102800</v>
    <v>1957</v>
  </rv>
  <rv s="2">
    <v>635</v>
  </rv>
  <rv s="0">
    <v>https://www.bing.com/financeapi/forcetrigger?t=ahhdmw&amp;q=XNSE%3aCGPOWER&amp;form=skydnc</v>
    <v>Learn more on Bing</v>
  </rv>
  <rv s="1">
    <v>en-IN</v>
    <v>ahhdmw</v>
    <v>268435456</v>
    <v>1</v>
    <v>Powered by Refinitiv</v>
    <v>0</v>
    <v>CG POWER AND INDUSTRIAL SOLUTIONS LIMITED (XNSE:CGPOWER)</v>
    <v>2</v>
    <v>3</v>
    <v>Finance</v>
    <v>4</v>
    <v>952</v>
    <v>525.5</v>
    <v>1.1715</v>
    <v>-0.05</v>
    <v>-5.3309999999999996E-5</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952</v>
    <v>Machinery, Equipment &amp; Components</v>
    <v>Stock</v>
    <v>46178.467499999999</v>
    <v>637</v>
    <v>928.6</v>
    <v>915948800000</v>
    <v>CG POWER AND INDUSTRIAL SOLUTIONS LIMITED</v>
    <v>CG POWER AND INDUSTRIAL SOLUTIONS LIMITED</v>
    <v>948.85</v>
    <v>121.83669999999999</v>
    <v>937.9</v>
    <v>937.85</v>
    <v>1574958000</v>
    <v>CGPOWER</v>
    <v>CG POWER AND INDUSTRIAL SOLUTIONS LIMITED (XNSE:CGPOWER)</v>
    <v>4645742</v>
    <v>4879700</v>
    <v>1937</v>
  </rv>
  <rv s="2">
    <v>638</v>
  </rv>
  <rv s="0">
    <v>https://www.bing.com/financeapi/forcetrigger?t=c42na2&amp;q=XNSE%3aNYKAA&amp;form=skydnc</v>
    <v>Learn more on Bing</v>
  </rv>
  <rv s="1">
    <v>en-IN</v>
    <v>c42na2</v>
    <v>268435456</v>
    <v>1</v>
    <v>Powered by Refinitiv</v>
    <v>0</v>
    <v>FSN E-COMMERCE VENTURES LIMITED (XNSE:NYKAA)</v>
    <v>2</v>
    <v>3</v>
    <v>Finance</v>
    <v>4</v>
    <v>285.60000000000002</v>
    <v>191.16</v>
    <v>1.3081</v>
    <v>-5.25</v>
    <v>-1.9622999999999998E-2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269.85000000000002</v>
    <v>Diversified Retail</v>
    <v>Stock</v>
    <v>46178.467511574076</v>
    <v>640</v>
    <v>261.25</v>
    <v>728798600000</v>
    <v>FSN E-COMMERCE VENTURES LIMITED</v>
    <v>FSN E-COMMERCE VENTURES LIMITED</v>
    <v>269</v>
    <v>380.14490000000001</v>
    <v>267.55</v>
    <v>262.3</v>
    <v>2863508000</v>
    <v>NYKAA</v>
    <v>FSN E-COMMERCE VENTURES LIMITED (XNSE:NYKAA)</v>
    <v>1817319</v>
    <v>9683040</v>
    <v>2012</v>
  </rv>
  <rv s="2">
    <v>641</v>
  </rv>
  <rv s="0">
    <v>https://www.bing.com/financeapi/forcetrigger?t=ahgzqh&amp;q=XNSE%3aASTRAMICRO&amp;form=skydnc</v>
    <v>Learn more on Bing</v>
  </rv>
  <rv s="1">
    <v>en-IN</v>
    <v>ahgzqh</v>
    <v>268435456</v>
    <v>1</v>
    <v>Powered by Refinitiv</v>
    <v>0</v>
    <v>ASTRA MICROWAVE PRODUCTS LIMITED (XNSE:ASTRAMICRO)</v>
    <v>2</v>
    <v>3</v>
    <v>Finance</v>
    <v>4</v>
    <v>1463.9</v>
    <v>851</v>
    <v>1.6469</v>
    <v>41.8</v>
    <v>3.0339999999999999E-2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1463.9</v>
    <v>Electronic Equipment &amp; Parts</v>
    <v>Stock</v>
    <v>46178.467511574076</v>
    <v>643</v>
    <v>1385.8</v>
    <v>93630020000</v>
    <v>ASTRA MICROWAVE PRODUCTS LIMITED</v>
    <v>ASTRA MICROWAVE PRODUCTS LIMITED</v>
    <v>1393.4</v>
    <v>69.857299999999995</v>
    <v>1377.7</v>
    <v>1419.5</v>
    <v>94945010</v>
    <v>ASTRAMICRO</v>
    <v>ASTRA MICROWAVE PRODUCTS LIMITED (XNSE:ASTRAMICRO)</v>
    <v>2195447</v>
    <v>2440890</v>
    <v>1991</v>
  </rv>
  <rv s="2">
    <v>644</v>
  </rv>
  <rv s="0">
    <v>https://www.bing.com/financeapi/forcetrigger?t=c1bvcw&amp;q=XNSE%3aANURAS&amp;form=skydnc</v>
    <v>Learn more on Bing</v>
  </rv>
  <rv s="1">
    <v>en-IN</v>
    <v>c1bvcw</v>
    <v>268435456</v>
    <v>1</v>
    <v>Powered by Refinitiv</v>
    <v>0</v>
    <v>ANUPAM RASAYAN INDIA LIMITED (XNSE:ANURAS)</v>
    <v>2</v>
    <v>3</v>
    <v>Finance</v>
    <v>4</v>
    <v>1415</v>
    <v>991.3</v>
    <v>1.1557999999999999</v>
    <v>-20</v>
    <v>-1.4835000000000001E-2</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1368.7</v>
    <v>Chemicals</v>
    <v>Stock</v>
    <v>46178.467499999999</v>
    <v>646</v>
    <v>1315.3</v>
    <v>152294900000</v>
    <v>ANUPAM RASAYAN INDIA LIMITED</v>
    <v>ANUPAM RASAYAN INDIA LIMITED</v>
    <v>1355</v>
    <v>88.018600000000006</v>
    <v>1348.2</v>
    <v>1328.2</v>
    <v>113848300</v>
    <v>ANURAS</v>
    <v>ANUPAM RASAYAN INDIA LIMITED (XNSE:ANURAS)</v>
    <v>217175</v>
    <v>366500</v>
    <v>2003</v>
  </rv>
  <rv s="2">
    <v>647</v>
  </rv>
  <rv s="0">
    <v>https://www.bing.com/financeapi/forcetrigger?t=ahi7dm&amp;q=XNSE%3aHSCL&amp;form=skydnc</v>
    <v>Learn more on Bing</v>
  </rv>
  <rv s="1">
    <v>en-IN</v>
    <v>ahi7dm</v>
    <v>268435456</v>
    <v>1</v>
    <v>Powered by Refinitiv</v>
    <v>0</v>
    <v>HIMADRI SPECIALITY CHEMICAL LIMITED (XNSE:HSCL)</v>
    <v>2</v>
    <v>3</v>
    <v>Finance</v>
    <v>4</v>
    <v>698</v>
    <v>418.5</v>
    <v>1.7192000000000001</v>
    <v>43.05</v>
    <v>6.7055999999999991E-2</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698</v>
    <v>Chemicals</v>
    <v>Stock</v>
    <v>46178.467523148145</v>
    <v>649</v>
    <v>624.20000000000005</v>
    <v>239116800000</v>
    <v>HIMADRI SPECIALITY CHEMICAL LIMITED</v>
    <v>HIMADRI SPECIALITY CHEMICAL LIMITED</v>
    <v>645.75</v>
    <v>45.439799999999998</v>
    <v>642</v>
    <v>685.05</v>
    <v>504541600</v>
    <v>HSCL</v>
    <v>HIMADRI SPECIALITY CHEMICAL LIMITED (XNSE:HSCL)</v>
    <v>24445679</v>
    <v>7771840</v>
    <v>1987</v>
  </rv>
  <rv s="2">
    <v>650</v>
  </rv>
  <rv s="0">
    <v>https://www.bing.com/financeapi/forcetrigger?t=ahh7zr&amp;q=XNSE%3aBIOCON&amp;form=skydnc</v>
    <v>Learn more on Bing</v>
  </rv>
  <rv s="1">
    <v>en-IN</v>
    <v>ahh7zr</v>
    <v>268435456</v>
    <v>1</v>
    <v>Powered by Refinitiv</v>
    <v>0</v>
    <v>BIOCON LIMITED (XNSE:BIOCON)</v>
    <v>2</v>
    <v>3</v>
    <v>Finance</v>
    <v>4</v>
    <v>440.4</v>
    <v>327.60000000000002</v>
    <v>0.74860000000000004</v>
    <v>-3.75</v>
    <v>-9.0130000000000002E-3</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425</v>
    <v>Biotechnology &amp; Medical Research</v>
    <v>Stock</v>
    <v>46178.467511574076</v>
    <v>652</v>
    <v>411.5</v>
    <v>568465400000</v>
    <v>BIOCON LIMITED</v>
    <v>BIOCON LIMITED</v>
    <v>416.3</v>
    <v>149.12</v>
    <v>416.05</v>
    <v>412.3</v>
    <v>1619507000</v>
    <v>BIOCON</v>
    <v>BIOCON LIMITED (XNSE:BIOCON)</v>
    <v>2479909</v>
    <v>3927380</v>
    <v>1978</v>
  </rv>
  <rv s="2">
    <v>653</v>
  </rv>
  <rv s="0">
    <v>https://www.bing.com/financeapi/forcetrigger?t=ahhk6h&amp;q=XNSE%3aDIAPOWER&amp;form=skydnc</v>
    <v>Learn more on Bing</v>
  </rv>
  <rv s="1">
    <v>en-IN</v>
    <v>ahhk6h</v>
    <v>268435456</v>
    <v>1</v>
    <v>Powered by Refinitiv</v>
    <v>0</v>
    <v>DIAMOND POWER INFRASTRUCTURE LIMITED (XNSE:DIACABS)</v>
    <v>2</v>
    <v>3</v>
    <v>Finance</v>
    <v>4</v>
    <v>211.2</v>
    <v>97.7</v>
    <v>1.6375</v>
    <v>10.91</v>
    <v>5.6619000000000003E-2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208</v>
    <v>Machinery, Equipment &amp; Components</v>
    <v>Stock</v>
    <v>46178.467534722222</v>
    <v>655</v>
    <v>191.63</v>
    <v>69317770000</v>
    <v>DIAMOND POWER INFRASTRUCTURE LIMITED</v>
    <v>DIAMOND POWER INFRASTRUCTURE LIMITED</v>
    <v>193.99</v>
    <v>64.23</v>
    <v>192.69</v>
    <v>203.6</v>
    <v>526971100</v>
    <v>DIACABS</v>
    <v>DIAMOND POWER INFRASTRUCTURE LIMITED (XNSE:DIACABS)</v>
    <v>10037123</v>
    <v>7556540</v>
    <v>1992</v>
  </rv>
  <rv s="2">
    <v>656</v>
  </rv>
  <rv s="0">
    <v>https://www.bing.com/financeapi/forcetrigger?t=ahgr3m&amp;q=XNSE%3aADANIENT&amp;form=skydnc</v>
    <v>Learn more on Bing</v>
  </rv>
  <rv s="1">
    <v>en-IN</v>
    <v>ahgr3m</v>
    <v>268435456</v>
    <v>1</v>
    <v>Powered by Refinitiv</v>
    <v>0</v>
    <v>ADANI ENTERPRISES LIMITED (XNSE:ADANIENT)</v>
    <v>2</v>
    <v>3</v>
    <v>Finance</v>
    <v>4</v>
    <v>3059.8</v>
    <v>1753</v>
    <v>1.3904000000000001</v>
    <v>75.400000000000006</v>
    <v>2.5363000000000004E-2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3059.8</v>
    <v>Diversified Industrial Goods Wholesale</v>
    <v>Stock</v>
    <v>46178.467488425929</v>
    <v>658</v>
    <v>2921.8</v>
    <v>2677113000000</v>
    <v>ADANI ENTERPRISES LIMITED</v>
    <v>ADANI ENTERPRISES LIMITED</v>
    <v>2992</v>
    <v>38.4</v>
    <v>2972.8</v>
    <v>3048.2</v>
    <v>1440195000</v>
    <v>ADANIENT</v>
    <v>ADANI ENTERPRISES LIMITED (XNSE:ADANIENT)</v>
    <v>5617327</v>
    <v>2551210</v>
    <v>1993</v>
  </rv>
  <rv s="2">
    <v>659</v>
  </rv>
  <rv s="0">
    <v>https://www.bing.com/financeapi/forcetrigger?t=bmzvec&amp;q=XNSE%3aGRSE&amp;form=skydnc</v>
    <v>Learn more on Bing</v>
  </rv>
  <rv s="1">
    <v>en-IN</v>
    <v>bmzvec</v>
    <v>268435456</v>
    <v>1</v>
    <v>Powered by Refinitiv</v>
    <v>0</v>
    <v>GARDEN REACH SHIPBUILDERS &amp; ENGINEERS LIMITED (XNSE:GRSE)</v>
    <v>2</v>
    <v>3</v>
    <v>Finance</v>
    <v>4</v>
    <v>3538.4</v>
    <v>1963.7</v>
    <v>2.0737000000000001</v>
    <v>-17.8</v>
    <v>-6.6500000000000005E-3</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2723.7</v>
    <v>Aerospace &amp; Defense</v>
    <v>Stock</v>
    <v>46178.467499999999</v>
    <v>661</v>
    <v>2640.2</v>
    <v>280583700000</v>
    <v>GARDEN REACH SHIPBUILDERS &amp; ENGINEERS LIMITED</v>
    <v>GARDEN REACH SHIPBUILDERS &amp; ENGINEERS LIMITED</v>
    <v>2681</v>
    <v>40.99</v>
    <v>2676.5</v>
    <v>2658.7</v>
    <v>114552000</v>
    <v>GRSE</v>
    <v>GARDEN REACH SHIPBUILDERS &amp; ENGINEERS LIMITED (XNSE:GRSE)</v>
    <v>715283</v>
    <v>847840</v>
    <v>1934</v>
  </rv>
  <rv s="2">
    <v>662</v>
  </rv>
  <rv s="0">
    <v>https://www.bing.com/financeapi/forcetrigger?t=ahiou2&amp;q=XNSE%3aKSCL&amp;form=skydnc</v>
    <v>Learn more on Bing</v>
  </rv>
  <rv s="1">
    <v>en-IN</v>
    <v>ahiou2</v>
    <v>268435456</v>
    <v>1</v>
    <v>Powered by Refinitiv</v>
    <v>0</v>
    <v>KAVERI SEED COMPANY LTD. (XNSE:KSCL)</v>
    <v>2</v>
    <v>3</v>
    <v>Finance</v>
    <v>4</v>
    <v>1493</v>
    <v>705.1</v>
    <v>0.59989999999999999</v>
    <v>0.5</v>
    <v>5.8279999999999996E-4</v>
    <v>INR</v>
    <v>Kaveri Seed Company Limited is an India-based agriculture company. The Company is engaged in the research, production, processing and marketing of various hybrid seeds. It is also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867.5</v>
    <v>Food &amp; Tobacco</v>
    <v>Stock</v>
    <v>46178.467523148145</v>
    <v>664</v>
    <v>855</v>
    <v>45884960000</v>
    <v>KAVERI SEED COMPANY LTD.</v>
    <v>KAVERI SEED COMPANY LTD.</v>
    <v>855</v>
    <v>15.0755</v>
    <v>857.9</v>
    <v>858.4</v>
    <v>51040870</v>
    <v>KSCL</v>
    <v>KAVERI SEED COMPANY LTD. (XNSE:KSCL)</v>
    <v>31706</v>
    <v>122990</v>
    <v>1986</v>
  </rv>
  <rv s="2">
    <v>665</v>
  </rv>
  <rv s="3">
    <v>en-IN</v>
    <v>c9it27</v>
    <v>268435456</v>
    <v>1</v>
    <v>Powered by Refinitiv</v>
    <v>5</v>
    <v>Avalon Technologies Ltd (XNSE:AVALON)</v>
    <v>6</v>
    <v>3</v>
    <v>Finance</v>
    <v>4</v>
    <v>1688.5</v>
    <v>777.3</v>
    <v>1.409</v>
    <v>-29.8</v>
    <v>-1.8196E-2</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1688.5</v>
    <v>Electronic Equipment &amp; Parts</v>
    <v>Stock</v>
    <v>46178.467523148145</v>
    <v>1587.8</v>
    <v>59435520000</v>
    <v>Avalon Technologies Ltd</v>
    <v>Avalon Technologies Ltd</v>
    <v>1630</v>
    <v>95.029600000000002</v>
    <v>1637.7</v>
    <v>1607.9</v>
    <v>66787700</v>
    <v>AVALON</v>
    <v>Avalon Technologies Ltd (XNSE:AVALON)</v>
    <v>406233</v>
    <v>487000</v>
    <v>1999</v>
  </rv>
  <rv s="2">
    <v>667</v>
  </rv>
  <rv s="0">
    <v>https://www.bing.com/financeapi/forcetrigger?t=ahherw&amp;q=XNSE%3aCOALINDIA&amp;form=skydnc</v>
    <v>Learn more on Bing</v>
  </rv>
  <rv s="1">
    <v>en-IN</v>
    <v>ahherw</v>
    <v>268435456</v>
    <v>1</v>
    <v>Powered by Refinitiv</v>
    <v>0</v>
    <v>COAL INDIA LTD (XNSE:COALINDIA)</v>
    <v>2</v>
    <v>3</v>
    <v>Finance</v>
    <v>4</v>
    <v>491.25</v>
    <v>368.65</v>
    <v>0.65949999999999998</v>
    <v>-9.35</v>
    <v>-1.9411999999999999E-2</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483.6</v>
    <v>Coal</v>
    <v>Stock</v>
    <v>46178.467534722222</v>
    <v>669</v>
    <v>469.1</v>
    <v>2643194000000</v>
    <v>COAL INDIA LTD</v>
    <v>COAL INDIA LTD</v>
    <v>483.3</v>
    <v>9.3598999999999997</v>
    <v>481.65</v>
    <v>472.3</v>
    <v>6162729000</v>
    <v>COALINDIA</v>
    <v>COAL INDIA LTD (XNSE:COALINDIA)</v>
    <v>9592529</v>
    <v>34877660</v>
    <v>1973</v>
  </rv>
  <rv s="2">
    <v>670</v>
  </rv>
  <rv s="0">
    <v>https://www.bing.com/financeapi/forcetrigger?t=ahh27w&amp;q=XNSE%3aAVANTIFEED&amp;form=skydnc</v>
    <v>Learn more on Bing</v>
  </rv>
  <rv s="1">
    <v>en-IN</v>
    <v>ahh27w</v>
    <v>268435456</v>
    <v>1</v>
    <v>Powered by Refinitiv</v>
    <v>0</v>
    <v>AVANTI FEEDS LIMITED (XNSE:AVANTIFEED)</v>
    <v>2</v>
    <v>3</v>
    <v>Finance</v>
    <v>4</v>
    <v>1593.8</v>
    <v>614.25</v>
    <v>0.52729999999999999</v>
    <v>-15.8</v>
    <v>-1.4027000000000001E-2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1143.7</v>
    <v>Food &amp; Tobacco</v>
    <v>Stock</v>
    <v>46178.467511574076</v>
    <v>672</v>
    <v>1106</v>
    <v>110815400000</v>
    <v>AVANTI FEEDS LIMITED</v>
    <v>AVANTI FEEDS LIMITED</v>
    <v>1130</v>
    <v>24.412800000000001</v>
    <v>1126.4000000000001</v>
    <v>1110.5999999999999</v>
    <v>136245600</v>
    <v>AVANTIFEED</v>
    <v>AVANTI FEEDS LIMITED (XNSE:AVANTIFEED)</v>
    <v>336259</v>
    <v>692550</v>
    <v>1993</v>
  </rv>
  <rv s="2">
    <v>673</v>
  </rv>
  <rv s="0">
    <v>https://www.bing.com/financeapi/forcetrigger?t=ahkhjc&amp;q=XNSE%3aUNIONBANK&amp;form=skydnc</v>
    <v>Learn more on Bing</v>
  </rv>
  <rv s="1">
    <v>en-IN</v>
    <v>ahkhjc</v>
    <v>268435456</v>
    <v>1</v>
    <v>Powered by Refinitiv</v>
    <v>0</v>
    <v>UNION BANK OF INDIA LIMITED (XNSE:UNIONBANK)</v>
    <v>2</v>
    <v>3</v>
    <v>Finance</v>
    <v>4</v>
    <v>205.49</v>
    <v>124.64</v>
    <v>1.1065</v>
    <v>0.46</v>
    <v>2.7620000000000001E-3</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169.59</v>
    <v>Banking Services</v>
    <v>Stock</v>
    <v>46178.467511574076</v>
    <v>675</v>
    <v>165.84</v>
    <v>1268629000000</v>
    <v>UNION BANK OF INDIA LIMITED</v>
    <v>UNION BANK OF INDIA LIMITED</v>
    <v>167.6</v>
    <v>6.5593000000000004</v>
    <v>166.54</v>
    <v>167</v>
    <v>7633605000</v>
    <v>UNIONBANK</v>
    <v>UNION BANK OF INDIA LIMITED (XNSE:UNIONBANK)</v>
    <v>12927945</v>
    <v>15695530</v>
    <v>1919</v>
  </rv>
  <rv s="2">
    <v>676</v>
  </rv>
  <rv s="0">
    <v>https://www.bing.com/financeapi/forcetrigger?t=ahh34c&amp;q=XNSE%3aBAJAJCON&amp;form=skydnc</v>
    <v>Learn more on Bing</v>
  </rv>
  <rv s="1">
    <v>en-IN</v>
    <v>ahh34c</v>
    <v>268435456</v>
    <v>1</v>
    <v>Powered by Refinitiv</v>
    <v>0</v>
    <v>BAJAJ CONSUMER CARE LIMITED (XNSE:BAJAJCON)</v>
    <v>2</v>
    <v>3</v>
    <v>Finance</v>
    <v>4</v>
    <v>581</v>
    <v>168.25</v>
    <v>0.77310000000000001</v>
    <v>-6.75</v>
    <v>-1.2078999999999999E-2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568</v>
    <v>Personal &amp; Household Products &amp; Services</v>
    <v>Stock</v>
    <v>46178.467534722222</v>
    <v>678</v>
    <v>546.54999999999995</v>
    <v>37030290000</v>
    <v>BAJAJ CONSUMER CARE LIMITED</v>
    <v>BAJAJ CONSUMER CARE LIMITED</v>
    <v>558.79999999999995</v>
    <v>38.992899999999999</v>
    <v>558.79999999999995</v>
    <v>552.04999999999995</v>
    <v>130618300</v>
    <v>BAJAJCON</v>
    <v>BAJAJ CONSUMER CARE LIMITED (XNSE:BAJAJCON)</v>
    <v>485590</v>
    <v>731990</v>
    <v>2006</v>
  </rv>
  <rv s="2">
    <v>679</v>
  </rv>
  <rv s="0">
    <v>https://www.bing.com/financeapi/forcetrigger?t=ahheur&amp;q=XNSE%3aCOCHINSHIP&amp;form=skydnc</v>
    <v>Learn more on Bing</v>
  </rv>
  <rv s="1">
    <v>en-IN</v>
    <v>ahheur</v>
    <v>268435456</v>
    <v>1</v>
    <v>Powered by Refinitiv</v>
    <v>0</v>
    <v>COCHIN SHIPYARD LIMITED (XNSE:COCHINSHIP)</v>
    <v>2</v>
    <v>3</v>
    <v>Finance</v>
    <v>4</v>
    <v>2545</v>
    <v>1187</v>
    <v>1.7972999999999999</v>
    <v>-33.299999999999997</v>
    <v>-2.2616000000000001E-2</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1482.8</v>
    <v>Machinery, Equipment &amp; Components</v>
    <v>Stock</v>
    <v>46178.467546296299</v>
    <v>681</v>
    <v>1432.2</v>
    <v>407064900000</v>
    <v>COCHIN SHIPYARD LIMITED</v>
    <v>COCHIN SHIPYARD LIMITED</v>
    <v>1474.2</v>
    <v>52.830399999999997</v>
    <v>1472.4</v>
    <v>1439.1</v>
    <v>263080800</v>
    <v>COCHINSHIP</v>
    <v>COCHIN SHIPYARD LIMITED (XNSE:COCHINSHIP)</v>
    <v>1096107</v>
    <v>1038300</v>
    <v>1972</v>
  </rv>
  <rv s="2">
    <v>682</v>
  </rv>
  <rv s="0">
    <v>https://www.bing.com/financeapi/forcetrigger?t=b1ntp2&amp;q=XNSE%3aSOUTHWEST&amp;form=skydnc</v>
    <v>Learn more on Bing</v>
  </rv>
  <rv s="1">
    <v>en-IN</v>
    <v>b1ntp2</v>
    <v>268435456</v>
    <v>1</v>
    <v>Powered by Refinitiv</v>
    <v>0</v>
    <v>SOUTH WEST PINNACLE EXPLORATION LIMITED (XNSE:SOUTHWEST)</v>
    <v>2</v>
    <v>3</v>
    <v>Finance</v>
    <v>4</v>
    <v>275</v>
    <v>121</v>
    <v>0.63370000000000004</v>
    <v>-1.5</v>
    <v>-5.6759999999999996E-3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272</v>
    <v>Oil &amp; Gas Related Equipment and Services</v>
    <v>Stock</v>
    <v>46178.467511574076</v>
    <v>684</v>
    <v>260.5</v>
    <v>5328535000</v>
    <v>SOUTH WEST PINNACLE EXPLORATION LIMITED</v>
    <v>SOUTH WEST PINNACLE EXPLORATION LIMITED</v>
    <v>268.2</v>
    <v>23.864699999999999</v>
    <v>264.25</v>
    <v>262.75</v>
    <v>29830010</v>
    <v>SOUTHWEST</v>
    <v>SOUTH WEST PINNACLE EXPLORATION LIMITED (XNSE:SOUTHWEST)</v>
    <v>227707</v>
    <v>457990</v>
    <v>2006</v>
  </rv>
  <rv s="2">
    <v>685</v>
  </rv>
  <rv s="3">
    <v>en-IN</v>
    <v>cavcsm</v>
    <v>268435456</v>
    <v>1</v>
    <v>Powered by Refinitiv</v>
    <v>5</v>
    <v>R R KABEL LIMITED (XNSE:RRKABEL)</v>
    <v>6</v>
    <v>3</v>
    <v>Finance</v>
    <v>4</v>
    <v>2239.8000000000002</v>
    <v>1165</v>
    <v>1.036</v>
    <v>0.4</v>
    <v>1.7989999999999998E-4</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2239.8000000000002</v>
    <v>Machinery, Equipment &amp; Components</v>
    <v>Stock</v>
    <v>46178.467534722222</v>
    <v>2182.1</v>
    <v>169905200000</v>
    <v>R R KABEL LIMITED</v>
    <v>R R KABEL LIMITED</v>
    <v>2234</v>
    <v>51.077399999999997</v>
    <v>2223</v>
    <v>2223.4</v>
    <v>113105500</v>
    <v>RRKABEL</v>
    <v>R R KABEL LIMITED (XNSE:RRKABEL)</v>
    <v>564015</v>
    <v>879370</v>
    <v>1995</v>
  </rv>
  <rv s="2">
    <v>687</v>
  </rv>
  <rv s="3">
    <v>en-IN</v>
    <v>chn55r</v>
    <v>268435456</v>
    <v>1</v>
    <v>Powered by Refinitiv</v>
    <v>5</v>
    <v>ADITYA INFOTECH LIMITED (XNSE:CPPLUS)</v>
    <v>6</v>
    <v>3</v>
    <v>Finance</v>
    <v>4</v>
    <v>3714.4</v>
    <v>1015</v>
    <v>0.67800000000000005</v>
    <v>-35.700000000000003</v>
    <v>-1.0092E-2</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3714.4</v>
    <v>Professional &amp; Commercial Services</v>
    <v>Stock</v>
    <v>46178.467592592591</v>
    <v>3376.8</v>
    <v>166878700000</v>
    <v>ADITYA INFOTECH LIMITED</v>
    <v>ADITYA INFOTECH LIMITED</v>
    <v>3590</v>
    <v>110.1919</v>
    <v>3537.6</v>
    <v>3501.9</v>
    <v>117850500</v>
    <v>CPPLUS</v>
    <v>ADITYA INFOTECH LIMITED (XNSE:CPPLUS)</v>
    <v>977122</v>
    <v>601870</v>
    <v>1995</v>
  </rv>
  <rv s="2">
    <v>689</v>
  </rv>
  <rv s="8">
    <v>en-IN</v>
    <v>cfttvh</v>
    <v>268435456</v>
    <v>1</v>
    <v>Powered by Refinitiv</v>
    <v>12</v>
    <v>NIBE LIMITED (XNSE:NIBE)</v>
    <v>6</v>
    <v>13</v>
    <v>Finance</v>
    <v>4</v>
    <v>2001</v>
    <v>809.6</v>
    <v>88.8</v>
    <v>5.9137000000000002E-2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1634</v>
    <v>Aerospace &amp; Defense</v>
    <v>Stock</v>
    <v>46178.467557870368</v>
    <v>1492.4</v>
    <v>17537840000</v>
    <v>NIBE LIMITED</v>
    <v>NIBE LIMITED</v>
    <v>1502</v>
    <v>668.23530000000005</v>
    <v>1501.6</v>
    <v>1590.4</v>
    <v>14941270</v>
    <v>NIBE</v>
    <v>NIBE LIMITED (XNSE:NIBE)</v>
    <v>460474</v>
    <v>708720</v>
    <v>2005</v>
  </rv>
  <rv s="2">
    <v>691</v>
  </rv>
  <rv s="0">
    <v>https://www.bing.com/financeapi/forcetrigger?t=bwv5yc&amp;q=XNSE%3aGLAND&amp;form=skydnc</v>
    <v>Learn more on Bing</v>
  </rv>
  <rv s="1">
    <v>en-IN</v>
    <v>bwv5yc</v>
    <v>268435456</v>
    <v>1</v>
    <v>Powered by Refinitiv</v>
    <v>0</v>
    <v>GLAND PHARMA LTD (XNSE:GLAND)</v>
    <v>2</v>
    <v>3</v>
    <v>Finance</v>
    <v>4</v>
    <v>2396</v>
    <v>1571.1</v>
    <v>0.20219999999999999</v>
    <v>53.5</v>
    <v>2.4104999999999998E-2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2288.3000000000002</v>
    <v>Pharmaceuticals</v>
    <v>Stock</v>
    <v>46178.467499999999</v>
    <v>693</v>
    <v>2196</v>
    <v>283249300000</v>
    <v>GLAND PHARMA LTD</v>
    <v>GLAND PHARMA LTD</v>
    <v>2232.8000000000002</v>
    <v>35.590000000000003</v>
    <v>2219.5</v>
    <v>2273</v>
    <v>164959700</v>
    <v>GLAND</v>
    <v>GLAND PHARMA LTD (XNSE:GLAND)</v>
    <v>494431</v>
    <v>523500</v>
    <v>1978</v>
  </rv>
  <rv s="2">
    <v>694</v>
  </rv>
  <rv s="0">
    <v>https://www.bing.com/financeapi/forcetrigger?t=bqettc&amp;q=XNSE%3aCONFIPET&amp;form=skydnc</v>
    <v>Learn more on Bing</v>
  </rv>
  <rv s="1">
    <v>en-IN</v>
    <v>bqettc</v>
    <v>268435456</v>
    <v>1</v>
    <v>Powered by Refinitiv</v>
    <v>0</v>
    <v>CONFIDENCE PETROLEUM INDIA LIMITED (XNSE:CONFIPET)</v>
    <v>2</v>
    <v>3</v>
    <v>Finance</v>
    <v>4</v>
    <v>80.569999999999993</v>
    <v>28.06</v>
    <v>0.95660000000000001</v>
    <v>0.72</v>
    <v>9.3640000000000008E-3</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79.19</v>
    <v>Oil &amp; Gas</v>
    <v>Stock</v>
    <v>46178.467511574076</v>
    <v>696</v>
    <v>73.31</v>
    <v>11289550000</v>
    <v>CONFIDENCE PETROLEUM INDIA LIMITED</v>
    <v>CONFIDENCE PETROLEUM INDIA LIMITED</v>
    <v>76.95</v>
    <v>27.7179</v>
    <v>76.89</v>
    <v>77.61</v>
    <v>332241000</v>
    <v>CONFIPET</v>
    <v>CONFIDENCE PETROLEUM INDIA LIMITED (XNSE:CONFIPET)</v>
    <v>3889694</v>
    <v>4905970</v>
    <v>1994</v>
  </rv>
  <rv s="2">
    <v>697</v>
  </rv>
  <rv s="0">
    <v>https://www.bing.com/financeapi/forcetrigger?t=ahjihw&amp;q=XNSE%3aPREMEXPLN&amp;form=skydnc</v>
    <v>Learn more on Bing</v>
  </rv>
  <rv s="1">
    <v>en-IN</v>
    <v>ahjihw</v>
    <v>268435456</v>
    <v>1</v>
    <v>Powered by Refinitiv</v>
    <v>0</v>
    <v>PREMIER EXPLOSIVES LIMITED (XNSE:PREMEXPLN)</v>
    <v>2</v>
    <v>3</v>
    <v>Finance</v>
    <v>4</v>
    <v>779.5</v>
    <v>378.4</v>
    <v>1.9785999999999999</v>
    <v>1.25</v>
    <v>1.8260000000000001E-3</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711.7</v>
    <v>Chemicals</v>
    <v>Stock</v>
    <v>46178.467534722222</v>
    <v>699</v>
    <v>652.20000000000005</v>
    <v>27238110000</v>
    <v>PREMIER EXPLOSIVES LIMITED</v>
    <v>PREMIER EXPLOSIVES LIMITED</v>
    <v>693</v>
    <v>80.475399999999993</v>
    <v>684.4</v>
    <v>685.65</v>
    <v>53761200</v>
    <v>PREMEXPLN</v>
    <v>PREMIER EXPLOSIVES LIMITED (XNSE:PREMEXPLN)</v>
    <v>1518822</v>
    <v>2673780</v>
    <v>1980</v>
  </rv>
  <rv s="2">
    <v>700</v>
  </rv>
  <rv s="0">
    <v>https://www.bing.com/financeapi/forcetrigger?t=ahjt77&amp;q=XNSE%3aSANGHVIMOV&amp;form=skydnc</v>
    <v>Learn more on Bing</v>
  </rv>
  <rv s="1">
    <v>en-IN</v>
    <v>ahjt77</v>
    <v>268435456</v>
    <v>1</v>
    <v>Powered by Refinitiv</v>
    <v>0</v>
    <v>SANGHVI MOVERS LIMITED (XNSE:SANGHVIMOV)</v>
    <v>2</v>
    <v>3</v>
    <v>Finance</v>
    <v>4</v>
    <v>411.9</v>
    <v>223.8</v>
    <v>1.0612999999999999</v>
    <v>6.4</v>
    <v>1.7451000000000001E-2</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383.1</v>
    <v>Professional &amp; Commercial Services</v>
    <v>Stock</v>
    <v>46178.467523148145</v>
    <v>702</v>
    <v>367</v>
    <v>27284430000</v>
    <v>SANGHVI MOVERS LIMITED</v>
    <v>SANGHVI MOVERS LIMITED</v>
    <v>369.45</v>
    <v>17.527000000000001</v>
    <v>366.75</v>
    <v>373.15</v>
    <v>86576000</v>
    <v>SANGHVIMOV</v>
    <v>SANGHVI MOVERS LIMITED (XNSE:SANGHVIMOV)</v>
    <v>292358</v>
    <v>1363800</v>
    <v>1989</v>
  </rv>
  <rv s="2">
    <v>703</v>
  </rv>
  <rv s="0">
    <v>https://www.bing.com/financeapi/forcetrigger?t=azjuur&amp;q=XNSE%3aSANDHAR&amp;form=skydnc</v>
    <v>Learn more on Bing</v>
  </rv>
  <rv s="1">
    <v>en-IN</v>
    <v>azjuur</v>
    <v>268435456</v>
    <v>1</v>
    <v>Powered by Refinitiv</v>
    <v>0</v>
    <v>SANDHAR TECHNOLOGIES LIMITED (XNSE:SANDHAR)</v>
    <v>2</v>
    <v>3</v>
    <v>Finance</v>
    <v>4</v>
    <v>745.05</v>
    <v>405.2</v>
    <v>1.0703</v>
    <v>-8.65</v>
    <v>-1.2153000000000001E-2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723</v>
    <v>Automobiles &amp; Auto Parts</v>
    <v>Stock</v>
    <v>46178.467499999999</v>
    <v>705</v>
    <v>700</v>
    <v>33655630000</v>
    <v>SANDHAR TECHNOLOGIES LIMITED</v>
    <v>SANDHAR TECHNOLOGIES LIMITED</v>
    <v>719.85</v>
    <v>21.306100000000001</v>
    <v>711.75</v>
    <v>703.1</v>
    <v>60190710</v>
    <v>SANDHAR</v>
    <v>SANDHAR TECHNOLOGIES LIMITED (XNSE:SANDHAR)</v>
    <v>222897</v>
    <v>2418240</v>
    <v>1987</v>
  </rv>
  <rv s="2">
    <v>706</v>
  </rv>
  <rv s="0">
    <v>https://www.bing.com/financeapi/forcetrigger?t=ahigu2&amp;q=XNSE%3aJINDRILL&amp;form=skydnc</v>
    <v>Learn more on Bing</v>
  </rv>
  <rv s="1">
    <v>en-IN</v>
    <v>ahigu2</v>
    <v>268435456</v>
    <v>1</v>
    <v>Powered by Refinitiv</v>
    <v>0</v>
    <v>JINDAL DRILLING AND INDUSTRIES LIMITED (XNSE:JINDRILL)</v>
    <v>2</v>
    <v>3</v>
    <v>Finance</v>
    <v>4</v>
    <v>693.5</v>
    <v>440.1</v>
    <v>0.71140000000000003</v>
    <v>0.1</v>
    <v>1.585E-4</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645</v>
    <v>Oil &amp; Gas Related Equipment and Services</v>
    <v>Stock</v>
    <v>46178.467523148145</v>
    <v>708</v>
    <v>625</v>
    <v>15096260000</v>
    <v>JINDAL DRILLING AND INDUSTRIES LIMITED</v>
    <v>JINDAL DRILLING AND INDUSTRIES LIMITED</v>
    <v>633.95000000000005</v>
    <v>9.1016999999999992</v>
    <v>631.1</v>
    <v>631.20000000000005</v>
    <v>28981100</v>
    <v>JINDRILL</v>
    <v>JINDAL DRILLING AND INDUSTRIES LIMITED (XNSE:JINDRILL)</v>
    <v>460846</v>
    <v>1610180</v>
    <v>2004</v>
  </rv>
  <rv s="2">
    <v>709</v>
  </rv>
  <rv s="0">
    <v>https://www.bing.com/financeapi/forcetrigger?t=c4iym7&amp;q=XNSE%3aRATEGAIN&amp;form=skydnc</v>
    <v>Learn more on Bing</v>
  </rv>
  <rv s="1">
    <v>en-IN</v>
    <v>c4iym7</v>
    <v>268435456</v>
    <v>1</v>
    <v>Powered by Refinitiv</v>
    <v>0</v>
    <v>RATEGAIN TRAVEL TECHNOLOGIES LIMITED (XNSE:RATEGAIN)</v>
    <v>2</v>
    <v>3</v>
    <v>Finance</v>
    <v>4</v>
    <v>802</v>
    <v>417.6</v>
    <v>1.4722999999999999</v>
    <v>-12.3</v>
    <v>-1.5952999999999998E-2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779.5</v>
    <v>Software &amp; IT Services</v>
    <v>Stock</v>
    <v>46178.467511574076</v>
    <v>711</v>
    <v>755</v>
    <v>78109270000</v>
    <v>RATEGAIN TRAVEL TECHNOLOGIES LIMITED</v>
    <v>RATEGAIN TRAVEL TECHNOLOGIES LIMITED</v>
    <v>779.5</v>
    <v>46.81</v>
    <v>771</v>
    <v>758.7</v>
    <v>118097800</v>
    <v>RATEGAIN</v>
    <v>RATEGAIN TRAVEL TECHNOLOGIES LIMITED (XNSE:RATEGAIN)</v>
    <v>333958</v>
    <v>1941030</v>
    <v>2012</v>
  </rv>
  <rv s="2">
    <v>712</v>
  </rv>
  <rv s="0">
    <v>https://www.bing.com/financeapi/forcetrigger?t=c4oac7&amp;q=XNSE%3aSUPRIYA&amp;form=skydnc</v>
    <v>Learn more on Bing</v>
  </rv>
  <rv s="1">
    <v>en-IN</v>
    <v>c4oac7</v>
    <v>268435456</v>
    <v>1</v>
    <v>Powered by Refinitiv</v>
    <v>0</v>
    <v>SUPRIYA LIFESCIENCE LIMITED (XNSE:SUPRIYA)</v>
    <v>2</v>
    <v>3</v>
    <v>Finance</v>
    <v>4</v>
    <v>1085</v>
    <v>545.5</v>
    <v>1.2536</v>
    <v>-4.1500000000000004</v>
    <v>-4.359E-3</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985</v>
    <v>Pharmaceuticals</v>
    <v>Stock</v>
    <v>46178.467511574076</v>
    <v>714</v>
    <v>939.15</v>
    <v>59444600000</v>
    <v>SUPRIYA LIFESCIENCE LIMITED</v>
    <v>SUPRIYA LIFESCIENCE LIMITED</v>
    <v>952.1</v>
    <v>36.487699999999997</v>
    <v>952.1</v>
    <v>947.95</v>
    <v>80482800</v>
    <v>SUPRIYA</v>
    <v>SUPRIYA LIFESCIENCE LIMITED (XNSE:SUPRIYA)</v>
    <v>606961</v>
    <v>1715070</v>
    <v>2008</v>
  </rv>
  <rv s="2">
    <v>715</v>
  </rv>
  <rv s="0">
    <v>https://www.bing.com/financeapi/forcetrigger?t=ahk2lh&amp;q=XNSE%3aSPARC&amp;form=skydnc</v>
    <v>Learn more on Bing</v>
  </rv>
  <rv s="1">
    <v>en-IN</v>
    <v>ahk2lh</v>
    <v>268435456</v>
    <v>1</v>
    <v>Powered by Refinitiv</v>
    <v>0</v>
    <v>SUN PHARMA ADVANCED RESEARCH COMPANY LIMITED (XNSE:SPARC)</v>
    <v>2</v>
    <v>3</v>
    <v>Finance</v>
    <v>4</v>
    <v>248.75</v>
    <v>108</v>
    <v>1.5586</v>
    <v>-0.15</v>
    <v>-7.0430000000000004E-4</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222.59</v>
    <v>Pharmaceuticals</v>
    <v>Stock</v>
    <v>46178.467523148145</v>
    <v>717</v>
    <v>210.9</v>
    <v>44086260000</v>
    <v>SUN PHARMA ADVANCED RESEARCH COMPANY LIMITED</v>
    <v>SUN PHARMA ADVANCED RESEARCH COMPANY LIMITED</v>
    <v>214.05</v>
    <v>4.4476000000000004</v>
    <v>212.97</v>
    <v>212.82</v>
    <v>324521600</v>
    <v>SPARC</v>
    <v>SUN PHARMA ADVANCED RESEARCH COMPANY LIMITED (XNSE:SPARC)</v>
    <v>3607773</v>
    <v>17207390</v>
    <v>2006</v>
  </rv>
  <rv s="2">
    <v>718</v>
  </rv>
  <rv s="0">
    <v>https://www.bing.com/financeapi/forcetrigger?t=ahiimw&amp;q=XNSE%3aJSWENERGY&amp;form=skydnc</v>
    <v>Learn more on Bing</v>
  </rv>
  <rv s="1">
    <v>en-IN</v>
    <v>ahiimw</v>
    <v>268435456</v>
    <v>1</v>
    <v>Powered by Refinitiv</v>
    <v>0</v>
    <v>JSW ENERGY LIMITED (XNSE:JSWENERGY)</v>
    <v>2</v>
    <v>3</v>
    <v>Finance</v>
    <v>4</v>
    <v>617.35</v>
    <v>427.75</v>
    <v>1.3647</v>
    <v>-5.85</v>
    <v>-9.9139999999999992E-3</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592.9</v>
    <v>Electrical Utilities &amp; IPPs</v>
    <v>Stock</v>
    <v>46178.467534722222</v>
    <v>720</v>
    <v>575.75</v>
    <v>863034400000</v>
    <v>JSW ENERGY LIMITED</v>
    <v>JSW ENERGY LIMITED</v>
    <v>591</v>
    <v>45.533900000000003</v>
    <v>590.04999999999995</v>
    <v>584.20000000000005</v>
    <v>1832382000</v>
    <v>JSWENERGY</v>
    <v>JSW ENERGY LIMITED (XNSE:JSWENERGY)</v>
    <v>1509598</v>
    <v>4663980</v>
    <v>1994</v>
  </rv>
  <rv s="2">
    <v>721</v>
  </rv>
  <rv s="0">
    <v>https://www.bing.com/financeapi/forcetrigger?t=ahk7qh&amp;q=XNSE%3aSUVEN&amp;form=skydnc</v>
    <v>Learn more on Bing</v>
  </rv>
  <rv s="1">
    <v>en-IN</v>
    <v>ahk7qh</v>
    <v>268435456</v>
    <v>1</v>
    <v>Powered by Refinitiv</v>
    <v>0</v>
    <v>SUVEN LIFE SCIENCES LIMITED (XNSE:SUVEN)</v>
    <v>2</v>
    <v>3</v>
    <v>Finance</v>
    <v>4</v>
    <v>299.99</v>
    <v>124.11</v>
    <v>1.4461999999999999</v>
    <v>-29</v>
    <v>-0.108879</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272.10000000000002</v>
    <v>Biotechnology &amp; Medical Research</v>
    <v>Stock</v>
    <v>46178.467511574076</v>
    <v>723</v>
    <v>235.1</v>
    <v>34830850000</v>
    <v>SUVEN LIFE SCIENCES LIMITED</v>
    <v>SUVEN LIFE SCIENCES LIMITED</v>
    <v>269.39999999999998</v>
    <v>0</v>
    <v>266.35000000000002</v>
    <v>237.35</v>
    <v>263720600</v>
    <v>SUVEN</v>
    <v>SUVEN LIFE SCIENCES LIMITED (XNSE:SUVEN)</v>
    <v>2970429</v>
    <v>1726330</v>
    <v>1989</v>
  </rv>
  <rv s="2">
    <v>724</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1.3335999999999999</v>
    <v>5.2</v>
    <v>3.6600000000000001E-3</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1439.9</v>
    <v>Chemicals</v>
    <v>Stock</v>
    <v>46178.467499999999</v>
    <v>726</v>
    <v>1419.8</v>
    <v>154578200000</v>
    <v>DEEPAK FERTILISERS AND PETROCHEMICALS CORPORATION LTD</v>
    <v>DEEPAK FERTILISERS AND PETROCHEMICALS CORPORATION LTD</v>
    <v>1427.4</v>
    <v>24.414400000000001</v>
    <v>1420.6</v>
    <v>1425.8</v>
    <v>126237800</v>
    <v>DEEPAKFERT</v>
    <v>DEEPAK FERTILISERS AND PETROCHEMICALS CORPORATION LTD (XNSE:DEEPAKFERT)</v>
    <v>112062</v>
    <v>581840</v>
    <v>1979</v>
  </rv>
  <rv s="2">
    <v>727</v>
  </rv>
  <rv s="0">
    <v>https://www.bing.com/financeapi/forcetrigger?t=ahkcec&amp;q=XNSE%3aTHERMAX&amp;form=skydnc</v>
    <v>Learn more on Bing</v>
  </rv>
  <rv s="1">
    <v>en-IN</v>
    <v>ahkcec</v>
    <v>268435456</v>
    <v>1</v>
    <v>Powered by Refinitiv</v>
    <v>0</v>
    <v>THERMAX LIMITED. (XNSE:THERMAX)</v>
    <v>2</v>
    <v>3</v>
    <v>Finance</v>
    <v>4</v>
    <v>5075</v>
    <v>2742.7</v>
    <v>0.35049999999999998</v>
    <v>-43.8</v>
    <v>-8.9829999999999997E-3</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4960</v>
    <v>Machinery, Equipment &amp; Components</v>
    <v>Stock</v>
    <v>46178.467499999999</v>
    <v>729</v>
    <v>4786.6000000000004</v>
    <v>333912500000</v>
    <v>THERMAX LIMITED.</v>
    <v>THERMAX LIMITED.</v>
    <v>4931.2</v>
    <v>76.25</v>
    <v>4875.8999999999996</v>
    <v>4832.1000000000004</v>
    <v>112648700</v>
    <v>THERMAX</v>
    <v>THERMAX LIMITED. (XNSE:THERMAX)</v>
    <v>203060</v>
    <v>466000</v>
    <v>1980</v>
  </rv>
  <rv s="2">
    <v>730</v>
  </rv>
  <rv s="0">
    <v>https://www.bing.com/financeapi/forcetrigger?t=ahip9c&amp;q=XNSE%3aKTKBANK&amp;form=skydnc</v>
    <v>Learn more on Bing</v>
  </rv>
  <rv s="1">
    <v>en-IN</v>
    <v>ahip9c</v>
    <v>268435456</v>
    <v>1</v>
    <v>Powered by Refinitiv</v>
    <v>0</v>
    <v>THE KARNATAKA BANK LIMITED (XNSE:KTKBANK)</v>
    <v>2</v>
    <v>3</v>
    <v>Finance</v>
    <v>4</v>
    <v>278.39999999999998</v>
    <v>169.12</v>
    <v>0.97709999999999997</v>
    <v>-0.9</v>
    <v>-3.4229999999999998E-3</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265.89999999999998</v>
    <v>Banking Services</v>
    <v>Stock</v>
    <v>46178.467511574076</v>
    <v>732</v>
    <v>260</v>
    <v>70486410000</v>
    <v>THE KARNATAKA BANK LIMITED</v>
    <v>THE KARNATAKA BANK LIMITED</v>
    <v>264</v>
    <v>7.5570000000000004</v>
    <v>262.89999999999998</v>
    <v>262</v>
    <v>378190100</v>
    <v>KTKBANK</v>
    <v>THE KARNATAKA BANK LIMITED (XNSE:KTKBANK)</v>
    <v>1137196</v>
    <v>2942930</v>
    <v>1924</v>
  </rv>
  <rv s="2">
    <v>733</v>
  </rv>
  <rv s="0">
    <v>https://www.bing.com/financeapi/forcetrigger?t=ahgrc7&amp;q=XNSE%3aADANITRANS&amp;form=skydnc</v>
    <v>Learn more on Bing</v>
  </rv>
  <rv s="9">
    <v>en-IN</v>
    <v>ahgrc7</v>
    <v>268435456</v>
    <v>1</v>
    <v>Powered by Refinitiv</v>
    <v>14</v>
    <v>ADANI ENERGY SOLUTIONS LIMITED (XNSE:ADANIENSOL)</v>
    <v>2</v>
    <v>15</v>
    <v>Finance</v>
    <v>16</v>
    <v>1591.4</v>
    <v>744.9</v>
    <v>2.2486999999999999</v>
    <v>59</v>
    <v>-4.6992000000000006E-2</v>
    <v>3.8816000000000003E-2</v>
    <v>-74.2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3514</v>
    <v>National Stock Exchange of India</v>
    <v>XNSE</v>
    <v>XNSE</v>
    <v>Adani Corporate House, Shantigram, Near Vaishno Devi Circle, S G Highway, S. G. Highway, Khodiyar, AHMEDABAD, GUJARAT, 382421 IN</v>
    <v>1591.4</v>
    <v>Electrical Utilities &amp; IPPs</v>
    <v>Stock</v>
    <v>46178.467511574076</v>
    <v>735</v>
    <v>1527</v>
    <v>1120196000000</v>
    <v>ADANI ENERGY SOLUTIONS LIMITED</v>
    <v>ADANI ENERGY SOLUTIONS LIMITED</v>
    <v>1528.4</v>
    <v>83.103099999999998</v>
    <v>1520</v>
    <v>1579</v>
    <v>1504.8</v>
    <v>1201283000</v>
    <v>ADANIENSOL</v>
    <v>ADANI ENERGY SOLUTIONS LIMITED (XNSE:ADANIENSOL)</v>
    <v>5528998</v>
    <v>3971920</v>
    <v>2013</v>
  </rv>
  <rv s="2">
    <v>736</v>
  </rv>
  <rv s="0">
    <v>https://www.bing.com/financeapi/forcetrigger?t=ahgwsm&amp;q=XNSE%3aAPOLLOHOSP&amp;form=skydnc</v>
    <v>Learn more on Bing</v>
  </rv>
  <rv s="1">
    <v>en-IN</v>
    <v>ahgwsm</v>
    <v>268435456</v>
    <v>1</v>
    <v>Powered by Refinitiv</v>
    <v>0</v>
    <v>APOLLO HOSPITALS ENTERPRISE LIMITED (XNSE:APOLLOHOSP)</v>
    <v>2</v>
    <v>3</v>
    <v>Finance</v>
    <v>4</v>
    <v>8443</v>
    <v>6696.5</v>
    <v>0.73</v>
    <v>55.5</v>
    <v>6.7279999999999996E-3</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8341</v>
    <v>Healthcare Providers &amp; Services</v>
    <v>Stock</v>
    <v>46178.467488425929</v>
    <v>738</v>
    <v>8240</v>
    <v>1051282000000</v>
    <v>APOLLO HOSPITALS ENTERPRISE LIMITED</v>
    <v>APOLLO HOSPITALS ENTERPRISE LIMITED</v>
    <v>8265</v>
    <v>61.08</v>
    <v>8249</v>
    <v>8304.5</v>
    <v>143784700</v>
    <v>APOLLOHOSP</v>
    <v>APOLLO HOSPITALS ENTERPRISE LIMITED (XNSE:APOLLOHOSP)</v>
    <v>187969</v>
    <v>584530</v>
    <v>1979</v>
  </rv>
  <rv s="2">
    <v>739</v>
  </rv>
  <rv s="0">
    <v>https://www.bing.com/financeapi/forcetrigger?t=ahjif2&amp;q=XNSE%3aPRECWIRE&amp;form=skydnc</v>
    <v>Learn more on Bing</v>
  </rv>
  <rv s="1">
    <v>en-IN</v>
    <v>ahjif2</v>
    <v>268435456</v>
    <v>1</v>
    <v>Powered by Refinitiv</v>
    <v>0</v>
    <v>PRECISION WIRES INDIA LIMITED (XNSE:PRECWIRE)</v>
    <v>2</v>
    <v>3</v>
    <v>Finance</v>
    <v>4</v>
    <v>467.5</v>
    <v>168.51</v>
    <v>1.4351</v>
    <v>-14.35</v>
    <v>-3.3264000000000002E-2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443.7</v>
    <v>Machinery, Equipment &amp; Components</v>
    <v>Stock</v>
    <v>46178.467499999999</v>
    <v>741</v>
    <v>410.55</v>
    <v>41484660000</v>
    <v>PRECISION WIRES INDIA LIMITED</v>
    <v>PRECISION WIRES INDIA LIMITED</v>
    <v>432</v>
    <v>49.64</v>
    <v>431.4</v>
    <v>417.05</v>
    <v>182808000</v>
    <v>PRECWIRE</v>
    <v>PRECISION WIRES INDIA LIMITED (XNSE:PRECWIRE)</v>
    <v>563279</v>
    <v>1101850</v>
    <v>1989</v>
  </rv>
  <rv s="2">
    <v>742</v>
  </rv>
  <rv s="0">
    <v>https://www.bing.com/financeapi/forcetrigger?t=c3jhoc&amp;q=XNSE%3aSANSERA&amp;form=skydnc</v>
    <v>Learn more on Bing</v>
  </rv>
  <rv s="1">
    <v>en-IN</v>
    <v>c3jhoc</v>
    <v>268435456</v>
    <v>1</v>
    <v>Powered by Refinitiv</v>
    <v>0</v>
    <v>SANSERA ENGINEERING LIMITED (XNSE:SANSERA)</v>
    <v>2</v>
    <v>3</v>
    <v>Finance</v>
    <v>4</v>
    <v>2992.2</v>
    <v>1216.3</v>
    <v>1.2927</v>
    <v>19.3</v>
    <v>6.5959999999999994E-3</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2971.6</v>
    <v>Automobiles &amp; Auto Parts</v>
    <v>Stock</v>
    <v>46178.467499999999</v>
    <v>744</v>
    <v>2881.5</v>
    <v>113410000000</v>
    <v>SANSERA ENGINEERING LIMITED</v>
    <v>SANSERA ENGINEERING LIMITED</v>
    <v>2945</v>
    <v>56.451999999999998</v>
    <v>2925.8</v>
    <v>2945.1</v>
    <v>62332050</v>
    <v>SANSERA</v>
    <v>SANSERA ENGINEERING LIMITED (XNSE:SANSERA)</v>
    <v>178995</v>
    <v>636160</v>
    <v>1981</v>
  </rv>
  <rv s="2">
    <v>745</v>
  </rv>
  <rv s="0">
    <v>https://www.bing.com/financeapi/forcetrigger?t=ahjrvh&amp;q=XNSE%3aSAIL&amp;form=skydnc</v>
    <v>Learn more on Bing</v>
  </rv>
  <rv s="1">
    <v>en-IN</v>
    <v>ahjrvh</v>
    <v>268435456</v>
    <v>1</v>
    <v>Powered by Refinitiv</v>
    <v>0</v>
    <v>STEEL AUTHORITY OF INDIA LIMITED (XNSE:SAIL)</v>
    <v>2</v>
    <v>3</v>
    <v>Finance</v>
    <v>4</v>
    <v>209.7</v>
    <v>118.1</v>
    <v>1.1685000000000001</v>
    <v>-6.75</v>
    <v>-3.4209999999999997E-2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198.2</v>
    <v>Metals &amp; Mining</v>
    <v>Stock</v>
    <v>46178.467499999999</v>
    <v>747</v>
    <v>188.25</v>
    <v>610326400000</v>
    <v>STEEL AUTHORITY OF INDIA LIMITED</v>
    <v>STEEL AUTHORITY OF INDIA LIMITED</v>
    <v>197.5</v>
    <v>24.17</v>
    <v>197.31</v>
    <v>190.56</v>
    <v>4130525000</v>
    <v>SAIL</v>
    <v>STEEL AUTHORITY OF INDIA LIMITED (XNSE:SAIL)</v>
    <v>20088924</v>
    <v>22803900</v>
    <v>1973</v>
  </rv>
  <rv s="2">
    <v>748</v>
  </rv>
  <rv s="0">
    <v>https://www.bing.com/financeapi/forcetrigger?t=ahhyar&amp;q=XNSE%3aGOODLUCK&amp;form=skydnc</v>
    <v>Learn more on Bing</v>
  </rv>
  <rv s="1">
    <v>en-IN</v>
    <v>ahhyar</v>
    <v>268435456</v>
    <v>1</v>
    <v>Powered by Refinitiv</v>
    <v>0</v>
    <v>GOODLUCK INDIA LIMITED (XNSE:GOODLUCK)</v>
    <v>2</v>
    <v>3</v>
    <v>Finance</v>
    <v>4</v>
    <v>1475</v>
    <v>915</v>
    <v>1.0904</v>
    <v>-4.9000000000000004</v>
    <v>-3.6440000000000001E-3</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1392</v>
    <v>Metals &amp; Mining</v>
    <v>Stock</v>
    <v>46178.467499999999</v>
    <v>750</v>
    <v>1336</v>
    <v>38054770000</v>
    <v>GOODLUCK INDIA LIMITED</v>
    <v>GOODLUCK INDIA LIMITED</v>
    <v>1339.2</v>
    <v>23.8873</v>
    <v>1344.5</v>
    <v>1339.6</v>
    <v>33238510</v>
    <v>GOODLUCK</v>
    <v>GOODLUCK INDIA LIMITED (XNSE:GOODLUCK)</v>
    <v>138777</v>
    <v>309870</v>
    <v>1986</v>
  </rv>
  <rv s="2">
    <v>751</v>
  </rv>
  <rv s="0">
    <v>https://www.bing.com/financeapi/forcetrigger?t=ahjuhw&amp;q=XNSE%3aSCHNEIDER&amp;form=skydnc</v>
    <v>Learn more on Bing</v>
  </rv>
  <rv s="1">
    <v>en-IN</v>
    <v>ahjuhw</v>
    <v>268435456</v>
    <v>1</v>
    <v>Powered by Refinitiv</v>
    <v>0</v>
    <v>SCHNEIDER ELECTRIC INFRASTRUCTURE LIMITED (XNSE:SCHNEIDER)</v>
    <v>2</v>
    <v>3</v>
    <v>Finance</v>
    <v>4</v>
    <v>1417.8</v>
    <v>571.85</v>
    <v>0.90029999999999999</v>
    <v>62.4</v>
    <v>5.6226000000000005E-2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1194.0999999999999</v>
    <v>Machinery, Equipment &amp; Components</v>
    <v>Stock</v>
    <v>46178.467557870368</v>
    <v>753</v>
    <v>1116</v>
    <v>150396400000</v>
    <v>SCHNEIDER ELECTRIC INFRASTRUCTURE LIMITED</v>
    <v>SCHNEIDER ELECTRIC INFRASTRUCTURE LIMITED</v>
    <v>1144</v>
    <v>131.85599999999999</v>
    <v>1109.8</v>
    <v>1172.2</v>
    <v>239104000</v>
    <v>SCHNEIDER</v>
    <v>SCHNEIDER ELECTRIC INFRASTRUCTURE LIMITED (XNSE:SCHNEIDER)</v>
    <v>1581719</v>
    <v>236460</v>
    <v>2011</v>
  </rv>
  <rv s="2">
    <v>754</v>
  </rv>
  <rv s="0">
    <v>https://www.bing.com/financeapi/forcetrigger?t=ahgr9c&amp;q=XNSE%3aADANIPOWER&amp;form=skydnc</v>
    <v>Learn more on Bing</v>
  </rv>
  <rv s="1">
    <v>en-IN</v>
    <v>ahgr9c</v>
    <v>268435456</v>
    <v>1</v>
    <v>Powered by Refinitiv</v>
    <v>0</v>
    <v>ADANI POWER LIMITED (XNSE:ADANIPOWER)</v>
    <v>2</v>
    <v>3</v>
    <v>Finance</v>
    <v>4</v>
    <v>254.2</v>
    <v>105.42</v>
    <v>1.1696</v>
    <v>2.57</v>
    <v>1.1172E-2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3967</v>
    <v>National Stock Exchange of India</v>
    <v>XNSE</v>
    <v>XNSE</v>
    <v>Adani Corporate House, Shantigram, Near Vaishno Devi Circle,, S. G. Highway, Khodiyar, AHMEDABAD, GUJARAT, 382421 IN</v>
    <v>236.25</v>
    <v>Electrical Utilities &amp; IPPs</v>
    <v>Stock</v>
    <v>46178.467534722222</v>
    <v>756</v>
    <v>230.1</v>
    <v>2765040000000</v>
    <v>ADANI POWER LIMITED</v>
    <v>ADANI POWER LIMITED</v>
    <v>231.68</v>
    <v>34.8611</v>
    <v>230.03</v>
    <v>232.6</v>
    <v>19284700000</v>
    <v>ADANIPOWER</v>
    <v>ADANI POWER LIMITED (XNSE:ADANIPOWER)</v>
    <v>30846795</v>
    <v>50805250</v>
    <v>1996</v>
  </rv>
  <rv s="2">
    <v>757</v>
  </rv>
  <rv s="0">
    <v>https://www.bing.com/financeapi/forcetrigger?t=ahh7cw&amp;q=XNSE%3aBHEL&amp;form=skydnc</v>
    <v>Learn more on Bing</v>
  </rv>
  <rv s="1">
    <v>en-IN</v>
    <v>ahh7cw</v>
    <v>268435456</v>
    <v>1</v>
    <v>Powered by Refinitiv</v>
    <v>0</v>
    <v>BHARAT HEAVY ELECTRICALS LIMITED (XNSE:BHEL)</v>
    <v>2</v>
    <v>3</v>
    <v>Finance</v>
    <v>4</v>
    <v>424.9</v>
    <v>205.12</v>
    <v>1.8637999999999999</v>
    <v>-2.25</v>
    <v>-5.7809999999999997E-3</v>
    <v>INR</v>
    <v>Bharat Heavy Electricals Limited is an engineering and manufacturing company. The Company offers comprehensive portfolio of products, systems and services in the areas of power-thermal, hydro, gas, nuclear &amp; solar PV; transmission; transportation; defence &amp; aerospace; oil &amp; gas and areas like battery energy storage systems (BESS) and electric vehicle chargers. The Company operates through two business segments: Power and Industry. The Power segment comprises equipment supplies and EPC works for coal and lignite, gas, hydro and nuclear power plant businesses and spares &amp; services business. The Industry segment caters to major equipment supplies and engineering, procurement and construction (EPC) works for a number of industries, including transportation, transmission, defense, aerospace, captive power plants, process industries, renewables, upstream and downstream oil &amp; gas, and energy storage, among others. The Company's other services are construction and maintenance of power plants.</v>
    <v>41132</v>
    <v>National Stock Exchange of India</v>
    <v>XNSE</v>
    <v>XNSE</v>
    <v>BHEL HOUSE SIRI FORT, DELHI, 110049 IN</v>
    <v>400.35</v>
    <v>Machinery, Equipment &amp; Components</v>
    <v>Stock</v>
    <v>46178.467499999999</v>
    <v>759</v>
    <v>382.6</v>
    <v>924661900000</v>
    <v>BHARAT HEAVY ELECTRICALS LIMITED</v>
    <v>BHARAT HEAVY ELECTRICALS LIMITED</v>
    <v>390</v>
    <v>84.119600000000005</v>
    <v>389.2</v>
    <v>386.95</v>
    <v>3482063000</v>
    <v>BHEL</v>
    <v>BHARAT HEAVY ELECTRICALS LIMITED (XNSE:BHEL)</v>
    <v>17437792</v>
    <v>11622810</v>
    <v>1964</v>
  </rv>
  <rv s="2">
    <v>760</v>
  </rv>
  <rv s="0">
    <v>https://www.bing.com/financeapi/forcetrigger?t=ahhup2&amp;q=XNSE%3aGEPIL&amp;form=skydnc</v>
    <v>Learn more on Bing</v>
  </rv>
  <rv s="1">
    <v>en-IN</v>
    <v>ahhup2</v>
    <v>268435456</v>
    <v>1</v>
    <v>Powered by Refinitiv</v>
    <v>0</v>
    <v>GE POWER INDIA LIMITED (XNSE:GVPIL)</v>
    <v>2</v>
    <v>3</v>
    <v>Finance</v>
    <v>4</v>
    <v>926.3</v>
    <v>253.2</v>
    <v>1.8628</v>
    <v>-23.45</v>
    <v>-2.5838999999999997E-2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926.3</v>
    <v>Construction &amp; Engineering</v>
    <v>Stock</v>
    <v>46178.467511574076</v>
    <v>762</v>
    <v>862.2</v>
    <v>20467400000</v>
    <v>GE POWER INDIA LIMITED</v>
    <v>GE POWER INDIA LIMITED</v>
    <v>926.3</v>
    <v>19.181100000000001</v>
    <v>907.55</v>
    <v>884.1</v>
    <v>67227470</v>
    <v>GVPIL</v>
    <v>GE POWER INDIA LIMITED (XNSE:GVPIL)</v>
    <v>583582</v>
    <v>635920</v>
    <v>1992</v>
  </rv>
  <rv s="2">
    <v>763</v>
  </rv>
  <rv s="0">
    <v>https://www.bing.com/financeapi/forcetrigger?t=ahhlvh&amp;q=XNSE%3aDSSL&amp;form=skydnc</v>
    <v>Learn more on Bing</v>
  </rv>
  <rv s="1">
    <v>en-IN</v>
    <v>ahhlvh</v>
    <v>268435456</v>
    <v>1</v>
    <v>Powered by Refinitiv</v>
    <v>0</v>
    <v>DYNACONS SYSTEMS AND SOLUTIONS LIMITED (XNSE:DSSL)</v>
    <v>2</v>
    <v>3</v>
    <v>Finance</v>
    <v>4</v>
    <v>1924.8</v>
    <v>781</v>
    <v>0.2263</v>
    <v>-67.8</v>
    <v>-4.9981999999999999E-2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1373.6</v>
    <v>Software &amp; IT Services</v>
    <v>Stock</v>
    <v>46178.467546296299</v>
    <v>765</v>
    <v>1288.7</v>
    <v>12967110000</v>
    <v>DYNACONS SYSTEMS AND SOLUTIONS LIMITED</v>
    <v>DYNACONS SYSTEMS AND SOLUTIONS LIMITED</v>
    <v>1357.9</v>
    <v>20.36</v>
    <v>1356.5</v>
    <v>1288.7</v>
    <v>12737080</v>
    <v>DSSL</v>
    <v>DYNACONS SYSTEMS AND SOLUTIONS LIMITED (XNSE:DSSL)</v>
    <v>221261</v>
    <v>362770</v>
    <v>1995</v>
  </rv>
  <rv s="2">
    <v>766</v>
  </rv>
  <rv s="0">
    <v>https://www.bing.com/financeapi/forcetrigger?t=ahiwu2&amp;q=XNSE%3aMAYURUNIQ&amp;form=skydnc</v>
    <v>Learn more on Bing</v>
  </rv>
  <rv s="1">
    <v>en-IN</v>
    <v>ahiwu2</v>
    <v>268435456</v>
    <v>1</v>
    <v>Powered by Refinitiv</v>
    <v>0</v>
    <v>MAYUR UNIQUOTERS LIMITED (XNSE:MAYURUNIQ)</v>
    <v>2</v>
    <v>3</v>
    <v>Finance</v>
    <v>4</v>
    <v>805.75</v>
    <v>471.2</v>
    <v>0.56430000000000002</v>
    <v>-0.75</v>
    <v>-1.021E-3</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759</v>
    <v>Textiles &amp; Apparel</v>
    <v>Stock</v>
    <v>46178.467557870368</v>
    <v>768</v>
    <v>730.15</v>
    <v>21150550000</v>
    <v>MAYUR UNIQUOTERS LIMITED</v>
    <v>MAYUR UNIQUOTERS LIMITED</v>
    <v>759</v>
    <v>16.624700000000001</v>
    <v>734.4</v>
    <v>733.65</v>
    <v>43452600</v>
    <v>MAYURUNIQ</v>
    <v>MAYUR UNIQUOTERS LIMITED (XNSE:MAYURUNIQ)</v>
    <v>88627</v>
    <v>424160</v>
    <v>1992</v>
  </rv>
  <rv s="2">
    <v>769</v>
  </rv>
  <rv s="10">
    <v>en-IN</v>
    <v>ccbzp2</v>
    <v>268435456</v>
    <v>1</v>
    <v>Powered by Refinitiv</v>
    <v>17</v>
    <v>GRASIM INDUSTRIES LTD (XNSE:GRASIMPP1)</v>
    <v>6</v>
    <v>18</v>
    <v>Finance</v>
    <v>4</v>
    <v>1.0458000000000001</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1175300</v>
    <v>1947</v>
  </rv>
  <rv s="2">
    <v>771</v>
  </rv>
  <rv s="0">
    <v>https://www.bing.com/financeapi/forcetrigger?t=ahk8pr&amp;q=XNSE%3aTALBROAUTO&amp;form=skydnc</v>
    <v>Learn more on Bing</v>
  </rv>
  <rv s="1">
    <v>en-IN</v>
    <v>ahk8pr</v>
    <v>268435456</v>
    <v>1</v>
    <v>Powered by Refinitiv</v>
    <v>0</v>
    <v>TALBROS AUTOMOTIVE COMPONENTS LIMITED (XNSE:TALBROAUTO)</v>
    <v>2</v>
    <v>3</v>
    <v>Finance</v>
    <v>4</v>
    <v>372.8</v>
    <v>219.9</v>
    <v>0.95299999999999996</v>
    <v>-3.55</v>
    <v>-1.0019999999999999E-2</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356.75</v>
    <v>Automobiles &amp; Auto Parts</v>
    <v>Stock</v>
    <v>46178.467523148145</v>
    <v>773</v>
    <v>343</v>
    <v>16438210000</v>
    <v>TALBROS AUTOMOTIVE COMPONENTS LIMITED</v>
    <v>TALBROS AUTOMOTIVE COMPONENTS LIMITED</v>
    <v>352.5</v>
    <v>21</v>
    <v>354.3</v>
    <v>350.75</v>
    <v>61728150</v>
    <v>TALBROAUTO</v>
    <v>TALBROS AUTOMOTIVE COMPONENTS LIMITED (XNSE:TALBROAUTO)</v>
    <v>199616</v>
    <v>776120</v>
    <v>1956</v>
  </rv>
  <rv s="2">
    <v>774</v>
  </rv>
  <rv s="0">
    <v>https://www.bing.com/financeapi/forcetrigger?t=ahjuqh&amp;q=XNSE%3aSEAMECLTD&amp;form=skydnc</v>
    <v>Learn more on Bing</v>
  </rv>
  <rv s="1">
    <v>en-IN</v>
    <v>ahjuqh</v>
    <v>268435456</v>
    <v>1</v>
    <v>Powered by Refinitiv</v>
    <v>0</v>
    <v>SEAMEC LIMITED (XNSE:SEAMECLTD)</v>
    <v>2</v>
    <v>3</v>
    <v>Finance</v>
    <v>4</v>
    <v>1709.2</v>
    <v>752.55</v>
    <v>1.405</v>
    <v>-48.1</v>
    <v>-2.9432999999999997E-2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1650</v>
    <v>Oil &amp; Gas Related Equipment and Services</v>
    <v>Stock</v>
    <v>46178.467499999999</v>
    <v>776</v>
    <v>1580.4</v>
    <v>26258940000</v>
    <v>SEAMEC LIMITED</v>
    <v>SEAMEC LIMITED</v>
    <v>1650</v>
    <v>16.042300000000001</v>
    <v>1634.2</v>
    <v>1586.1</v>
    <v>25425000</v>
    <v>SEAMECLTD</v>
    <v>SEAMEC LIMITED (XNSE:SEAMECLTD)</v>
    <v>58984</v>
    <v>113830</v>
    <v>1986</v>
  </rv>
  <rv s="2">
    <v>777</v>
  </rv>
  <rv s="3">
    <v>en-IN</v>
    <v>cafzc7</v>
    <v>268435456</v>
    <v>1</v>
    <v>Powered by Refinitiv</v>
    <v>5</v>
    <v>NETWEB TECHNOLOGIES INDIA LIMITED (XNSE:NETWEB)</v>
    <v>6</v>
    <v>3</v>
    <v>Finance</v>
    <v>4</v>
    <v>4965</v>
    <v>1700.1</v>
    <v>1.302</v>
    <v>-268.2</v>
    <v>-5.4355000000000001E-2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4930</v>
    <v>Software &amp; IT Services</v>
    <v>Stock</v>
    <v>46178.467534722222</v>
    <v>4651</v>
    <v>185428100000</v>
    <v>NETWEB TECHNOLOGIES INDIA LIMITED</v>
    <v>NETWEB TECHNOLOGIES INDIA LIMITED</v>
    <v>4930</v>
    <v>128.53989999999999</v>
    <v>4934.2</v>
    <v>4666</v>
    <v>56940690</v>
    <v>NETWEB</v>
    <v>NETWEB TECHNOLOGIES INDIA LIMITED (XNSE:NETWEB)</v>
    <v>1931743</v>
    <v>3058260</v>
    <v>1999</v>
  </rv>
  <rv s="2">
    <v>779</v>
  </rv>
  <rv s="0">
    <v>https://www.bing.com/financeapi/forcetrigger?t=c3ltyc&amp;q=XNSE%3aPARAS&amp;form=skydnc</v>
    <v>Learn more on Bing</v>
  </rv>
  <rv s="1">
    <v>en-IN</v>
    <v>c3ltyc</v>
    <v>268435456</v>
    <v>1</v>
    <v>Powered by Refinitiv</v>
    <v>0</v>
    <v>PARAS DEFENCE AND SPACE TECHNOLOGIES LIMITED (XNSE:PARAS)</v>
    <v>2</v>
    <v>3</v>
    <v>Finance</v>
    <v>4</v>
    <v>994</v>
    <v>580.5</v>
    <v>1.6966000000000001</v>
    <v>66.349999999999994</v>
    <v>7.4233999999999994E-2</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994</v>
    <v>Aerospace &amp; Defense</v>
    <v>Stock</v>
    <v>46178.467499999999</v>
    <v>781</v>
    <v>905.05</v>
    <v>54670450000</v>
    <v>PARAS DEFENCE AND SPACE TECHNOLOGIES LIMITED</v>
    <v>PARAS DEFENCE AND SPACE TECHNOLOGIES LIMITED</v>
    <v>908</v>
    <v>87.805199999999999</v>
    <v>893.8</v>
    <v>960.15</v>
    <v>80587330</v>
    <v>PARAS</v>
    <v>PARAS DEFENCE AND SPACE TECHNOLOGIES LIMITED (XNSE:PARAS)</v>
    <v>14940270</v>
    <v>2474580</v>
    <v>2009</v>
  </rv>
  <rv s="2">
    <v>782</v>
  </rv>
  <rv s="0">
    <v>https://www.bing.com/financeapi/forcetrigger?t=ahiwcw&amp;q=XNSE%3aMASFIN&amp;form=skydnc</v>
    <v>Learn more on Bing</v>
  </rv>
  <rv s="1">
    <v>en-IN</v>
    <v>ahiwcw</v>
    <v>268435456</v>
    <v>1</v>
    <v>Powered by Refinitiv</v>
    <v>0</v>
    <v>MAS FINANCIAL SERVICES LIMITED (XNSE:MASFIN)</v>
    <v>2</v>
    <v>3</v>
    <v>Finance</v>
    <v>4</v>
    <v>358.85</v>
    <v>277.35000000000002</v>
    <v>0.77880000000000005</v>
    <v>0.3</v>
    <v>9.8090000000000004E-4</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311.8</v>
    <v>Banking Services</v>
    <v>Stock</v>
    <v>46178.467499999999</v>
    <v>784</v>
    <v>304</v>
    <v>56667890000</v>
    <v>MAS FINANCIAL SERVICES LIMITED</v>
    <v>MAS FINANCIAL SERVICES LIMITED</v>
    <v>307.89999999999998</v>
    <v>14.9633</v>
    <v>305.85000000000002</v>
    <v>306.14999999999998</v>
    <v>181453400</v>
    <v>MASFIN</v>
    <v>MAS FINANCIAL SERVICES LIMITED (XNSE:MASFIN)</v>
    <v>75014</v>
    <v>108320</v>
    <v>1995</v>
  </rv>
  <rv s="2">
    <v>785</v>
  </rv>
  <rv s="0">
    <v>https://www.bing.com/financeapi/forcetrigger?t=ahh49c&amp;q=XNSE%3aBALRAMCHIN&amp;form=skydnc</v>
    <v>Learn more on Bing</v>
  </rv>
  <rv s="1">
    <v>en-IN</v>
    <v>ahh49c</v>
    <v>268435456</v>
    <v>1</v>
    <v>Powered by Refinitiv</v>
    <v>0</v>
    <v>BALRAMPUR CHINI MILLS LTD (XNSE:BALRAMCHIN)</v>
    <v>2</v>
    <v>3</v>
    <v>Finance</v>
    <v>4</v>
    <v>627.79999999999995</v>
    <v>393.55</v>
    <v>0.77290000000000003</v>
    <v>-0.4</v>
    <v>-7.5160000000000005E-4</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541</v>
    <v>Food &amp; Tobacco</v>
    <v>Stock</v>
    <v>46178.467499999999</v>
    <v>787</v>
    <v>529.25</v>
    <v>85909720000</v>
    <v>BALRAMPUR CHINI MILLS LTD</v>
    <v>BALRAMPUR CHINI MILLS LTD</v>
    <v>537</v>
    <v>28.4</v>
    <v>532.20000000000005</v>
    <v>531.79999999999995</v>
    <v>201902400</v>
    <v>BALRAMCHIN</v>
    <v>BALRAMPUR CHINI MILLS LTD (XNSE:BALRAMCHIN)</v>
    <v>540692</v>
    <v>585960</v>
    <v>1975</v>
  </rv>
  <rv s="2">
    <v>788</v>
  </rv>
  <rv s="0">
    <v>https://www.bing.com/financeapi/forcetrigger?t=ahjcar&amp;q=XNSE%3aPANAMAPET&amp;form=skydnc</v>
    <v>Learn more on Bing</v>
  </rv>
  <rv s="1">
    <v>en-IN</v>
    <v>ahjcar</v>
    <v>268435456</v>
    <v>1</v>
    <v>Powered by Refinitiv</v>
    <v>0</v>
    <v>PANAMA PETROCHEM LIMITED (XNSE:PANAMAPET)</v>
    <v>2</v>
    <v>3</v>
    <v>Finance</v>
    <v>4</v>
    <v>373.2</v>
    <v>229</v>
    <v>0.95899999999999996</v>
    <v>-4.8499999999999996</v>
    <v>-1.3873E-2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354.4</v>
    <v>Chemicals</v>
    <v>Stock</v>
    <v>46178.467546296299</v>
    <v>790</v>
    <v>341.35</v>
    <v>18002890000</v>
    <v>PANAMA PETROCHEM LIMITED</v>
    <v>PANAMA PETROCHEM LIMITED</v>
    <v>349</v>
    <v>9.8163</v>
    <v>349.6</v>
    <v>344.75</v>
    <v>60493600</v>
    <v>PANAMAPET</v>
    <v>PANAMA PETROCHEM LIMITED (XNSE:PANAMAPET)</v>
    <v>104404</v>
    <v>451950</v>
    <v>1982</v>
  </rv>
  <rv s="2">
    <v>791</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1.3989</v>
    <v>0.06</v>
    <v>9.299E-4</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65.819999999999993</v>
    <v>Chemicals</v>
    <v>Stock</v>
    <v>46178.467523148145</v>
    <v>793</v>
    <v>63.71</v>
    <v>10106670000</v>
    <v>Manali Petrochemicals Limited</v>
    <v>Manali Petrochemicals Limited</v>
    <v>64.400000000000006</v>
    <v>8.5422999999999991</v>
    <v>64.52</v>
    <v>64.58</v>
    <v>171999200</v>
    <v>MANALIPETC</v>
    <v>Manali Petrochemicals Limited (XNSE:MANALIPETC)</v>
    <v>465651</v>
    <v>2619870</v>
    <v>1986</v>
  </rv>
  <rv s="2">
    <v>794</v>
  </rv>
  <rv s="0">
    <v>https://www.bing.com/financeapi/forcetrigger?t=azpojc&amp;q=XNSE%3aNARMADA&amp;form=skydnc</v>
    <v>Learn more on Bing</v>
  </rv>
  <rv s="11">
    <v>en-IN</v>
    <v>azpojc</v>
    <v>268435456</v>
    <v>1</v>
    <v>Powered by Refinitiv</v>
    <v>19</v>
    <v>NARMADA AGROBASE LIMITED (XNSE:NARMADA)</v>
    <v>2</v>
    <v>20</v>
    <v>Finance</v>
    <v>4</v>
    <v>39.61</v>
    <v>15.6</v>
    <v>0.21990000000000001</v>
    <v>1.1299999999999999</v>
    <v>3.0882999999999997E-2</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38.17</v>
    <v>Food &amp; Tobacco</v>
    <v>Stock</v>
    <v>46178.467511574076</v>
    <v>796</v>
    <v>36.58</v>
    <v>1029973000</v>
    <v>NARMADA AGROBASE LIMITED</v>
    <v>NARMADA AGROBASE LIMITED</v>
    <v>36.6</v>
    <v>32.99</v>
    <v>36.590000000000003</v>
    <v>37.72</v>
    <v>37936400</v>
    <v>NARMADA</v>
    <v>NARMADA AGROBASE LIMITED (XNSE:NARMADA)</v>
    <v>348144</v>
    <v>398900</v>
    <v>2013</v>
  </rv>
  <rv s="2">
    <v>797</v>
  </rv>
  <rv s="0">
    <v>https://www.bing.com/financeapi/forcetrigger?t=bmzzvh&amp;q=XNSE%3aMARINE&amp;form=skydnc</v>
    <v>Learn more on Bing</v>
  </rv>
  <rv s="1">
    <v>en-IN</v>
    <v>bmzzvh</v>
    <v>268435456</v>
    <v>1</v>
    <v>Powered by Refinitiv</v>
    <v>0</v>
    <v>MARINE ELECTRICALS (INDIA) LIMITED (XNSE:MARINE)</v>
    <v>2</v>
    <v>3</v>
    <v>Finance</v>
    <v>4</v>
    <v>282.48</v>
    <v>150.86000000000001</v>
    <v>1.8855</v>
    <v>-1.3</v>
    <v>-5.1970000000000002E-3</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256.7</v>
    <v>Machinery, Equipment &amp; Components</v>
    <v>Stock</v>
    <v>46178.467499999999</v>
    <v>799</v>
    <v>246.8</v>
    <v>27087730000</v>
    <v>MARINE ELECTRICALS (INDIA) LIMITED</v>
    <v>MARINE ELECTRICALS (INDIA) LIMITED</v>
    <v>253</v>
    <v>58.969200000000001</v>
    <v>250.15</v>
    <v>248.85</v>
    <v>139944400</v>
    <v>MARINE</v>
    <v>MARINE ELECTRICALS (INDIA) LIMITED (XNSE:MARINE)</v>
    <v>560240</v>
    <v>1569000</v>
    <v>2007</v>
  </rv>
  <rv s="2">
    <v>800</v>
  </rv>
  <rv s="0">
    <v>https://www.bing.com/financeapi/forcetrigger?t=ahgqcw&amp;q=XNSE%3aABB&amp;form=skydnc</v>
    <v>Learn more on Bing</v>
  </rv>
  <rv s="1">
    <v>en-IN</v>
    <v>ahgqcw</v>
    <v>268435456</v>
    <v>1</v>
    <v>Powered by Refinitiv</v>
    <v>0</v>
    <v>ABB INDIA LIMITED (XNSE:ABB)</v>
    <v>2</v>
    <v>3</v>
    <v>Finance</v>
    <v>4</v>
    <v>7822.5</v>
    <v>4637.5</v>
    <v>1.0154000000000001</v>
    <v>11.5</v>
    <v>1.6070000000000001E-3</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7217</v>
    <v>Machinery, Equipment &amp; Components</v>
    <v>Stock</v>
    <v>46178.467488425929</v>
    <v>802</v>
    <v>7108.5</v>
    <v>1052337000000</v>
    <v>ABB INDIA LIMITED</v>
    <v>ABB INDIA LIMITED</v>
    <v>7175</v>
    <v>98.808400000000006</v>
    <v>7156</v>
    <v>7167.5</v>
    <v>211908400</v>
    <v>ABB</v>
    <v>ABB INDIA LIMITED (XNSE:ABB)</v>
    <v>249982</v>
    <v>464720</v>
    <v>1949</v>
  </rv>
  <rv s="2">
    <v>803</v>
  </rv>
  <rv s="0">
    <v>https://www.bing.com/financeapi/forcetrigger?t=ahhqjc&amp;q=XNSE%3aEXIDEIND&amp;form=skydnc</v>
    <v>Learn more on Bing</v>
  </rv>
  <rv s="1">
    <v>en-IN</v>
    <v>ahhqjc</v>
    <v>268435456</v>
    <v>1</v>
    <v>Powered by Refinitiv</v>
    <v>0</v>
    <v>EXIDE INDUSTRIES LIMITED (XNSE:EXIDEIND)</v>
    <v>2</v>
    <v>3</v>
    <v>Finance</v>
    <v>4</v>
    <v>431</v>
    <v>287</v>
    <v>1.198</v>
    <v>-3.85</v>
    <v>-9.5440000000000004E-3</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408.25</v>
    <v>Automobiles &amp; Auto Parts</v>
    <v>Stock</v>
    <v>46178.467499999999</v>
    <v>805</v>
    <v>397.05</v>
    <v>294100000000</v>
    <v>EXIDE INDUSTRIES LIMITED</v>
    <v>EXIDE INDUSTRIES LIMITED</v>
    <v>405</v>
    <v>45.82</v>
    <v>403.4</v>
    <v>399.55</v>
    <v>850000000</v>
    <v>EXIDEIND</v>
    <v>EXIDE INDUSTRIES LIMITED (XNSE:EXIDEIND)</v>
    <v>2825564</v>
    <v>6047300</v>
    <v>1947</v>
  </rv>
  <rv s="2">
    <v>806</v>
  </rv>
  <rv s="0">
    <v>https://www.bing.com/financeapi/forcetrigger?t=ahhrlh&amp;q=XNSE%3aFINCABLES&amp;form=skydnc</v>
    <v>Learn more on Bing</v>
  </rv>
  <rv s="1">
    <v>en-IN</v>
    <v>ahhrlh</v>
    <v>268435456</v>
    <v>1</v>
    <v>Powered by Refinitiv</v>
    <v>0</v>
    <v>FINOLEX CABLES LIMITED (XNSE:FINCABLES)</v>
    <v>2</v>
    <v>3</v>
    <v>Finance</v>
    <v>4</v>
    <v>1184.8</v>
    <v>700.8</v>
    <v>0.91810000000000003</v>
    <v>39.4</v>
    <v>3.8699999999999998E-2</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1065</v>
    <v>Machinery, Equipment &amp; Components</v>
    <v>Stock</v>
    <v>46178.467499999999</v>
    <v>808</v>
    <v>1013.5</v>
    <v>116516800000</v>
    <v>FINOLEX CABLES LIMITED</v>
    <v>FINOLEX CABLES LIMITED</v>
    <v>1020</v>
    <v>22.664000000000001</v>
    <v>1018.1</v>
    <v>1057.5</v>
    <v>152939300</v>
    <v>FINCABLES</v>
    <v>FINOLEX CABLES LIMITED (XNSE:FINCABLES)</v>
    <v>697666</v>
    <v>880310</v>
    <v>1967</v>
  </rv>
  <rv s="2">
    <v>809</v>
  </rv>
  <rv s="0">
    <v>https://www.bing.com/financeapi/forcetrigger?t=azzujc&amp;q=XNSE%3aE2E&amp;form=skydnc</v>
    <v>Learn more on Bing</v>
  </rv>
  <rv s="1">
    <v>en-IN</v>
    <v>azzujc</v>
    <v>268435456</v>
    <v>1</v>
    <v>Powered by Refinitiv</v>
    <v>0</v>
    <v>E2E NETWORKS LIMITED (XNSE:E2E)</v>
    <v>2</v>
    <v>3</v>
    <v>Finance</v>
    <v>4</v>
    <v>4538</v>
    <v>452.9</v>
    <v>1.0325</v>
    <v>21.54</v>
    <v>4.9935E-2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DELHI, 110044 IN</v>
    <v>452.9</v>
    <v>Software &amp; IT Services</v>
    <v>Stock</v>
    <v>46178.467511574076</v>
    <v>811</v>
    <v>452.9</v>
    <v>40001870000</v>
    <v>E2E NETWORKS LIMITED</v>
    <v>E2E NETWORKS LIMITED</v>
    <v>452.9</v>
    <v>0</v>
    <v>431.36</v>
    <v>452.9</v>
    <v>20556490</v>
    <v>E2E</v>
    <v>E2E NETWORKS LIMITED (XNSE:E2E)</v>
    <v>83746</v>
    <v>248030</v>
    <v>2009</v>
  </rv>
  <rv s="2">
    <v>812</v>
  </rv>
  <rv s="0">
    <v>https://www.bing.com/financeapi/forcetrigger?t=ahjzvh&amp;q=XNSE%3aSKIPPER&amp;form=skydnc</v>
    <v>Learn more on Bing</v>
  </rv>
  <rv s="1">
    <v>en-IN</v>
    <v>ahjzvh</v>
    <v>268435456</v>
    <v>1</v>
    <v>Powered by Refinitiv</v>
    <v>0</v>
    <v>SKIPPER LIMITED (XNSE:SKIPPER)</v>
    <v>2</v>
    <v>3</v>
    <v>Finance</v>
    <v>4</v>
    <v>588</v>
    <v>327.05</v>
    <v>0.78080000000000005</v>
    <v>-18.05</v>
    <v>-3.141E-2</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577</v>
    <v>Construction &amp; Engineering</v>
    <v>Stock</v>
    <v>46178.467511574076</v>
    <v>814</v>
    <v>548.04999999999995</v>
    <v>45041610000</v>
    <v>SKIPPER LIMITED</v>
    <v>SKIPPER LIMITED</v>
    <v>575.04999999999995</v>
    <v>29.480899999999998</v>
    <v>574.65</v>
    <v>556.6</v>
    <v>112954300</v>
    <v>SKIPPER</v>
    <v>SKIPPER LIMITED (XNSE:SKIPPER)</v>
    <v>1219133</v>
    <v>1597060</v>
    <v>1981</v>
  </rv>
  <rv s="2">
    <v>815</v>
  </rv>
  <rv s="0">
    <v>https://www.bing.com/financeapi/forcetrigger?t=ahkomw&amp;q=XNSE%3aWOCKPHARMA&amp;form=skydnc</v>
    <v>Learn more on Bing</v>
  </rv>
  <rv s="1">
    <v>en-IN</v>
    <v>ahkomw</v>
    <v>268435456</v>
    <v>1</v>
    <v>Powered by Refinitiv</v>
    <v>0</v>
    <v>WOCKHARDT LIMITED (XNSE:WOCKPHARMA)</v>
    <v>2</v>
    <v>3</v>
    <v>Finance</v>
    <v>4</v>
    <v>2422.3000000000002</v>
    <v>1086.7</v>
    <v>1.1711</v>
    <v>-152</v>
    <v>-7.3327000000000003E-2</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2071.6</v>
    <v>Pharmaceuticals</v>
    <v>Stock</v>
    <v>46178.467511574076</v>
    <v>817</v>
    <v>1907.1</v>
    <v>225474100000</v>
    <v>WOCKHARDT LIMITED</v>
    <v>WOCKHARDT LIMITED</v>
    <v>2071.6</v>
    <v>146.4101</v>
    <v>2072.9</v>
    <v>1920.9</v>
    <v>162492200</v>
    <v>WOCKPHARMA</v>
    <v>WOCKHARDT LIMITED (XNSE:WOCKPHARMA)</v>
    <v>3362470</v>
    <v>4723940</v>
    <v>1999</v>
  </rv>
  <rv s="2">
    <v>818</v>
  </rv>
  <rv s="0">
    <v>https://www.bing.com/financeapi/forcetrigger?t=ahie8m&amp;q=XNSE%3aITDCEM&amp;form=skydnc</v>
    <v>Learn more on Bing</v>
  </rv>
  <rv s="1">
    <v>en-IN</v>
    <v>ahie8m</v>
    <v>268435456</v>
    <v>1</v>
    <v>Powered by Refinitiv</v>
    <v>0</v>
    <v>CEMINDIA PROJECTS LIMITED (XNSE:CEMPRO)</v>
    <v>2</v>
    <v>3</v>
    <v>Finance</v>
    <v>4</v>
    <v>1149</v>
    <v>503.3</v>
    <v>1.577</v>
    <v>-14.5</v>
    <v>-1.2862999999999999E-2</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3187</v>
    <v>National Stock Exchange of India</v>
    <v>XNSE</v>
    <v>XNSE</v>
    <v>9th Floor, Prima Bay, Tower- B, Gate No. 5, Saki Vihar Road, Powai, MUMBAI, MAHARASHTRA, 400072 IN</v>
    <v>1149</v>
    <v>Construction &amp; Engineering</v>
    <v>Stock</v>
    <v>46178.467499999999</v>
    <v>820</v>
    <v>1076.3</v>
    <v>117691700000</v>
    <v>CEMINDIA PROJECTS LIMITED</v>
    <v>CEMINDIA PROJECTS LIMITED</v>
    <v>1132</v>
    <v>31.974900000000002</v>
    <v>1127.3</v>
    <v>1112.8</v>
    <v>171787600</v>
    <v>CEMPRO</v>
    <v>CEMINDIA PROJECTS LIMITED (XNSE:CEMPRO)</v>
    <v>1192068</v>
    <v>926490</v>
    <v>1978</v>
  </rv>
  <rv s="2">
    <v>821</v>
  </rv>
  <rv s="0">
    <v>https://www.bing.com/financeapi/forcetrigger?t=ahknnm&amp;q=XNSE%3aWELCORP&amp;form=skydnc</v>
    <v>Learn more on Bing</v>
  </rv>
  <rv s="1">
    <v>en-IN</v>
    <v>ahknnm</v>
    <v>268435456</v>
    <v>1</v>
    <v>Powered by Refinitiv</v>
    <v>0</v>
    <v>WELSPUN CORP LIMITED (XNSE:WELCORP)</v>
    <v>2</v>
    <v>3</v>
    <v>Finance</v>
    <v>4</v>
    <v>1427</v>
    <v>710</v>
    <v>0.75529999999999997</v>
    <v>-13.9</v>
    <v>-9.9089999999999994E-3</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1413.8</v>
    <v>Metals &amp; Mining</v>
    <v>Stock</v>
    <v>46178.467523148145</v>
    <v>823</v>
    <v>1379.3</v>
    <v>195325500000</v>
    <v>WELSPUN CORP LIMITED</v>
    <v>WELSPUN CORP LIMITED</v>
    <v>1402.7</v>
    <v>23.94</v>
    <v>1402.7</v>
    <v>1388.8</v>
    <v>263703900</v>
    <v>WELCORP</v>
    <v>WELSPUN CORP LIMITED (XNSE:WELCORP)</v>
    <v>498958</v>
    <v>1196120</v>
    <v>1995</v>
  </rv>
  <rv s="2">
    <v>824</v>
  </rv>
  <rv s="0">
    <v>https://www.bing.com/financeapi/forcetrigger?t=ahh8hw&amp;q=XNSE%3aBLISSGVS&amp;form=skydnc</v>
    <v>Learn more on Bing</v>
  </rv>
  <rv s="1">
    <v>en-IN</v>
    <v>ahh8hw</v>
    <v>268435456</v>
    <v>1</v>
    <v>Powered by Refinitiv</v>
    <v>0</v>
    <v>BLISS GVS PHARMA LIMITED (XNSE:BLISSGVS)</v>
    <v>2</v>
    <v>3</v>
    <v>Finance</v>
    <v>4</v>
    <v>462.8</v>
    <v>118</v>
    <v>0.82099999999999995</v>
    <v>-17.850000000000001</v>
    <v>-3.9127999999999996E-2</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455.95</v>
    <v>Pharmaceuticals</v>
    <v>Stock</v>
    <v>46178.467534722222</v>
    <v>826</v>
    <v>433.1</v>
    <v>17189650000</v>
    <v>BLISS GVS PHARMA LIMITED</v>
    <v>BLISS GVS PHARMA LIMITED</v>
    <v>455.1</v>
    <v>35.9893</v>
    <v>456.2</v>
    <v>438.35</v>
    <v>105789000</v>
    <v>BLISSGVS</v>
    <v>BLISS GVS PHARMA LIMITED (XNSE:BLISSGVS)</v>
    <v>1239641</v>
    <v>5880660</v>
    <v>1984</v>
  </rv>
  <rv s="2">
    <v>827</v>
  </rv>
  <rv s="0">
    <v>https://www.bing.com/financeapi/forcetrigger?t=ahingh&amp;q=XNSE%3aKOPRAN&amp;form=skydnc</v>
    <v>Learn more on Bing</v>
  </rv>
  <rv s="1">
    <v>en-IN</v>
    <v>ahingh</v>
    <v>268435456</v>
    <v>1</v>
    <v>Powered by Refinitiv</v>
    <v>0</v>
    <v>KOPRAN LIMITED (XNSE:KOPRAN)</v>
    <v>2</v>
    <v>3</v>
    <v>Finance</v>
    <v>4</v>
    <v>219</v>
    <v>107</v>
    <v>1.2807999999999999</v>
    <v>5</v>
    <v>2.7162000000000002E-2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193</v>
    <v>Pharmaceuticals</v>
    <v>Stock</v>
    <v>46178.467499999999</v>
    <v>829</v>
    <v>179</v>
    <v>7132267000</v>
    <v>KOPRAN LIMITED</v>
    <v>KOPRAN LIMITED</v>
    <v>182.1</v>
    <v>34.6</v>
    <v>184.08</v>
    <v>189.08</v>
    <v>48285600</v>
    <v>KOPRAN</v>
    <v>KOPRAN LIMITED (XNSE:KOPRAN)</v>
    <v>174976</v>
    <v>2339440</v>
    <v>1958</v>
  </rv>
  <rv s="2">
    <v>830</v>
  </rv>
  <rv s="0">
    <v>https://www.bing.com/financeapi/forcetrigger?t=ahh86h&amp;q=XNSE%3aBIRLACABLE&amp;form=skydnc</v>
    <v>Learn more on Bing</v>
  </rv>
  <rv s="1">
    <v>en-IN</v>
    <v>ahh86h</v>
    <v>268435456</v>
    <v>1</v>
    <v>Powered by Refinitiv</v>
    <v>0</v>
    <v>BIRLA CABLE LIMITED (XNSE:BIRLACABLE)</v>
    <v>2</v>
    <v>3</v>
    <v>Finance</v>
    <v>4</v>
    <v>241</v>
    <v>104</v>
    <v>1.2298</v>
    <v>-11.78</v>
    <v>-4.9983000000000007E-2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241</v>
    <v>Machinery, Equipment &amp; Components</v>
    <v>Stock</v>
    <v>46178.467511574076</v>
    <v>832</v>
    <v>223.9</v>
    <v>4019700000</v>
    <v>BIRLA CABLE LIMITED</v>
    <v>BIRLA CABLE LIMITED</v>
    <v>241</v>
    <v>39.769100000000002</v>
    <v>235.68</v>
    <v>223.9</v>
    <v>30000000</v>
    <v>BIRLACABLE</v>
    <v>BIRLA CABLE LIMITED (XNSE:BIRLACABLE)</v>
    <v>318293</v>
    <v>147700</v>
    <v>1992</v>
  </rv>
  <rv s="2">
    <v>833</v>
  </rv>
  <rv s="0">
    <v>https://www.bing.com/financeapi/forcetrigger?t=c434r7&amp;q=XNSE%3aSJS&amp;form=skydnc</v>
    <v>Learn more on Bing</v>
  </rv>
  <rv s="1">
    <v>en-IN</v>
    <v>c434r7</v>
    <v>268435456</v>
    <v>1</v>
    <v>Powered by Refinitiv</v>
    <v>0</v>
    <v>S.J.S. ENTERPRISES LIMITED (XNSE:SJS)</v>
    <v>2</v>
    <v>3</v>
    <v>Finance</v>
    <v>4</v>
    <v>2137.8000000000002</v>
    <v>1080.9000000000001</v>
    <v>0.64670000000000005</v>
    <v>14</v>
    <v>7.0359999999999997E-3</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2042.7</v>
    <v>Automobiles &amp; Auto Parts</v>
    <v>Stock</v>
    <v>46178.467511574076</v>
    <v>835</v>
    <v>1983.1</v>
    <v>54986410000</v>
    <v>S.J.S. ENTERPRISES LIMITED</v>
    <v>S.J.S. ENTERPRISES LIMITED</v>
    <v>1995.6</v>
    <v>37.093699999999998</v>
    <v>1989.8</v>
    <v>2003.8</v>
    <v>32005150</v>
    <v>SJS</v>
    <v>S.J.S. ENTERPRISES LIMITED (XNSE:SJS)</v>
    <v>49604</v>
    <v>118290</v>
    <v>2005</v>
  </rv>
  <rv s="2">
    <v>836</v>
  </rv>
  <rv s="0">
    <v>https://www.bing.com/financeapi/forcetrigger?t=ahhym7&amp;q=XNSE%3aGRANULES&amp;form=skydnc</v>
    <v>Learn more on Bing</v>
  </rv>
  <rv s="1">
    <v>en-IN</v>
    <v>ahhym7</v>
    <v>268435456</v>
    <v>1</v>
    <v>Powered by Refinitiv</v>
    <v>0</v>
    <v>GRANULES INDIA LIMITED (XNSE:GRANULES)</v>
    <v>2</v>
    <v>3</v>
    <v>Finance</v>
    <v>4</v>
    <v>804.3</v>
    <v>432.6</v>
    <v>0.63549999999999995</v>
    <v>-1.5</v>
    <v>-1.895E-3</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797.9</v>
    <v>Pharmaceuticals</v>
    <v>Stock</v>
    <v>46178.467523148145</v>
    <v>838</v>
    <v>777.35</v>
    <v>143368700000</v>
    <v>GRANULES INDIA LIMITED</v>
    <v>GRANULES INDIA LIMITED</v>
    <v>797</v>
    <v>32.317900000000002</v>
    <v>791.35</v>
    <v>789.85</v>
    <v>247796900</v>
    <v>GRANULES</v>
    <v>GRANULES INDIA LIMITED (XNSE:GRANULES)</v>
    <v>591926</v>
    <v>1793420</v>
    <v>1991</v>
  </rv>
  <rv s="2">
    <v>839</v>
  </rv>
  <rv s="3">
    <v>en-IN</v>
    <v>ch7y27</v>
    <v>268435456</v>
    <v>1</v>
    <v>Powered by Refinitiv</v>
    <v>5</v>
    <v>SIEMENS ENERGY INDIA LIMITED (XNSE:ENRIN)</v>
    <v>6</v>
    <v>3</v>
    <v>Finance</v>
    <v>4</v>
    <v>3968</v>
    <v>2115</v>
    <v>0.82099999999999995</v>
    <v>-53</v>
    <v>-1.4320999999999999E-2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3775</v>
    <v>Electrical Utilities &amp; IPPs</v>
    <v>Stock</v>
    <v>46178.467592592591</v>
    <v>3631</v>
    <v>856256100000</v>
    <v>SIEMENS ENERGY INDIA LIMITED</v>
    <v>SIEMENS ENERGY INDIA LIMITED</v>
    <v>3730.1</v>
    <v>99.172700000000006</v>
    <v>3700.9</v>
    <v>3647.9</v>
    <v>356120500</v>
    <v>ENRIN</v>
    <v>SIEMENS ENERGY INDIA LIMITED (XNSE:ENRIN)</v>
    <v>356760</v>
    <v>1112400</v>
    <v>2024</v>
  </rv>
  <rv s="2">
    <v>841</v>
  </rv>
  <rv s="0">
    <v>https://www.bing.com/financeapi/forcetrigger?t=ahixnm&amp;q=XNSE%3aMEGASOFT&amp;form=skydnc</v>
    <v>Learn more on Bing</v>
  </rv>
  <rv s="1">
    <v>en-IN</v>
    <v>ahixnm</v>
    <v>268435456</v>
    <v>1</v>
    <v>Powered by Refinitiv</v>
    <v>0</v>
    <v>SIGMA ADVANCED SYSTEMS LIMITED (XNSE:SIGMAADV)</v>
    <v>2</v>
    <v>3</v>
    <v>Finance</v>
    <v>4</v>
    <v>467.8</v>
    <v>79.5</v>
    <v>2.2984</v>
    <v>-22.9</v>
    <v>-4.9923999999999996E-2</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467.8</v>
    <v>Aerospace &amp; Defense</v>
    <v>Stock</v>
    <v>46178.467523148145</v>
    <v>843</v>
    <v>435.8</v>
    <v>13967620000</v>
    <v>SIGMA ADVANCED SYSTEMS LIMITED</v>
    <v>SIGMA ADVANCED SYSTEMS LIMITED</v>
    <v>462</v>
    <v>16.9572</v>
    <v>458.7</v>
    <v>435.8</v>
    <v>176239700</v>
    <v>SIGMAADV</v>
    <v>SIGMA ADVANCED SYSTEMS LIMITED (XNSE:SIGMAADV)</v>
    <v>754289</v>
    <v>683190</v>
    <v>1999</v>
  </rv>
  <rv s="2">
    <v>844</v>
  </rv>
  <rv s="0">
    <v>https://www.bing.com/financeapi/forcetrigger?t=ahkcpr&amp;q=XNSE%3aTHYROCARE&amp;form=skydnc</v>
    <v>Learn more on Bing</v>
  </rv>
  <rv s="1">
    <v>en-IN</v>
    <v>ahkcpr</v>
    <v>268435456</v>
    <v>1</v>
    <v>Powered by Refinitiv</v>
    <v>0</v>
    <v>THYROCARE TECHNOLOGIES LIMITED (XNSE:THYROCARE)</v>
    <v>2</v>
    <v>3</v>
    <v>Finance</v>
    <v>4</v>
    <v>536.66999999999996</v>
    <v>291.37</v>
    <v>0.77710000000000001</v>
    <v>-2.75</v>
    <v>-5.2810000000000001E-3</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1822</v>
    <v>National Stock Exchange of India</v>
    <v>XNSE</v>
    <v>XNSE</v>
    <v>D=37/1, TTC INDUSTRIAL AREA, MIDC, TURBHE, 400703 IN</v>
    <v>525</v>
    <v>Healthcare Providers &amp; Services</v>
    <v>Stock</v>
    <v>46178.467534722222</v>
    <v>846</v>
    <v>515.5</v>
    <v>74591130000</v>
    <v>THYROCARE TECHNOLOGIES LIMITED</v>
    <v>THYROCARE TECHNOLOGIES LIMITED</v>
    <v>521</v>
    <v>50.438200000000002</v>
    <v>520.75</v>
    <v>518</v>
    <v>159165300</v>
    <v>THYROCARE</v>
    <v>THYROCARE TECHNOLOGIES LIMITED (XNSE:THYROCARE)</v>
    <v>89511</v>
    <v>405680</v>
    <v>2000</v>
  </rv>
  <rv s="2">
    <v>847</v>
  </rv>
  <rv s="0">
    <v>https://www.bing.com/financeapi/forcetrigger?t=c1ypgh&amp;q=XNSE%3aMODISNME&amp;form=skydnc</v>
    <v>Learn more on Bing</v>
  </rv>
  <rv s="1">
    <v>en-IN</v>
    <v>c1ypgh</v>
    <v>268435456</v>
    <v>1</v>
    <v>Powered by Refinitiv</v>
    <v>0</v>
    <v>MODISON LIMITED (XNSE:MODISONLTD)</v>
    <v>2</v>
    <v>3</v>
    <v>Finance</v>
    <v>4</v>
    <v>362.7</v>
    <v>114</v>
    <v>1.1183000000000001</v>
    <v>17.25</v>
    <v>4.9935E-2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362.7</v>
    <v>Metals &amp; Mining</v>
    <v>Stock</v>
    <v>46178.467499999999</v>
    <v>849</v>
    <v>350</v>
    <v>4998598000</v>
    <v>MODISON LIMITED</v>
    <v>MODISON LIMITED</v>
    <v>361.6</v>
    <v>16.230399999999999</v>
    <v>345.45</v>
    <v>362.7</v>
    <v>32450000</v>
    <v>MODISONLTD</v>
    <v>MODISON LIMITED (XNSE:MODISONLTD)</v>
    <v>224859</v>
    <v>747160</v>
    <v>1983</v>
  </rv>
  <rv s="2">
    <v>850</v>
  </rv>
  <rv s="0">
    <v>https://www.bing.com/financeapi/forcetrigger?t=c3oifr&amp;q=XNSE%3aABSLAMC&amp;form=skydnc</v>
    <v>Learn more on Bing</v>
  </rv>
  <rv s="1">
    <v>en-IN</v>
    <v>c3oifr</v>
    <v>268435456</v>
    <v>1</v>
    <v>Powered by Refinitiv</v>
    <v>0</v>
    <v>ADITYA BIRLA SUN LIFE AMC LIMITED (XNSE:ABSLAMC)</v>
    <v>2</v>
    <v>3</v>
    <v>Finance</v>
    <v>4</v>
    <v>1123.5</v>
    <v>708</v>
    <v>0.81189999999999996</v>
    <v>14.6</v>
    <v>1.4116999999999999E-2</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1053.5999999999999</v>
    <v>Investment Banking &amp; Investment Services</v>
    <v>Stock</v>
    <v>46178.467499999999</v>
    <v>852</v>
    <v>1030</v>
    <v>237100700000</v>
    <v>ADITYA BIRLA SUN LIFE AMC LIMITED</v>
    <v>ADITYA BIRLA SUN LIFE AMC LIMITED</v>
    <v>1031.8</v>
    <v>31.057200000000002</v>
    <v>1034.2</v>
    <v>1048.8</v>
    <v>289175000</v>
    <v>ABSLAMC</v>
    <v>ADITYA BIRLA SUN LIFE AMC LIMITED (XNSE:ABSLAMC)</v>
    <v>176351</v>
    <v>270800</v>
    <v>1994</v>
  </rv>
  <rv s="2">
    <v>853</v>
  </rv>
  <rv s="0">
    <v>https://www.bing.com/financeapi/forcetrigger?t=ahhd2w&amp;q=XNSE%3aCENTUM&amp;form=skydnc</v>
    <v>Learn more on Bing</v>
  </rv>
  <rv s="1">
    <v>en-IN</v>
    <v>ahhd2w</v>
    <v>268435456</v>
    <v>1</v>
    <v>Powered by Refinitiv</v>
    <v>0</v>
    <v>CENTUM ELECTRONICS LIMITED (XNSE:CENTUM)</v>
    <v>2</v>
    <v>3</v>
    <v>Finance</v>
    <v>4</v>
    <v>3714</v>
    <v>2044.2</v>
    <v>0.56740000000000002</v>
    <v>-22.7</v>
    <v>-6.5180000000000004E-3</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3548.6</v>
    <v>Machinery, Equipment &amp; Components</v>
    <v>Stock</v>
    <v>46178.467523148145</v>
    <v>855</v>
    <v>3418.1</v>
    <v>34344070000</v>
    <v>CENTUM ELECTRONICS LIMITED</v>
    <v>CENTUM ELECTRONICS LIMITED</v>
    <v>3490</v>
    <v>61.2</v>
    <v>3482.6</v>
    <v>3459.9</v>
    <v>14759020</v>
    <v>CENTUM</v>
    <v>CENTUM ELECTRONICS LIMITED (XNSE:CENTUM)</v>
    <v>42803</v>
    <v>112870</v>
    <v>1993</v>
  </rv>
  <rv s="2">
    <v>856</v>
  </rv>
  <rv s="3">
    <v>en-IN</v>
    <v>c8ip5r</v>
    <v>268435456</v>
    <v>1</v>
    <v>Powered by Refinitiv</v>
    <v>5</v>
    <v>Sky Gold and Diamonds Limited (XNSE:SKYGOLD)</v>
    <v>6</v>
    <v>3</v>
    <v>Finance</v>
    <v>4</v>
    <v>590</v>
    <v>246.05</v>
    <v>0.63849999999999996</v>
    <v>-42.95</v>
    <v>-7.5166000000000011E-2</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578.95000000000005</v>
    <v>Textiles &amp; Apparel</v>
    <v>Stock</v>
    <v>46178.467523148145</v>
    <v>522</v>
    <v>51112820000</v>
    <v>Sky Gold and Diamonds Limited</v>
    <v>Sky Gold and Diamonds Limited</v>
    <v>576.85</v>
    <v>31.62</v>
    <v>571.4</v>
    <v>528.45000000000005</v>
    <v>154873900</v>
    <v>SKYGOLD</v>
    <v>Sky Gold and Diamonds Limited (XNSE:SKYGOLD)</v>
    <v>2897297</v>
    <v>1881390</v>
    <v>2008</v>
  </rv>
  <rv s="2">
    <v>858</v>
  </rv>
  <rv s="7">
    <v>12</v>
    <v>Price</v>
    <v>0</v>
  </rv>
  <rv s="7">
    <v>12</v>
    <v>Previous close</v>
    <v>0</v>
  </rv>
  <rv s="0">
    <v>https://www.bing.com/financeapi/forcetrigger?t=ahilc7&amp;q=XNSE%3aKERNEX&amp;form=skydnc</v>
    <v>Learn more on Bing</v>
  </rv>
  <rv s="1">
    <v>en-IN</v>
    <v>ahilc7</v>
    <v>268435456</v>
    <v>1</v>
    <v>Powered by Refinitiv</v>
    <v>0</v>
    <v>KERNEX MICROSYSTEMS (INDIA)LIMITED (XNSE:KERNEX)</v>
    <v>2</v>
    <v>3</v>
    <v>Finance</v>
    <v>4</v>
    <v>1918.4</v>
    <v>850</v>
    <v>1.069</v>
    <v>-54</v>
    <v>-2.8570000000000002E-2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1909.9</v>
    <v>Electronic Equipment &amp; Parts</v>
    <v>Stock</v>
    <v>46178.467523148145</v>
    <v>862</v>
    <v>1805</v>
    <v>18664130000</v>
    <v>KERNEX MICROSYSTEMS (INDIA)LIMITED</v>
    <v>KERNEX MICROSYSTEMS (INDIA)LIMITED</v>
    <v>1890.1</v>
    <v>34.893599999999999</v>
    <v>1890.1</v>
    <v>1836.1</v>
    <v>16802420</v>
    <v>KERNEX</v>
    <v>KERNEX MICROSYSTEMS (INDIA)LIMITED (XNSE:KERNEX)</v>
    <v>214449</v>
    <v>733910</v>
    <v>1991</v>
  </rv>
  <rv s="2">
    <v>863</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1.2863</v>
    <v>-0.75</v>
    <v>-5.1970000000000002E-3</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146.15</v>
    <v>Automobiles &amp; Auto Parts</v>
    <v>Stock</v>
    <v>46178.467499999999</v>
    <v>865</v>
    <v>143</v>
    <v>1213022000000</v>
    <v>SAMVARDHANA MOTHERSON INTERNATIONAL LIMITED</v>
    <v>SAMVARDHANA MOTHERSON INTERNATIONAL LIMITED</v>
    <v>144.65</v>
    <v>41.134700000000002</v>
    <v>144.31</v>
    <v>143.56</v>
    <v>10531230000</v>
    <v>MOTHERSON</v>
    <v>SAMVARDHANA MOTHERSON INTERNATIONAL LIMITED (XNSE:MOTHERSON)</v>
    <v>13743288</v>
    <v>36543010</v>
    <v>1986</v>
  </rv>
  <rv s="2">
    <v>866</v>
  </rv>
  <rv s="0">
    <v>https://www.bing.com/financeapi/forcetrigger?t=ahiysm&amp;q=XNSE%3aMINDACORP&amp;form=skydnc</v>
    <v>Learn more on Bing</v>
  </rv>
  <rv s="1">
    <v>en-IN</v>
    <v>ahiysm</v>
    <v>268435456</v>
    <v>1</v>
    <v>Powered by Refinitiv</v>
    <v>0</v>
    <v>MINDA CORPORATION LIMITED (XNSE:MINDACORP)</v>
    <v>2</v>
    <v>3</v>
    <v>Finance</v>
    <v>4</v>
    <v>663</v>
    <v>445.05</v>
    <v>0.6341</v>
    <v>-1.9</v>
    <v>-2.944E-3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650</v>
    <v>Automobiles &amp; Auto Parts</v>
    <v>Stock</v>
    <v>46178.467546296299</v>
    <v>868</v>
    <v>636.4</v>
    <v>135332500000</v>
    <v>MINDA CORPORATION LIMITED</v>
    <v>MINDA CORPORATION LIMITED</v>
    <v>650</v>
    <v>42.024799999999999</v>
    <v>645.29999999999995</v>
    <v>643.4</v>
    <v>235360900</v>
    <v>MINDACORP</v>
    <v>MINDA CORPORATION LIMITED (XNSE:MINDACORP)</v>
    <v>465038</v>
    <v>1362100</v>
    <v>1985</v>
  </rv>
  <rv s="2">
    <v>869</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1.3795999999999999</v>
    <v>-0.25</v>
    <v>-4.7509999999999995E-4</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537.29999999999995</v>
    <v>Insurance</v>
    <v>Stock</v>
    <v>46178.467511574076</v>
    <v>871</v>
    <v>524.29999999999995</v>
    <v>264107100000</v>
    <v>STAR HEALTH AND ALLIED INSURANCE COMPANY LIMITED</v>
    <v>STAR HEALTH AND ALLIED INSURANCE COMPANY LIMITED</v>
    <v>526.25</v>
    <v>55.57</v>
    <v>526.25</v>
    <v>526</v>
    <v>588403500</v>
    <v>STARHEALTH</v>
    <v>STAR HEALTH AND ALLIED INSURANCE COMPANY LIMITED (XNSE:STARHEALTH)</v>
    <v>355643</v>
    <v>666970</v>
    <v>2005</v>
  </rv>
  <rv s="2">
    <v>872</v>
  </rv>
  <rv s="0">
    <v>https://www.bing.com/financeapi/forcetrigger?t=ahk9jc&amp;q=XNSE%3aTATACOMM&amp;form=skydnc</v>
    <v>Learn more on Bing</v>
  </rv>
  <rv s="1">
    <v>en-IN</v>
    <v>ahk9jc</v>
    <v>268435456</v>
    <v>1</v>
    <v>Powered by Refinitiv</v>
    <v>0</v>
    <v>TATA COMMUNICATIONS LIMITED (XNSE:TATACOMM)</v>
    <v>2</v>
    <v>3</v>
    <v>Finance</v>
    <v>4</v>
    <v>2049.9</v>
    <v>1322.5</v>
    <v>1.4978</v>
    <v>-13.2</v>
    <v>-6.6469999999999993E-3</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2029.7</v>
    <v>Telecommunications Services</v>
    <v>Stock</v>
    <v>46178.467499999999</v>
    <v>874</v>
    <v>1960.7</v>
    <v>495501000000</v>
    <v>TATA COMMUNICATIONS LIMITED</v>
    <v>TATA COMMUNICATIONS LIMITED</v>
    <v>2000</v>
    <v>53.852899999999998</v>
    <v>1985.9</v>
    <v>1972.7</v>
    <v>285000000</v>
    <v>TATACOMM</v>
    <v>TATA COMMUNICATIONS LIMITED (XNSE:TATACOMM)</v>
    <v>951148</v>
    <v>1259250</v>
    <v>1986</v>
  </rv>
  <rv s="2">
    <v>875</v>
  </rv>
  <rv s="0">
    <v>https://www.bing.com/financeapi/forcetrigger?t=ahi4fr&amp;q=XNSE%3aHESTERBIO&amp;form=skydnc</v>
    <v>Learn more on Bing</v>
  </rv>
  <rv s="1">
    <v>en-IN</v>
    <v>ahi4fr</v>
    <v>268435456</v>
    <v>1</v>
    <v>Powered by Refinitiv</v>
    <v>0</v>
    <v>HESTER BIOSCIENCES LIMITED (XNSE:HESTERBIO)</v>
    <v>2</v>
    <v>3</v>
    <v>Finance</v>
    <v>4</v>
    <v>2350</v>
    <v>1239.3</v>
    <v>1.3059000000000001</v>
    <v>39.200000000000003</v>
    <v>2.0390999999999999E-2</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2018</v>
    <v>Pharmaceuticals</v>
    <v>Stock</v>
    <v>46178.467511574076</v>
    <v>877</v>
    <v>1916</v>
    <v>12887050000</v>
    <v>HESTER BIOSCIENCES LIMITED</v>
    <v>HESTER BIOSCIENCES LIMITED</v>
    <v>1916</v>
    <v>35.166699999999999</v>
    <v>1922.4</v>
    <v>1961.6</v>
    <v>8506860</v>
    <v>HESTERBIO</v>
    <v>HESTER BIOSCIENCES LIMITED (XNSE:HESTERBIO)</v>
    <v>5164</v>
    <v>26640</v>
    <v>1987</v>
  </rv>
  <rv s="2">
    <v>878</v>
  </rv>
  <rv s="0">
    <v>https://www.bing.com/financeapi/forcetrigger?t=ahkmfr&amp;q=XNSE%3aVOLTAMP&amp;form=skydnc</v>
    <v>Learn more on Bing</v>
  </rv>
  <rv s="1">
    <v>en-IN</v>
    <v>ahkmfr</v>
    <v>268435456</v>
    <v>1</v>
    <v>Powered by Refinitiv</v>
    <v>0</v>
    <v>VOLTAMP TRANSFORMERS LIMITED (XNSE:VOLTAMP)</v>
    <v>2</v>
    <v>3</v>
    <v>Finance</v>
    <v>4</v>
    <v>12863</v>
    <v>6666</v>
    <v>0.91869999999999996</v>
    <v>416</v>
    <v>4.3935000000000002E-2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10044</v>
    <v>Machinery, Equipment &amp; Components</v>
    <v>Stock</v>
    <v>46178.467523148145</v>
    <v>880</v>
    <v>9435.5</v>
    <v>72443640000</v>
    <v>VOLTAMP TRANSFORMERS LIMITED</v>
    <v>VOLTAMP TRANSFORMERS LIMITED</v>
    <v>9470</v>
    <v>32.7453</v>
    <v>9468.5</v>
    <v>9884.5</v>
    <v>10117120</v>
    <v>VOLTAMP</v>
    <v>VOLTAMP TRANSFORMERS LIMITED (XNSE:VOLTAMP)</v>
    <v>79429</v>
    <v>41550</v>
    <v>1967</v>
  </rv>
  <rv s="2">
    <v>881</v>
  </rv>
  <rv s="0">
    <v>https://www.bing.com/financeapi/forcetrigger?t=ahkqww&amp;q=NIFTY+50&amp;form=skydnc</v>
    <v>Learn more on Bing</v>
  </rv>
  <rv s="12">
    <v>en-IN</v>
    <v>ahkqww</v>
    <v>268435456</v>
    <v>1</v>
    <v>Powered by Refinitiv</v>
    <v>21</v>
    <v>NIFTY 50</v>
    <v>22</v>
    <v>23</v>
    <v>Finance</v>
    <v>24</v>
    <v>26373.200000000001</v>
    <v>22182.55</v>
    <v>-49.85</v>
    <v>-2.1290000000000002E-3</v>
    <v>IN</v>
    <v>23516.35</v>
    <v>Index</v>
    <v>883</v>
    <v>23282.65</v>
    <v>NIFTY 50</v>
    <v>23478.95</v>
    <v>23416.55</v>
    <v>23366.7</v>
    <v>NIFTY</v>
    <v>NIFTY 50</v>
  </rv>
  <rv s="2">
    <v>884</v>
  </rv>
  <rv s="0">
    <v>https://www.bing.com/financeapi/forcetrigger?t=ahhstc&amp;q=XNSE%3aGAEL&amp;form=skydnc</v>
    <v>Learn more on Bing</v>
  </rv>
  <rv s="1">
    <v>en-IN</v>
    <v>ahhstc</v>
    <v>268435456</v>
    <v>1</v>
    <v>Powered by Refinitiv</v>
    <v>0</v>
    <v>GUJARAT AMBUJA EXPORTS LIMITED (XNSE:GAEL)</v>
    <v>2</v>
    <v>3</v>
    <v>Finance</v>
    <v>4</v>
    <v>177.92</v>
    <v>101.2</v>
    <v>0.33019999999999999</v>
    <v>0.89</v>
    <v>5.7430000000000007E-3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157.91999999999999</v>
    <v>Food &amp; Tobacco</v>
    <v>Stock</v>
    <v>46178.467511574076</v>
    <v>886</v>
    <v>154.5</v>
    <v>63328660000</v>
    <v>GUJARAT AMBUJA EXPORTS LIMITED</v>
    <v>GUJARAT AMBUJA EXPORTS LIMITED</v>
    <v>155.27000000000001</v>
    <v>23.472899999999999</v>
    <v>154.97</v>
    <v>155.86000000000001</v>
    <v>458670700</v>
    <v>GAEL</v>
    <v>GUJARAT AMBUJA EXPORTS LIMITED (XNSE:GAEL)</v>
    <v>513248</v>
    <v>706620</v>
    <v>1991</v>
  </rv>
  <rv s="2">
    <v>887</v>
  </rv>
  <rv s="0">
    <v>https://www.bing.com/financeapi/forcetrigger?t=ahhydm&amp;q=XNSE%3aGPIL&amp;form=skydnc</v>
    <v>Learn more on Bing</v>
  </rv>
  <rv s="1">
    <v>en-IN</v>
    <v>ahhydm</v>
    <v>268435456</v>
    <v>1</v>
    <v>Powered by Refinitiv</v>
    <v>0</v>
    <v>GODAWARI POWER AND ISPAT LIMITED (XNSE:GPIL)</v>
    <v>2</v>
    <v>3</v>
    <v>Finance</v>
    <v>4</v>
    <v>320</v>
    <v>175.37</v>
    <v>0.88749999999999996</v>
    <v>-5.8</v>
    <v>-2.0279999999999999E-2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287.95</v>
    <v>Metals &amp; Mining</v>
    <v>Stock</v>
    <v>46178.467523148145</v>
    <v>889</v>
    <v>280</v>
    <v>173966700000</v>
    <v>GODAWARI POWER AND ISPAT LIMITED</v>
    <v>GODAWARI POWER AND ISPAT LIMITED</v>
    <v>287.95</v>
    <v>21.4877</v>
    <v>286</v>
    <v>280.2</v>
    <v>673097400</v>
    <v>GPIL</v>
    <v>GODAWARI POWER AND ISPAT LIMITED (XNSE:GPIL)</v>
    <v>1130976</v>
    <v>8177880</v>
    <v>1999</v>
  </rv>
  <rv s="2">
    <v>890</v>
  </rv>
  <rv s="0">
    <v>https://www.bing.com/financeapi/forcetrigger?t=ahi59c&amp;q=XNSE%3aHINDALCO&amp;form=skydnc</v>
    <v>Learn more on Bing</v>
  </rv>
  <rv s="1">
    <v>en-IN</v>
    <v>ahi59c</v>
    <v>268435456</v>
    <v>1</v>
    <v>Powered by Refinitiv</v>
    <v>0</v>
    <v>HINDALCO INDUSTRIES LIMITED (XNSE:HINDALCO)</v>
    <v>2</v>
    <v>3</v>
    <v>Finance</v>
    <v>4</v>
    <v>1176</v>
    <v>618</v>
    <v>1.1520999999999999</v>
    <v>-33</v>
    <v>-2.9318E-2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1132.3</v>
    <v>Metals &amp; Mining</v>
    <v>Stock</v>
    <v>46178.467499999999</v>
    <v>892</v>
    <v>1090.0999999999999</v>
    <v>2092750000000</v>
    <v>HINDALCO INDUSTRIES LIMITED</v>
    <v>HINDALCO INDUSTRIES LIMITED</v>
    <v>1126.5999999999999</v>
    <v>18.116399999999999</v>
    <v>1125.5999999999999</v>
    <v>1092.5999999999999</v>
    <v>2236153000</v>
    <v>HINDALCO</v>
    <v>HINDALCO INDUSTRIES LIMITED (XNSE:HINDALCO)</v>
    <v>4546693</v>
    <v>7089700</v>
    <v>1958</v>
  </rv>
  <rv s="2">
    <v>893</v>
  </rv>
  <rv s="3">
    <v>en-IN</v>
    <v>cbpa27</v>
    <v>268435456</v>
    <v>1</v>
    <v>Powered by Refinitiv</v>
    <v>5</v>
    <v>TATA TECHNOLOGIES LIMITED (XNSE:TATATECH)</v>
    <v>6</v>
    <v>3</v>
    <v>Finance</v>
    <v>4</v>
    <v>793.46</v>
    <v>507.4</v>
    <v>1.135</v>
    <v>22.85</v>
    <v>3.0533999999999999E-2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11529</v>
    <v>National Stock Exchange of India</v>
    <v>XNSE</v>
    <v>XNSE</v>
    <v>Plot No 25, Rajiv Gandhi Infotech Park, Hinjawadi, PUNE, MAHARASHTRA, 411 057 IN</v>
    <v>776</v>
    <v>Integrated Hardware &amp; Software</v>
    <v>Stock</v>
    <v>46178.467534722222</v>
    <v>750</v>
    <v>267905900000</v>
    <v>TATA TECHNOLOGIES LIMITED</v>
    <v>TATA TECHNOLOGIES LIMITED</v>
    <v>750.65</v>
    <v>57.212800000000001</v>
    <v>748.35</v>
    <v>771.2</v>
    <v>406051800</v>
    <v>TATATECH</v>
    <v>TATA TECHNOLOGIES LIMITED (XNSE:TATATECH)</v>
    <v>3001493</v>
    <v>1733310</v>
    <v>1994</v>
  </rv>
  <rv s="2">
    <v>895</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8">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25">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5">
      <v>3</v>
      <v>Name</v>
    </spb>
    <spb s="11">
      <v>1</v>
      <v>2</v>
      <v>1</v>
      <v>3</v>
      <v>1</v>
      <v>1</v>
      <v>1</v>
      <v>4</v>
      <v>4</v>
      <v>5</v>
      <v>6</v>
      <v>1</v>
      <v>1</v>
      <v>1</v>
      <v>4</v>
      <v>7</v>
      <v>8</v>
      <v>9</v>
      <v>4</v>
    </spb>
    <spb s="0">
      <v>4</v>
      <v>Name</v>
      <v>LearnMoreOnLink</v>
    </spb>
    <spb s="12">
      <v>1</v>
      <v>2</v>
      <v>2</v>
      <v>1</v>
      <v>3</v>
      <v>1</v>
      <v>1</v>
      <v>1</v>
      <v>4</v>
      <v>4</v>
      <v>5</v>
      <v>6</v>
      <v>1</v>
      <v>1</v>
      <v>1</v>
      <v>4</v>
      <v>7</v>
      <v>8</v>
      <v>9</v>
      <v>4</v>
      <v>1</v>
      <v>1</v>
      <v>5</v>
    </spb>
    <spb s="13">
      <v>at close</v>
      <v>from previous close</v>
      <v>from previous close</v>
      <v>GMT</v>
      <v>Delayed 5 minutes</v>
      <v>from close</v>
      <v>from close</v>
    </spb>
    <spb s="5">
      <v>5</v>
      <v>Name</v>
    </spb>
    <spb s="14">
      <v>1</v>
      <v>2</v>
      <v>2</v>
      <v>1</v>
      <v>3</v>
      <v>1</v>
      <v>1</v>
      <v>1</v>
      <v>4</v>
      <v>4</v>
      <v>5</v>
      <v>6</v>
      <v>1</v>
      <v>4</v>
      <v>7</v>
      <v>8</v>
      <v>9</v>
      <v>4</v>
    </spb>
    <spb s="0">
      <v>6</v>
      <v>Name</v>
      <v>LearnMoreOnLink</v>
    </spb>
    <spb s="15">
      <v>1</v>
      <v>2</v>
      <v>2</v>
      <v>1</v>
      <v>3</v>
      <v>1</v>
      <v>1</v>
      <v>1</v>
      <v>4</v>
      <v>5</v>
      <v>6</v>
      <v>1</v>
      <v>1</v>
      <v>1</v>
      <v>4</v>
      <v>7</v>
      <v>8</v>
      <v>9</v>
      <v>4</v>
    </spb>
    <spb s="0">
      <v>7</v>
      <v>Name</v>
      <v>LearnMoreOnLink</v>
    </spb>
    <spb s="16">
      <v>1</v>
      <v>1</v>
      <v>1</v>
    </spb>
    <spb s="17">
      <v>1</v>
      <v>1</v>
      <v>3</v>
      <v>1</v>
      <v>1</v>
      <v>1</v>
      <v>5</v>
      <v>1</v>
      <v>1</v>
      <v>1</v>
      <v>9</v>
    </spb>
    <spb s="18">
      <v>from previous close</v>
      <v>from previous close</v>
    </spb>
  </spbData>
</supportingPropertyBags>
</file>

<file path=xl/richData/rdsupportingpropertybagstructure.xml><?xml version="1.0" encoding="utf-8"?>
<spbStructures xmlns="http://schemas.microsoft.com/office/spreadsheetml/2017/richdata2" count="1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43" headerRowBorderDxfId="42" tableBorderDxfId="41" totalsRowBorderDxfId="40">
  <autoFilter ref="A1:D13" xr:uid="{00000000-0009-0000-0100-000001000000}"/>
  <tableColumns count="4">
    <tableColumn id="1" xr3:uid="{00000000-0010-0000-0000-000001000000}" name="S.No" dataDxfId="39"/>
    <tableColumn id="2" xr3:uid="{00000000-0010-0000-0000-000002000000}" name="Details" dataDxfId="38"/>
    <tableColumn id="3" xr3:uid="{00000000-0010-0000-0000-000003000000}" name="Bug/Change" dataDxfId="37"/>
    <tableColumn id="4" xr3:uid="{00000000-0010-0000-0000-000004000000}" name="Status" dataDxfId="3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602F1-E13A-461C-9816-F8B01F9BE7D2}">
  <dimension ref="A1:L97"/>
  <sheetViews>
    <sheetView tabSelected="1" workbookViewId="0">
      <selection sqref="A1:G1"/>
    </sheetView>
  </sheetViews>
  <sheetFormatPr defaultRowHeight="15"/>
  <cols>
    <col min="1" max="1" width="24" customWidth="1"/>
    <col min="2" max="3" width="18" customWidth="1"/>
    <col min="4" max="4" width="24" customWidth="1"/>
    <col min="5" max="7" width="18" customWidth="1"/>
    <col min="8" max="8" width="4" customWidth="1"/>
    <col min="9" max="9" width="24" customWidth="1"/>
    <col min="10" max="12" width="18" customWidth="1"/>
  </cols>
  <sheetData>
    <row r="1" spans="1:12" ht="23.25">
      <c r="A1" s="88" t="s">
        <v>0</v>
      </c>
      <c r="B1" s="89"/>
      <c r="C1" s="89"/>
      <c r="D1" s="89"/>
      <c r="E1" s="89"/>
      <c r="F1" s="89"/>
      <c r="G1" s="89"/>
      <c r="I1" s="90" t="s">
        <v>1101</v>
      </c>
      <c r="J1" s="89"/>
      <c r="K1" s="89"/>
      <c r="L1" s="89"/>
    </row>
    <row r="3" spans="1:12" ht="15.75">
      <c r="A3" s="13" t="s">
        <v>1</v>
      </c>
      <c r="D3" s="13" t="s">
        <v>2</v>
      </c>
      <c r="I3" s="13" t="s">
        <v>3</v>
      </c>
    </row>
    <row r="4" spans="1:12">
      <c r="A4" s="56" t="s">
        <v>4</v>
      </c>
      <c r="B4" s="56" t="s">
        <v>5</v>
      </c>
      <c r="D4" s="56" t="s">
        <v>4</v>
      </c>
      <c r="E4" s="56" t="s">
        <v>6</v>
      </c>
      <c r="F4" s="56" t="s">
        <v>7</v>
      </c>
      <c r="I4" s="56" t="s">
        <v>8</v>
      </c>
      <c r="J4" s="56" t="s">
        <v>9</v>
      </c>
      <c r="K4" s="56" t="s">
        <v>10</v>
      </c>
      <c r="L4" s="56" t="s">
        <v>11</v>
      </c>
    </row>
    <row r="5" spans="1:12">
      <c r="A5" s="14" t="s">
        <v>12</v>
      </c>
      <c r="B5" s="15">
        <f>SUM(Current_Portfolio!$L$2:$L$1000)</f>
        <v>4878289.1900000013</v>
      </c>
      <c r="D5" s="14" t="s">
        <v>13</v>
      </c>
      <c r="E5" s="16">
        <f>COUNTIF(Overall_Portfolio!$P$2:$P$1000, "&gt;0")</f>
        <v>6</v>
      </c>
      <c r="F5" s="16">
        <f ca="1">COUNTIF(Current_Portfolio!$U$2:$U$1000, "&gt;0")</f>
        <v>39</v>
      </c>
      <c r="I5" s="14" t="s">
        <v>14</v>
      </c>
      <c r="J5" s="15">
        <v>24625.05</v>
      </c>
      <c r="K5" s="15">
        <f>IFERROR(INDEX(Price_Update!$F:$F, MATCH(I5, Price_Update!$A:$A, 0)), 23366.7)</f>
        <v>23366.7</v>
      </c>
      <c r="L5" s="17">
        <f>(K5-J5)/J5</f>
        <v>-5.1100403857047949E-2</v>
      </c>
    </row>
    <row r="6" spans="1:12">
      <c r="A6" s="14" t="s">
        <v>15</v>
      </c>
      <c r="B6" s="15">
        <f ca="1">SUM(Current_Portfolio!$T$2:$T$1000)</f>
        <v>5475228.120000001</v>
      </c>
      <c r="D6" s="14" t="s">
        <v>16</v>
      </c>
      <c r="E6" s="16">
        <f>COUNTIF(Overall_Portfolio!$P$2:$P$1000, "&lt;0")</f>
        <v>39</v>
      </c>
      <c r="F6" s="16">
        <f ca="1">COUNTIF(Current_Portfolio!$U$2:$U$1000, "&lt;0")</f>
        <v>18</v>
      </c>
      <c r="I6" s="14" t="s">
        <v>17</v>
      </c>
      <c r="J6" s="15">
        <v>16033.55</v>
      </c>
      <c r="K6" s="15">
        <f>IFERROR(INDEX(Price_Update!$F:$F, MATCH(I6, Price_Update!$A:$A, 0)), 17198.9)</f>
        <v>17198.900000000001</v>
      </c>
      <c r="L6" s="17">
        <f>(K6-J6)/J6</f>
        <v>7.2681969994168621E-2</v>
      </c>
    </row>
    <row r="7" spans="1:12">
      <c r="A7" s="14" t="s">
        <v>18</v>
      </c>
      <c r="B7" s="15">
        <f ca="1">B6-B5</f>
        <v>596938.9299999997</v>
      </c>
      <c r="D7" s="14" t="s">
        <v>19</v>
      </c>
      <c r="E7" s="18">
        <f>IF(E6&gt;0, E5/E6, IF(E5&gt;0, "No Loss", 0))</f>
        <v>0.15384615384615385</v>
      </c>
      <c r="F7" s="18">
        <f ca="1">IF(F6&gt;0, F5/F6, IF(F5&gt;0, "No Loss", 0))</f>
        <v>2.1666666666666665</v>
      </c>
    </row>
    <row r="8" spans="1:12">
      <c r="A8" s="14" t="s">
        <v>20</v>
      </c>
      <c r="B8" s="15">
        <f>SUM(Overall_Portfolio!$P$2:$P$1000)</f>
        <v>-369763.40000000008</v>
      </c>
      <c r="D8" s="14" t="s">
        <v>21</v>
      </c>
      <c r="E8" s="15">
        <f>IF(E5&gt;0, SUMIF(Overall_Portfolio!$P$2:$P$1000, "&gt;0")/E5, 0)</f>
        <v>2800.56</v>
      </c>
      <c r="F8" s="15">
        <f ca="1">IF(F5&gt;0, SUMIF(Current_Portfolio!$U$2:$U$1000, "&gt;0")/F5, 0)</f>
        <v>16448.510512820503</v>
      </c>
    </row>
    <row r="9" spans="1:12" ht="15.75">
      <c r="A9" s="14" t="s">
        <v>22</v>
      </c>
      <c r="B9" s="15">
        <f ca="1">B7+B8</f>
        <v>227175.52999999962</v>
      </c>
      <c r="D9" s="14" t="s">
        <v>23</v>
      </c>
      <c r="E9" s="15">
        <f>IF(E6&gt;0, SUMIF(Overall_Portfolio!$P$2:$P$1000, "&lt;0")/E6, 0)</f>
        <v>-9911.968205128207</v>
      </c>
      <c r="F9" s="15">
        <f ca="1">IF(F6&gt;0, SUMIF(Current_Portfolio!$U$2:$U$1000, "&lt;0")/F6, 0)</f>
        <v>-2475.1655555555553</v>
      </c>
      <c r="I9" s="13" t="s">
        <v>24</v>
      </c>
    </row>
    <row r="10" spans="1:12">
      <c r="A10" s="14" t="s">
        <v>25</v>
      </c>
      <c r="B10" s="17">
        <f ca="1">IF(B5&gt;0, B9/B5, 0)</f>
        <v>4.6568688561081296E-2</v>
      </c>
      <c r="D10" s="14" t="s">
        <v>26</v>
      </c>
      <c r="E10" s="18">
        <f>IF(E9&lt;0, ABS(E8/E9), 0)</f>
        <v>0.28254327919969108</v>
      </c>
      <c r="F10" s="18">
        <f ca="1">IF(F9&lt;0, ABS(F8/F9), 0)</f>
        <v>6.6454183138988476</v>
      </c>
      <c r="I10" s="56" t="s">
        <v>27</v>
      </c>
      <c r="J10" s="56" t="s">
        <v>28</v>
      </c>
      <c r="K10" s="56" t="s">
        <v>29</v>
      </c>
      <c r="L10" s="56" t="s">
        <v>30</v>
      </c>
    </row>
    <row r="11" spans="1:12">
      <c r="A11" s="14" t="s">
        <v>31</v>
      </c>
      <c r="B11" s="17">
        <f>IF(B5&gt;0, SUMIF(Current_Portfolio!$D$2:$D$1000, "Core", Current_Portfolio!$L$2:$L$1000) / B5, 0)</f>
        <v>0.58055105585079081</v>
      </c>
      <c r="I11" s="14" t="s">
        <v>32</v>
      </c>
      <c r="J11" s="15">
        <f>SUMIF(Current_Portfolio!$B$2:$B$1000, "Small Cap", Current_Portfolio!$L$2:$L$1000)</f>
        <v>2161465.9</v>
      </c>
      <c r="K11" s="17">
        <f>J11/$J$14</f>
        <v>0.44307867283284197</v>
      </c>
      <c r="L11" s="17">
        <f ca="1">(SUMIF(Current_Portfolio!$B$2:$B$1000, "Small Cap", Current_Portfolio!$T$2:$T$1000) - J11) / J11</f>
        <v>0.13812603751926003</v>
      </c>
    </row>
    <row r="12" spans="1:12">
      <c r="A12" s="14" t="s">
        <v>33</v>
      </c>
      <c r="B12" s="17">
        <f>IF(B5&gt;0, SUMIF(Current_Portfolio!$D$2:$D$1000, "Satellite", Current_Portfolio!$L$2:$L$1000) / B5, 0)</f>
        <v>0.41944894414920886</v>
      </c>
      <c r="D12" s="56" t="s">
        <v>1109</v>
      </c>
      <c r="E12" s="56" t="s">
        <v>34</v>
      </c>
      <c r="F12" s="56" t="s">
        <v>35</v>
      </c>
      <c r="I12" s="14" t="s">
        <v>36</v>
      </c>
      <c r="J12" s="15">
        <f>SUMIF(Current_Portfolio!$B$2:$B$1000, "Large Cap", Current_Portfolio!$L$2:$L$1000)</f>
        <v>1767877.93</v>
      </c>
      <c r="K12" s="17">
        <f>J12/$J$14</f>
        <v>0.3623971152886899</v>
      </c>
      <c r="L12" s="17">
        <f ca="1">(SUMIF(Current_Portfolio!$B$2:$B$1000, "Large Cap", Current_Portfolio!$T$2:$T$1000) - J12) / J12</f>
        <v>0.14792846585284311</v>
      </c>
    </row>
    <row r="13" spans="1:12">
      <c r="A13" s="14" t="s">
        <v>37</v>
      </c>
      <c r="B13" s="16">
        <f>COUNTA(Current_Portfolio!$A$2:$A$1000)</f>
        <v>57</v>
      </c>
      <c r="D13" s="14" t="s">
        <v>38</v>
      </c>
      <c r="E13" s="16">
        <f ca="1">SUMPRODUCT((Current_Portfolio!$D$2:$D$1000="Core")*(Current_Portfolio!$M$2:$M$1000&gt;Current_Portfolio!$AA$2:$AA$1000)*(Current_Portfolio!$M$2:$M$1000&gt;0))</f>
        <v>16</v>
      </c>
      <c r="F13" s="16">
        <f ca="1">SUMPRODUCT((Current_Portfolio!$D$2:$D$1000="Core")*(Current_Portfolio!$M$2:$M$1000&lt;=Current_Portfolio!$AA$2:$AA$1000)*(Current_Portfolio!$M$2:$M$1000&gt;0))</f>
        <v>19</v>
      </c>
      <c r="I13" s="14" t="s">
        <v>39</v>
      </c>
      <c r="J13" s="15">
        <f>SUMIF(Current_Portfolio!$B$2:$B$1000, "Mid Cap", Current_Portfolio!$L$2:$L$1000)</f>
        <v>948945.36</v>
      </c>
      <c r="K13" s="17">
        <f>J13/$J$14</f>
        <v>0.19452421187846797</v>
      </c>
      <c r="L13" s="17">
        <f ca="1">(SUMIF(Current_Portfolio!$B$2:$B$1000, "Mid Cap", Current_Portfolio!$T$2:$T$1000) - J13) / J13</f>
        <v>3.8848116608104805E-2</v>
      </c>
    </row>
    <row r="14" spans="1:12">
      <c r="A14" s="14" t="s">
        <v>40</v>
      </c>
      <c r="B14" s="16">
        <f>COUNTA(Overall_Portfolio!$A$2:$A$1000)</f>
        <v>97</v>
      </c>
      <c r="D14" s="14" t="s">
        <v>41</v>
      </c>
      <c r="E14" s="16">
        <f ca="1">SUMPRODUCT((Current_Portfolio!$D$2:$D$1000="Satellite")*(Current_Portfolio!$M$2:$M$1000&gt;Current_Portfolio!$O$2:$O$1000)*(Current_Portfolio!$M$2:$M$1000&gt;0))</f>
        <v>16</v>
      </c>
      <c r="F14" s="16">
        <f ca="1">SUMPRODUCT((Current_Portfolio!$D$2:$D$1000="Satellite")*(Current_Portfolio!$M$2:$M$1000&lt;=Current_Portfolio!$O$2:$O$1000)*(Current_Portfolio!$M$2:$M$1000&gt;0))</f>
        <v>6</v>
      </c>
      <c r="I14" s="14" t="s">
        <v>42</v>
      </c>
      <c r="J14" s="19">
        <f>SUM(J11:J13)</f>
        <v>4878289.1900000004</v>
      </c>
      <c r="K14" s="20">
        <v>1</v>
      </c>
      <c r="L14" s="17">
        <f ca="1">(SUM(Current_Portfolio!$T$2:$T$1000) - J14) / J14</f>
        <v>0.12236644994799921</v>
      </c>
    </row>
    <row r="15" spans="1:12">
      <c r="D15" s="14" t="s">
        <v>43</v>
      </c>
      <c r="E15" s="16">
        <f ca="1">SUMPRODUCT((Current_Portfolio!$D$2:$D$1000="Core")*(Current_Portfolio!$M$2:$M$1000&gt;Current_Portfolio!$N$2:$N$1000)*(Current_Portfolio!$M$2:$M$1000&gt;0))</f>
        <v>17</v>
      </c>
      <c r="F15" s="16">
        <f ca="1">SUMPRODUCT((Current_Portfolio!$D$2:$D$1000="Core")*(Current_Portfolio!$M$2:$M$1000&lt;=Current_Portfolio!$N$2:$N$1000)*(Current_Portfolio!$M$2:$M$1000&gt;0))</f>
        <v>18</v>
      </c>
    </row>
    <row r="16" spans="1:12">
      <c r="D16" s="14" t="s">
        <v>44</v>
      </c>
      <c r="E16" s="16">
        <f ca="1">SUMPRODUCT((Current_Portfolio!$D$2:$D$1000="Satellite")*(Current_Portfolio!$M$2:$M$1000&gt;Current_Portfolio!$N$2:$N$1000)*(Current_Portfolio!$M$2:$M$1000&gt;0))</f>
        <v>12</v>
      </c>
      <c r="F16" s="16">
        <f ca="1">SUMPRODUCT((Current_Portfolio!$D$2:$D$1000="Satellite")*(Current_Portfolio!$M$2:$M$1000&lt;=Current_Portfolio!$N$2:$N$1000)*(Current_Portfolio!$M$2:$M$1000&gt;0))</f>
        <v>10</v>
      </c>
    </row>
    <row r="17" spans="1:11" ht="15.75">
      <c r="A17" s="13" t="s">
        <v>45</v>
      </c>
      <c r="I17" s="13" t="s">
        <v>46</v>
      </c>
    </row>
    <row r="18" spans="1:11">
      <c r="A18" s="56" t="s">
        <v>47</v>
      </c>
      <c r="B18" s="56" t="s">
        <v>48</v>
      </c>
      <c r="C18" s="56" t="s">
        <v>28</v>
      </c>
      <c r="D18" s="56" t="s">
        <v>49</v>
      </c>
      <c r="E18" s="56" t="s">
        <v>50</v>
      </c>
      <c r="F18" s="56" t="s">
        <v>51</v>
      </c>
      <c r="I18" s="56" t="s">
        <v>48</v>
      </c>
      <c r="J18" s="56" t="s">
        <v>28</v>
      </c>
      <c r="K18" s="56" t="s">
        <v>29</v>
      </c>
    </row>
    <row r="19" spans="1:11">
      <c r="A19" s="57" t="s">
        <v>55</v>
      </c>
      <c r="B19" s="21" t="s">
        <v>53</v>
      </c>
      <c r="C19" s="15">
        <f>VLOOKUP(A19, Current_Portfolio!$A$2:$Z$1000, 12, FALSE)</f>
        <v>178375.5</v>
      </c>
      <c r="D19" s="15">
        <f ca="1">VLOOKUP(A19, Current_Portfolio!$A$2:$Z$1000, 20, FALSE)</f>
        <v>250207.5</v>
      </c>
      <c r="E19" s="15">
        <f t="shared" ref="E19:E28" ca="1" si="0">D19-C19</f>
        <v>71832</v>
      </c>
      <c r="F19" s="17">
        <f t="shared" ref="F19:F28" ca="1" si="1">IF(C19&gt;0, E19/C19, 0)</f>
        <v>0.40270104358502151</v>
      </c>
      <c r="I19" s="14" t="s">
        <v>54</v>
      </c>
      <c r="J19" s="15">
        <f>SUMIF(Current_Portfolio!$D$2:$D$1000, "Core", Current_Portfolio!$L$2:$L$1000)</f>
        <v>2832095.94</v>
      </c>
      <c r="K19" s="17">
        <f>J19/$J$21</f>
        <v>0.58055105585079103</v>
      </c>
    </row>
    <row r="20" spans="1:11">
      <c r="A20" s="14" t="s">
        <v>52</v>
      </c>
      <c r="B20" s="21" t="s">
        <v>53</v>
      </c>
      <c r="C20" s="15">
        <f>VLOOKUP(A20, Current_Portfolio!$A$2:$Z$1000, 12, FALSE)</f>
        <v>306836.40000000002</v>
      </c>
      <c r="D20" s="15">
        <f ca="1">VLOOKUP(A20, Current_Portfolio!$A$2:$Z$1000, 20, FALSE)</f>
        <v>371483.99999999994</v>
      </c>
      <c r="E20" s="15">
        <f t="shared" ca="1" si="0"/>
        <v>64647.599999999919</v>
      </c>
      <c r="F20" s="17">
        <f t="shared" ca="1" si="1"/>
        <v>0.21069077853866072</v>
      </c>
      <c r="I20" s="14" t="s">
        <v>53</v>
      </c>
      <c r="J20" s="15">
        <f>SUMIF(Current_Portfolio!$D$2:$D$1000, "Satellite", Current_Portfolio!$L$2:$L$1000)</f>
        <v>2046193.25</v>
      </c>
      <c r="K20" s="17">
        <f>J20/$J$21</f>
        <v>0.41944894414920902</v>
      </c>
    </row>
    <row r="21" spans="1:11">
      <c r="A21" s="57" t="s">
        <v>56</v>
      </c>
      <c r="B21" s="21" t="s">
        <v>53</v>
      </c>
      <c r="C21" s="15">
        <f>VLOOKUP(A21, Current_Portfolio!$A$2:$Z$1000, 12, FALSE)</f>
        <v>200387.96</v>
      </c>
      <c r="D21" s="15">
        <f ca="1">VLOOKUP(A21, Current_Portfolio!$A$2:$Z$1000, 20, FALSE)</f>
        <v>234270.6</v>
      </c>
      <c r="E21" s="15">
        <f t="shared" ca="1" si="0"/>
        <v>33882.640000000014</v>
      </c>
      <c r="F21" s="17">
        <f t="shared" ca="1" si="1"/>
        <v>0.16908520851252748</v>
      </c>
      <c r="I21" s="14" t="s">
        <v>42</v>
      </c>
      <c r="J21" s="19">
        <f>SUM(J19:J20)</f>
        <v>4878289.1899999995</v>
      </c>
      <c r="K21" s="20">
        <v>1</v>
      </c>
    </row>
    <row r="22" spans="1:11">
      <c r="A22" s="57" t="s">
        <v>58</v>
      </c>
      <c r="B22" s="21" t="s">
        <v>53</v>
      </c>
      <c r="C22" s="15">
        <f>VLOOKUP(A22, Current_Portfolio!$A$2:$Z$1000, 12, FALSE)</f>
        <v>198798.2</v>
      </c>
      <c r="D22" s="15">
        <f ca="1">VLOOKUP(A22, Current_Portfolio!$A$2:$Z$1000, 20, FALSE)</f>
        <v>215705.5</v>
      </c>
      <c r="E22" s="15">
        <f t="shared" ca="1" si="0"/>
        <v>16907.299999999988</v>
      </c>
      <c r="F22" s="17">
        <f t="shared" ca="1" si="1"/>
        <v>8.5047550732350638E-2</v>
      </c>
    </row>
    <row r="23" spans="1:11">
      <c r="A23" s="60" t="s">
        <v>57</v>
      </c>
      <c r="B23" s="21" t="s">
        <v>53</v>
      </c>
      <c r="C23" s="15">
        <f>VLOOKUP(A23, Current_Portfolio!$A$2:$Z$1000, 12, FALSE)</f>
        <v>98687.679999999993</v>
      </c>
      <c r="D23" s="15">
        <f ca="1">VLOOKUP(A23, Current_Portfolio!$A$2:$Z$1000, 20, FALSE)</f>
        <v>114424.8</v>
      </c>
      <c r="E23" s="15">
        <f t="shared" ca="1" si="0"/>
        <v>15737.12000000001</v>
      </c>
      <c r="F23" s="17">
        <f t="shared" ca="1" si="1"/>
        <v>0.15946387634201159</v>
      </c>
    </row>
    <row r="24" spans="1:11" ht="15.75">
      <c r="A24" s="60" t="s">
        <v>97</v>
      </c>
      <c r="B24" s="21" t="s">
        <v>53</v>
      </c>
      <c r="C24" s="15">
        <f>VLOOKUP(A24, Current_Portfolio!$A$2:$Z$1000, 12, FALSE)</f>
        <v>50250.400000000001</v>
      </c>
      <c r="D24" s="15">
        <f ca="1">VLOOKUP(A24, Current_Portfolio!$A$2:$Z$1000, 20, FALSE)</f>
        <v>50094</v>
      </c>
      <c r="E24" s="15">
        <f t="shared" ca="1" si="0"/>
        <v>-156.40000000000146</v>
      </c>
      <c r="F24" s="17">
        <f t="shared" ca="1" si="1"/>
        <v>-3.112413035518154E-3</v>
      </c>
      <c r="I24" s="13" t="s">
        <v>60</v>
      </c>
    </row>
    <row r="25" spans="1:11">
      <c r="A25" s="14" t="s">
        <v>63</v>
      </c>
      <c r="B25" s="21" t="s">
        <v>53</v>
      </c>
      <c r="C25" s="15">
        <f>VLOOKUP(A25, Current_Portfolio!$A$2:$Z$1000, 12, FALSE)</f>
        <v>49684.800000000003</v>
      </c>
      <c r="D25" s="15">
        <f ca="1">VLOOKUP(A25, Current_Portfolio!$A$2:$Z$1000, 20, FALSE)</f>
        <v>48255.9</v>
      </c>
      <c r="E25" s="15">
        <f t="shared" ca="1" si="0"/>
        <v>-1428.9000000000015</v>
      </c>
      <c r="F25" s="17">
        <f t="shared" ca="1" si="1"/>
        <v>-2.8759298618490994E-2</v>
      </c>
      <c r="I25" s="56" t="s">
        <v>62</v>
      </c>
      <c r="J25" s="56" t="s">
        <v>28</v>
      </c>
      <c r="K25" s="56" t="s">
        <v>29</v>
      </c>
    </row>
    <row r="26" spans="1:11">
      <c r="A26" s="60" t="s">
        <v>61</v>
      </c>
      <c r="B26" s="21" t="s">
        <v>53</v>
      </c>
      <c r="C26" s="15">
        <f>VLOOKUP(A26, Current_Portfolio!$A$2:$Z$1000, 12, FALSE)</f>
        <v>54590.58</v>
      </c>
      <c r="D26" s="15">
        <f ca="1">VLOOKUP(A26, Current_Portfolio!$A$2:$Z$1000, 20, FALSE)</f>
        <v>53153.100000000006</v>
      </c>
      <c r="E26" s="15">
        <f t="shared" ca="1" si="0"/>
        <v>-1437.4799999999959</v>
      </c>
      <c r="F26" s="17">
        <f t="shared" ca="1" si="1"/>
        <v>-2.6332015523557285E-2</v>
      </c>
      <c r="I26" s="14" t="s">
        <v>64</v>
      </c>
      <c r="J26" s="15">
        <f>SUMIF(Current_Portfolio!$C$2:$C$1000, "Industrial", Current_Portfolio!$L$2:$L$1000)</f>
        <v>2395151.15</v>
      </c>
      <c r="K26" s="17">
        <f>J26/$J$31</f>
        <v>0.49098178822809807</v>
      </c>
    </row>
    <row r="27" spans="1:11">
      <c r="A27" s="14" t="s">
        <v>65</v>
      </c>
      <c r="B27" s="21" t="s">
        <v>53</v>
      </c>
      <c r="C27" s="15">
        <f>VLOOKUP(A27, Current_Portfolio!$A$2:$Z$1000, 12, FALSE)</f>
        <v>43885.24</v>
      </c>
      <c r="D27" s="15">
        <f ca="1">VLOOKUP(A27, Current_Portfolio!$A$2:$Z$1000, 20, FALSE)</f>
        <v>41671</v>
      </c>
      <c r="E27" s="15">
        <f t="shared" ca="1" si="0"/>
        <v>-2214.239999999998</v>
      </c>
      <c r="F27" s="17">
        <f t="shared" ca="1" si="1"/>
        <v>-5.0455232784416763E-2</v>
      </c>
      <c r="I27" s="14" t="s">
        <v>66</v>
      </c>
      <c r="J27" s="15">
        <f>SUMIF(Current_Portfolio!$C$2:$C$1000, "Consumption ", Current_Portfolio!$L$2:$L$1000)</f>
        <v>1140768.19</v>
      </c>
      <c r="K27" s="17">
        <f>J27/$J$31</f>
        <v>0.23384595409769057</v>
      </c>
    </row>
    <row r="28" spans="1:11">
      <c r="A28" s="14" t="s">
        <v>67</v>
      </c>
      <c r="B28" s="21" t="s">
        <v>53</v>
      </c>
      <c r="C28" s="15">
        <f>VLOOKUP(A28, Current_Portfolio!$A$2:$Z$1000, 12, FALSE)</f>
        <v>49379.199999999997</v>
      </c>
      <c r="D28" s="15">
        <f ca="1">VLOOKUP(A28, Current_Portfolio!$A$2:$Z$1000, 20, FALSE)</f>
        <v>46337.200000000004</v>
      </c>
      <c r="E28" s="15">
        <f t="shared" ca="1" si="0"/>
        <v>-3041.9999999999927</v>
      </c>
      <c r="F28" s="17">
        <f t="shared" ca="1" si="1"/>
        <v>-6.1604886267902129E-2</v>
      </c>
      <c r="I28" s="14" t="s">
        <v>68</v>
      </c>
      <c r="J28" s="15">
        <f>SUMIF(Current_Portfolio!$C$2:$C$1000, "Health / Pharma / Chem", Current_Portfolio!$L$2:$L$1000)</f>
        <v>731074.64</v>
      </c>
      <c r="K28" s="17">
        <f>J28/$J$31</f>
        <v>0.14986291536357238</v>
      </c>
    </row>
    <row r="29" spans="1:11">
      <c r="I29" s="14" t="s">
        <v>69</v>
      </c>
      <c r="J29" s="15">
        <f>SUMIF(Current_Portfolio!$C$2:$C$1000, "Finance", Current_Portfolio!$L$2:$L$1000)</f>
        <v>401059.84000000003</v>
      </c>
      <c r="K29" s="17">
        <f>J29/$J$31</f>
        <v>8.2213215408002513E-2</v>
      </c>
    </row>
    <row r="30" spans="1:11">
      <c r="I30" s="14" t="s">
        <v>70</v>
      </c>
      <c r="J30" s="15">
        <f>SUMIF(Current_Portfolio!$C$2:$C$1000, "Tech / Platform / IT", Current_Portfolio!$L$2:$L$1000)</f>
        <v>210235.37</v>
      </c>
      <c r="K30" s="17">
        <f>J30/$J$31</f>
        <v>4.309612690263654E-2</v>
      </c>
    </row>
    <row r="31" spans="1:11" ht="15.75">
      <c r="A31" s="13" t="s">
        <v>71</v>
      </c>
      <c r="I31" s="14" t="s">
        <v>42</v>
      </c>
      <c r="J31" s="19">
        <f>SUM(J26:J30)</f>
        <v>4878289.1899999995</v>
      </c>
      <c r="K31" s="20">
        <v>1</v>
      </c>
    </row>
    <row r="32" spans="1:11">
      <c r="A32" s="56" t="s">
        <v>47</v>
      </c>
      <c r="B32" s="56" t="s">
        <v>48</v>
      </c>
      <c r="C32" s="56" t="s">
        <v>28</v>
      </c>
      <c r="D32" s="56" t="s">
        <v>49</v>
      </c>
      <c r="E32" s="56" t="s">
        <v>50</v>
      </c>
      <c r="F32" s="56" t="s">
        <v>51</v>
      </c>
    </row>
    <row r="33" spans="1:12">
      <c r="A33" s="22" t="s">
        <v>72</v>
      </c>
      <c r="B33" s="21" t="s">
        <v>54</v>
      </c>
      <c r="C33" s="15">
        <f>VLOOKUP(A33, Current_Portfolio!$A$2:$Z$1000, 12, FALSE)</f>
        <v>400918</v>
      </c>
      <c r="D33" s="15">
        <f ca="1">VLOOKUP(A33, Current_Portfolio!$A$2:$Z$1000, 20, FALSE)</f>
        <v>514617.59999999998</v>
      </c>
      <c r="E33" s="15">
        <f t="shared" ref="E33:E42" ca="1" si="2">D33-C33</f>
        <v>113699.59999999998</v>
      </c>
      <c r="F33" s="17">
        <f t="shared" ref="F33:F42" ca="1" si="3">IF(C33&gt;0, E33/C33, 0)</f>
        <v>0.28359814226350522</v>
      </c>
    </row>
    <row r="34" spans="1:12" ht="15.75">
      <c r="A34" s="22" t="s">
        <v>73</v>
      </c>
      <c r="B34" s="21" t="s">
        <v>54</v>
      </c>
      <c r="C34" s="15">
        <f>VLOOKUP(A34, Current_Portfolio!$A$2:$Z$1000, 12, FALSE)</f>
        <v>414743.02</v>
      </c>
      <c r="D34" s="15">
        <f ca="1">VLOOKUP(A34, Current_Portfolio!$A$2:$Z$1000, 20, FALSE)</f>
        <v>514047</v>
      </c>
      <c r="E34" s="15">
        <f t="shared" ca="1" si="2"/>
        <v>99303.979999999981</v>
      </c>
      <c r="F34" s="17">
        <f t="shared" ca="1" si="3"/>
        <v>0.23943496384821614</v>
      </c>
      <c r="I34" s="13" t="s">
        <v>74</v>
      </c>
    </row>
    <row r="35" spans="1:12">
      <c r="A35" s="23" t="s">
        <v>75</v>
      </c>
      <c r="B35" s="21" t="s">
        <v>54</v>
      </c>
      <c r="C35" s="15">
        <f>VLOOKUP(A35, Current_Portfolio!$A$2:$Z$1000, 12, FALSE)</f>
        <v>300289.84000000003</v>
      </c>
      <c r="D35" s="15">
        <f ca="1">VLOOKUP(A35, Current_Portfolio!$A$2:$Z$1000, 20, FALSE)</f>
        <v>356463.8</v>
      </c>
      <c r="E35" s="15">
        <f t="shared" ca="1" si="2"/>
        <v>56173.959999999963</v>
      </c>
      <c r="F35" s="17">
        <f t="shared" ca="1" si="3"/>
        <v>0.18706580282569651</v>
      </c>
      <c r="I35" s="56" t="s">
        <v>62</v>
      </c>
      <c r="J35" s="56" t="s">
        <v>76</v>
      </c>
      <c r="K35" s="56" t="s">
        <v>77</v>
      </c>
      <c r="L35" s="56" t="s">
        <v>78</v>
      </c>
    </row>
    <row r="36" spans="1:12">
      <c r="A36" s="22" t="s">
        <v>79</v>
      </c>
      <c r="B36" s="21" t="s">
        <v>54</v>
      </c>
      <c r="C36" s="15">
        <f>VLOOKUP(A36, Current_Portfolio!$A$2:$Z$1000, 12, FALSE)</f>
        <v>299971.98</v>
      </c>
      <c r="D36" s="15">
        <f ca="1">VLOOKUP(A36, Current_Portfolio!$A$2:$Z$1000, 20, FALSE)</f>
        <v>349623</v>
      </c>
      <c r="E36" s="15">
        <f t="shared" ca="1" si="2"/>
        <v>49651.020000000019</v>
      </c>
      <c r="F36" s="17">
        <f t="shared" ca="1" si="3"/>
        <v>0.16551885946147377</v>
      </c>
      <c r="I36" s="14" t="s">
        <v>64</v>
      </c>
      <c r="J36" s="15">
        <f>SUMIFS(Current_Portfolio!$L$2:$L$1000, Current_Portfolio!$C$2:$C$1000, "Industrial", Current_Portfolio!$D$2:$D$1000, "*Core*")</f>
        <v>1147088.0900000001</v>
      </c>
      <c r="K36" s="15">
        <f>SUMIFS(Current_Portfolio!$L$2:$L$1000, Current_Portfolio!$C$2:$C$1000, "Industrial", Current_Portfolio!$D$2:$D$1000, "*Satellite*")</f>
        <v>1248063.06</v>
      </c>
      <c r="L36" s="15">
        <f>J36+K36</f>
        <v>2395151.1500000004</v>
      </c>
    </row>
    <row r="37" spans="1:12">
      <c r="A37" s="24" t="s">
        <v>80</v>
      </c>
      <c r="B37" s="21" t="s">
        <v>54</v>
      </c>
      <c r="C37" s="15">
        <f>VLOOKUP(A37, Current_Portfolio!$A$2:$Z$1000, 12, FALSE)</f>
        <v>100770</v>
      </c>
      <c r="D37" s="15">
        <f ca="1">VLOOKUP(A37, Current_Portfolio!$A$2:$Z$1000, 20, FALSE)</f>
        <v>116400</v>
      </c>
      <c r="E37" s="15">
        <f t="shared" ca="1" si="2"/>
        <v>15630</v>
      </c>
      <c r="F37" s="17">
        <f t="shared" ca="1" si="3"/>
        <v>0.15510568621613574</v>
      </c>
      <c r="I37" s="14" t="s">
        <v>66</v>
      </c>
      <c r="J37" s="15">
        <f>SUMIFS(Current_Portfolio!$L$2:$L$1000, Current_Portfolio!$C$2:$C$1000, "Consumption ", Current_Portfolio!$D$2:$D$1000, "*Core*")</f>
        <v>886597.19</v>
      </c>
      <c r="K37" s="15">
        <f>SUMIFS(Current_Portfolio!$L$2:$L$1000, Current_Portfolio!$C$2:$C$1000, "Consumption ", Current_Portfolio!$D$2:$D$1000, "*Satellite*")</f>
        <v>254171</v>
      </c>
      <c r="L37" s="15">
        <f>J37+K37</f>
        <v>1140768.19</v>
      </c>
    </row>
    <row r="38" spans="1:12">
      <c r="A38" s="22" t="s">
        <v>647</v>
      </c>
      <c r="B38" s="21" t="s">
        <v>54</v>
      </c>
      <c r="C38" s="15">
        <f>VLOOKUP(A38, Current_Portfolio!$A$2:$Z$1000, 12, FALSE)</f>
        <v>30903</v>
      </c>
      <c r="D38" s="15">
        <f ca="1">VLOOKUP(A38, Current_Portfolio!$A$2:$Z$1000, 20, FALSE)</f>
        <v>29809.5</v>
      </c>
      <c r="E38" s="15">
        <f t="shared" ca="1" si="2"/>
        <v>-1093.5</v>
      </c>
      <c r="F38" s="17">
        <f t="shared" ca="1" si="3"/>
        <v>-3.538491408601107E-2</v>
      </c>
      <c r="I38" s="14" t="s">
        <v>68</v>
      </c>
      <c r="J38" s="15">
        <f>SUMIFS(Current_Portfolio!$L$2:$L$1000, Current_Portfolio!$C$2:$C$1000, "Health / Pharma / Chem", Current_Portfolio!$D$2:$D$1000, "*Core*")</f>
        <v>337906.57000000007</v>
      </c>
      <c r="K38" s="15">
        <f>SUMIFS(Current_Portfolio!$L$2:$L$1000, Current_Portfolio!$C$2:$C$1000, "Health / Pharma / Chem", Current_Portfolio!$D$2:$D$1000, "*Satellite*")</f>
        <v>393168.07</v>
      </c>
      <c r="L38" s="15">
        <f>J38+K38</f>
        <v>731074.64000000013</v>
      </c>
    </row>
    <row r="39" spans="1:12">
      <c r="A39" s="22" t="s">
        <v>82</v>
      </c>
      <c r="B39" s="21" t="s">
        <v>54</v>
      </c>
      <c r="C39" s="15">
        <f>VLOOKUP(A39, Current_Portfolio!$A$2:$Z$1000, 12, FALSE)</f>
        <v>29016.6</v>
      </c>
      <c r="D39" s="15">
        <f ca="1">VLOOKUP(A39, Current_Portfolio!$A$2:$Z$1000, 20, FALSE)</f>
        <v>27900.05</v>
      </c>
      <c r="E39" s="15">
        <f t="shared" ca="1" si="2"/>
        <v>-1116.5499999999993</v>
      </c>
      <c r="F39" s="17">
        <f t="shared" ca="1" si="3"/>
        <v>-3.8479697828139731E-2</v>
      </c>
      <c r="I39" s="14" t="s">
        <v>69</v>
      </c>
      <c r="J39" s="15">
        <f>SUMIFS(Current_Portfolio!$L$2:$L$1000, Current_Portfolio!$C$2:$C$1000, "Finance", Current_Portfolio!$D$2:$D$1000, "*Core*")</f>
        <v>401059.84000000003</v>
      </c>
      <c r="K39" s="15">
        <f>SUMIFS(Current_Portfolio!$L$2:$L$1000, Current_Portfolio!$C$2:$C$1000, "Finance", Current_Portfolio!$D$2:$D$1000, "*Satellite*")</f>
        <v>0</v>
      </c>
      <c r="L39" s="15">
        <f>J39+K39</f>
        <v>401059.84000000003</v>
      </c>
    </row>
    <row r="40" spans="1:12">
      <c r="A40" s="23" t="s">
        <v>83</v>
      </c>
      <c r="B40" s="21" t="s">
        <v>54</v>
      </c>
      <c r="C40" s="15">
        <f>VLOOKUP(A40, Current_Portfolio!$A$2:$Z$1000, 12, FALSE)</f>
        <v>50032</v>
      </c>
      <c r="D40" s="15">
        <f ca="1">VLOOKUP(A40, Current_Portfolio!$A$2:$Z$1000, 20, FALSE)</f>
        <v>48648</v>
      </c>
      <c r="E40" s="15">
        <f t="shared" ca="1" si="2"/>
        <v>-1384</v>
      </c>
      <c r="F40" s="17">
        <f t="shared" ca="1" si="3"/>
        <v>-2.7662296130476494E-2</v>
      </c>
      <c r="I40" s="14" t="s">
        <v>70</v>
      </c>
      <c r="J40" s="15">
        <f>SUMIFS(Current_Portfolio!$L$2:$L$1000, Current_Portfolio!$C$2:$C$1000, "Tech / Platform / IT", Current_Portfolio!$D$2:$D$1000, "*Core*")</f>
        <v>59444.25</v>
      </c>
      <c r="K40" s="15">
        <f>SUMIFS(Current_Portfolio!$L$2:$L$1000, Current_Portfolio!$C$2:$C$1000, "Tech / Platform / IT", Current_Portfolio!$D$2:$D$1000, "*Satellite*")</f>
        <v>150791.12</v>
      </c>
      <c r="L40" s="15">
        <f>J40+K40</f>
        <v>210235.37</v>
      </c>
    </row>
    <row r="41" spans="1:12">
      <c r="A41" s="22" t="s">
        <v>84</v>
      </c>
      <c r="B41" s="21" t="s">
        <v>54</v>
      </c>
      <c r="C41" s="15">
        <f>VLOOKUP(A41, Current_Portfolio!$A$2:$Z$1000, 12, FALSE)</f>
        <v>32030.53</v>
      </c>
      <c r="D41" s="15">
        <f ca="1">VLOOKUP(A41, Current_Portfolio!$A$2:$Z$1000, 20, FALSE)</f>
        <v>29413.15</v>
      </c>
      <c r="E41" s="15">
        <f t="shared" ca="1" si="2"/>
        <v>-2617.3799999999974</v>
      </c>
      <c r="F41" s="17">
        <f t="shared" ca="1" si="3"/>
        <v>-8.1715163626702322E-2</v>
      </c>
      <c r="I41" s="14" t="s">
        <v>42</v>
      </c>
      <c r="J41" s="19">
        <f>SUM(J36:J40)</f>
        <v>2832095.94</v>
      </c>
      <c r="K41" s="19">
        <f>SUM(K36:K40)</f>
        <v>2046193.25</v>
      </c>
      <c r="L41" s="19">
        <f>SUM(L36:L40)</f>
        <v>4878289.1900000004</v>
      </c>
    </row>
    <row r="42" spans="1:12">
      <c r="A42" s="23" t="s">
        <v>85</v>
      </c>
      <c r="B42" s="21" t="s">
        <v>54</v>
      </c>
      <c r="C42" s="15">
        <f>VLOOKUP(A42, Current_Portfolio!$A$2:$Z$1000, 12, FALSE)</f>
        <v>201676.79999999999</v>
      </c>
      <c r="D42" s="15">
        <f ca="1">VLOOKUP(A42, Current_Portfolio!$A$2:$Z$1000, 20, FALSE)</f>
        <v>174969.59999999998</v>
      </c>
      <c r="E42" s="15">
        <f t="shared" ca="1" si="2"/>
        <v>-26707.200000000012</v>
      </c>
      <c r="F42" s="17">
        <f t="shared" ca="1" si="3"/>
        <v>-0.13242574257425749</v>
      </c>
    </row>
    <row r="44" spans="1:12" ht="15.75">
      <c r="I44" s="13" t="s">
        <v>86</v>
      </c>
    </row>
    <row r="45" spans="1:12" ht="15.75">
      <c r="A45" s="13" t="s">
        <v>87</v>
      </c>
      <c r="I45" s="56" t="s">
        <v>88</v>
      </c>
      <c r="J45" s="56" t="s">
        <v>20</v>
      </c>
      <c r="K45" s="56" t="s">
        <v>18</v>
      </c>
      <c r="L45" s="56" t="s">
        <v>89</v>
      </c>
    </row>
    <row r="46" spans="1:12">
      <c r="A46" s="56" t="s">
        <v>47</v>
      </c>
      <c r="B46" s="56" t="s">
        <v>48</v>
      </c>
      <c r="C46" s="56" t="s">
        <v>90</v>
      </c>
      <c r="D46" s="56" t="s">
        <v>91</v>
      </c>
      <c r="E46" s="56" t="s">
        <v>92</v>
      </c>
      <c r="F46" s="56" t="s">
        <v>93</v>
      </c>
      <c r="G46" s="56" t="s">
        <v>94</v>
      </c>
      <c r="I46" s="14"/>
      <c r="J46" s="15">
        <f>SUMIF(Overall_Portfolio!$B$2:$B$1000, "", Overall_Portfolio!$P$2:$P$1000)</f>
        <v>-578.67999999999995</v>
      </c>
      <c r="K46" s="15">
        <f>SUMIF(Current_Portfolio!$B$2:$B$1000, "", Current_Portfolio!$U$2:$U$1000)</f>
        <v>0</v>
      </c>
      <c r="L46" s="15">
        <f>J46+K46</f>
        <v>-578.67999999999995</v>
      </c>
    </row>
    <row r="47" spans="1:12">
      <c r="A47" s="57" t="s">
        <v>58</v>
      </c>
      <c r="B47" s="21" t="s">
        <v>53</v>
      </c>
      <c r="C47" s="15">
        <f ca="1">VLOOKUP(A47, Current_Portfolio!$A$2:$Z$1000, 13, FALSE)</f>
        <v>937.85</v>
      </c>
      <c r="D47" s="15">
        <f>VLOOKUP(A47, Current_Portfolio!$A$2:$Z$1000, 9, FALSE)</f>
        <v>904.76</v>
      </c>
      <c r="E47" s="15">
        <f t="shared" ref="E47:E56" ca="1" si="4">C47-D47</f>
        <v>33.090000000000032</v>
      </c>
      <c r="F47" s="17">
        <f t="shared" ref="F47:F56" ca="1" si="5">IF(C47&gt;0, E47/C47, 0)</f>
        <v>3.5282827744308826E-2</v>
      </c>
      <c r="G47" s="21" t="str">
        <f>VLOOKUP(A47, Current_Portfolio!$A$2:$Z$1000, 5, FALSE)</f>
        <v>Tranch 2</v>
      </c>
      <c r="I47" s="14" t="s">
        <v>36</v>
      </c>
      <c r="J47" s="15">
        <f>SUMIF(Overall_Portfolio!$B$2:$B$1000, "Large Cap", Overall_Portfolio!$P$2:$P$1000)</f>
        <v>-155154.90000000002</v>
      </c>
      <c r="K47" s="15">
        <f ca="1">SUMIF(Current_Portfolio!$B$2:$B$1000, "Large Cap", Current_Portfolio!$U$2:$U$1000)</f>
        <v>261519.46999999988</v>
      </c>
      <c r="L47" s="15">
        <f ca="1">J47+K47</f>
        <v>106364.56999999986</v>
      </c>
    </row>
    <row r="48" spans="1:12">
      <c r="A48" s="14" t="s">
        <v>67</v>
      </c>
      <c r="B48" s="21" t="s">
        <v>53</v>
      </c>
      <c r="C48" s="15">
        <f ca="1">VLOOKUP(A48, Current_Portfolio!$A$2:$Z$1000, 13, FALSE)</f>
        <v>1782.2</v>
      </c>
      <c r="D48" s="15">
        <f>VLOOKUP(A48, Current_Portfolio!$A$2:$Z$1000, 9, FALSE)</f>
        <v>1709.28</v>
      </c>
      <c r="E48" s="15">
        <f t="shared" ca="1" si="4"/>
        <v>72.920000000000073</v>
      </c>
      <c r="F48" s="17">
        <f t="shared" ca="1" si="5"/>
        <v>4.0915722141173873E-2</v>
      </c>
      <c r="G48" s="21" t="str">
        <f>VLOOKUP(A48, Current_Portfolio!$A$2:$Z$1000, 5, FALSE)</f>
        <v>Cheat 1</v>
      </c>
      <c r="I48" s="14" t="s">
        <v>39</v>
      </c>
      <c r="J48" s="15">
        <f>SUMIF(Overall_Portfolio!$B$2:$B$1000, "Mid Cap", Overall_Portfolio!$P$2:$P$1000)</f>
        <v>-45214.8</v>
      </c>
      <c r="K48" s="15">
        <f ca="1">SUMIF(Current_Portfolio!$B$2:$B$1000, "Mid Cap", Current_Portfolio!$U$2:$U$1000)</f>
        <v>36864.739999999954</v>
      </c>
      <c r="L48" s="15">
        <f ca="1">J48+K48</f>
        <v>-8350.0600000000486</v>
      </c>
    </row>
    <row r="49" spans="1:12">
      <c r="A49" s="14" t="s">
        <v>65</v>
      </c>
      <c r="B49" s="21" t="s">
        <v>53</v>
      </c>
      <c r="C49" s="15">
        <f ca="1">VLOOKUP(A49, Current_Portfolio!$A$2:$Z$1000, 13, FALSE)</f>
        <v>2976.5</v>
      </c>
      <c r="D49" s="15">
        <f>VLOOKUP(A49, Current_Portfolio!$A$2:$Z$1000, 9, FALSE)</f>
        <v>2821.19</v>
      </c>
      <c r="E49" s="15">
        <f t="shared" ca="1" si="4"/>
        <v>155.30999999999995</v>
      </c>
      <c r="F49" s="17">
        <f t="shared" ca="1" si="5"/>
        <v>5.2178733411725159E-2</v>
      </c>
      <c r="G49" s="21" t="str">
        <f>VLOOKUP(A49, Current_Portfolio!$A$2:$Z$1000, 5, FALSE)</f>
        <v>Cheat 2</v>
      </c>
      <c r="I49" s="14" t="s">
        <v>32</v>
      </c>
      <c r="J49" s="15">
        <f>SUMIF(Overall_Portfolio!$B$2:$B$1000, "Small Cap", Overall_Portfolio!$P$2:$P$1000)</f>
        <v>-168815.02000000002</v>
      </c>
      <c r="K49" s="15">
        <f ca="1">SUMIF(Current_Portfolio!$B$2:$B$1000, "Small Cap", Current_Portfolio!$U$2:$U$1000)</f>
        <v>298554.72000000003</v>
      </c>
      <c r="L49" s="15">
        <f ca="1">J49+K49</f>
        <v>129739.70000000001</v>
      </c>
    </row>
    <row r="50" spans="1:12">
      <c r="A50" s="14" t="s">
        <v>63</v>
      </c>
      <c r="B50" s="21" t="s">
        <v>53</v>
      </c>
      <c r="C50" s="15">
        <f ca="1">VLOOKUP(A50, Current_Portfolio!$A$2:$Z$1000, 13, FALSE)</f>
        <v>1462.3</v>
      </c>
      <c r="D50" s="15">
        <f>VLOOKUP(A50, Current_Portfolio!$A$2:$Z$1000, 9, FALSE)</f>
        <v>1355.04</v>
      </c>
      <c r="E50" s="15">
        <f t="shared" ca="1" si="4"/>
        <v>107.25999999999999</v>
      </c>
      <c r="F50" s="17">
        <f t="shared" ca="1" si="5"/>
        <v>7.3350201736989668E-2</v>
      </c>
      <c r="G50" s="21" t="str">
        <f>VLOOKUP(A50, Current_Portfolio!$A$2:$Z$1000, 5, FALSE)</f>
        <v>Cheat 1</v>
      </c>
      <c r="I50" s="14" t="s">
        <v>42</v>
      </c>
      <c r="J50" s="19">
        <f>SUM(J46:J49)</f>
        <v>-369763.4</v>
      </c>
      <c r="K50" s="19">
        <f ca="1">SUM(K46:K49)</f>
        <v>596938.92999999993</v>
      </c>
      <c r="L50" s="19">
        <f ca="1">SUM(L46:L49)</f>
        <v>227175.52999999982</v>
      </c>
    </row>
    <row r="51" spans="1:12">
      <c r="A51" s="60" t="s">
        <v>61</v>
      </c>
      <c r="B51" s="21" t="s">
        <v>53</v>
      </c>
      <c r="C51" s="15">
        <f ca="1">VLOOKUP(A51, Current_Portfolio!$A$2:$Z$1000, 13, FALSE)</f>
        <v>4832.1000000000004</v>
      </c>
      <c r="D51" s="15">
        <f>VLOOKUP(A51, Current_Portfolio!$A$2:$Z$1000, 9, FALSE)</f>
        <v>4466.5</v>
      </c>
      <c r="E51" s="15">
        <f t="shared" ca="1" si="4"/>
        <v>365.60000000000036</v>
      </c>
      <c r="F51" s="17">
        <f t="shared" ca="1" si="5"/>
        <v>7.5660685830177432E-2</v>
      </c>
      <c r="G51" s="21" t="str">
        <f>VLOOKUP(A51, Current_Portfolio!$A$2:$Z$1000, 5, FALSE)</f>
        <v>Cheat 2</v>
      </c>
    </row>
    <row r="52" spans="1:12">
      <c r="A52" s="14" t="s">
        <v>52</v>
      </c>
      <c r="B52" s="21" t="s">
        <v>53</v>
      </c>
      <c r="C52" s="15">
        <f ca="1">VLOOKUP(A52, Current_Portfolio!$A$2:$Z$1000, 13, FALSE)</f>
        <v>1092.5999999999999</v>
      </c>
      <c r="D52" s="15">
        <f>VLOOKUP(A52, Current_Portfolio!$A$2:$Z$1000, 9, FALSE)</f>
        <v>990.65</v>
      </c>
      <c r="E52" s="15">
        <f t="shared" ca="1" si="4"/>
        <v>101.94999999999993</v>
      </c>
      <c r="F52" s="17">
        <f t="shared" ca="1" si="5"/>
        <v>9.3309536884495642E-2</v>
      </c>
      <c r="G52" s="21" t="str">
        <f>VLOOKUP(A52, Current_Portfolio!$A$2:$Z$1000, 5, FALSE)</f>
        <v>Tranch 4</v>
      </c>
    </row>
    <row r="53" spans="1:12" ht="15.75">
      <c r="A53" s="60" t="s">
        <v>97</v>
      </c>
      <c r="B53" s="21" t="s">
        <v>53</v>
      </c>
      <c r="C53" s="15">
        <f ca="1">VLOOKUP(A53, Current_Portfolio!$A$2:$Z$1000, 13, FALSE)</f>
        <v>1089</v>
      </c>
      <c r="D53" s="15">
        <f>VLOOKUP(A53, Current_Portfolio!$A$2:$Z$1000, 9, FALSE)</f>
        <v>983.16</v>
      </c>
      <c r="E53" s="15">
        <f t="shared" ca="1" si="4"/>
        <v>105.84000000000003</v>
      </c>
      <c r="F53" s="17">
        <f t="shared" ca="1" si="5"/>
        <v>9.7190082644628126E-2</v>
      </c>
      <c r="G53" s="21" t="str">
        <f>VLOOKUP(A53, Current_Portfolio!$A$2:$Z$1000, 5, FALSE)</f>
        <v>Cheat 1</v>
      </c>
      <c r="I53" s="13" t="s">
        <v>96</v>
      </c>
    </row>
    <row r="54" spans="1:12">
      <c r="A54" s="14" t="s">
        <v>124</v>
      </c>
      <c r="B54" s="21" t="s">
        <v>53</v>
      </c>
      <c r="C54" s="15">
        <f ca="1">VLOOKUP(A54, Current_Portfolio!$A$2:$Z$1000, 13, FALSE)</f>
        <v>280.2</v>
      </c>
      <c r="D54" s="15">
        <f>VLOOKUP(A54, Current_Portfolio!$A$2:$Z$1000, 9, FALSE)</f>
        <v>250.87</v>
      </c>
      <c r="E54" s="15">
        <f t="shared" ca="1" si="4"/>
        <v>29.329999999999984</v>
      </c>
      <c r="F54" s="17">
        <f t="shared" ca="1" si="5"/>
        <v>0.10467523197715912</v>
      </c>
      <c r="G54" s="21" t="str">
        <f>VLOOKUP(A54, Current_Portfolio!$A$2:$Z$1000, 5, FALSE)</f>
        <v>Cheat 2</v>
      </c>
      <c r="I54" s="56" t="s">
        <v>94</v>
      </c>
      <c r="J54" s="56" t="s">
        <v>98</v>
      </c>
      <c r="K54" s="56" t="s">
        <v>99</v>
      </c>
    </row>
    <row r="55" spans="1:12">
      <c r="A55" s="59" t="s">
        <v>95</v>
      </c>
      <c r="B55" s="21" t="s">
        <v>53</v>
      </c>
      <c r="C55" s="15">
        <f ca="1">VLOOKUP(A55, Current_Portfolio!$A$2:$Z$1000, 13, FALSE)</f>
        <v>642.75</v>
      </c>
      <c r="D55" s="15">
        <f>VLOOKUP(A55, Current_Portfolio!$A$2:$Z$1000, 9, FALSE)</f>
        <v>575.28</v>
      </c>
      <c r="E55" s="15">
        <f t="shared" ca="1" si="4"/>
        <v>67.470000000000027</v>
      </c>
      <c r="F55" s="17">
        <f t="shared" ca="1" si="5"/>
        <v>0.10497082847141194</v>
      </c>
      <c r="G55" s="21" t="str">
        <f>VLOOKUP(A55, Current_Portfolio!$A$2:$Z$1000, 5, FALSE)</f>
        <v>Cheat 1</v>
      </c>
      <c r="I55" s="14" t="s">
        <v>100</v>
      </c>
      <c r="J55" s="21">
        <v>33</v>
      </c>
      <c r="K55" s="17">
        <v>0.57894736842105265</v>
      </c>
    </row>
    <row r="56" spans="1:12">
      <c r="A56" s="57" t="s">
        <v>56</v>
      </c>
      <c r="B56" s="21" t="s">
        <v>53</v>
      </c>
      <c r="C56" s="15">
        <f ca="1">VLOOKUP(A56, Current_Portfolio!$A$2:$Z$1000, 13, FALSE)</f>
        <v>421.35</v>
      </c>
      <c r="D56" s="15">
        <f>VLOOKUP(A56, Current_Portfolio!$A$2:$Z$1000, 9, FALSE)</f>
        <v>376.96</v>
      </c>
      <c r="E56" s="15">
        <f t="shared" ca="1" si="4"/>
        <v>44.390000000000043</v>
      </c>
      <c r="F56" s="17">
        <f t="shared" ca="1" si="5"/>
        <v>0.10535184525928573</v>
      </c>
      <c r="G56" s="21" t="str">
        <f>VLOOKUP(A56, Current_Portfolio!$A$2:$Z$1000, 5, FALSE)</f>
        <v>Tranch 2</v>
      </c>
      <c r="I56" s="14" t="s">
        <v>101</v>
      </c>
      <c r="J56" s="21">
        <v>7</v>
      </c>
      <c r="K56" s="17">
        <v>0.1228070175438596</v>
      </c>
    </row>
    <row r="57" spans="1:12">
      <c r="I57" s="14" t="s">
        <v>102</v>
      </c>
      <c r="J57" s="21">
        <v>1</v>
      </c>
      <c r="K57" s="17">
        <v>1.754385964912281E-2</v>
      </c>
    </row>
    <row r="58" spans="1:12">
      <c r="I58" s="14" t="s">
        <v>103</v>
      </c>
      <c r="J58" s="21">
        <v>7</v>
      </c>
      <c r="K58" s="17">
        <v>0.1228070175438596</v>
      </c>
    </row>
    <row r="59" spans="1:12" ht="15.75">
      <c r="A59" s="13" t="s">
        <v>104</v>
      </c>
      <c r="I59" s="14" t="s">
        <v>105</v>
      </c>
      <c r="J59" s="21">
        <v>4</v>
      </c>
      <c r="K59" s="17">
        <v>7.0175438596491224E-2</v>
      </c>
    </row>
    <row r="60" spans="1:12">
      <c r="A60" s="56" t="s">
        <v>47</v>
      </c>
      <c r="B60" s="56" t="s">
        <v>106</v>
      </c>
      <c r="C60" s="56" t="s">
        <v>107</v>
      </c>
      <c r="I60" s="14" t="s">
        <v>108</v>
      </c>
      <c r="J60" s="21">
        <v>2</v>
      </c>
      <c r="K60" s="17">
        <v>3.5087719298245612E-2</v>
      </c>
    </row>
    <row r="61" spans="1:12">
      <c r="A61" s="57" t="s">
        <v>55</v>
      </c>
      <c r="B61" s="21" t="s">
        <v>109</v>
      </c>
      <c r="C61" s="21" t="s">
        <v>110</v>
      </c>
      <c r="I61" s="14" t="s">
        <v>111</v>
      </c>
      <c r="J61" s="21">
        <v>3</v>
      </c>
      <c r="K61" s="17">
        <v>5.2631578947368418E-2</v>
      </c>
    </row>
    <row r="62" spans="1:12">
      <c r="A62" s="22" t="s">
        <v>112</v>
      </c>
      <c r="B62" s="21" t="s">
        <v>113</v>
      </c>
      <c r="C62" s="21" t="s">
        <v>110</v>
      </c>
    </row>
    <row r="64" spans="1:12" ht="15.75">
      <c r="I64" s="13" t="s">
        <v>114</v>
      </c>
    </row>
    <row r="65" spans="1:12" ht="15.75">
      <c r="A65" s="13" t="s">
        <v>115</v>
      </c>
      <c r="I65" s="56" t="s">
        <v>116</v>
      </c>
      <c r="J65" s="56" t="s">
        <v>98</v>
      </c>
      <c r="K65" s="56" t="s">
        <v>99</v>
      </c>
    </row>
    <row r="66" spans="1:12">
      <c r="A66" s="56" t="s">
        <v>117</v>
      </c>
      <c r="B66" s="56" t="s">
        <v>118</v>
      </c>
      <c r="C66" s="56" t="s">
        <v>119</v>
      </c>
      <c r="D66" s="56" t="s">
        <v>120</v>
      </c>
      <c r="E66" s="56" t="s">
        <v>121</v>
      </c>
      <c r="F66" s="56" t="s">
        <v>11</v>
      </c>
      <c r="G66" s="56" t="s">
        <v>122</v>
      </c>
      <c r="I66" s="14" t="s">
        <v>123</v>
      </c>
      <c r="J66" s="21">
        <v>40</v>
      </c>
      <c r="K66" s="17">
        <v>0.70175438596491224</v>
      </c>
    </row>
    <row r="67" spans="1:12">
      <c r="A67" s="14" t="s">
        <v>124</v>
      </c>
      <c r="B67" s="25" t="s">
        <v>101</v>
      </c>
      <c r="C67" s="26">
        <v>221</v>
      </c>
      <c r="D67" s="27">
        <v>76932.240000000005</v>
      </c>
      <c r="E67" s="27">
        <v>77335.199999999997</v>
      </c>
      <c r="F67" s="28">
        <v>5.2378560665853474E-3</v>
      </c>
      <c r="G67" s="28">
        <v>8.7626777070085194E-3</v>
      </c>
      <c r="I67" s="14" t="s">
        <v>125</v>
      </c>
      <c r="J67" s="21">
        <v>5</v>
      </c>
      <c r="K67" s="17">
        <v>8.771929824561403E-2</v>
      </c>
    </row>
    <row r="68" spans="1:12">
      <c r="A68" s="14" t="s">
        <v>126</v>
      </c>
      <c r="B68" s="25" t="s">
        <v>101</v>
      </c>
      <c r="C68" s="26">
        <v>154</v>
      </c>
      <c r="D68" s="27">
        <v>50227.5</v>
      </c>
      <c r="E68" s="27">
        <v>56421.32</v>
      </c>
      <c r="F68" s="28">
        <v>0.1233153153153153</v>
      </c>
      <c r="G68" s="28">
        <v>0.33466569719222111</v>
      </c>
      <c r="I68" s="14" t="s">
        <v>127</v>
      </c>
      <c r="J68" s="21">
        <v>8</v>
      </c>
      <c r="K68" s="17">
        <v>0.14035087719298239</v>
      </c>
    </row>
    <row r="69" spans="1:12">
      <c r="A69" s="14" t="s">
        <v>65</v>
      </c>
      <c r="B69" s="25" t="s">
        <v>101</v>
      </c>
      <c r="C69" s="26">
        <v>151</v>
      </c>
      <c r="D69" s="27">
        <v>43885.24</v>
      </c>
      <c r="E69" s="27">
        <v>41671</v>
      </c>
      <c r="F69" s="29">
        <v>-5.0455232784416798E-2</v>
      </c>
      <c r="G69" s="29">
        <v>-0.3051662655098572</v>
      </c>
      <c r="I69" s="14" t="s">
        <v>128</v>
      </c>
      <c r="J69" s="21">
        <v>4</v>
      </c>
      <c r="K69" s="17">
        <v>7.0175438596491224E-2</v>
      </c>
    </row>
    <row r="70" spans="1:12">
      <c r="A70" s="14" t="s">
        <v>129</v>
      </c>
      <c r="B70" s="25" t="s">
        <v>102</v>
      </c>
      <c r="C70" s="26">
        <v>126</v>
      </c>
      <c r="D70" s="27">
        <v>56862.54</v>
      </c>
      <c r="E70" s="27">
        <v>66616.2</v>
      </c>
      <c r="F70" s="28">
        <v>0.1715305014513949</v>
      </c>
      <c r="G70" s="28">
        <v>0.70077035157514267</v>
      </c>
    </row>
    <row r="71" spans="1:12">
      <c r="A71" s="23" t="s">
        <v>130</v>
      </c>
      <c r="B71" s="25" t="s">
        <v>100</v>
      </c>
      <c r="C71" s="26">
        <v>88</v>
      </c>
      <c r="D71" s="27">
        <v>50624.84</v>
      </c>
      <c r="E71" s="27">
        <v>52875.9</v>
      </c>
      <c r="F71" s="28">
        <v>4.4465523249061133E-2</v>
      </c>
      <c r="G71" s="28">
        <v>0.19777749978952899</v>
      </c>
    </row>
    <row r="72" spans="1:12" ht="15.75">
      <c r="I72" s="13" t="s">
        <v>131</v>
      </c>
    </row>
    <row r="73" spans="1:12">
      <c r="I73" s="56" t="s">
        <v>47</v>
      </c>
      <c r="J73" s="56" t="s">
        <v>132</v>
      </c>
      <c r="K73" s="56" t="s">
        <v>90</v>
      </c>
      <c r="L73" s="56" t="s">
        <v>133</v>
      </c>
    </row>
    <row r="74" spans="1:12">
      <c r="I74" s="60" t="s">
        <v>57</v>
      </c>
      <c r="J74" s="15">
        <f>VLOOKUP(I74, Current_Portfolio!$A$2:$Z$1000, 15, FALSE)</f>
        <v>1775.6</v>
      </c>
      <c r="K74" s="15">
        <f ca="1">VLOOKUP(I74, Current_Portfolio!$A$2:$Z$1000, 13, FALSE)</f>
        <v>2043.3</v>
      </c>
      <c r="L74" s="17">
        <f t="shared" ref="L74:L83" ca="1" si="6">IF(J74&gt;0, (K74-J74)/J74, 0)</f>
        <v>0.15076593827438617</v>
      </c>
    </row>
    <row r="75" spans="1:12">
      <c r="I75" s="30" t="s">
        <v>134</v>
      </c>
      <c r="J75" s="15">
        <f>VLOOKUP(I75, Current_Portfolio!$A$2:$Z$1000, 15, FALSE)</f>
        <v>705.3</v>
      </c>
      <c r="K75" s="15">
        <f ca="1">VLOOKUP(I75, Current_Portfolio!$A$2:$Z$1000, 13, FALSE)</f>
        <v>771.2</v>
      </c>
      <c r="L75" s="17">
        <f t="shared" ca="1" si="6"/>
        <v>9.3435417552814537E-2</v>
      </c>
    </row>
    <row r="76" spans="1:12">
      <c r="I76" s="59" t="s">
        <v>95</v>
      </c>
      <c r="J76" s="15">
        <f>VLOOKUP(I76, Current_Portfolio!$A$2:$Z$1000, 15, FALSE)</f>
        <v>605</v>
      </c>
      <c r="K76" s="15">
        <f ca="1">VLOOKUP(I76, Current_Portfolio!$A$2:$Z$1000, 13, FALSE)</f>
        <v>642.75</v>
      </c>
      <c r="L76" s="17">
        <f t="shared" ca="1" si="6"/>
        <v>6.2396694214876036E-2</v>
      </c>
    </row>
    <row r="77" spans="1:12">
      <c r="I77" s="57" t="s">
        <v>55</v>
      </c>
      <c r="J77" s="15">
        <f>VLOOKUP(I77, Current_Portfolio!$A$2:$Z$1000, 15, FALSE)</f>
        <v>129.06</v>
      </c>
      <c r="K77" s="15">
        <f ca="1">VLOOKUP(I77, Current_Portfolio!$A$2:$Z$1000, 13, FALSE)</f>
        <v>137.1</v>
      </c>
      <c r="L77" s="17">
        <f t="shared" ca="1" si="6"/>
        <v>6.2296606229660559E-2</v>
      </c>
    </row>
    <row r="78" spans="1:12">
      <c r="I78" s="57" t="s">
        <v>136</v>
      </c>
      <c r="J78" s="15">
        <f>VLOOKUP(I78, Current_Portfolio!$A$2:$Z$1000, 15, FALSE)</f>
        <v>1362</v>
      </c>
      <c r="K78" s="15">
        <f ca="1">VLOOKUP(I78, Current_Portfolio!$A$2:$Z$1000, 13, FALSE)</f>
        <v>1446.8</v>
      </c>
      <c r="L78" s="17">
        <f t="shared" ca="1" si="6"/>
        <v>6.2261380323054297E-2</v>
      </c>
    </row>
    <row r="79" spans="1:12">
      <c r="I79" s="58" t="s">
        <v>59</v>
      </c>
      <c r="J79" s="15">
        <f>VLOOKUP(I79, Current_Portfolio!$A$2:$Z$1000, 15, FALSE)</f>
        <v>370</v>
      </c>
      <c r="K79" s="15">
        <f ca="1">VLOOKUP(I79, Current_Portfolio!$A$2:$Z$1000, 13, FALSE)</f>
        <v>385.65</v>
      </c>
      <c r="L79" s="17">
        <f t="shared" ca="1" si="6"/>
        <v>4.2297297297297233E-2</v>
      </c>
    </row>
    <row r="80" spans="1:12">
      <c r="I80" s="30" t="s">
        <v>188</v>
      </c>
      <c r="J80" s="15">
        <f>VLOOKUP(I80, Current_Portfolio!$A$2:$Z$1000, 15, FALSE)</f>
        <v>2937.4</v>
      </c>
      <c r="K80" s="15">
        <f ca="1">VLOOKUP(I80, Current_Portfolio!$A$2:$Z$1000, 13, FALSE)</f>
        <v>3048.2</v>
      </c>
      <c r="L80" s="17">
        <f t="shared" ca="1" si="6"/>
        <v>3.7720433036018151E-2</v>
      </c>
    </row>
    <row r="81" spans="9:12">
      <c r="I81" s="60" t="s">
        <v>138</v>
      </c>
      <c r="J81" s="15">
        <f>VLOOKUP(I81, Current_Portfolio!$A$2:$Z$1000, 15, FALSE)</f>
        <v>386.5</v>
      </c>
      <c r="K81" s="15">
        <f ca="1">VLOOKUP(I81, Current_Portfolio!$A$2:$Z$1000, 13, FALSE)</f>
        <v>399.55</v>
      </c>
      <c r="L81" s="17">
        <f t="shared" ca="1" si="6"/>
        <v>3.3764553686934054E-2</v>
      </c>
    </row>
    <row r="82" spans="9:12">
      <c r="I82" s="57" t="s">
        <v>56</v>
      </c>
      <c r="J82" s="15">
        <f>VLOOKUP(I82, Current_Portfolio!$A$2:$Z$1000, 15, FALSE)</f>
        <v>409</v>
      </c>
      <c r="K82" s="15">
        <f ca="1">VLOOKUP(I82, Current_Portfolio!$A$2:$Z$1000, 13, FALSE)</f>
        <v>421.35</v>
      </c>
      <c r="L82" s="17">
        <f t="shared" ca="1" si="6"/>
        <v>3.0195599022004947E-2</v>
      </c>
    </row>
    <row r="83" spans="9:12">
      <c r="I83" s="30" t="s">
        <v>63</v>
      </c>
      <c r="J83" s="15">
        <f>VLOOKUP(I83, Current_Portfolio!$A$2:$Z$1000, 15, FALSE)</f>
        <v>1426.4</v>
      </c>
      <c r="K83" s="15">
        <f ca="1">VLOOKUP(I83, Current_Portfolio!$A$2:$Z$1000, 13, FALSE)</f>
        <v>1462.3</v>
      </c>
      <c r="L83" s="17">
        <f t="shared" ca="1" si="6"/>
        <v>2.5168255748737985E-2</v>
      </c>
    </row>
    <row r="86" spans="9:12" ht="15.75">
      <c r="I86" s="13" t="s">
        <v>139</v>
      </c>
    </row>
    <row r="87" spans="9:12">
      <c r="I87" s="56" t="s">
        <v>47</v>
      </c>
      <c r="J87" s="56" t="s">
        <v>132</v>
      </c>
      <c r="K87" s="56" t="s">
        <v>140</v>
      </c>
      <c r="L87" s="56" t="s">
        <v>133</v>
      </c>
    </row>
    <row r="88" spans="9:12">
      <c r="I88" s="57" t="s">
        <v>144</v>
      </c>
      <c r="J88" s="15">
        <f>VLOOKUP(I88, Satellite_Watchlist!$B$2:$G$5000, 6, FALSE)</f>
        <v>284.60000000000002</v>
      </c>
      <c r="K88" s="15">
        <f ca="1">VLOOKUP(I88, Satellite_Watchlist!$B$2:$G$5000, 4, FALSE)</f>
        <v>362.7</v>
      </c>
      <c r="L88" s="17">
        <f t="shared" ref="L88:L97" ca="1" si="7">IF(J88&gt;0, (K88-J88)/J88, 0)</f>
        <v>0.27442023893183404</v>
      </c>
    </row>
    <row r="89" spans="9:12">
      <c r="I89" s="59" t="s">
        <v>141</v>
      </c>
      <c r="J89" s="15">
        <f>VLOOKUP(I89, Satellite_Watchlist!$B$2:$G$5000, 6, FALSE)</f>
        <v>2903.5</v>
      </c>
      <c r="K89" s="15">
        <f ca="1">VLOOKUP(I89, Satellite_Watchlist!$B$2:$G$5000, 4, FALSE)</f>
        <v>3501.9</v>
      </c>
      <c r="L89" s="17">
        <f t="shared" ca="1" si="7"/>
        <v>0.20609609092474604</v>
      </c>
    </row>
    <row r="90" spans="9:12">
      <c r="I90" s="59" t="s">
        <v>1009</v>
      </c>
      <c r="J90" s="15">
        <f>VLOOKUP(I90, Satellite_Watchlist!$B$2:$G$5000, 6, FALSE)</f>
        <v>819.35</v>
      </c>
      <c r="K90" s="15">
        <f ca="1">VLOOKUP(I90, Satellite_Watchlist!$B$2:$G$5000, 4, FALSE)</f>
        <v>960.15</v>
      </c>
      <c r="L90" s="17">
        <f t="shared" ca="1" si="7"/>
        <v>0.17184353450906201</v>
      </c>
    </row>
    <row r="91" spans="9:12">
      <c r="I91" s="60" t="s">
        <v>145</v>
      </c>
      <c r="J91" s="15">
        <f>VLOOKUP(I91, Satellite_Watchlist!$B$2:$G$5000, 6, FALSE)</f>
        <v>774.85</v>
      </c>
      <c r="K91" s="15">
        <f ca="1">VLOOKUP(I91, Satellite_Watchlist!$B$2:$G$5000, 4, FALSE)</f>
        <v>899.35</v>
      </c>
      <c r="L91" s="17">
        <f t="shared" ca="1" si="7"/>
        <v>0.16067625992127507</v>
      </c>
    </row>
    <row r="92" spans="9:12">
      <c r="I92" s="57" t="s">
        <v>143</v>
      </c>
      <c r="J92" s="15">
        <f>VLOOKUP(I92, Satellite_Watchlist!$B$2:$G$5000, 6, FALSE)</f>
        <v>536.15</v>
      </c>
      <c r="K92" s="15">
        <f ca="1">VLOOKUP(I92, Satellite_Watchlist!$B$2:$G$5000, 4, FALSE)</f>
        <v>619.25</v>
      </c>
      <c r="L92" s="17">
        <f t="shared" ca="1" si="7"/>
        <v>0.15499393826354571</v>
      </c>
    </row>
    <row r="93" spans="9:12">
      <c r="I93" s="57" t="s">
        <v>142</v>
      </c>
      <c r="J93" s="15">
        <f>VLOOKUP(I93, Satellite_Watchlist!$B$2:$G$5000, 6, FALSE)</f>
        <v>193.91</v>
      </c>
      <c r="K93" s="15">
        <f ca="1">VLOOKUP(I93, Satellite_Watchlist!$B$2:$G$5000, 4, FALSE)</f>
        <v>223.9</v>
      </c>
      <c r="L93" s="17">
        <f t="shared" ca="1" si="7"/>
        <v>0.15465937806198757</v>
      </c>
    </row>
    <row r="94" spans="9:12">
      <c r="I94" s="60" t="s">
        <v>149</v>
      </c>
      <c r="J94" s="15">
        <f>VLOOKUP(I94, Satellite_Watchlist!$B$2:$G$5000, 6, FALSE)</f>
        <v>392.24</v>
      </c>
      <c r="K94" s="15">
        <f ca="1">VLOOKUP(I94, Satellite_Watchlist!$B$2:$G$5000, 4, FALSE)</f>
        <v>452.9</v>
      </c>
      <c r="L94" s="17">
        <f t="shared" ca="1" si="7"/>
        <v>0.15465021415459915</v>
      </c>
    </row>
    <row r="95" spans="9:12">
      <c r="I95" s="60" t="s">
        <v>146</v>
      </c>
      <c r="J95" s="15">
        <f>VLOOKUP(I95, Satellite_Watchlist!$B$2:$G$5000, 6, FALSE)</f>
        <v>67.77</v>
      </c>
      <c r="K95" s="15">
        <f ca="1">VLOOKUP(I95, Satellite_Watchlist!$B$2:$G$5000, 4, FALSE)</f>
        <v>77.61</v>
      </c>
      <c r="L95" s="17">
        <f t="shared" ca="1" si="7"/>
        <v>0.14519698981850382</v>
      </c>
    </row>
    <row r="96" spans="9:12">
      <c r="I96" s="60" t="s">
        <v>974</v>
      </c>
      <c r="J96" s="15">
        <f>VLOOKUP(I96, Satellite_Watchlist!$B$2:$G$5000, 6, FALSE)</f>
        <v>606.45000000000005</v>
      </c>
      <c r="K96" s="15">
        <f ca="1">VLOOKUP(I96, Satellite_Watchlist!$B$2:$G$5000, 4, FALSE)</f>
        <v>685.05</v>
      </c>
      <c r="L96" s="17">
        <f t="shared" ca="1" si="7"/>
        <v>0.12960672767746706</v>
      </c>
    </row>
    <row r="97" spans="9:12">
      <c r="I97" s="60" t="s">
        <v>860</v>
      </c>
      <c r="J97" s="15">
        <f>VLOOKUP(I97, Satellite_Watchlist!$B$2:$G$5000, 6, FALSE)</f>
        <v>845</v>
      </c>
      <c r="K97" s="15">
        <f ca="1">VLOOKUP(I97, Satellite_Watchlist!$B$2:$G$5000, 4, FALSE)</f>
        <v>945</v>
      </c>
      <c r="L97" s="17">
        <f t="shared" ca="1" si="7"/>
        <v>0.11834319526627218</v>
      </c>
    </row>
  </sheetData>
  <mergeCells count="2">
    <mergeCell ref="A1:G1"/>
    <mergeCell ref="I1:L1"/>
  </mergeCells>
  <conditionalFormatting sqref="B7:B10">
    <cfRule type="cellIs" dxfId="17" priority="1" operator="greaterThan">
      <formula>0</formula>
    </cfRule>
    <cfRule type="cellIs" dxfId="16" priority="2" operator="lessThan">
      <formula>0</formula>
    </cfRule>
  </conditionalFormatting>
  <conditionalFormatting sqref="E19:F28">
    <cfRule type="cellIs" dxfId="15" priority="3" operator="greaterThan">
      <formula>0</formula>
    </cfRule>
    <cfRule type="cellIs" dxfId="14" priority="4" operator="lessThan">
      <formula>0</formula>
    </cfRule>
  </conditionalFormatting>
  <conditionalFormatting sqref="E33:F42">
    <cfRule type="cellIs" dxfId="13" priority="5" operator="greaterThan">
      <formula>0</formula>
    </cfRule>
    <cfRule type="cellIs" dxfId="12" priority="6" operator="lessThan">
      <formula>0</formula>
    </cfRule>
  </conditionalFormatting>
  <conditionalFormatting sqref="F47:F56">
    <cfRule type="cellIs" dxfId="11" priority="7" operator="lessThan">
      <formula>0.05</formula>
    </cfRule>
    <cfRule type="cellIs" dxfId="10" priority="8" operator="greaterThan">
      <formula>0.15</formula>
    </cfRule>
  </conditionalFormatting>
  <conditionalFormatting sqref="J46:L50">
    <cfRule type="cellIs" dxfId="9" priority="13" operator="greaterThan">
      <formula>0</formula>
    </cfRule>
    <cfRule type="cellIs" dxfId="8" priority="14" operator="lessThan">
      <formula>0</formula>
    </cfRule>
  </conditionalFormatting>
  <conditionalFormatting sqref="L5:L6">
    <cfRule type="cellIs" dxfId="7" priority="9" operator="greaterThan">
      <formula>0</formula>
    </cfRule>
    <cfRule type="cellIs" dxfId="6" priority="10" operator="lessThan">
      <formula>0</formula>
    </cfRule>
  </conditionalFormatting>
  <conditionalFormatting sqref="L11:L14">
    <cfRule type="cellIs" dxfId="5" priority="11" operator="greaterThan">
      <formula>0</formula>
    </cfRule>
    <cfRule type="cellIs" dxfId="4" priority="12" operator="lessThan">
      <formula>0</formula>
    </cfRule>
  </conditionalFormatting>
  <conditionalFormatting sqref="L74:L83">
    <cfRule type="cellIs" dxfId="3" priority="15" operator="greaterThan">
      <formula>0</formula>
    </cfRule>
    <cfRule type="cellIs" dxfId="2" priority="16" operator="lessThan">
      <formula>0</formula>
    </cfRule>
  </conditionalFormatting>
  <conditionalFormatting sqref="L88:L97">
    <cfRule type="cellIs" dxfId="1" priority="17" operator="greaterThan">
      <formula>0</formula>
    </cfRule>
    <cfRule type="cellIs" dxfId="0" priority="18" operator="lessThan">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4"/>
  <sheetViews>
    <sheetView workbookViewId="0">
      <pane ySplit="1" topLeftCell="A8" activePane="bottomLeft" state="frozen"/>
      <selection pane="bottomLeft" activeCell="A2" sqref="A2"/>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61" t="s">
        <v>151</v>
      </c>
      <c r="B1" s="61" t="s">
        <v>152</v>
      </c>
      <c r="C1" s="61" t="s">
        <v>153</v>
      </c>
      <c r="D1" s="61" t="s">
        <v>62</v>
      </c>
      <c r="E1" s="61" t="s">
        <v>154</v>
      </c>
      <c r="F1" s="61" t="s">
        <v>155</v>
      </c>
      <c r="G1" s="61" t="s">
        <v>156</v>
      </c>
      <c r="H1" s="61" t="s">
        <v>157</v>
      </c>
      <c r="I1" s="61" t="s">
        <v>158</v>
      </c>
      <c r="J1" s="61" t="s">
        <v>159</v>
      </c>
    </row>
    <row r="2" spans="1:10">
      <c r="A2" s="62" t="s">
        <v>160</v>
      </c>
      <c r="B2" s="62" t="s">
        <v>53</v>
      </c>
      <c r="C2" s="67" t="s">
        <v>124</v>
      </c>
      <c r="D2" s="64" t="s">
        <v>64</v>
      </c>
      <c r="E2" s="62" t="s">
        <v>53</v>
      </c>
      <c r="F2" s="62" t="s">
        <v>101</v>
      </c>
      <c r="G2" s="66" t="s">
        <v>161</v>
      </c>
      <c r="H2" s="64" t="s">
        <v>162</v>
      </c>
      <c r="I2" s="64" t="s">
        <v>110</v>
      </c>
      <c r="J2" s="64" t="s">
        <v>163</v>
      </c>
    </row>
    <row r="3" spans="1:10">
      <c r="A3" s="62" t="s">
        <v>160</v>
      </c>
      <c r="B3" s="62" t="s">
        <v>53</v>
      </c>
      <c r="C3" s="68" t="s">
        <v>65</v>
      </c>
      <c r="D3" s="64" t="s">
        <v>68</v>
      </c>
      <c r="E3" s="62" t="s">
        <v>53</v>
      </c>
      <c r="F3" s="62" t="s">
        <v>101</v>
      </c>
      <c r="G3" s="66" t="s">
        <v>161</v>
      </c>
      <c r="H3" s="64" t="s">
        <v>164</v>
      </c>
      <c r="I3" s="64" t="s">
        <v>110</v>
      </c>
      <c r="J3" s="64" t="s">
        <v>163</v>
      </c>
    </row>
    <row r="4" spans="1:10">
      <c r="A4" s="62" t="s">
        <v>160</v>
      </c>
      <c r="B4" s="62" t="s">
        <v>53</v>
      </c>
      <c r="C4" s="69" t="s">
        <v>136</v>
      </c>
      <c r="D4" s="64" t="s">
        <v>68</v>
      </c>
      <c r="E4" s="62" t="s">
        <v>53</v>
      </c>
      <c r="F4" s="62" t="s">
        <v>100</v>
      </c>
      <c r="G4" s="66" t="s">
        <v>161</v>
      </c>
      <c r="H4" s="64" t="s">
        <v>165</v>
      </c>
      <c r="I4" s="64" t="s">
        <v>110</v>
      </c>
      <c r="J4" s="64" t="s">
        <v>163</v>
      </c>
    </row>
    <row r="5" spans="1:10">
      <c r="A5" s="62" t="s">
        <v>160</v>
      </c>
      <c r="B5" s="62" t="s">
        <v>53</v>
      </c>
      <c r="C5" s="68" t="s">
        <v>63</v>
      </c>
      <c r="D5" s="64" t="s">
        <v>68</v>
      </c>
      <c r="E5" s="62" t="s">
        <v>53</v>
      </c>
      <c r="F5" s="62" t="s">
        <v>100</v>
      </c>
      <c r="G5" s="66" t="s">
        <v>161</v>
      </c>
      <c r="H5" s="64" t="s">
        <v>166</v>
      </c>
      <c r="I5" s="64" t="s">
        <v>110</v>
      </c>
      <c r="J5" s="64" t="s">
        <v>163</v>
      </c>
    </row>
    <row r="6" spans="1:10">
      <c r="A6" s="62" t="s">
        <v>160</v>
      </c>
      <c r="B6" s="62" t="s">
        <v>53</v>
      </c>
      <c r="C6" s="68" t="s">
        <v>67</v>
      </c>
      <c r="D6" s="64" t="s">
        <v>68</v>
      </c>
      <c r="E6" s="62" t="s">
        <v>53</v>
      </c>
      <c r="F6" s="62" t="s">
        <v>100</v>
      </c>
      <c r="G6" s="66" t="s">
        <v>161</v>
      </c>
      <c r="H6" s="64" t="s">
        <v>167</v>
      </c>
      <c r="I6" s="64" t="s">
        <v>110</v>
      </c>
      <c r="J6" s="64" t="s">
        <v>163</v>
      </c>
    </row>
    <row r="7" spans="1:10">
      <c r="A7" s="62" t="s">
        <v>160</v>
      </c>
      <c r="B7" s="62" t="s">
        <v>53</v>
      </c>
      <c r="C7" s="70" t="s">
        <v>168</v>
      </c>
      <c r="D7" s="64" t="s">
        <v>64</v>
      </c>
      <c r="E7" s="62" t="s">
        <v>53</v>
      </c>
      <c r="F7" s="62" t="s">
        <v>103</v>
      </c>
      <c r="G7" s="66" t="s">
        <v>161</v>
      </c>
      <c r="H7" s="64" t="s">
        <v>169</v>
      </c>
      <c r="I7" s="64" t="s">
        <v>110</v>
      </c>
      <c r="J7" s="64" t="s">
        <v>170</v>
      </c>
    </row>
    <row r="8" spans="1:10" ht="150">
      <c r="A8" s="62" t="s">
        <v>160</v>
      </c>
      <c r="B8" s="62" t="s">
        <v>53</v>
      </c>
      <c r="C8" s="67" t="s">
        <v>126</v>
      </c>
      <c r="D8" s="64" t="s">
        <v>171</v>
      </c>
      <c r="E8" s="62" t="s">
        <v>53</v>
      </c>
      <c r="F8" s="62" t="s">
        <v>101</v>
      </c>
      <c r="G8" s="70" t="s">
        <v>172</v>
      </c>
      <c r="H8" s="64" t="s">
        <v>173</v>
      </c>
      <c r="I8" s="64" t="s">
        <v>110</v>
      </c>
      <c r="J8" s="65" t="s">
        <v>174</v>
      </c>
    </row>
    <row r="9" spans="1:10" ht="60">
      <c r="A9" s="62" t="s">
        <v>160</v>
      </c>
      <c r="B9" s="62" t="s">
        <v>53</v>
      </c>
      <c r="C9" s="70" t="s">
        <v>175</v>
      </c>
      <c r="D9" s="64" t="s">
        <v>64</v>
      </c>
      <c r="E9" s="62" t="s">
        <v>53</v>
      </c>
      <c r="F9" s="62" t="s">
        <v>100</v>
      </c>
      <c r="G9" s="70" t="s">
        <v>172</v>
      </c>
      <c r="H9" s="64" t="s">
        <v>176</v>
      </c>
      <c r="I9" s="64" t="s">
        <v>177</v>
      </c>
      <c r="J9" s="65" t="s">
        <v>178</v>
      </c>
    </row>
    <row r="10" spans="1:10" ht="60">
      <c r="A10" s="62" t="s">
        <v>160</v>
      </c>
      <c r="B10" s="62" t="s">
        <v>53</v>
      </c>
      <c r="C10" s="70" t="s">
        <v>129</v>
      </c>
      <c r="D10" s="64" t="s">
        <v>64</v>
      </c>
      <c r="E10" s="62" t="s">
        <v>53</v>
      </c>
      <c r="F10" s="62" t="s">
        <v>102</v>
      </c>
      <c r="G10" s="70" t="s">
        <v>172</v>
      </c>
      <c r="H10" s="64" t="s">
        <v>179</v>
      </c>
      <c r="I10" s="64" t="s">
        <v>180</v>
      </c>
      <c r="J10" s="65" t="s">
        <v>181</v>
      </c>
    </row>
    <row r="11" spans="1:10">
      <c r="A11" s="62" t="s">
        <v>160</v>
      </c>
      <c r="B11" s="62" t="s">
        <v>53</v>
      </c>
      <c r="C11" s="69" t="s">
        <v>58</v>
      </c>
      <c r="D11" s="64" t="s">
        <v>64</v>
      </c>
      <c r="E11" s="62" t="s">
        <v>53</v>
      </c>
      <c r="F11" s="62" t="s">
        <v>182</v>
      </c>
      <c r="G11" s="70" t="s">
        <v>172</v>
      </c>
      <c r="H11" s="64" t="s">
        <v>183</v>
      </c>
      <c r="I11" s="64" t="s">
        <v>177</v>
      </c>
      <c r="J11" s="64" t="s">
        <v>184</v>
      </c>
    </row>
    <row r="12" spans="1:10">
      <c r="A12" s="62" t="s">
        <v>160</v>
      </c>
      <c r="B12" s="62" t="s">
        <v>53</v>
      </c>
      <c r="C12" s="69" t="s">
        <v>185</v>
      </c>
      <c r="D12" s="64" t="s">
        <v>64</v>
      </c>
      <c r="E12" s="62" t="s">
        <v>53</v>
      </c>
      <c r="F12" s="62" t="s">
        <v>100</v>
      </c>
      <c r="G12" s="70" t="s">
        <v>172</v>
      </c>
      <c r="H12" s="64" t="s">
        <v>186</v>
      </c>
      <c r="I12" s="64" t="s">
        <v>177</v>
      </c>
      <c r="J12" s="64" t="s">
        <v>187</v>
      </c>
    </row>
    <row r="13" spans="1:10">
      <c r="A13" s="62" t="s">
        <v>160</v>
      </c>
      <c r="B13" s="62" t="s">
        <v>53</v>
      </c>
      <c r="C13" s="66" t="s">
        <v>188</v>
      </c>
      <c r="D13" s="64" t="s">
        <v>64</v>
      </c>
      <c r="E13" s="62" t="s">
        <v>53</v>
      </c>
      <c r="F13" s="62" t="s">
        <v>100</v>
      </c>
      <c r="G13" s="70" t="s">
        <v>172</v>
      </c>
      <c r="H13" s="64" t="s">
        <v>189</v>
      </c>
      <c r="I13" s="64" t="s">
        <v>177</v>
      </c>
      <c r="J13" s="64" t="s">
        <v>187</v>
      </c>
    </row>
    <row r="14" spans="1:10">
      <c r="A14" s="62" t="s">
        <v>160</v>
      </c>
      <c r="B14" s="62" t="s">
        <v>53</v>
      </c>
      <c r="C14" s="67" t="s">
        <v>134</v>
      </c>
      <c r="D14" s="64" t="s">
        <v>70</v>
      </c>
      <c r="E14" s="62" t="s">
        <v>53</v>
      </c>
      <c r="F14" s="62" t="s">
        <v>100</v>
      </c>
      <c r="G14" s="70" t="s">
        <v>172</v>
      </c>
      <c r="H14" s="64" t="s">
        <v>190</v>
      </c>
      <c r="I14" s="64" t="s">
        <v>177</v>
      </c>
      <c r="J14" s="64" t="s">
        <v>187</v>
      </c>
    </row>
    <row r="15" spans="1:10">
      <c r="A15" s="62" t="s">
        <v>160</v>
      </c>
      <c r="B15" s="62" t="s">
        <v>53</v>
      </c>
      <c r="C15" s="69" t="s">
        <v>56</v>
      </c>
      <c r="D15" s="64" t="s">
        <v>64</v>
      </c>
      <c r="E15" s="62" t="s">
        <v>53</v>
      </c>
      <c r="F15" s="62" t="s">
        <v>103</v>
      </c>
      <c r="G15" s="70" t="s">
        <v>172</v>
      </c>
      <c r="H15" s="64" t="s">
        <v>191</v>
      </c>
      <c r="I15" s="64" t="s">
        <v>177</v>
      </c>
      <c r="J15" s="64" t="s">
        <v>187</v>
      </c>
    </row>
    <row r="16" spans="1:10">
      <c r="A16" s="62" t="s">
        <v>160</v>
      </c>
      <c r="B16" s="62" t="s">
        <v>53</v>
      </c>
      <c r="C16" s="68" t="s">
        <v>57</v>
      </c>
      <c r="D16" s="64" t="s">
        <v>68</v>
      </c>
      <c r="E16" s="62" t="s">
        <v>53</v>
      </c>
      <c r="F16" s="62" t="s">
        <v>103</v>
      </c>
      <c r="G16" s="70" t="s">
        <v>172</v>
      </c>
      <c r="H16" s="64" t="s">
        <v>192</v>
      </c>
      <c r="I16" s="64" t="s">
        <v>193</v>
      </c>
      <c r="J16" s="64" t="s">
        <v>194</v>
      </c>
    </row>
    <row r="17" spans="1:10">
      <c r="A17" s="62" t="s">
        <v>160</v>
      </c>
      <c r="B17" s="62" t="s">
        <v>53</v>
      </c>
      <c r="C17" s="69" t="s">
        <v>55</v>
      </c>
      <c r="D17" s="64" t="s">
        <v>171</v>
      </c>
      <c r="E17" s="62" t="s">
        <v>53</v>
      </c>
      <c r="F17" s="62" t="s">
        <v>105</v>
      </c>
      <c r="G17" s="70" t="s">
        <v>172</v>
      </c>
      <c r="H17" s="64" t="s">
        <v>195</v>
      </c>
      <c r="I17" s="64"/>
      <c r="J17" s="64"/>
    </row>
    <row r="18" spans="1:10">
      <c r="A18" s="62" t="s">
        <v>160</v>
      </c>
      <c r="B18" s="62" t="s">
        <v>53</v>
      </c>
      <c r="C18" s="67" t="s">
        <v>52</v>
      </c>
      <c r="D18" s="64" t="s">
        <v>64</v>
      </c>
      <c r="E18" s="62" t="s">
        <v>53</v>
      </c>
      <c r="F18" s="62" t="s">
        <v>108</v>
      </c>
      <c r="G18" s="70" t="s">
        <v>172</v>
      </c>
      <c r="H18" s="64" t="s">
        <v>196</v>
      </c>
      <c r="I18" s="64"/>
      <c r="J18" s="64"/>
    </row>
    <row r="19" spans="1:10">
      <c r="A19" s="62" t="s">
        <v>160</v>
      </c>
      <c r="B19" s="62" t="s">
        <v>53</v>
      </c>
      <c r="C19" s="68" t="s">
        <v>197</v>
      </c>
      <c r="D19" s="64"/>
      <c r="E19" s="62" t="s">
        <v>53</v>
      </c>
      <c r="F19" s="62" t="s">
        <v>198</v>
      </c>
      <c r="G19" s="68" t="s">
        <v>199</v>
      </c>
      <c r="H19" s="64" t="s">
        <v>200</v>
      </c>
      <c r="I19" s="64"/>
      <c r="J19" s="64"/>
    </row>
    <row r="20" spans="1:10">
      <c r="A20" s="62" t="s">
        <v>160</v>
      </c>
      <c r="B20" s="62" t="s">
        <v>53</v>
      </c>
      <c r="C20" s="69" t="s">
        <v>201</v>
      </c>
      <c r="D20" s="64"/>
      <c r="E20" s="62" t="s">
        <v>53</v>
      </c>
      <c r="F20" s="62" t="s">
        <v>198</v>
      </c>
      <c r="G20" s="68" t="s">
        <v>199</v>
      </c>
      <c r="H20" s="64" t="s">
        <v>202</v>
      </c>
      <c r="I20" s="64"/>
      <c r="J20" s="64"/>
    </row>
    <row r="21" spans="1:10">
      <c r="A21" s="62" t="s">
        <v>160</v>
      </c>
      <c r="B21" s="62" t="s">
        <v>53</v>
      </c>
      <c r="C21" s="70" t="s">
        <v>203</v>
      </c>
      <c r="D21" s="64"/>
      <c r="E21" s="62" t="s">
        <v>53</v>
      </c>
      <c r="F21" s="62" t="s">
        <v>198</v>
      </c>
      <c r="G21" s="68" t="s">
        <v>199</v>
      </c>
      <c r="H21" s="64" t="s">
        <v>204</v>
      </c>
      <c r="I21" s="64"/>
      <c r="J21" s="64"/>
    </row>
    <row r="22" spans="1:10">
      <c r="A22" s="62" t="s">
        <v>160</v>
      </c>
      <c r="B22" s="62" t="s">
        <v>53</v>
      </c>
      <c r="C22" s="70" t="s">
        <v>81</v>
      </c>
      <c r="D22" s="64"/>
      <c r="E22" s="62" t="s">
        <v>53</v>
      </c>
      <c r="F22" s="62" t="s">
        <v>198</v>
      </c>
      <c r="G22" s="68" t="s">
        <v>199</v>
      </c>
      <c r="H22" s="64" t="s">
        <v>205</v>
      </c>
      <c r="I22" s="64"/>
      <c r="J22" s="64"/>
    </row>
    <row r="23" spans="1:10">
      <c r="A23" s="62" t="s">
        <v>160</v>
      </c>
      <c r="B23" s="62" t="s">
        <v>53</v>
      </c>
      <c r="C23" s="70" t="s">
        <v>206</v>
      </c>
      <c r="D23" s="64"/>
      <c r="E23" s="62" t="s">
        <v>53</v>
      </c>
      <c r="F23" s="62" t="s">
        <v>198</v>
      </c>
      <c r="G23" s="68" t="s">
        <v>199</v>
      </c>
      <c r="H23" s="64" t="s">
        <v>207</v>
      </c>
      <c r="I23" s="64"/>
      <c r="J23" s="64"/>
    </row>
    <row r="24" spans="1:10">
      <c r="A24" s="62" t="s">
        <v>160</v>
      </c>
      <c r="B24" s="62" t="s">
        <v>53</v>
      </c>
      <c r="C24" s="68" t="s">
        <v>208</v>
      </c>
      <c r="D24" s="64"/>
      <c r="E24" s="62" t="s">
        <v>53</v>
      </c>
      <c r="F24" s="62" t="s">
        <v>198</v>
      </c>
      <c r="G24" s="68" t="s">
        <v>199</v>
      </c>
      <c r="H24" s="64" t="s">
        <v>209</v>
      </c>
      <c r="I24" s="64"/>
      <c r="J24" s="64"/>
    </row>
    <row r="25" spans="1:10">
      <c r="A25" s="62" t="s">
        <v>160</v>
      </c>
      <c r="B25" s="62" t="s">
        <v>53</v>
      </c>
      <c r="C25" s="69" t="s">
        <v>210</v>
      </c>
      <c r="D25" s="64"/>
      <c r="E25" s="62" t="s">
        <v>53</v>
      </c>
      <c r="F25" s="62" t="s">
        <v>198</v>
      </c>
      <c r="G25" s="68" t="s">
        <v>199</v>
      </c>
      <c r="H25" s="64" t="s">
        <v>211</v>
      </c>
      <c r="I25" s="64"/>
      <c r="J25" s="64"/>
    </row>
    <row r="26" spans="1:10">
      <c r="A26" s="62" t="s">
        <v>160</v>
      </c>
      <c r="B26" s="62" t="s">
        <v>53</v>
      </c>
      <c r="C26" s="70" t="s">
        <v>212</v>
      </c>
      <c r="D26" s="64"/>
      <c r="E26" s="62" t="s">
        <v>53</v>
      </c>
      <c r="F26" s="62" t="s">
        <v>198</v>
      </c>
      <c r="G26" s="68" t="s">
        <v>199</v>
      </c>
      <c r="H26" s="64" t="s">
        <v>213</v>
      </c>
      <c r="I26" s="64"/>
      <c r="J26" s="64"/>
    </row>
    <row r="27" spans="1:10">
      <c r="A27" s="62" t="s">
        <v>160</v>
      </c>
      <c r="B27" s="62" t="s">
        <v>53</v>
      </c>
      <c r="C27" s="68" t="s">
        <v>61</v>
      </c>
      <c r="D27" s="64"/>
      <c r="E27" s="62" t="s">
        <v>53</v>
      </c>
      <c r="F27" s="62" t="s">
        <v>198</v>
      </c>
      <c r="G27" s="68" t="s">
        <v>199</v>
      </c>
      <c r="H27" s="64" t="s">
        <v>214</v>
      </c>
      <c r="I27" s="64" t="s">
        <v>215</v>
      </c>
      <c r="J27" s="64"/>
    </row>
    <row r="28" spans="1:10">
      <c r="A28" s="63">
        <v>46028</v>
      </c>
      <c r="B28" s="62" t="s">
        <v>53</v>
      </c>
      <c r="C28" s="68" t="s">
        <v>216</v>
      </c>
      <c r="D28" s="64"/>
      <c r="E28" s="62" t="s">
        <v>53</v>
      </c>
      <c r="F28" s="62" t="s">
        <v>198</v>
      </c>
      <c r="G28" s="68" t="s">
        <v>199</v>
      </c>
      <c r="H28" s="64" t="s">
        <v>217</v>
      </c>
      <c r="I28" s="64"/>
      <c r="J28" s="64"/>
    </row>
    <row r="29" spans="1:10">
      <c r="A29" s="63">
        <v>46028</v>
      </c>
      <c r="B29" s="62" t="s">
        <v>53</v>
      </c>
      <c r="C29" s="68" t="s">
        <v>197</v>
      </c>
      <c r="D29" s="64"/>
      <c r="E29" s="62" t="s">
        <v>53</v>
      </c>
      <c r="F29" s="62" t="s">
        <v>198</v>
      </c>
      <c r="G29" s="68" t="s">
        <v>199</v>
      </c>
      <c r="H29" s="64" t="s">
        <v>218</v>
      </c>
      <c r="I29" s="64"/>
      <c r="J29" s="64"/>
    </row>
    <row r="30" spans="1:10">
      <c r="A30" s="63">
        <v>46028</v>
      </c>
      <c r="B30" s="62" t="s">
        <v>53</v>
      </c>
      <c r="C30" s="68" t="s">
        <v>146</v>
      </c>
      <c r="D30" s="64"/>
      <c r="E30" s="62" t="s">
        <v>53</v>
      </c>
      <c r="F30" s="62" t="s">
        <v>198</v>
      </c>
      <c r="G30" s="68" t="s">
        <v>199</v>
      </c>
      <c r="H30" s="64" t="s">
        <v>219</v>
      </c>
      <c r="I30" s="64"/>
      <c r="J30" s="64"/>
    </row>
    <row r="31" spans="1:10">
      <c r="A31" s="63">
        <v>46028</v>
      </c>
      <c r="B31" s="62" t="s">
        <v>53</v>
      </c>
      <c r="C31" s="68" t="s">
        <v>149</v>
      </c>
      <c r="D31" s="64"/>
      <c r="E31" s="62" t="s">
        <v>53</v>
      </c>
      <c r="F31" s="62" t="s">
        <v>198</v>
      </c>
      <c r="G31" s="68" t="s">
        <v>199</v>
      </c>
      <c r="H31" s="64" t="s">
        <v>220</v>
      </c>
      <c r="I31" s="64"/>
      <c r="J31" s="64"/>
    </row>
    <row r="32" spans="1:10">
      <c r="A32" s="63">
        <v>46028</v>
      </c>
      <c r="B32" s="62" t="s">
        <v>53</v>
      </c>
      <c r="C32" s="68" t="s">
        <v>138</v>
      </c>
      <c r="D32" s="64"/>
      <c r="E32" s="62" t="s">
        <v>53</v>
      </c>
      <c r="F32" s="62" t="s">
        <v>198</v>
      </c>
      <c r="G32" s="68" t="s">
        <v>199</v>
      </c>
      <c r="H32" s="64" t="s">
        <v>221</v>
      </c>
      <c r="I32" s="64"/>
      <c r="J32" s="64"/>
    </row>
    <row r="33" spans="1:10">
      <c r="A33" s="63">
        <v>46028</v>
      </c>
      <c r="B33" s="62" t="s">
        <v>53</v>
      </c>
      <c r="C33" s="68" t="s">
        <v>82</v>
      </c>
      <c r="D33" s="64"/>
      <c r="E33" s="62" t="s">
        <v>53</v>
      </c>
      <c r="F33" s="62" t="s">
        <v>198</v>
      </c>
      <c r="G33" s="68" t="s">
        <v>199</v>
      </c>
      <c r="H33" s="64" t="s">
        <v>222</v>
      </c>
      <c r="I33" s="64"/>
      <c r="J33" s="64"/>
    </row>
    <row r="34" spans="1:10">
      <c r="A34" s="63">
        <v>46028</v>
      </c>
      <c r="B34" s="62" t="s">
        <v>53</v>
      </c>
      <c r="C34" s="68" t="s">
        <v>223</v>
      </c>
      <c r="D34" s="64"/>
      <c r="E34" s="62" t="s">
        <v>53</v>
      </c>
      <c r="F34" s="62" t="s">
        <v>198</v>
      </c>
      <c r="G34" s="68" t="s">
        <v>199</v>
      </c>
      <c r="H34" s="64" t="s">
        <v>224</v>
      </c>
      <c r="I34" s="64"/>
      <c r="J34" s="64"/>
    </row>
    <row r="35" spans="1:10">
      <c r="A35" s="63">
        <v>46028</v>
      </c>
      <c r="B35" s="62" t="s">
        <v>53</v>
      </c>
      <c r="C35" s="68" t="s">
        <v>225</v>
      </c>
      <c r="D35" s="64"/>
      <c r="E35" s="62" t="s">
        <v>53</v>
      </c>
      <c r="F35" s="62" t="s">
        <v>198</v>
      </c>
      <c r="G35" s="68" t="s">
        <v>199</v>
      </c>
      <c r="H35" s="64" t="s">
        <v>226</v>
      </c>
      <c r="I35" s="64"/>
      <c r="J35" s="64"/>
    </row>
    <row r="36" spans="1:10">
      <c r="A36" s="63">
        <v>46028</v>
      </c>
      <c r="B36" s="62" t="s">
        <v>53</v>
      </c>
      <c r="C36" s="68" t="s">
        <v>227</v>
      </c>
      <c r="D36" s="64"/>
      <c r="E36" s="62" t="s">
        <v>53</v>
      </c>
      <c r="F36" s="62" t="s">
        <v>198</v>
      </c>
      <c r="G36" s="68" t="s">
        <v>199</v>
      </c>
      <c r="H36" s="64" t="s">
        <v>228</v>
      </c>
      <c r="I36" s="64"/>
      <c r="J36" s="64"/>
    </row>
    <row r="37" spans="1:10">
      <c r="A37" s="63">
        <v>46028</v>
      </c>
      <c r="B37" s="62" t="s">
        <v>53</v>
      </c>
      <c r="C37" s="70" t="s">
        <v>135</v>
      </c>
      <c r="D37" s="64"/>
      <c r="E37" s="62" t="s">
        <v>53</v>
      </c>
      <c r="F37" s="62" t="s">
        <v>198</v>
      </c>
      <c r="G37" s="68" t="s">
        <v>199</v>
      </c>
      <c r="H37" s="64" t="s">
        <v>229</v>
      </c>
      <c r="I37" s="64"/>
      <c r="J37" s="64"/>
    </row>
    <row r="38" spans="1:10">
      <c r="A38" s="63">
        <v>46028</v>
      </c>
      <c r="B38" s="62" t="s">
        <v>53</v>
      </c>
      <c r="C38" s="68" t="s">
        <v>137</v>
      </c>
      <c r="D38" s="64"/>
      <c r="E38" s="62" t="s">
        <v>53</v>
      </c>
      <c r="F38" s="62" t="s">
        <v>198</v>
      </c>
      <c r="G38" s="68" t="s">
        <v>199</v>
      </c>
      <c r="H38" s="64" t="s">
        <v>230</v>
      </c>
      <c r="I38" s="64"/>
      <c r="J38" s="64"/>
    </row>
    <row r="39" spans="1:10">
      <c r="A39" s="63">
        <v>46028</v>
      </c>
      <c r="B39" s="62" t="s">
        <v>53</v>
      </c>
      <c r="C39" s="70" t="s">
        <v>212</v>
      </c>
      <c r="D39" s="64"/>
      <c r="E39" s="62" t="s">
        <v>53</v>
      </c>
      <c r="F39" s="62" t="s">
        <v>198</v>
      </c>
      <c r="G39" s="68" t="s">
        <v>199</v>
      </c>
      <c r="H39" s="64" t="s">
        <v>231</v>
      </c>
      <c r="I39" s="64"/>
      <c r="J39" s="64"/>
    </row>
    <row r="40" spans="1:10">
      <c r="A40" s="63">
        <v>46028</v>
      </c>
      <c r="B40" s="62" t="s">
        <v>53</v>
      </c>
      <c r="C40" s="68" t="s">
        <v>232</v>
      </c>
      <c r="D40" s="64"/>
      <c r="E40" s="62" t="s">
        <v>53</v>
      </c>
      <c r="F40" s="62" t="s">
        <v>198</v>
      </c>
      <c r="G40" s="68" t="s">
        <v>199</v>
      </c>
      <c r="H40" s="64" t="s">
        <v>233</v>
      </c>
      <c r="I40" s="64"/>
      <c r="J40" s="64"/>
    </row>
    <row r="41" spans="1:10">
      <c r="A41" s="63">
        <v>46177</v>
      </c>
      <c r="B41" s="62" t="s">
        <v>53</v>
      </c>
      <c r="C41" s="67" t="s">
        <v>124</v>
      </c>
      <c r="D41" s="64" t="s">
        <v>64</v>
      </c>
      <c r="E41" s="62" t="s">
        <v>53</v>
      </c>
      <c r="F41" s="62" t="s">
        <v>101</v>
      </c>
      <c r="G41" s="66" t="s">
        <v>161</v>
      </c>
      <c r="H41" s="64" t="s">
        <v>1081</v>
      </c>
      <c r="I41" s="64"/>
      <c r="J41" s="64"/>
    </row>
    <row r="42" spans="1:10">
      <c r="A42" s="63">
        <v>46177</v>
      </c>
      <c r="B42" s="62" t="s">
        <v>53</v>
      </c>
      <c r="C42" s="68" t="s">
        <v>65</v>
      </c>
      <c r="D42" s="64" t="s">
        <v>68</v>
      </c>
      <c r="E42" s="62" t="s">
        <v>53</v>
      </c>
      <c r="F42" s="62" t="s">
        <v>101</v>
      </c>
      <c r="G42" s="66" t="s">
        <v>161</v>
      </c>
      <c r="H42" s="64" t="s">
        <v>1082</v>
      </c>
      <c r="I42" s="64"/>
      <c r="J42" s="64"/>
    </row>
    <row r="43" spans="1:10">
      <c r="A43" s="63">
        <v>46177</v>
      </c>
      <c r="B43" s="62" t="s">
        <v>53</v>
      </c>
      <c r="C43" s="68" t="s">
        <v>63</v>
      </c>
      <c r="D43" s="64" t="s">
        <v>68</v>
      </c>
      <c r="E43" s="62" t="s">
        <v>53</v>
      </c>
      <c r="F43" s="62" t="s">
        <v>100</v>
      </c>
      <c r="G43" s="66" t="s">
        <v>161</v>
      </c>
      <c r="H43" s="64" t="s">
        <v>1083</v>
      </c>
      <c r="I43" s="64"/>
      <c r="J43" s="64"/>
    </row>
    <row r="44" spans="1:10">
      <c r="A44" s="63">
        <v>46177</v>
      </c>
      <c r="B44" s="62" t="s">
        <v>53</v>
      </c>
      <c r="C44" s="68" t="s">
        <v>67</v>
      </c>
      <c r="D44" s="64" t="s">
        <v>68</v>
      </c>
      <c r="E44" s="62" t="s">
        <v>53</v>
      </c>
      <c r="F44" s="62" t="s">
        <v>100</v>
      </c>
      <c r="G44" s="66" t="s">
        <v>161</v>
      </c>
      <c r="H44" s="64" t="s">
        <v>1084</v>
      </c>
      <c r="I44" s="64"/>
      <c r="J44" s="64"/>
    </row>
    <row r="45" spans="1:10">
      <c r="A45" s="63">
        <v>46177</v>
      </c>
      <c r="B45" s="62" t="s">
        <v>53</v>
      </c>
      <c r="C45" s="70" t="s">
        <v>59</v>
      </c>
      <c r="D45" s="64" t="s">
        <v>64</v>
      </c>
      <c r="E45" s="62" t="s">
        <v>53</v>
      </c>
      <c r="F45" s="62" t="s">
        <v>101</v>
      </c>
      <c r="G45" s="66" t="s">
        <v>161</v>
      </c>
      <c r="H45" s="64" t="s">
        <v>1085</v>
      </c>
      <c r="I45" s="64"/>
      <c r="J45" s="64"/>
    </row>
    <row r="46" spans="1:10">
      <c r="A46" s="63">
        <v>46177</v>
      </c>
      <c r="B46" s="62" t="s">
        <v>53</v>
      </c>
      <c r="C46" s="69" t="s">
        <v>58</v>
      </c>
      <c r="D46" s="64" t="s">
        <v>64</v>
      </c>
      <c r="E46" s="62" t="s">
        <v>53</v>
      </c>
      <c r="F46" s="62" t="s">
        <v>105</v>
      </c>
      <c r="G46" s="66" t="s">
        <v>161</v>
      </c>
      <c r="H46" s="64" t="s">
        <v>169</v>
      </c>
      <c r="I46" s="64"/>
      <c r="J46" s="64"/>
    </row>
    <row r="47" spans="1:10">
      <c r="A47" s="63">
        <v>46177</v>
      </c>
      <c r="B47" s="62" t="s">
        <v>53</v>
      </c>
      <c r="C47" s="67" t="s">
        <v>126</v>
      </c>
      <c r="D47" s="64" t="s">
        <v>171</v>
      </c>
      <c r="E47" s="62" t="s">
        <v>53</v>
      </c>
      <c r="F47" s="62" t="s">
        <v>101</v>
      </c>
      <c r="G47" s="70" t="s">
        <v>172</v>
      </c>
      <c r="H47" s="64" t="s">
        <v>1086</v>
      </c>
      <c r="I47" s="64"/>
      <c r="J47" s="64"/>
    </row>
    <row r="48" spans="1:10">
      <c r="A48" s="63">
        <v>46177</v>
      </c>
      <c r="B48" s="62" t="s">
        <v>53</v>
      </c>
      <c r="C48" s="70" t="s">
        <v>129</v>
      </c>
      <c r="D48" s="64" t="s">
        <v>64</v>
      </c>
      <c r="E48" s="62" t="s">
        <v>53</v>
      </c>
      <c r="F48" s="62" t="s">
        <v>102</v>
      </c>
      <c r="G48" s="70" t="s">
        <v>172</v>
      </c>
      <c r="H48" s="64" t="s">
        <v>1087</v>
      </c>
      <c r="I48" s="64"/>
      <c r="J48" s="64"/>
    </row>
    <row r="49" spans="1:10">
      <c r="A49" s="63">
        <v>46177</v>
      </c>
      <c r="B49" s="62" t="s">
        <v>53</v>
      </c>
      <c r="C49" s="68" t="s">
        <v>138</v>
      </c>
      <c r="D49" s="64" t="s">
        <v>64</v>
      </c>
      <c r="E49" s="62" t="s">
        <v>53</v>
      </c>
      <c r="F49" s="62" t="s">
        <v>100</v>
      </c>
      <c r="G49" s="70" t="s">
        <v>172</v>
      </c>
      <c r="H49" s="64" t="s">
        <v>1088</v>
      </c>
      <c r="I49" s="64"/>
      <c r="J49" s="64"/>
    </row>
    <row r="50" spans="1:10">
      <c r="A50" s="63">
        <v>46177</v>
      </c>
      <c r="B50" s="62" t="s">
        <v>53</v>
      </c>
      <c r="C50" s="70" t="s">
        <v>135</v>
      </c>
      <c r="D50" s="64" t="s">
        <v>70</v>
      </c>
      <c r="E50" s="62" t="s">
        <v>53</v>
      </c>
      <c r="F50" s="62" t="s">
        <v>100</v>
      </c>
      <c r="G50" s="70" t="s">
        <v>172</v>
      </c>
      <c r="H50" s="64" t="s">
        <v>1089</v>
      </c>
      <c r="I50" s="64"/>
      <c r="J50" s="64"/>
    </row>
    <row r="51" spans="1:10">
      <c r="A51" s="63">
        <v>46177</v>
      </c>
      <c r="B51" s="62" t="s">
        <v>53</v>
      </c>
      <c r="C51" s="68" t="s">
        <v>137</v>
      </c>
      <c r="D51" s="64" t="s">
        <v>64</v>
      </c>
      <c r="E51" s="62" t="s">
        <v>53</v>
      </c>
      <c r="F51" s="62" t="s">
        <v>100</v>
      </c>
      <c r="G51" s="70" t="s">
        <v>172</v>
      </c>
      <c r="H51" s="64" t="s">
        <v>1090</v>
      </c>
      <c r="I51" s="64"/>
      <c r="J51" s="64"/>
    </row>
    <row r="52" spans="1:10">
      <c r="A52" s="63">
        <v>46177</v>
      </c>
      <c r="B52" s="62" t="s">
        <v>53</v>
      </c>
      <c r="C52" s="66" t="s">
        <v>188</v>
      </c>
      <c r="D52" s="64" t="s">
        <v>64</v>
      </c>
      <c r="E52" s="62" t="s">
        <v>53</v>
      </c>
      <c r="F52" s="62" t="s">
        <v>103</v>
      </c>
      <c r="G52" s="70" t="s">
        <v>172</v>
      </c>
      <c r="H52" s="64" t="s">
        <v>1091</v>
      </c>
      <c r="I52" s="64"/>
      <c r="J52" s="64"/>
    </row>
    <row r="53" spans="1:10">
      <c r="A53" s="63">
        <v>46177</v>
      </c>
      <c r="B53" s="62" t="s">
        <v>53</v>
      </c>
      <c r="C53" s="69" t="s">
        <v>56</v>
      </c>
      <c r="D53" s="64" t="s">
        <v>64</v>
      </c>
      <c r="E53" s="62" t="s">
        <v>53</v>
      </c>
      <c r="F53" s="62" t="s">
        <v>105</v>
      </c>
      <c r="G53" s="70" t="s">
        <v>172</v>
      </c>
      <c r="H53" s="64" t="s">
        <v>1092</v>
      </c>
      <c r="I53" s="64"/>
      <c r="J53" s="64"/>
    </row>
    <row r="54" spans="1:10">
      <c r="A54" s="63">
        <v>46177</v>
      </c>
      <c r="B54" s="62" t="s">
        <v>53</v>
      </c>
      <c r="C54" s="68" t="s">
        <v>57</v>
      </c>
      <c r="D54" s="64" t="s">
        <v>68</v>
      </c>
      <c r="E54" s="62" t="s">
        <v>53</v>
      </c>
      <c r="F54" s="62" t="s">
        <v>103</v>
      </c>
      <c r="G54" s="70" t="s">
        <v>172</v>
      </c>
      <c r="H54" s="64" t="s">
        <v>1093</v>
      </c>
      <c r="I54" s="64"/>
      <c r="J54" s="64"/>
    </row>
    <row r="55" spans="1:10">
      <c r="A55" s="63">
        <v>46177</v>
      </c>
      <c r="B55" s="62" t="s">
        <v>53</v>
      </c>
      <c r="C55" s="69" t="s">
        <v>55</v>
      </c>
      <c r="D55" s="64" t="s">
        <v>171</v>
      </c>
      <c r="E55" s="62" t="s">
        <v>53</v>
      </c>
      <c r="F55" s="62" t="s">
        <v>105</v>
      </c>
      <c r="G55" s="70" t="s">
        <v>172</v>
      </c>
      <c r="H55" s="64" t="s">
        <v>1094</v>
      </c>
      <c r="I55" s="64"/>
      <c r="J55" s="64"/>
    </row>
    <row r="56" spans="1:10">
      <c r="A56" s="63">
        <v>46177</v>
      </c>
      <c r="B56" s="62" t="s">
        <v>53</v>
      </c>
      <c r="C56" s="69" t="s">
        <v>136</v>
      </c>
      <c r="D56" s="64" t="s">
        <v>68</v>
      </c>
      <c r="E56" s="62" t="s">
        <v>53</v>
      </c>
      <c r="F56" s="62" t="s">
        <v>103</v>
      </c>
      <c r="G56" s="70" t="s">
        <v>172</v>
      </c>
      <c r="H56" s="64" t="s">
        <v>1095</v>
      </c>
      <c r="I56" s="64"/>
      <c r="J56" s="64"/>
    </row>
    <row r="57" spans="1:10">
      <c r="A57" s="63">
        <v>46177</v>
      </c>
      <c r="B57" s="62" t="s">
        <v>53</v>
      </c>
      <c r="C57" s="67" t="s">
        <v>134</v>
      </c>
      <c r="D57" s="64" t="s">
        <v>70</v>
      </c>
      <c r="E57" s="62" t="s">
        <v>53</v>
      </c>
      <c r="F57" s="62" t="s">
        <v>103</v>
      </c>
      <c r="G57" s="70" t="s">
        <v>172</v>
      </c>
      <c r="H57" s="64" t="s">
        <v>1096</v>
      </c>
      <c r="I57" s="64"/>
      <c r="J57" s="64"/>
    </row>
    <row r="58" spans="1:10">
      <c r="A58" s="63">
        <v>46178</v>
      </c>
      <c r="B58" s="62" t="s">
        <v>53</v>
      </c>
      <c r="C58" s="68" t="s">
        <v>197</v>
      </c>
      <c r="D58" s="64"/>
      <c r="E58" s="62" t="s">
        <v>53</v>
      </c>
      <c r="F58" s="62" t="s">
        <v>198</v>
      </c>
      <c r="G58" s="68" t="s">
        <v>199</v>
      </c>
      <c r="H58" s="64" t="s">
        <v>1102</v>
      </c>
      <c r="I58" s="64"/>
      <c r="J58" s="64"/>
    </row>
    <row r="59" spans="1:10">
      <c r="A59" s="63">
        <v>46178</v>
      </c>
      <c r="B59" s="62" t="s">
        <v>53</v>
      </c>
      <c r="C59" s="68" t="s">
        <v>146</v>
      </c>
      <c r="D59" s="64"/>
      <c r="E59" s="62" t="s">
        <v>53</v>
      </c>
      <c r="F59" s="62" t="s">
        <v>198</v>
      </c>
      <c r="G59" s="68" t="s">
        <v>199</v>
      </c>
      <c r="H59" s="64" t="s">
        <v>1103</v>
      </c>
      <c r="I59" s="64"/>
      <c r="J59" s="64"/>
    </row>
    <row r="60" spans="1:10">
      <c r="A60" s="63">
        <v>46178</v>
      </c>
      <c r="B60" s="62" t="s">
        <v>53</v>
      </c>
      <c r="C60" s="68" t="s">
        <v>149</v>
      </c>
      <c r="D60" s="64"/>
      <c r="E60" s="62" t="s">
        <v>53</v>
      </c>
      <c r="F60" s="62" t="s">
        <v>198</v>
      </c>
      <c r="G60" s="68" t="s">
        <v>199</v>
      </c>
      <c r="H60" s="64" t="s">
        <v>1104</v>
      </c>
      <c r="I60" s="64"/>
      <c r="J60" s="64"/>
    </row>
    <row r="61" spans="1:10">
      <c r="A61" s="63">
        <v>46178</v>
      </c>
      <c r="B61" s="62" t="s">
        <v>53</v>
      </c>
      <c r="C61" s="68" t="s">
        <v>989</v>
      </c>
      <c r="D61" s="64"/>
      <c r="E61" s="62" t="s">
        <v>53</v>
      </c>
      <c r="F61" s="62" t="s">
        <v>198</v>
      </c>
      <c r="G61" s="68" t="s">
        <v>199</v>
      </c>
      <c r="H61" s="64" t="s">
        <v>1105</v>
      </c>
      <c r="I61" s="64"/>
      <c r="J61" s="64"/>
    </row>
    <row r="62" spans="1:10">
      <c r="A62" s="63">
        <v>46178</v>
      </c>
      <c r="B62" s="62" t="s">
        <v>53</v>
      </c>
      <c r="C62" s="68" t="s">
        <v>974</v>
      </c>
      <c r="D62" s="64"/>
      <c r="E62" s="62" t="s">
        <v>53</v>
      </c>
      <c r="F62" s="62" t="s">
        <v>198</v>
      </c>
      <c r="G62" s="68" t="s">
        <v>199</v>
      </c>
      <c r="H62" s="64" t="s">
        <v>1106</v>
      </c>
      <c r="I62" s="64"/>
      <c r="J62" s="64"/>
    </row>
    <row r="63" spans="1:10">
      <c r="A63" s="63">
        <v>46178</v>
      </c>
      <c r="B63" s="62" t="s">
        <v>53</v>
      </c>
      <c r="C63" s="70" t="s">
        <v>147</v>
      </c>
      <c r="D63" s="64"/>
      <c r="E63" s="62" t="s">
        <v>53</v>
      </c>
      <c r="F63" s="62" t="s">
        <v>198</v>
      </c>
      <c r="G63" s="68" t="s">
        <v>199</v>
      </c>
      <c r="H63" s="64" t="s">
        <v>1107</v>
      </c>
      <c r="I63" s="64"/>
      <c r="J63" s="64"/>
    </row>
    <row r="64" spans="1:10">
      <c r="A64" s="63">
        <v>46178</v>
      </c>
      <c r="B64" s="62" t="s">
        <v>53</v>
      </c>
      <c r="C64" s="68" t="s">
        <v>227</v>
      </c>
      <c r="D64" s="64"/>
      <c r="E64" s="62" t="s">
        <v>53</v>
      </c>
      <c r="F64" s="62" t="s">
        <v>198</v>
      </c>
      <c r="G64" s="68" t="s">
        <v>199</v>
      </c>
      <c r="H64" s="64" t="s">
        <v>1108</v>
      </c>
      <c r="I64" s="64"/>
      <c r="J64" s="6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53"/>
  <sheetViews>
    <sheetView workbookViewId="0">
      <pane ySplit="1" topLeftCell="A537" activePane="bottomLeft" state="frozen"/>
      <selection pane="bottomLeft" activeCell="J497" sqref="J497:J499"/>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51" t="s">
        <v>234</v>
      </c>
      <c r="B1" s="51" t="s">
        <v>47</v>
      </c>
      <c r="C1" s="51" t="s">
        <v>235</v>
      </c>
      <c r="D1" s="51" t="s">
        <v>236</v>
      </c>
      <c r="E1" s="51" t="s">
        <v>237</v>
      </c>
      <c r="F1" s="51" t="s">
        <v>238</v>
      </c>
      <c r="G1" s="51" t="s">
        <v>239</v>
      </c>
      <c r="H1" s="51" t="s">
        <v>240</v>
      </c>
      <c r="I1" s="51" t="s">
        <v>241</v>
      </c>
      <c r="J1" s="51" t="s">
        <v>242</v>
      </c>
      <c r="K1" s="51" t="s">
        <v>140</v>
      </c>
      <c r="L1" s="51" t="s">
        <v>243</v>
      </c>
      <c r="M1" s="51" t="s">
        <v>244</v>
      </c>
      <c r="N1" s="51" t="s">
        <v>245</v>
      </c>
      <c r="O1" s="51" t="s">
        <v>246</v>
      </c>
    </row>
    <row r="2" spans="1:15">
      <c r="A2" s="31"/>
      <c r="B2" s="31" t="s">
        <v>73</v>
      </c>
      <c r="C2" s="31" t="s">
        <v>247</v>
      </c>
      <c r="D2" s="31" t="s">
        <v>248</v>
      </c>
      <c r="E2" s="31" t="s">
        <v>249</v>
      </c>
      <c r="F2" s="31" t="s">
        <v>250</v>
      </c>
      <c r="G2" s="31" t="s">
        <v>250</v>
      </c>
      <c r="H2" s="31" t="s">
        <v>251</v>
      </c>
      <c r="I2" s="31" t="b">
        <v>0</v>
      </c>
      <c r="J2" s="31">
        <v>13</v>
      </c>
      <c r="K2" s="31">
        <v>7343</v>
      </c>
      <c r="L2" s="32">
        <v>405271862</v>
      </c>
      <c r="M2" s="32">
        <v>1200000047930385</v>
      </c>
      <c r="N2" s="31" t="s">
        <v>252</v>
      </c>
      <c r="O2" s="31"/>
    </row>
    <row r="3" spans="1:15">
      <c r="A3" s="31"/>
      <c r="B3" s="31" t="s">
        <v>253</v>
      </c>
      <c r="C3" s="31" t="s">
        <v>254</v>
      </c>
      <c r="D3" s="31" t="s">
        <v>248</v>
      </c>
      <c r="E3" s="31" t="s">
        <v>249</v>
      </c>
      <c r="F3" s="31" t="s">
        <v>250</v>
      </c>
      <c r="G3" s="31" t="s">
        <v>250</v>
      </c>
      <c r="H3" s="31" t="s">
        <v>251</v>
      </c>
      <c r="I3" s="31" t="b">
        <v>0</v>
      </c>
      <c r="J3" s="31">
        <v>64</v>
      </c>
      <c r="K3" s="31">
        <v>1548.9</v>
      </c>
      <c r="L3" s="32">
        <v>3877073</v>
      </c>
      <c r="M3" s="32">
        <v>1000000036265725</v>
      </c>
      <c r="N3" s="31" t="s">
        <v>255</v>
      </c>
      <c r="O3" s="31"/>
    </row>
    <row r="4" spans="1:15">
      <c r="A4" s="31"/>
      <c r="B4" s="31" t="s">
        <v>84</v>
      </c>
      <c r="C4" s="31" t="s">
        <v>256</v>
      </c>
      <c r="D4" s="31" t="s">
        <v>248</v>
      </c>
      <c r="E4" s="31" t="s">
        <v>249</v>
      </c>
      <c r="F4" s="31" t="s">
        <v>250</v>
      </c>
      <c r="G4" s="31" t="s">
        <v>250</v>
      </c>
      <c r="H4" s="31" t="s">
        <v>251</v>
      </c>
      <c r="I4" s="31" t="b">
        <v>0</v>
      </c>
      <c r="J4" s="31">
        <v>7</v>
      </c>
      <c r="K4" s="31">
        <v>844.15</v>
      </c>
      <c r="L4" s="32">
        <v>205329072</v>
      </c>
      <c r="M4" s="32">
        <v>1100000044831951</v>
      </c>
      <c r="N4" s="31" t="s">
        <v>257</v>
      </c>
      <c r="O4" s="31"/>
    </row>
    <row r="5" spans="1:15">
      <c r="A5" s="31"/>
      <c r="B5" s="31" t="s">
        <v>84</v>
      </c>
      <c r="C5" s="31" t="s">
        <v>256</v>
      </c>
      <c r="D5" s="31" t="s">
        <v>248</v>
      </c>
      <c r="E5" s="31" t="s">
        <v>249</v>
      </c>
      <c r="F5" s="31" t="s">
        <v>250</v>
      </c>
      <c r="G5" s="31" t="s">
        <v>250</v>
      </c>
      <c r="H5" s="31" t="s">
        <v>251</v>
      </c>
      <c r="I5" s="31" t="b">
        <v>0</v>
      </c>
      <c r="J5" s="31">
        <v>50</v>
      </c>
      <c r="K5" s="31">
        <v>844.15</v>
      </c>
      <c r="L5" s="32">
        <v>205330804</v>
      </c>
      <c r="M5" s="32">
        <v>1100000044831951</v>
      </c>
      <c r="N5" s="31" t="s">
        <v>257</v>
      </c>
      <c r="O5" s="31"/>
    </row>
    <row r="6" spans="1:15">
      <c r="A6" s="31"/>
      <c r="B6" s="31" t="s">
        <v>84</v>
      </c>
      <c r="C6" s="31" t="s">
        <v>256</v>
      </c>
      <c r="D6" s="31" t="s">
        <v>248</v>
      </c>
      <c r="E6" s="31" t="s">
        <v>249</v>
      </c>
      <c r="F6" s="31" t="s">
        <v>250</v>
      </c>
      <c r="G6" s="31" t="s">
        <v>250</v>
      </c>
      <c r="H6" s="31" t="s">
        <v>251</v>
      </c>
      <c r="I6" s="31" t="b">
        <v>0</v>
      </c>
      <c r="J6" s="31">
        <v>4</v>
      </c>
      <c r="K6" s="31">
        <v>844.15</v>
      </c>
      <c r="L6" s="32">
        <v>205330817</v>
      </c>
      <c r="M6" s="32">
        <v>1100000044831951</v>
      </c>
      <c r="N6" s="31" t="s">
        <v>257</v>
      </c>
      <c r="O6" s="31"/>
    </row>
    <row r="7" spans="1:15">
      <c r="A7" s="31"/>
      <c r="B7" s="31" t="s">
        <v>84</v>
      </c>
      <c r="C7" s="31" t="s">
        <v>256</v>
      </c>
      <c r="D7" s="31" t="s">
        <v>248</v>
      </c>
      <c r="E7" s="31" t="s">
        <v>249</v>
      </c>
      <c r="F7" s="31" t="s">
        <v>250</v>
      </c>
      <c r="G7" s="31" t="s">
        <v>250</v>
      </c>
      <c r="H7" s="31" t="s">
        <v>251</v>
      </c>
      <c r="I7" s="31" t="b">
        <v>0</v>
      </c>
      <c r="J7" s="31">
        <v>55</v>
      </c>
      <c r="K7" s="31">
        <v>844.15</v>
      </c>
      <c r="L7" s="32">
        <v>205331314</v>
      </c>
      <c r="M7" s="32">
        <v>1100000044831951</v>
      </c>
      <c r="N7" s="31" t="s">
        <v>257</v>
      </c>
      <c r="O7" s="31"/>
    </row>
    <row r="8" spans="1:15">
      <c r="A8" s="31"/>
      <c r="B8" s="31" t="s">
        <v>258</v>
      </c>
      <c r="C8" s="31" t="s">
        <v>259</v>
      </c>
      <c r="D8" s="31" t="s">
        <v>248</v>
      </c>
      <c r="E8" s="31" t="s">
        <v>249</v>
      </c>
      <c r="F8" s="31" t="s">
        <v>250</v>
      </c>
      <c r="G8" s="31" t="s">
        <v>250</v>
      </c>
      <c r="H8" s="31" t="s">
        <v>251</v>
      </c>
      <c r="I8" s="31" t="b">
        <v>0</v>
      </c>
      <c r="J8" s="31">
        <v>20</v>
      </c>
      <c r="K8" s="31">
        <v>4509</v>
      </c>
      <c r="L8" s="32">
        <v>605415434</v>
      </c>
      <c r="M8" s="32">
        <v>1300000045456483</v>
      </c>
      <c r="N8" s="31" t="s">
        <v>260</v>
      </c>
      <c r="O8" s="31"/>
    </row>
    <row r="9" spans="1:15">
      <c r="A9" s="31"/>
      <c r="B9" s="31" t="s">
        <v>261</v>
      </c>
      <c r="C9" s="31" t="s">
        <v>262</v>
      </c>
      <c r="D9" s="31" t="s">
        <v>248</v>
      </c>
      <c r="E9" s="31" t="s">
        <v>249</v>
      </c>
      <c r="F9" s="31" t="s">
        <v>250</v>
      </c>
      <c r="G9" s="31" t="s">
        <v>250</v>
      </c>
      <c r="H9" s="31" t="s">
        <v>251</v>
      </c>
      <c r="I9" s="31" t="b">
        <v>0</v>
      </c>
      <c r="J9" s="31">
        <v>11</v>
      </c>
      <c r="K9" s="31">
        <v>3662.7</v>
      </c>
      <c r="L9" s="32">
        <v>605630531</v>
      </c>
      <c r="M9" s="32">
        <v>1300000047488914</v>
      </c>
      <c r="N9" s="31" t="s">
        <v>263</v>
      </c>
      <c r="O9" s="31"/>
    </row>
    <row r="10" spans="1:15">
      <c r="A10" s="31"/>
      <c r="B10" s="31" t="s">
        <v>261</v>
      </c>
      <c r="C10" s="31" t="s">
        <v>262</v>
      </c>
      <c r="D10" s="31" t="s">
        <v>248</v>
      </c>
      <c r="E10" s="31" t="s">
        <v>249</v>
      </c>
      <c r="F10" s="31" t="s">
        <v>250</v>
      </c>
      <c r="G10" s="31" t="s">
        <v>250</v>
      </c>
      <c r="H10" s="31" t="s">
        <v>251</v>
      </c>
      <c r="I10" s="31" t="b">
        <v>0</v>
      </c>
      <c r="J10" s="31">
        <v>14</v>
      </c>
      <c r="K10" s="31">
        <v>3662.7</v>
      </c>
      <c r="L10" s="32">
        <v>605630530</v>
      </c>
      <c r="M10" s="32">
        <v>1300000047488914</v>
      </c>
      <c r="N10" s="31" t="s">
        <v>263</v>
      </c>
      <c r="O10" s="31"/>
    </row>
    <row r="11" spans="1:15">
      <c r="A11" s="31"/>
      <c r="B11" s="31" t="s">
        <v>264</v>
      </c>
      <c r="C11" s="31" t="s">
        <v>265</v>
      </c>
      <c r="D11" s="31" t="s">
        <v>248</v>
      </c>
      <c r="E11" s="31" t="s">
        <v>249</v>
      </c>
      <c r="F11" s="31" t="s">
        <v>250</v>
      </c>
      <c r="G11" s="31" t="s">
        <v>250</v>
      </c>
      <c r="H11" s="31" t="s">
        <v>251</v>
      </c>
      <c r="I11" s="31" t="b">
        <v>0</v>
      </c>
      <c r="J11" s="31">
        <v>5</v>
      </c>
      <c r="K11" s="31">
        <v>4724.1000999999997</v>
      </c>
      <c r="L11" s="32">
        <v>205904922</v>
      </c>
      <c r="M11" s="32">
        <v>1100000049703254</v>
      </c>
      <c r="N11" s="31" t="s">
        <v>266</v>
      </c>
      <c r="O11" s="31"/>
    </row>
    <row r="12" spans="1:15">
      <c r="A12" s="31"/>
      <c r="B12" s="31" t="s">
        <v>264</v>
      </c>
      <c r="C12" s="31" t="s">
        <v>265</v>
      </c>
      <c r="D12" s="31" t="s">
        <v>248</v>
      </c>
      <c r="E12" s="31" t="s">
        <v>249</v>
      </c>
      <c r="F12" s="31" t="s">
        <v>250</v>
      </c>
      <c r="G12" s="31" t="s">
        <v>250</v>
      </c>
      <c r="H12" s="31" t="s">
        <v>251</v>
      </c>
      <c r="I12" s="31" t="b">
        <v>0</v>
      </c>
      <c r="J12" s="31">
        <v>1</v>
      </c>
      <c r="K12" s="31">
        <v>4724.1000999999997</v>
      </c>
      <c r="L12" s="32">
        <v>205904923</v>
      </c>
      <c r="M12" s="32">
        <v>1100000049703254</v>
      </c>
      <c r="N12" s="31" t="s">
        <v>266</v>
      </c>
      <c r="O12" s="31"/>
    </row>
    <row r="13" spans="1:15">
      <c r="A13" s="31"/>
      <c r="B13" s="31" t="s">
        <v>264</v>
      </c>
      <c r="C13" s="31" t="s">
        <v>265</v>
      </c>
      <c r="D13" s="31" t="s">
        <v>248</v>
      </c>
      <c r="E13" s="31" t="s">
        <v>249</v>
      </c>
      <c r="F13" s="31" t="s">
        <v>250</v>
      </c>
      <c r="G13" s="31" t="s">
        <v>250</v>
      </c>
      <c r="H13" s="31" t="s">
        <v>251</v>
      </c>
      <c r="I13" s="31" t="b">
        <v>0</v>
      </c>
      <c r="J13" s="31">
        <v>1</v>
      </c>
      <c r="K13" s="31">
        <v>4724</v>
      </c>
      <c r="L13" s="32">
        <v>205904921</v>
      </c>
      <c r="M13" s="32">
        <v>1100000049703254</v>
      </c>
      <c r="N13" s="31" t="s">
        <v>266</v>
      </c>
      <c r="O13" s="31"/>
    </row>
    <row r="14" spans="1:15">
      <c r="A14" s="31"/>
      <c r="B14" s="31" t="s">
        <v>264</v>
      </c>
      <c r="C14" s="31" t="s">
        <v>265</v>
      </c>
      <c r="D14" s="31" t="s">
        <v>248</v>
      </c>
      <c r="E14" s="31" t="s">
        <v>249</v>
      </c>
      <c r="F14" s="31" t="s">
        <v>250</v>
      </c>
      <c r="G14" s="31" t="s">
        <v>250</v>
      </c>
      <c r="H14" s="31" t="s">
        <v>251</v>
      </c>
      <c r="I14" s="31" t="b">
        <v>0</v>
      </c>
      <c r="J14" s="31">
        <v>12</v>
      </c>
      <c r="K14" s="31">
        <v>4724</v>
      </c>
      <c r="L14" s="32">
        <v>205904920</v>
      </c>
      <c r="M14" s="32">
        <v>1100000049703254</v>
      </c>
      <c r="N14" s="31" t="s">
        <v>266</v>
      </c>
      <c r="O14" s="31"/>
    </row>
    <row r="15" spans="1:15">
      <c r="A15" s="31"/>
      <c r="B15" s="31" t="s">
        <v>112</v>
      </c>
      <c r="C15" s="31" t="s">
        <v>267</v>
      </c>
      <c r="D15" s="31" t="s">
        <v>248</v>
      </c>
      <c r="E15" s="31" t="s">
        <v>249</v>
      </c>
      <c r="F15" s="31" t="s">
        <v>250</v>
      </c>
      <c r="G15" s="31" t="s">
        <v>250</v>
      </c>
      <c r="H15" s="31" t="s">
        <v>251</v>
      </c>
      <c r="I15" s="31" t="b">
        <v>0</v>
      </c>
      <c r="J15" s="31">
        <v>168</v>
      </c>
      <c r="K15" s="31">
        <v>543</v>
      </c>
      <c r="L15" s="32">
        <v>406172265</v>
      </c>
      <c r="M15" s="32">
        <v>1200000056506188</v>
      </c>
      <c r="N15" s="31" t="s">
        <v>268</v>
      </c>
      <c r="O15" s="31"/>
    </row>
    <row r="16" spans="1:15">
      <c r="A16" s="31"/>
      <c r="B16" s="31" t="s">
        <v>269</v>
      </c>
      <c r="C16" s="31" t="s">
        <v>270</v>
      </c>
      <c r="D16" s="31" t="s">
        <v>271</v>
      </c>
      <c r="E16" s="31" t="s">
        <v>249</v>
      </c>
      <c r="F16" s="31" t="s">
        <v>250</v>
      </c>
      <c r="G16" s="31" t="s">
        <v>250</v>
      </c>
      <c r="H16" s="31" t="s">
        <v>251</v>
      </c>
      <c r="I16" s="31" t="b">
        <v>0</v>
      </c>
      <c r="J16" s="31">
        <v>48</v>
      </c>
      <c r="K16" s="31">
        <v>175.36</v>
      </c>
      <c r="L16" s="32">
        <v>2344605</v>
      </c>
      <c r="M16" s="32">
        <v>1000000022356020</v>
      </c>
      <c r="N16" s="31" t="s">
        <v>272</v>
      </c>
      <c r="O16" s="31"/>
    </row>
    <row r="17" spans="1:15">
      <c r="A17" s="31"/>
      <c r="B17" s="31" t="s">
        <v>269</v>
      </c>
      <c r="C17" s="31" t="s">
        <v>270</v>
      </c>
      <c r="D17" s="31" t="s">
        <v>271</v>
      </c>
      <c r="E17" s="31" t="s">
        <v>249</v>
      </c>
      <c r="F17" s="31" t="s">
        <v>250</v>
      </c>
      <c r="G17" s="31" t="s">
        <v>250</v>
      </c>
      <c r="H17" s="31" t="s">
        <v>251</v>
      </c>
      <c r="I17" s="31" t="b">
        <v>0</v>
      </c>
      <c r="J17" s="31">
        <v>6</v>
      </c>
      <c r="K17" s="31">
        <v>175.36</v>
      </c>
      <c r="L17" s="32">
        <v>2344520</v>
      </c>
      <c r="M17" s="32">
        <v>1000000022356020</v>
      </c>
      <c r="N17" s="31" t="s">
        <v>272</v>
      </c>
      <c r="O17" s="31"/>
    </row>
    <row r="18" spans="1:15">
      <c r="A18" s="31"/>
      <c r="B18" s="31" t="s">
        <v>269</v>
      </c>
      <c r="C18" s="31" t="s">
        <v>270</v>
      </c>
      <c r="D18" s="31" t="s">
        <v>271</v>
      </c>
      <c r="E18" s="31" t="s">
        <v>249</v>
      </c>
      <c r="F18" s="31" t="s">
        <v>250</v>
      </c>
      <c r="G18" s="31" t="s">
        <v>250</v>
      </c>
      <c r="H18" s="31" t="s">
        <v>251</v>
      </c>
      <c r="I18" s="31" t="b">
        <v>0</v>
      </c>
      <c r="J18" s="31">
        <v>86</v>
      </c>
      <c r="K18" s="31">
        <v>175.36</v>
      </c>
      <c r="L18" s="32">
        <v>2342640</v>
      </c>
      <c r="M18" s="32">
        <v>1000000022356020</v>
      </c>
      <c r="N18" s="31" t="s">
        <v>272</v>
      </c>
      <c r="O18" s="31"/>
    </row>
    <row r="19" spans="1:15">
      <c r="A19" s="31"/>
      <c r="B19" s="31" t="s">
        <v>273</v>
      </c>
      <c r="C19" s="31" t="s">
        <v>274</v>
      </c>
      <c r="D19" s="31" t="s">
        <v>271</v>
      </c>
      <c r="E19" s="31" t="s">
        <v>249</v>
      </c>
      <c r="F19" s="31" t="s">
        <v>250</v>
      </c>
      <c r="G19" s="31" t="s">
        <v>250</v>
      </c>
      <c r="H19" s="31" t="s">
        <v>251</v>
      </c>
      <c r="I19" s="31" t="b">
        <v>0</v>
      </c>
      <c r="J19" s="31">
        <v>28</v>
      </c>
      <c r="K19" s="31">
        <v>517.1</v>
      </c>
      <c r="L19" s="32">
        <v>203621195</v>
      </c>
      <c r="M19" s="32">
        <v>1100000031435771</v>
      </c>
      <c r="N19" s="31" t="s">
        <v>275</v>
      </c>
      <c r="O19" s="31"/>
    </row>
    <row r="20" spans="1:15">
      <c r="A20" s="31"/>
      <c r="B20" s="31" t="s">
        <v>273</v>
      </c>
      <c r="C20" s="31" t="s">
        <v>274</v>
      </c>
      <c r="D20" s="31" t="s">
        <v>271</v>
      </c>
      <c r="E20" s="31" t="s">
        <v>249</v>
      </c>
      <c r="F20" s="31" t="s">
        <v>250</v>
      </c>
      <c r="G20" s="31" t="s">
        <v>250</v>
      </c>
      <c r="H20" s="31" t="s">
        <v>251</v>
      </c>
      <c r="I20" s="31" t="b">
        <v>0</v>
      </c>
      <c r="J20" s="31">
        <v>5</v>
      </c>
      <c r="K20" s="31">
        <v>517.1</v>
      </c>
      <c r="L20" s="32">
        <v>203618990</v>
      </c>
      <c r="M20" s="32">
        <v>1100000031435771</v>
      </c>
      <c r="N20" s="31" t="s">
        <v>275</v>
      </c>
      <c r="O20" s="31"/>
    </row>
    <row r="21" spans="1:15">
      <c r="A21" s="31"/>
      <c r="B21" s="31" t="s">
        <v>273</v>
      </c>
      <c r="C21" s="31" t="s">
        <v>274</v>
      </c>
      <c r="D21" s="31" t="s">
        <v>271</v>
      </c>
      <c r="E21" s="31" t="s">
        <v>249</v>
      </c>
      <c r="F21" s="31" t="s">
        <v>250</v>
      </c>
      <c r="G21" s="31" t="s">
        <v>250</v>
      </c>
      <c r="H21" s="31" t="s">
        <v>251</v>
      </c>
      <c r="I21" s="31" t="b">
        <v>0</v>
      </c>
      <c r="J21" s="31">
        <v>14</v>
      </c>
      <c r="K21" s="31">
        <v>517.1</v>
      </c>
      <c r="L21" s="32">
        <v>203667601</v>
      </c>
      <c r="M21" s="32">
        <v>1100000031435771</v>
      </c>
      <c r="N21" s="31" t="s">
        <v>275</v>
      </c>
      <c r="O21" s="31"/>
    </row>
    <row r="22" spans="1:15">
      <c r="A22" s="31"/>
      <c r="B22" s="31" t="s">
        <v>273</v>
      </c>
      <c r="C22" s="31" t="s">
        <v>274</v>
      </c>
      <c r="D22" s="31" t="s">
        <v>271</v>
      </c>
      <c r="E22" s="31" t="s">
        <v>249</v>
      </c>
      <c r="F22" s="31" t="s">
        <v>250</v>
      </c>
      <c r="G22" s="31" t="s">
        <v>250</v>
      </c>
      <c r="H22" s="31" t="s">
        <v>251</v>
      </c>
      <c r="I22" s="31" t="b">
        <v>0</v>
      </c>
      <c r="J22" s="31">
        <v>1</v>
      </c>
      <c r="K22" s="31">
        <v>517.1</v>
      </c>
      <c r="L22" s="32">
        <v>203621030</v>
      </c>
      <c r="M22" s="32">
        <v>1100000031435771</v>
      </c>
      <c r="N22" s="31" t="s">
        <v>275</v>
      </c>
      <c r="O22" s="31"/>
    </row>
    <row r="23" spans="1:15">
      <c r="A23" s="31"/>
      <c r="B23" s="31" t="s">
        <v>276</v>
      </c>
      <c r="C23" s="31" t="s">
        <v>277</v>
      </c>
      <c r="D23" s="31" t="s">
        <v>271</v>
      </c>
      <c r="E23" s="31" t="s">
        <v>249</v>
      </c>
      <c r="F23" s="31" t="s">
        <v>250</v>
      </c>
      <c r="G23" s="31" t="s">
        <v>250</v>
      </c>
      <c r="H23" s="31" t="s">
        <v>251</v>
      </c>
      <c r="I23" s="31" t="b">
        <v>0</v>
      </c>
      <c r="J23" s="31">
        <v>13</v>
      </c>
      <c r="K23" s="31">
        <v>1289.2</v>
      </c>
      <c r="L23" s="32">
        <v>603829142</v>
      </c>
      <c r="M23" s="32">
        <v>1300000030742059</v>
      </c>
      <c r="N23" s="31" t="s">
        <v>278</v>
      </c>
      <c r="O23" s="31"/>
    </row>
    <row r="24" spans="1:15">
      <c r="A24" s="31"/>
      <c r="B24" s="31" t="s">
        <v>276</v>
      </c>
      <c r="C24" s="31" t="s">
        <v>277</v>
      </c>
      <c r="D24" s="31" t="s">
        <v>271</v>
      </c>
      <c r="E24" s="31" t="s">
        <v>249</v>
      </c>
      <c r="F24" s="31" t="s">
        <v>250</v>
      </c>
      <c r="G24" s="31" t="s">
        <v>250</v>
      </c>
      <c r="H24" s="31" t="s">
        <v>251</v>
      </c>
      <c r="I24" s="31" t="b">
        <v>0</v>
      </c>
      <c r="J24" s="31">
        <v>11</v>
      </c>
      <c r="K24" s="31">
        <v>1289.2</v>
      </c>
      <c r="L24" s="32">
        <v>603829143</v>
      </c>
      <c r="M24" s="32">
        <v>1300000030742059</v>
      </c>
      <c r="N24" s="31" t="s">
        <v>278</v>
      </c>
      <c r="O24" s="31"/>
    </row>
    <row r="25" spans="1:15">
      <c r="A25" s="31"/>
      <c r="B25" s="31" t="s">
        <v>276</v>
      </c>
      <c r="C25" s="31" t="s">
        <v>277</v>
      </c>
      <c r="D25" s="31" t="s">
        <v>271</v>
      </c>
      <c r="E25" s="31" t="s">
        <v>249</v>
      </c>
      <c r="F25" s="31" t="s">
        <v>250</v>
      </c>
      <c r="G25" s="31" t="s">
        <v>250</v>
      </c>
      <c r="H25" s="31" t="s">
        <v>251</v>
      </c>
      <c r="I25" s="31" t="b">
        <v>0</v>
      </c>
      <c r="J25" s="31">
        <v>10</v>
      </c>
      <c r="K25" s="31">
        <v>1289.2</v>
      </c>
      <c r="L25" s="32">
        <v>603825496</v>
      </c>
      <c r="M25" s="32">
        <v>1300000030742059</v>
      </c>
      <c r="N25" s="31" t="s">
        <v>278</v>
      </c>
      <c r="O25" s="31"/>
    </row>
    <row r="26" spans="1:15">
      <c r="A26" s="31"/>
      <c r="B26" s="31" t="s">
        <v>276</v>
      </c>
      <c r="C26" s="31" t="s">
        <v>277</v>
      </c>
      <c r="D26" s="31" t="s">
        <v>271</v>
      </c>
      <c r="E26" s="31" t="s">
        <v>249</v>
      </c>
      <c r="F26" s="31" t="s">
        <v>250</v>
      </c>
      <c r="G26" s="31" t="s">
        <v>250</v>
      </c>
      <c r="H26" s="31" t="s">
        <v>251</v>
      </c>
      <c r="I26" s="31" t="b">
        <v>0</v>
      </c>
      <c r="J26" s="31">
        <v>3</v>
      </c>
      <c r="K26" s="31">
        <v>1289.2</v>
      </c>
      <c r="L26" s="32">
        <v>603832890</v>
      </c>
      <c r="M26" s="32">
        <v>1300000030742059</v>
      </c>
      <c r="N26" s="31" t="s">
        <v>278</v>
      </c>
      <c r="O26" s="31"/>
    </row>
    <row r="27" spans="1:15">
      <c r="A27" s="31"/>
      <c r="B27" s="31" t="s">
        <v>279</v>
      </c>
      <c r="C27" s="31" t="s">
        <v>280</v>
      </c>
      <c r="D27" s="31" t="s">
        <v>271</v>
      </c>
      <c r="E27" s="31" t="s">
        <v>249</v>
      </c>
      <c r="F27" s="31" t="s">
        <v>250</v>
      </c>
      <c r="G27" s="31" t="s">
        <v>250</v>
      </c>
      <c r="H27" s="31" t="s">
        <v>251</v>
      </c>
      <c r="I27" s="31" t="b">
        <v>0</v>
      </c>
      <c r="J27" s="31">
        <v>60</v>
      </c>
      <c r="K27" s="31">
        <v>1562.4</v>
      </c>
      <c r="L27" s="32">
        <v>403366394</v>
      </c>
      <c r="M27" s="32">
        <v>1200000033081200</v>
      </c>
      <c r="N27" s="31" t="s">
        <v>281</v>
      </c>
      <c r="O27" s="31"/>
    </row>
    <row r="28" spans="1:15">
      <c r="A28" s="31"/>
      <c r="B28" s="31" t="s">
        <v>58</v>
      </c>
      <c r="C28" s="31" t="s">
        <v>282</v>
      </c>
      <c r="D28" s="31" t="s">
        <v>283</v>
      </c>
      <c r="E28" s="31" t="s">
        <v>249</v>
      </c>
      <c r="F28" s="31" t="s">
        <v>250</v>
      </c>
      <c r="G28" s="31" t="s">
        <v>250</v>
      </c>
      <c r="H28" s="31" t="s">
        <v>251</v>
      </c>
      <c r="I28" s="31" t="b">
        <v>0</v>
      </c>
      <c r="J28" s="31">
        <v>17</v>
      </c>
      <c r="K28" s="31">
        <v>785.35</v>
      </c>
      <c r="L28" s="32">
        <v>1789285</v>
      </c>
      <c r="M28" s="32">
        <v>1000000016049556</v>
      </c>
      <c r="N28" s="31" t="s">
        <v>284</v>
      </c>
      <c r="O28" s="31"/>
    </row>
    <row r="29" spans="1:15">
      <c r="A29" s="31"/>
      <c r="B29" s="31" t="s">
        <v>58</v>
      </c>
      <c r="C29" s="31" t="s">
        <v>282</v>
      </c>
      <c r="D29" s="31" t="s">
        <v>283</v>
      </c>
      <c r="E29" s="31" t="s">
        <v>249</v>
      </c>
      <c r="F29" s="31" t="s">
        <v>250</v>
      </c>
      <c r="G29" s="31" t="s">
        <v>250</v>
      </c>
      <c r="H29" s="31" t="s">
        <v>251</v>
      </c>
      <c r="I29" s="31" t="b">
        <v>0</v>
      </c>
      <c r="J29" s="31">
        <v>16</v>
      </c>
      <c r="K29" s="31">
        <v>785.35</v>
      </c>
      <c r="L29" s="32">
        <v>1789286</v>
      </c>
      <c r="M29" s="32">
        <v>1000000016049556</v>
      </c>
      <c r="N29" s="31" t="s">
        <v>284</v>
      </c>
      <c r="O29" s="31"/>
    </row>
    <row r="30" spans="1:15">
      <c r="A30" s="31"/>
      <c r="B30" s="31" t="s">
        <v>285</v>
      </c>
      <c r="C30" s="31" t="s">
        <v>286</v>
      </c>
      <c r="D30" s="31" t="s">
        <v>287</v>
      </c>
      <c r="E30" s="31" t="s">
        <v>249</v>
      </c>
      <c r="F30" s="31" t="s">
        <v>250</v>
      </c>
      <c r="G30" s="31" t="s">
        <v>250</v>
      </c>
      <c r="H30" s="31" t="s">
        <v>251</v>
      </c>
      <c r="I30" s="31" t="b">
        <v>0</v>
      </c>
      <c r="J30" s="31">
        <v>35</v>
      </c>
      <c r="K30" s="31">
        <v>716.85</v>
      </c>
      <c r="L30" s="32">
        <v>208118057</v>
      </c>
      <c r="M30" s="32">
        <v>1100000062670206</v>
      </c>
      <c r="N30" s="31" t="s">
        <v>288</v>
      </c>
      <c r="O30" s="31"/>
    </row>
    <row r="31" spans="1:15">
      <c r="A31" s="31"/>
      <c r="B31" s="31" t="s">
        <v>289</v>
      </c>
      <c r="C31" s="31" t="s">
        <v>290</v>
      </c>
      <c r="D31" s="31" t="s">
        <v>291</v>
      </c>
      <c r="E31" s="31" t="s">
        <v>249</v>
      </c>
      <c r="F31" s="31" t="s">
        <v>250</v>
      </c>
      <c r="G31" s="31" t="s">
        <v>250</v>
      </c>
      <c r="H31" s="31" t="s">
        <v>251</v>
      </c>
      <c r="I31" s="31" t="b">
        <v>0</v>
      </c>
      <c r="J31" s="31">
        <v>43</v>
      </c>
      <c r="K31" s="31">
        <v>119.3</v>
      </c>
      <c r="L31" s="32">
        <v>5959861</v>
      </c>
      <c r="M31" s="32">
        <v>1000000060868317</v>
      </c>
      <c r="N31" s="31" t="s">
        <v>292</v>
      </c>
      <c r="O31" s="31"/>
    </row>
    <row r="32" spans="1:15">
      <c r="A32" s="31"/>
      <c r="B32" s="31" t="s">
        <v>289</v>
      </c>
      <c r="C32" s="31" t="s">
        <v>290</v>
      </c>
      <c r="D32" s="31" t="s">
        <v>291</v>
      </c>
      <c r="E32" s="31" t="s">
        <v>249</v>
      </c>
      <c r="F32" s="31" t="s">
        <v>250</v>
      </c>
      <c r="G32" s="31" t="s">
        <v>250</v>
      </c>
      <c r="H32" s="31" t="s">
        <v>251</v>
      </c>
      <c r="I32" s="31" t="b">
        <v>0</v>
      </c>
      <c r="J32" s="31">
        <v>77</v>
      </c>
      <c r="K32" s="31">
        <v>119.3</v>
      </c>
      <c r="L32" s="32">
        <v>5959859</v>
      </c>
      <c r="M32" s="32">
        <v>1000000060868317</v>
      </c>
      <c r="N32" s="31" t="s">
        <v>292</v>
      </c>
      <c r="O32" s="31"/>
    </row>
    <row r="33" spans="1:15">
      <c r="A33" s="31"/>
      <c r="B33" s="31" t="s">
        <v>289</v>
      </c>
      <c r="C33" s="31" t="s">
        <v>290</v>
      </c>
      <c r="D33" s="31" t="s">
        <v>291</v>
      </c>
      <c r="E33" s="31" t="s">
        <v>249</v>
      </c>
      <c r="F33" s="31" t="s">
        <v>250</v>
      </c>
      <c r="G33" s="31" t="s">
        <v>250</v>
      </c>
      <c r="H33" s="31" t="s">
        <v>251</v>
      </c>
      <c r="I33" s="31" t="b">
        <v>0</v>
      </c>
      <c r="J33" s="31">
        <v>100</v>
      </c>
      <c r="K33" s="31">
        <v>119.3</v>
      </c>
      <c r="L33" s="32">
        <v>5959860</v>
      </c>
      <c r="M33" s="32">
        <v>1000000060868317</v>
      </c>
      <c r="N33" s="31" t="s">
        <v>292</v>
      </c>
      <c r="O33" s="31"/>
    </row>
    <row r="34" spans="1:15">
      <c r="A34" s="31"/>
      <c r="B34" s="31" t="s">
        <v>269</v>
      </c>
      <c r="C34" s="31" t="s">
        <v>270</v>
      </c>
      <c r="D34" s="31" t="s">
        <v>291</v>
      </c>
      <c r="E34" s="31" t="s">
        <v>249</v>
      </c>
      <c r="F34" s="31" t="s">
        <v>250</v>
      </c>
      <c r="G34" s="31" t="s">
        <v>250</v>
      </c>
      <c r="H34" s="31" t="s">
        <v>251</v>
      </c>
      <c r="I34" s="31" t="b">
        <v>0</v>
      </c>
      <c r="J34" s="31">
        <v>55</v>
      </c>
      <c r="K34" s="31">
        <v>189</v>
      </c>
      <c r="L34" s="32">
        <v>6217725</v>
      </c>
      <c r="M34" s="32">
        <v>1000000063494426</v>
      </c>
      <c r="N34" s="31" t="s">
        <v>293</v>
      </c>
      <c r="O34" s="31"/>
    </row>
    <row r="35" spans="1:15">
      <c r="A35" s="31"/>
      <c r="B35" s="31" t="s">
        <v>269</v>
      </c>
      <c r="C35" s="31" t="s">
        <v>270</v>
      </c>
      <c r="D35" s="31" t="s">
        <v>291</v>
      </c>
      <c r="E35" s="31" t="s">
        <v>249</v>
      </c>
      <c r="F35" s="31" t="s">
        <v>250</v>
      </c>
      <c r="G35" s="31" t="s">
        <v>250</v>
      </c>
      <c r="H35" s="31" t="s">
        <v>251</v>
      </c>
      <c r="I35" s="31" t="b">
        <v>0</v>
      </c>
      <c r="J35" s="31">
        <v>62</v>
      </c>
      <c r="K35" s="31">
        <v>188.99</v>
      </c>
      <c r="L35" s="32">
        <v>6217724</v>
      </c>
      <c r="M35" s="32">
        <v>1000000063494426</v>
      </c>
      <c r="N35" s="31" t="s">
        <v>293</v>
      </c>
      <c r="O35" s="31"/>
    </row>
    <row r="36" spans="1:15">
      <c r="A36" s="31"/>
      <c r="B36" s="31" t="s">
        <v>269</v>
      </c>
      <c r="C36" s="31" t="s">
        <v>270</v>
      </c>
      <c r="D36" s="31" t="s">
        <v>291</v>
      </c>
      <c r="E36" s="31" t="s">
        <v>249</v>
      </c>
      <c r="F36" s="31" t="s">
        <v>250</v>
      </c>
      <c r="G36" s="31" t="s">
        <v>250</v>
      </c>
      <c r="H36" s="31" t="s">
        <v>251</v>
      </c>
      <c r="I36" s="31" t="b">
        <v>0</v>
      </c>
      <c r="J36" s="31">
        <v>14</v>
      </c>
      <c r="K36" s="31">
        <v>188.94</v>
      </c>
      <c r="L36" s="32">
        <v>6217723</v>
      </c>
      <c r="M36" s="32">
        <v>1000000063494426</v>
      </c>
      <c r="N36" s="31" t="s">
        <v>293</v>
      </c>
      <c r="O36" s="31"/>
    </row>
    <row r="37" spans="1:15">
      <c r="A37" s="31"/>
      <c r="B37" s="31" t="s">
        <v>273</v>
      </c>
      <c r="C37" s="31" t="s">
        <v>274</v>
      </c>
      <c r="D37" s="31" t="s">
        <v>291</v>
      </c>
      <c r="E37" s="31" t="s">
        <v>249</v>
      </c>
      <c r="F37" s="31" t="s">
        <v>250</v>
      </c>
      <c r="G37" s="31" t="s">
        <v>250</v>
      </c>
      <c r="H37" s="31" t="s">
        <v>251</v>
      </c>
      <c r="I37" s="31" t="b">
        <v>0</v>
      </c>
      <c r="J37" s="31">
        <v>54</v>
      </c>
      <c r="K37" s="31">
        <v>577.79999999999995</v>
      </c>
      <c r="L37" s="32">
        <v>206567205</v>
      </c>
      <c r="M37" s="32">
        <v>1100000055164659</v>
      </c>
      <c r="N37" s="31" t="s">
        <v>294</v>
      </c>
      <c r="O37" s="31"/>
    </row>
    <row r="38" spans="1:15">
      <c r="A38" s="31"/>
      <c r="B38" s="31" t="s">
        <v>273</v>
      </c>
      <c r="C38" s="31" t="s">
        <v>274</v>
      </c>
      <c r="D38" s="31" t="s">
        <v>291</v>
      </c>
      <c r="E38" s="31" t="s">
        <v>249</v>
      </c>
      <c r="F38" s="31" t="s">
        <v>250</v>
      </c>
      <c r="G38" s="31" t="s">
        <v>250</v>
      </c>
      <c r="H38" s="31" t="s">
        <v>251</v>
      </c>
      <c r="I38" s="31" t="b">
        <v>0</v>
      </c>
      <c r="J38" s="31">
        <v>33</v>
      </c>
      <c r="K38" s="31">
        <v>577.85</v>
      </c>
      <c r="L38" s="32">
        <v>206567206</v>
      </c>
      <c r="M38" s="32">
        <v>1100000055164659</v>
      </c>
      <c r="N38" s="31" t="s">
        <v>294</v>
      </c>
      <c r="O38" s="31"/>
    </row>
    <row r="39" spans="1:15">
      <c r="A39" s="31"/>
      <c r="B39" s="31" t="s">
        <v>295</v>
      </c>
      <c r="C39" s="31" t="s">
        <v>296</v>
      </c>
      <c r="D39" s="31" t="s">
        <v>297</v>
      </c>
      <c r="E39" s="31" t="s">
        <v>249</v>
      </c>
      <c r="F39" s="31" t="s">
        <v>250</v>
      </c>
      <c r="G39" s="31" t="s">
        <v>250</v>
      </c>
      <c r="H39" s="31" t="s">
        <v>251</v>
      </c>
      <c r="I39" s="31" t="b">
        <v>0</v>
      </c>
      <c r="J39" s="31">
        <v>16</v>
      </c>
      <c r="K39" s="31">
        <v>880</v>
      </c>
      <c r="L39" s="32">
        <v>606877843</v>
      </c>
      <c r="M39" s="32">
        <v>1300000066618858</v>
      </c>
      <c r="N39" s="31" t="s">
        <v>298</v>
      </c>
      <c r="O39" s="31"/>
    </row>
    <row r="40" spans="1:15">
      <c r="A40" s="31"/>
      <c r="B40" s="31" t="s">
        <v>295</v>
      </c>
      <c r="C40" s="31" t="s">
        <v>296</v>
      </c>
      <c r="D40" s="31" t="s">
        <v>297</v>
      </c>
      <c r="E40" s="31" t="s">
        <v>249</v>
      </c>
      <c r="F40" s="31" t="s">
        <v>250</v>
      </c>
      <c r="G40" s="31" t="s">
        <v>250</v>
      </c>
      <c r="H40" s="31" t="s">
        <v>251</v>
      </c>
      <c r="I40" s="31" t="b">
        <v>0</v>
      </c>
      <c r="J40" s="31">
        <v>40</v>
      </c>
      <c r="K40" s="31">
        <v>880</v>
      </c>
      <c r="L40" s="32">
        <v>606877841</v>
      </c>
      <c r="M40" s="32">
        <v>1300000066618858</v>
      </c>
      <c r="N40" s="31" t="s">
        <v>298</v>
      </c>
      <c r="O40" s="31"/>
    </row>
    <row r="41" spans="1:15">
      <c r="A41" s="31"/>
      <c r="B41" s="31" t="s">
        <v>295</v>
      </c>
      <c r="C41" s="31" t="s">
        <v>296</v>
      </c>
      <c r="D41" s="31" t="s">
        <v>297</v>
      </c>
      <c r="E41" s="31" t="s">
        <v>249</v>
      </c>
      <c r="F41" s="31" t="s">
        <v>250</v>
      </c>
      <c r="G41" s="31" t="s">
        <v>250</v>
      </c>
      <c r="H41" s="31" t="s">
        <v>251</v>
      </c>
      <c r="I41" s="31" t="b">
        <v>0</v>
      </c>
      <c r="J41" s="31">
        <v>1</v>
      </c>
      <c r="K41" s="31">
        <v>880</v>
      </c>
      <c r="L41" s="32">
        <v>606877842</v>
      </c>
      <c r="M41" s="32">
        <v>1300000066618858</v>
      </c>
      <c r="N41" s="31" t="s">
        <v>298</v>
      </c>
      <c r="O41" s="31"/>
    </row>
    <row r="42" spans="1:15">
      <c r="A42" s="31"/>
      <c r="B42" s="31" t="s">
        <v>261</v>
      </c>
      <c r="C42" s="31" t="s">
        <v>262</v>
      </c>
      <c r="D42" s="31" t="s">
        <v>299</v>
      </c>
      <c r="E42" s="31" t="s">
        <v>249</v>
      </c>
      <c r="F42" s="31" t="s">
        <v>250</v>
      </c>
      <c r="G42" s="31" t="s">
        <v>250</v>
      </c>
      <c r="H42" s="31" t="s">
        <v>300</v>
      </c>
      <c r="I42" s="31" t="b">
        <v>0</v>
      </c>
      <c r="J42" s="31">
        <v>7</v>
      </c>
      <c r="K42" s="31">
        <v>3390.5</v>
      </c>
      <c r="L42" s="32">
        <v>602384371</v>
      </c>
      <c r="M42" s="32">
        <v>1300000019285280</v>
      </c>
      <c r="N42" s="31" t="s">
        <v>301</v>
      </c>
      <c r="O42" s="31"/>
    </row>
    <row r="43" spans="1:15">
      <c r="A43" s="31"/>
      <c r="B43" s="31" t="s">
        <v>261</v>
      </c>
      <c r="C43" s="31" t="s">
        <v>262</v>
      </c>
      <c r="D43" s="31" t="s">
        <v>299</v>
      </c>
      <c r="E43" s="31" t="s">
        <v>249</v>
      </c>
      <c r="F43" s="31" t="s">
        <v>250</v>
      </c>
      <c r="G43" s="31" t="s">
        <v>250</v>
      </c>
      <c r="H43" s="31" t="s">
        <v>300</v>
      </c>
      <c r="I43" s="31" t="b">
        <v>0</v>
      </c>
      <c r="J43" s="31">
        <v>8</v>
      </c>
      <c r="K43" s="31">
        <v>3390.5</v>
      </c>
      <c r="L43" s="32">
        <v>602384370</v>
      </c>
      <c r="M43" s="32">
        <v>1300000019285280</v>
      </c>
      <c r="N43" s="31" t="s">
        <v>301</v>
      </c>
      <c r="O43" s="31"/>
    </row>
    <row r="44" spans="1:15">
      <c r="A44" s="31"/>
      <c r="B44" s="31" t="s">
        <v>261</v>
      </c>
      <c r="C44" s="31" t="s">
        <v>262</v>
      </c>
      <c r="D44" s="31" t="s">
        <v>299</v>
      </c>
      <c r="E44" s="31" t="s">
        <v>249</v>
      </c>
      <c r="F44" s="31" t="s">
        <v>250</v>
      </c>
      <c r="G44" s="31" t="s">
        <v>250</v>
      </c>
      <c r="H44" s="31" t="s">
        <v>300</v>
      </c>
      <c r="I44" s="31" t="b">
        <v>0</v>
      </c>
      <c r="J44" s="31">
        <v>1</v>
      </c>
      <c r="K44" s="31">
        <v>3390.5</v>
      </c>
      <c r="L44" s="32">
        <v>602384368</v>
      </c>
      <c r="M44" s="32">
        <v>1300000019285280</v>
      </c>
      <c r="N44" s="31" t="s">
        <v>301</v>
      </c>
      <c r="O44" s="31"/>
    </row>
    <row r="45" spans="1:15">
      <c r="A45" s="31"/>
      <c r="B45" s="31" t="s">
        <v>261</v>
      </c>
      <c r="C45" s="31" t="s">
        <v>262</v>
      </c>
      <c r="D45" s="31" t="s">
        <v>299</v>
      </c>
      <c r="E45" s="31" t="s">
        <v>249</v>
      </c>
      <c r="F45" s="31" t="s">
        <v>250</v>
      </c>
      <c r="G45" s="31" t="s">
        <v>250</v>
      </c>
      <c r="H45" s="31" t="s">
        <v>300</v>
      </c>
      <c r="I45" s="31" t="b">
        <v>0</v>
      </c>
      <c r="J45" s="31">
        <v>9</v>
      </c>
      <c r="K45" s="31">
        <v>3390.5</v>
      </c>
      <c r="L45" s="32">
        <v>602384369</v>
      </c>
      <c r="M45" s="32">
        <v>1300000019285280</v>
      </c>
      <c r="N45" s="31" t="s">
        <v>301</v>
      </c>
      <c r="O45" s="31"/>
    </row>
    <row r="46" spans="1:15">
      <c r="A46" s="31"/>
      <c r="B46" s="31" t="s">
        <v>258</v>
      </c>
      <c r="C46" s="31" t="s">
        <v>259</v>
      </c>
      <c r="D46" s="31" t="s">
        <v>299</v>
      </c>
      <c r="E46" s="31" t="s">
        <v>249</v>
      </c>
      <c r="F46" s="31" t="s">
        <v>250</v>
      </c>
      <c r="G46" s="31" t="s">
        <v>250</v>
      </c>
      <c r="H46" s="31" t="s">
        <v>300</v>
      </c>
      <c r="I46" s="31" t="b">
        <v>0</v>
      </c>
      <c r="J46" s="31">
        <v>2</v>
      </c>
      <c r="K46" s="31">
        <v>4180.2002000000002</v>
      </c>
      <c r="L46" s="32">
        <v>602393098</v>
      </c>
      <c r="M46" s="32">
        <v>1300000019368715</v>
      </c>
      <c r="N46" s="31" t="s">
        <v>302</v>
      </c>
      <c r="O46" s="31"/>
    </row>
    <row r="47" spans="1:15">
      <c r="A47" s="31"/>
      <c r="B47" s="31" t="s">
        <v>258</v>
      </c>
      <c r="C47" s="31" t="s">
        <v>259</v>
      </c>
      <c r="D47" s="31" t="s">
        <v>299</v>
      </c>
      <c r="E47" s="31" t="s">
        <v>249</v>
      </c>
      <c r="F47" s="31" t="s">
        <v>250</v>
      </c>
      <c r="G47" s="31" t="s">
        <v>250</v>
      </c>
      <c r="H47" s="31" t="s">
        <v>300</v>
      </c>
      <c r="I47" s="31" t="b">
        <v>0</v>
      </c>
      <c r="J47" s="31">
        <v>4</v>
      </c>
      <c r="K47" s="31">
        <v>4180.2997999999998</v>
      </c>
      <c r="L47" s="32">
        <v>602393093</v>
      </c>
      <c r="M47" s="32">
        <v>1300000019368715</v>
      </c>
      <c r="N47" s="31" t="s">
        <v>302</v>
      </c>
      <c r="O47" s="31"/>
    </row>
    <row r="48" spans="1:15">
      <c r="A48" s="31"/>
      <c r="B48" s="31" t="s">
        <v>258</v>
      </c>
      <c r="C48" s="31" t="s">
        <v>259</v>
      </c>
      <c r="D48" s="31" t="s">
        <v>299</v>
      </c>
      <c r="E48" s="31" t="s">
        <v>249</v>
      </c>
      <c r="F48" s="31" t="s">
        <v>250</v>
      </c>
      <c r="G48" s="31" t="s">
        <v>250</v>
      </c>
      <c r="H48" s="31" t="s">
        <v>300</v>
      </c>
      <c r="I48" s="31" t="b">
        <v>0</v>
      </c>
      <c r="J48" s="31">
        <v>1</v>
      </c>
      <c r="K48" s="31">
        <v>4180.2002000000002</v>
      </c>
      <c r="L48" s="32">
        <v>602393095</v>
      </c>
      <c r="M48" s="32">
        <v>1300000019368715</v>
      </c>
      <c r="N48" s="31" t="s">
        <v>302</v>
      </c>
      <c r="O48" s="31"/>
    </row>
    <row r="49" spans="1:15">
      <c r="A49" s="31"/>
      <c r="B49" s="31" t="s">
        <v>258</v>
      </c>
      <c r="C49" s="31" t="s">
        <v>259</v>
      </c>
      <c r="D49" s="31" t="s">
        <v>299</v>
      </c>
      <c r="E49" s="31" t="s">
        <v>249</v>
      </c>
      <c r="F49" s="31" t="s">
        <v>250</v>
      </c>
      <c r="G49" s="31" t="s">
        <v>250</v>
      </c>
      <c r="H49" s="31" t="s">
        <v>300</v>
      </c>
      <c r="I49" s="31" t="b">
        <v>0</v>
      </c>
      <c r="J49" s="31">
        <v>1</v>
      </c>
      <c r="K49" s="31">
        <v>4180.2997999999998</v>
      </c>
      <c r="L49" s="32">
        <v>602393092</v>
      </c>
      <c r="M49" s="32">
        <v>1300000019368715</v>
      </c>
      <c r="N49" s="31" t="s">
        <v>302</v>
      </c>
      <c r="O49" s="31"/>
    </row>
    <row r="50" spans="1:15">
      <c r="A50" s="31"/>
      <c r="B50" s="31" t="s">
        <v>258</v>
      </c>
      <c r="C50" s="31" t="s">
        <v>259</v>
      </c>
      <c r="D50" s="31" t="s">
        <v>299</v>
      </c>
      <c r="E50" s="31" t="s">
        <v>249</v>
      </c>
      <c r="F50" s="31" t="s">
        <v>250</v>
      </c>
      <c r="G50" s="31" t="s">
        <v>250</v>
      </c>
      <c r="H50" s="31" t="s">
        <v>300</v>
      </c>
      <c r="I50" s="31" t="b">
        <v>0</v>
      </c>
      <c r="J50" s="31">
        <v>8</v>
      </c>
      <c r="K50" s="31">
        <v>4180</v>
      </c>
      <c r="L50" s="32">
        <v>602393099</v>
      </c>
      <c r="M50" s="32">
        <v>1300000019368715</v>
      </c>
      <c r="N50" s="31" t="s">
        <v>302</v>
      </c>
      <c r="O50" s="31"/>
    </row>
    <row r="51" spans="1:15">
      <c r="A51" s="31"/>
      <c r="B51" s="31" t="s">
        <v>279</v>
      </c>
      <c r="C51" s="31" t="s">
        <v>280</v>
      </c>
      <c r="D51" s="31" t="s">
        <v>299</v>
      </c>
      <c r="E51" s="31" t="s">
        <v>249</v>
      </c>
      <c r="F51" s="31" t="s">
        <v>250</v>
      </c>
      <c r="G51" s="31" t="s">
        <v>250</v>
      </c>
      <c r="H51" s="31" t="s">
        <v>300</v>
      </c>
      <c r="I51" s="31" t="b">
        <v>0</v>
      </c>
      <c r="J51" s="31">
        <v>8</v>
      </c>
      <c r="K51" s="31">
        <v>1476.9</v>
      </c>
      <c r="L51" s="32">
        <v>402017002</v>
      </c>
      <c r="M51" s="32">
        <v>1200000018561473</v>
      </c>
      <c r="N51" s="31" t="s">
        <v>303</v>
      </c>
      <c r="O51" s="31"/>
    </row>
    <row r="52" spans="1:15">
      <c r="A52" s="31"/>
      <c r="B52" s="31" t="s">
        <v>279</v>
      </c>
      <c r="C52" s="31" t="s">
        <v>280</v>
      </c>
      <c r="D52" s="31" t="s">
        <v>299</v>
      </c>
      <c r="E52" s="31" t="s">
        <v>249</v>
      </c>
      <c r="F52" s="31" t="s">
        <v>250</v>
      </c>
      <c r="G52" s="31" t="s">
        <v>250</v>
      </c>
      <c r="H52" s="31" t="s">
        <v>300</v>
      </c>
      <c r="I52" s="31" t="b">
        <v>0</v>
      </c>
      <c r="J52" s="31">
        <v>7</v>
      </c>
      <c r="K52" s="31">
        <v>1476.9</v>
      </c>
      <c r="L52" s="32">
        <v>402017003</v>
      </c>
      <c r="M52" s="32">
        <v>1200000018561473</v>
      </c>
      <c r="N52" s="31" t="s">
        <v>303</v>
      </c>
      <c r="O52" s="31"/>
    </row>
    <row r="53" spans="1:15">
      <c r="A53" s="31"/>
      <c r="B53" s="31" t="s">
        <v>279</v>
      </c>
      <c r="C53" s="31" t="s">
        <v>280</v>
      </c>
      <c r="D53" s="31" t="s">
        <v>299</v>
      </c>
      <c r="E53" s="31" t="s">
        <v>249</v>
      </c>
      <c r="F53" s="31" t="s">
        <v>250</v>
      </c>
      <c r="G53" s="31" t="s">
        <v>250</v>
      </c>
      <c r="H53" s="31" t="s">
        <v>300</v>
      </c>
      <c r="I53" s="31" t="b">
        <v>0</v>
      </c>
      <c r="J53" s="31">
        <v>4</v>
      </c>
      <c r="K53" s="31">
        <v>1477.1</v>
      </c>
      <c r="L53" s="32">
        <v>402016996</v>
      </c>
      <c r="M53" s="32">
        <v>1200000018561473</v>
      </c>
      <c r="N53" s="31" t="s">
        <v>303</v>
      </c>
      <c r="O53" s="31"/>
    </row>
    <row r="54" spans="1:15">
      <c r="A54" s="31"/>
      <c r="B54" s="31" t="s">
        <v>279</v>
      </c>
      <c r="C54" s="31" t="s">
        <v>280</v>
      </c>
      <c r="D54" s="31" t="s">
        <v>299</v>
      </c>
      <c r="E54" s="31" t="s">
        <v>249</v>
      </c>
      <c r="F54" s="31" t="s">
        <v>250</v>
      </c>
      <c r="G54" s="31" t="s">
        <v>250</v>
      </c>
      <c r="H54" s="31" t="s">
        <v>300</v>
      </c>
      <c r="I54" s="31" t="b">
        <v>0</v>
      </c>
      <c r="J54" s="31">
        <v>2</v>
      </c>
      <c r="K54" s="31">
        <v>1477.1</v>
      </c>
      <c r="L54" s="32">
        <v>402016994</v>
      </c>
      <c r="M54" s="32">
        <v>1200000018561473</v>
      </c>
      <c r="N54" s="31" t="s">
        <v>303</v>
      </c>
      <c r="O54" s="31"/>
    </row>
    <row r="55" spans="1:15">
      <c r="A55" s="31"/>
      <c r="B55" s="31" t="s">
        <v>279</v>
      </c>
      <c r="C55" s="31" t="s">
        <v>280</v>
      </c>
      <c r="D55" s="31" t="s">
        <v>299</v>
      </c>
      <c r="E55" s="31" t="s">
        <v>249</v>
      </c>
      <c r="F55" s="31" t="s">
        <v>250</v>
      </c>
      <c r="G55" s="31" t="s">
        <v>250</v>
      </c>
      <c r="H55" s="31" t="s">
        <v>300</v>
      </c>
      <c r="I55" s="31" t="b">
        <v>0</v>
      </c>
      <c r="J55" s="31">
        <v>1</v>
      </c>
      <c r="K55" s="31">
        <v>1477</v>
      </c>
      <c r="L55" s="32">
        <v>402017000</v>
      </c>
      <c r="M55" s="32">
        <v>1200000018561473</v>
      </c>
      <c r="N55" s="31" t="s">
        <v>303</v>
      </c>
      <c r="O55" s="31"/>
    </row>
    <row r="56" spans="1:15">
      <c r="A56" s="31"/>
      <c r="B56" s="31" t="s">
        <v>279</v>
      </c>
      <c r="C56" s="31" t="s">
        <v>280</v>
      </c>
      <c r="D56" s="31" t="s">
        <v>299</v>
      </c>
      <c r="E56" s="31" t="s">
        <v>249</v>
      </c>
      <c r="F56" s="31" t="s">
        <v>250</v>
      </c>
      <c r="G56" s="31" t="s">
        <v>250</v>
      </c>
      <c r="H56" s="31" t="s">
        <v>300</v>
      </c>
      <c r="I56" s="31" t="b">
        <v>0</v>
      </c>
      <c r="J56" s="31">
        <v>1</v>
      </c>
      <c r="K56" s="31">
        <v>1477.1</v>
      </c>
      <c r="L56" s="32">
        <v>402016997</v>
      </c>
      <c r="M56" s="32">
        <v>1200000018561473</v>
      </c>
      <c r="N56" s="31" t="s">
        <v>303</v>
      </c>
      <c r="O56" s="31"/>
    </row>
    <row r="57" spans="1:15">
      <c r="A57" s="31"/>
      <c r="B57" s="31" t="s">
        <v>279</v>
      </c>
      <c r="C57" s="31" t="s">
        <v>280</v>
      </c>
      <c r="D57" s="31" t="s">
        <v>299</v>
      </c>
      <c r="E57" s="31" t="s">
        <v>249</v>
      </c>
      <c r="F57" s="31" t="s">
        <v>250</v>
      </c>
      <c r="G57" s="31" t="s">
        <v>250</v>
      </c>
      <c r="H57" s="31" t="s">
        <v>300</v>
      </c>
      <c r="I57" s="31" t="b">
        <v>0</v>
      </c>
      <c r="J57" s="31">
        <v>14</v>
      </c>
      <c r="K57" s="31">
        <v>1477</v>
      </c>
      <c r="L57" s="32">
        <v>402017001</v>
      </c>
      <c r="M57" s="32">
        <v>1200000018561473</v>
      </c>
      <c r="N57" s="31" t="s">
        <v>303</v>
      </c>
      <c r="O57" s="31"/>
    </row>
    <row r="58" spans="1:15">
      <c r="A58" s="31"/>
      <c r="B58" s="31" t="s">
        <v>279</v>
      </c>
      <c r="C58" s="31" t="s">
        <v>280</v>
      </c>
      <c r="D58" s="31" t="s">
        <v>299</v>
      </c>
      <c r="E58" s="31" t="s">
        <v>249</v>
      </c>
      <c r="F58" s="31" t="s">
        <v>250</v>
      </c>
      <c r="G58" s="31" t="s">
        <v>250</v>
      </c>
      <c r="H58" s="31" t="s">
        <v>300</v>
      </c>
      <c r="I58" s="31" t="b">
        <v>0</v>
      </c>
      <c r="J58" s="31">
        <v>5</v>
      </c>
      <c r="K58" s="31">
        <v>1477.1</v>
      </c>
      <c r="L58" s="32">
        <v>402016998</v>
      </c>
      <c r="M58" s="32">
        <v>1200000018561473</v>
      </c>
      <c r="N58" s="31" t="s">
        <v>303</v>
      </c>
      <c r="O58" s="31"/>
    </row>
    <row r="59" spans="1:15">
      <c r="A59" s="31"/>
      <c r="B59" s="31" t="s">
        <v>279</v>
      </c>
      <c r="C59" s="31" t="s">
        <v>280</v>
      </c>
      <c r="D59" s="31" t="s">
        <v>299</v>
      </c>
      <c r="E59" s="31" t="s">
        <v>249</v>
      </c>
      <c r="F59" s="31" t="s">
        <v>250</v>
      </c>
      <c r="G59" s="31" t="s">
        <v>250</v>
      </c>
      <c r="H59" s="31" t="s">
        <v>300</v>
      </c>
      <c r="I59" s="31" t="b">
        <v>0</v>
      </c>
      <c r="J59" s="31">
        <v>10</v>
      </c>
      <c r="K59" s="31">
        <v>1477.1</v>
      </c>
      <c r="L59" s="32">
        <v>402016999</v>
      </c>
      <c r="M59" s="32">
        <v>1200000018561473</v>
      </c>
      <c r="N59" s="31" t="s">
        <v>303</v>
      </c>
      <c r="O59" s="31"/>
    </row>
    <row r="60" spans="1:15">
      <c r="A60" s="31"/>
      <c r="B60" s="31" t="s">
        <v>289</v>
      </c>
      <c r="C60" s="31" t="s">
        <v>290</v>
      </c>
      <c r="D60" s="31" t="s">
        <v>304</v>
      </c>
      <c r="E60" s="31" t="s">
        <v>249</v>
      </c>
      <c r="F60" s="31" t="s">
        <v>250</v>
      </c>
      <c r="G60" s="31" t="s">
        <v>250</v>
      </c>
      <c r="H60" s="31" t="s">
        <v>251</v>
      </c>
      <c r="I60" s="31" t="b">
        <v>0</v>
      </c>
      <c r="J60" s="31">
        <v>1</v>
      </c>
      <c r="K60" s="31">
        <v>126.69</v>
      </c>
      <c r="L60" s="32">
        <v>5171536</v>
      </c>
      <c r="M60" s="32">
        <v>1000000056548613</v>
      </c>
      <c r="N60" s="31" t="s">
        <v>305</v>
      </c>
      <c r="O60" s="31"/>
    </row>
    <row r="61" spans="1:15">
      <c r="A61" s="31"/>
      <c r="B61" s="31" t="s">
        <v>289</v>
      </c>
      <c r="C61" s="31" t="s">
        <v>290</v>
      </c>
      <c r="D61" s="31" t="s">
        <v>304</v>
      </c>
      <c r="E61" s="31" t="s">
        <v>249</v>
      </c>
      <c r="F61" s="31" t="s">
        <v>250</v>
      </c>
      <c r="G61" s="31" t="s">
        <v>250</v>
      </c>
      <c r="H61" s="31" t="s">
        <v>251</v>
      </c>
      <c r="I61" s="31" t="b">
        <v>0</v>
      </c>
      <c r="J61" s="31">
        <v>2</v>
      </c>
      <c r="K61" s="31">
        <v>126.67</v>
      </c>
      <c r="L61" s="32">
        <v>5171523</v>
      </c>
      <c r="M61" s="32">
        <v>1000000056548613</v>
      </c>
      <c r="N61" s="31" t="s">
        <v>305</v>
      </c>
      <c r="O61" s="31"/>
    </row>
    <row r="62" spans="1:15">
      <c r="A62" s="31"/>
      <c r="B62" s="31" t="s">
        <v>289</v>
      </c>
      <c r="C62" s="31" t="s">
        <v>290</v>
      </c>
      <c r="D62" s="31" t="s">
        <v>304</v>
      </c>
      <c r="E62" s="31" t="s">
        <v>249</v>
      </c>
      <c r="F62" s="31" t="s">
        <v>250</v>
      </c>
      <c r="G62" s="31" t="s">
        <v>250</v>
      </c>
      <c r="H62" s="31" t="s">
        <v>251</v>
      </c>
      <c r="I62" s="31" t="b">
        <v>0</v>
      </c>
      <c r="J62" s="31">
        <v>1</v>
      </c>
      <c r="K62" s="31">
        <v>126.67</v>
      </c>
      <c r="L62" s="32">
        <v>5171524</v>
      </c>
      <c r="M62" s="32">
        <v>1000000056548613</v>
      </c>
      <c r="N62" s="31" t="s">
        <v>305</v>
      </c>
      <c r="O62" s="31"/>
    </row>
    <row r="63" spans="1:15">
      <c r="A63" s="31"/>
      <c r="B63" s="31" t="s">
        <v>289</v>
      </c>
      <c r="C63" s="31" t="s">
        <v>290</v>
      </c>
      <c r="D63" s="31" t="s">
        <v>304</v>
      </c>
      <c r="E63" s="31" t="s">
        <v>249</v>
      </c>
      <c r="F63" s="31" t="s">
        <v>250</v>
      </c>
      <c r="G63" s="31" t="s">
        <v>250</v>
      </c>
      <c r="H63" s="31" t="s">
        <v>251</v>
      </c>
      <c r="I63" s="31" t="b">
        <v>0</v>
      </c>
      <c r="J63" s="31">
        <v>369</v>
      </c>
      <c r="K63" s="31">
        <v>126.7</v>
      </c>
      <c r="L63" s="32">
        <v>5171538</v>
      </c>
      <c r="M63" s="32">
        <v>1000000056548613</v>
      </c>
      <c r="N63" s="31" t="s">
        <v>305</v>
      </c>
      <c r="O63" s="31"/>
    </row>
    <row r="64" spans="1:15">
      <c r="A64" s="31"/>
      <c r="B64" s="31" t="s">
        <v>289</v>
      </c>
      <c r="C64" s="31" t="s">
        <v>290</v>
      </c>
      <c r="D64" s="31" t="s">
        <v>304</v>
      </c>
      <c r="E64" s="31" t="s">
        <v>249</v>
      </c>
      <c r="F64" s="31" t="s">
        <v>250</v>
      </c>
      <c r="G64" s="31" t="s">
        <v>250</v>
      </c>
      <c r="H64" s="31" t="s">
        <v>251</v>
      </c>
      <c r="I64" s="31" t="b">
        <v>0</v>
      </c>
      <c r="J64" s="31">
        <v>60</v>
      </c>
      <c r="K64" s="31">
        <v>126.7</v>
      </c>
      <c r="L64" s="32">
        <v>5171540</v>
      </c>
      <c r="M64" s="32">
        <v>1000000056548613</v>
      </c>
      <c r="N64" s="31" t="s">
        <v>305</v>
      </c>
      <c r="O64" s="31"/>
    </row>
    <row r="65" spans="1:15">
      <c r="A65" s="31"/>
      <c r="B65" s="31" t="s">
        <v>289</v>
      </c>
      <c r="C65" s="31" t="s">
        <v>290</v>
      </c>
      <c r="D65" s="31" t="s">
        <v>304</v>
      </c>
      <c r="E65" s="31" t="s">
        <v>249</v>
      </c>
      <c r="F65" s="31" t="s">
        <v>250</v>
      </c>
      <c r="G65" s="31" t="s">
        <v>250</v>
      </c>
      <c r="H65" s="31" t="s">
        <v>251</v>
      </c>
      <c r="I65" s="31" t="b">
        <v>0</v>
      </c>
      <c r="J65" s="31">
        <v>125</v>
      </c>
      <c r="K65" s="31">
        <v>126.69</v>
      </c>
      <c r="L65" s="32">
        <v>5171535</v>
      </c>
      <c r="M65" s="32">
        <v>1000000056548613</v>
      </c>
      <c r="N65" s="31" t="s">
        <v>305</v>
      </c>
      <c r="O65" s="31"/>
    </row>
    <row r="66" spans="1:15">
      <c r="A66" s="31"/>
      <c r="B66" s="31" t="s">
        <v>289</v>
      </c>
      <c r="C66" s="31" t="s">
        <v>290</v>
      </c>
      <c r="D66" s="31" t="s">
        <v>304</v>
      </c>
      <c r="E66" s="31" t="s">
        <v>249</v>
      </c>
      <c r="F66" s="31" t="s">
        <v>250</v>
      </c>
      <c r="G66" s="31" t="s">
        <v>250</v>
      </c>
      <c r="H66" s="31" t="s">
        <v>251</v>
      </c>
      <c r="I66" s="31" t="b">
        <v>0</v>
      </c>
      <c r="J66" s="31">
        <v>110</v>
      </c>
      <c r="K66" s="31">
        <v>126.7</v>
      </c>
      <c r="L66" s="32">
        <v>5171539</v>
      </c>
      <c r="M66" s="32">
        <v>1000000056548613</v>
      </c>
      <c r="N66" s="31" t="s">
        <v>305</v>
      </c>
      <c r="O66" s="31"/>
    </row>
    <row r="67" spans="1:15">
      <c r="A67" s="31"/>
      <c r="B67" s="31" t="s">
        <v>289</v>
      </c>
      <c r="C67" s="31" t="s">
        <v>290</v>
      </c>
      <c r="D67" s="31" t="s">
        <v>304</v>
      </c>
      <c r="E67" s="31" t="s">
        <v>249</v>
      </c>
      <c r="F67" s="31" t="s">
        <v>250</v>
      </c>
      <c r="G67" s="31" t="s">
        <v>250</v>
      </c>
      <c r="H67" s="31" t="s">
        <v>251</v>
      </c>
      <c r="I67" s="31" t="b">
        <v>0</v>
      </c>
      <c r="J67" s="31">
        <v>59</v>
      </c>
      <c r="K67" s="31">
        <v>126.69</v>
      </c>
      <c r="L67" s="32">
        <v>5171537</v>
      </c>
      <c r="M67" s="32">
        <v>1000000056548613</v>
      </c>
      <c r="N67" s="31" t="s">
        <v>305</v>
      </c>
      <c r="O67" s="31"/>
    </row>
    <row r="68" spans="1:15">
      <c r="A68" s="31"/>
      <c r="B68" s="31" t="s">
        <v>289</v>
      </c>
      <c r="C68" s="31" t="s">
        <v>290</v>
      </c>
      <c r="D68" s="31" t="s">
        <v>304</v>
      </c>
      <c r="E68" s="31" t="s">
        <v>249</v>
      </c>
      <c r="F68" s="31" t="s">
        <v>250</v>
      </c>
      <c r="G68" s="31" t="s">
        <v>250</v>
      </c>
      <c r="H68" s="31" t="s">
        <v>251</v>
      </c>
      <c r="I68" s="31" t="b">
        <v>0</v>
      </c>
      <c r="J68" s="31">
        <v>7</v>
      </c>
      <c r="K68" s="31">
        <v>126.7</v>
      </c>
      <c r="L68" s="32">
        <v>5171541</v>
      </c>
      <c r="M68" s="32">
        <v>1000000056548613</v>
      </c>
      <c r="N68" s="31" t="s">
        <v>305</v>
      </c>
      <c r="O68" s="31"/>
    </row>
    <row r="69" spans="1:15">
      <c r="A69" s="31"/>
      <c r="B69" s="31" t="s">
        <v>269</v>
      </c>
      <c r="C69" s="31" t="s">
        <v>270</v>
      </c>
      <c r="D69" s="31" t="s">
        <v>304</v>
      </c>
      <c r="E69" s="31" t="s">
        <v>80</v>
      </c>
      <c r="F69" s="31" t="s">
        <v>250</v>
      </c>
      <c r="G69" s="31" t="s">
        <v>306</v>
      </c>
      <c r="H69" s="31" t="s">
        <v>251</v>
      </c>
      <c r="I69" s="31" t="b">
        <v>0</v>
      </c>
      <c r="J69" s="31">
        <v>250</v>
      </c>
      <c r="K69" s="31">
        <v>207</v>
      </c>
      <c r="L69" s="32">
        <v>8112900</v>
      </c>
      <c r="M69" s="32">
        <v>1.7597414366261729E+18</v>
      </c>
      <c r="N69" s="31" t="s">
        <v>307</v>
      </c>
      <c r="O69" s="31"/>
    </row>
    <row r="70" spans="1:15">
      <c r="A70" s="31"/>
      <c r="B70" s="31" t="s">
        <v>308</v>
      </c>
      <c r="C70" s="31" t="s">
        <v>309</v>
      </c>
      <c r="D70" s="31" t="s">
        <v>304</v>
      </c>
      <c r="E70" s="31" t="s">
        <v>249</v>
      </c>
      <c r="F70" s="31" t="s">
        <v>250</v>
      </c>
      <c r="G70" s="31" t="s">
        <v>250</v>
      </c>
      <c r="H70" s="31" t="s">
        <v>251</v>
      </c>
      <c r="I70" s="31" t="b">
        <v>0</v>
      </c>
      <c r="J70" s="31">
        <v>154</v>
      </c>
      <c r="K70" s="31">
        <v>531.35</v>
      </c>
      <c r="L70" s="32">
        <v>406721086</v>
      </c>
      <c r="M70" s="32">
        <v>1200000079369794</v>
      </c>
      <c r="N70" s="31" t="s">
        <v>310</v>
      </c>
      <c r="O70" s="31"/>
    </row>
    <row r="71" spans="1:15">
      <c r="A71" s="31"/>
      <c r="B71" s="31" t="s">
        <v>308</v>
      </c>
      <c r="C71" s="31" t="s">
        <v>309</v>
      </c>
      <c r="D71" s="31" t="s">
        <v>304</v>
      </c>
      <c r="E71" s="31" t="s">
        <v>249</v>
      </c>
      <c r="F71" s="31" t="s">
        <v>250</v>
      </c>
      <c r="G71" s="31" t="s">
        <v>250</v>
      </c>
      <c r="H71" s="31" t="s">
        <v>251</v>
      </c>
      <c r="I71" s="31" t="b">
        <v>0</v>
      </c>
      <c r="J71" s="31">
        <v>23</v>
      </c>
      <c r="K71" s="31">
        <v>531.29999999999995</v>
      </c>
      <c r="L71" s="32">
        <v>406721085</v>
      </c>
      <c r="M71" s="32">
        <v>1200000079369794</v>
      </c>
      <c r="N71" s="31" t="s">
        <v>310</v>
      </c>
      <c r="O71" s="31"/>
    </row>
    <row r="72" spans="1:15">
      <c r="A72" s="31"/>
      <c r="B72" s="31" t="s">
        <v>308</v>
      </c>
      <c r="C72" s="31" t="s">
        <v>309</v>
      </c>
      <c r="D72" s="31" t="s">
        <v>304</v>
      </c>
      <c r="E72" s="31" t="s">
        <v>249</v>
      </c>
      <c r="F72" s="31" t="s">
        <v>250</v>
      </c>
      <c r="G72" s="31" t="s">
        <v>250</v>
      </c>
      <c r="H72" s="31" t="s">
        <v>251</v>
      </c>
      <c r="I72" s="31" t="b">
        <v>0</v>
      </c>
      <c r="J72" s="31">
        <v>11</v>
      </c>
      <c r="K72" s="31">
        <v>531.35</v>
      </c>
      <c r="L72" s="32">
        <v>406721087</v>
      </c>
      <c r="M72" s="32">
        <v>1200000079369794</v>
      </c>
      <c r="N72" s="31" t="s">
        <v>310</v>
      </c>
      <c r="O72" s="31"/>
    </row>
    <row r="73" spans="1:15">
      <c r="A73" s="31"/>
      <c r="B73" s="31" t="s">
        <v>311</v>
      </c>
      <c r="C73" s="31" t="s">
        <v>312</v>
      </c>
      <c r="D73" s="31" t="s">
        <v>304</v>
      </c>
      <c r="E73" s="31" t="s">
        <v>249</v>
      </c>
      <c r="F73" s="31" t="s">
        <v>250</v>
      </c>
      <c r="G73" s="31" t="s">
        <v>250</v>
      </c>
      <c r="H73" s="31" t="s">
        <v>251</v>
      </c>
      <c r="I73" s="31" t="b">
        <v>0</v>
      </c>
      <c r="J73" s="31">
        <v>5</v>
      </c>
      <c r="K73" s="31">
        <v>210.48</v>
      </c>
      <c r="L73" s="32">
        <v>406814089</v>
      </c>
      <c r="M73" s="32">
        <v>1200000080227979</v>
      </c>
      <c r="N73" s="31" t="s">
        <v>313</v>
      </c>
      <c r="O73" s="31"/>
    </row>
    <row r="74" spans="1:15">
      <c r="A74" s="31"/>
      <c r="B74" s="31" t="s">
        <v>311</v>
      </c>
      <c r="C74" s="31" t="s">
        <v>312</v>
      </c>
      <c r="D74" s="31" t="s">
        <v>304</v>
      </c>
      <c r="E74" s="31" t="s">
        <v>249</v>
      </c>
      <c r="F74" s="31" t="s">
        <v>250</v>
      </c>
      <c r="G74" s="31" t="s">
        <v>250</v>
      </c>
      <c r="H74" s="31" t="s">
        <v>251</v>
      </c>
      <c r="I74" s="31" t="b">
        <v>0</v>
      </c>
      <c r="J74" s="31">
        <v>19</v>
      </c>
      <c r="K74" s="31">
        <v>210.48</v>
      </c>
      <c r="L74" s="32">
        <v>406814086</v>
      </c>
      <c r="M74" s="32">
        <v>1200000080227979</v>
      </c>
      <c r="N74" s="31" t="s">
        <v>313</v>
      </c>
      <c r="O74" s="31"/>
    </row>
    <row r="75" spans="1:15">
      <c r="A75" s="31"/>
      <c r="B75" s="31" t="s">
        <v>311</v>
      </c>
      <c r="C75" s="31" t="s">
        <v>312</v>
      </c>
      <c r="D75" s="31" t="s">
        <v>304</v>
      </c>
      <c r="E75" s="31" t="s">
        <v>249</v>
      </c>
      <c r="F75" s="31" t="s">
        <v>250</v>
      </c>
      <c r="G75" s="31" t="s">
        <v>250</v>
      </c>
      <c r="H75" s="31" t="s">
        <v>251</v>
      </c>
      <c r="I75" s="31" t="b">
        <v>0</v>
      </c>
      <c r="J75" s="31">
        <v>2</v>
      </c>
      <c r="K75" s="31">
        <v>210.49</v>
      </c>
      <c r="L75" s="32">
        <v>406814099</v>
      </c>
      <c r="M75" s="32">
        <v>1200000080227979</v>
      </c>
      <c r="N75" s="31" t="s">
        <v>313</v>
      </c>
      <c r="O75" s="31"/>
    </row>
    <row r="76" spans="1:15">
      <c r="A76" s="31"/>
      <c r="B76" s="31" t="s">
        <v>311</v>
      </c>
      <c r="C76" s="31" t="s">
        <v>312</v>
      </c>
      <c r="D76" s="31" t="s">
        <v>304</v>
      </c>
      <c r="E76" s="31" t="s">
        <v>249</v>
      </c>
      <c r="F76" s="31" t="s">
        <v>250</v>
      </c>
      <c r="G76" s="31" t="s">
        <v>250</v>
      </c>
      <c r="H76" s="31" t="s">
        <v>251</v>
      </c>
      <c r="I76" s="31" t="b">
        <v>0</v>
      </c>
      <c r="J76" s="31">
        <v>1</v>
      </c>
      <c r="K76" s="31">
        <v>210.48</v>
      </c>
      <c r="L76" s="32">
        <v>406814087</v>
      </c>
      <c r="M76" s="32">
        <v>1200000080227979</v>
      </c>
      <c r="N76" s="31" t="s">
        <v>313</v>
      </c>
      <c r="O76" s="31"/>
    </row>
    <row r="77" spans="1:15">
      <c r="A77" s="31"/>
      <c r="B77" s="31" t="s">
        <v>311</v>
      </c>
      <c r="C77" s="31" t="s">
        <v>312</v>
      </c>
      <c r="D77" s="31" t="s">
        <v>304</v>
      </c>
      <c r="E77" s="31" t="s">
        <v>249</v>
      </c>
      <c r="F77" s="31" t="s">
        <v>250</v>
      </c>
      <c r="G77" s="31" t="s">
        <v>250</v>
      </c>
      <c r="H77" s="31" t="s">
        <v>251</v>
      </c>
      <c r="I77" s="31" t="b">
        <v>0</v>
      </c>
      <c r="J77" s="31">
        <v>17</v>
      </c>
      <c r="K77" s="31">
        <v>210.49</v>
      </c>
      <c r="L77" s="32">
        <v>406814090</v>
      </c>
      <c r="M77" s="32">
        <v>1200000080227979</v>
      </c>
      <c r="N77" s="31" t="s">
        <v>313</v>
      </c>
      <c r="O77" s="31"/>
    </row>
    <row r="78" spans="1:15">
      <c r="A78" s="31"/>
      <c r="B78" s="31" t="s">
        <v>311</v>
      </c>
      <c r="C78" s="31" t="s">
        <v>312</v>
      </c>
      <c r="D78" s="31" t="s">
        <v>304</v>
      </c>
      <c r="E78" s="31" t="s">
        <v>249</v>
      </c>
      <c r="F78" s="31" t="s">
        <v>250</v>
      </c>
      <c r="G78" s="31" t="s">
        <v>250</v>
      </c>
      <c r="H78" s="31" t="s">
        <v>251</v>
      </c>
      <c r="I78" s="31" t="b">
        <v>0</v>
      </c>
      <c r="J78" s="31">
        <v>23</v>
      </c>
      <c r="K78" s="31">
        <v>210.5</v>
      </c>
      <c r="L78" s="32">
        <v>406814105</v>
      </c>
      <c r="M78" s="32">
        <v>1200000080227979</v>
      </c>
      <c r="N78" s="31" t="s">
        <v>313</v>
      </c>
      <c r="O78" s="31"/>
    </row>
    <row r="79" spans="1:15">
      <c r="A79" s="31"/>
      <c r="B79" s="31" t="s">
        <v>311</v>
      </c>
      <c r="C79" s="31" t="s">
        <v>312</v>
      </c>
      <c r="D79" s="31" t="s">
        <v>304</v>
      </c>
      <c r="E79" s="31" t="s">
        <v>249</v>
      </c>
      <c r="F79" s="31" t="s">
        <v>250</v>
      </c>
      <c r="G79" s="31" t="s">
        <v>250</v>
      </c>
      <c r="H79" s="31" t="s">
        <v>251</v>
      </c>
      <c r="I79" s="31" t="b">
        <v>0</v>
      </c>
      <c r="J79" s="31">
        <v>1</v>
      </c>
      <c r="K79" s="31">
        <v>210.49</v>
      </c>
      <c r="L79" s="32">
        <v>406814092</v>
      </c>
      <c r="M79" s="32">
        <v>1200000080227979</v>
      </c>
      <c r="N79" s="31" t="s">
        <v>313</v>
      </c>
      <c r="O79" s="31"/>
    </row>
    <row r="80" spans="1:15">
      <c r="A80" s="31"/>
      <c r="B80" s="31" t="s">
        <v>311</v>
      </c>
      <c r="C80" s="31" t="s">
        <v>312</v>
      </c>
      <c r="D80" s="31" t="s">
        <v>304</v>
      </c>
      <c r="E80" s="31" t="s">
        <v>249</v>
      </c>
      <c r="F80" s="31" t="s">
        <v>250</v>
      </c>
      <c r="G80" s="31" t="s">
        <v>250</v>
      </c>
      <c r="H80" s="31" t="s">
        <v>251</v>
      </c>
      <c r="I80" s="31" t="b">
        <v>0</v>
      </c>
      <c r="J80" s="31">
        <v>17</v>
      </c>
      <c r="K80" s="31">
        <v>210.48</v>
      </c>
      <c r="L80" s="32">
        <v>406814083</v>
      </c>
      <c r="M80" s="32">
        <v>1200000080227979</v>
      </c>
      <c r="N80" s="31" t="s">
        <v>313</v>
      </c>
      <c r="O80" s="31"/>
    </row>
    <row r="81" spans="1:15">
      <c r="A81" s="31"/>
      <c r="B81" s="31" t="s">
        <v>311</v>
      </c>
      <c r="C81" s="31" t="s">
        <v>312</v>
      </c>
      <c r="D81" s="31" t="s">
        <v>304</v>
      </c>
      <c r="E81" s="31" t="s">
        <v>249</v>
      </c>
      <c r="F81" s="31" t="s">
        <v>250</v>
      </c>
      <c r="G81" s="31" t="s">
        <v>250</v>
      </c>
      <c r="H81" s="31" t="s">
        <v>251</v>
      </c>
      <c r="I81" s="31" t="b">
        <v>0</v>
      </c>
      <c r="J81" s="31">
        <v>8</v>
      </c>
      <c r="K81" s="31">
        <v>210.48</v>
      </c>
      <c r="L81" s="32">
        <v>406814085</v>
      </c>
      <c r="M81" s="32">
        <v>1200000080227979</v>
      </c>
      <c r="N81" s="31" t="s">
        <v>313</v>
      </c>
      <c r="O81" s="31"/>
    </row>
    <row r="82" spans="1:15">
      <c r="A82" s="31"/>
      <c r="B82" s="31" t="s">
        <v>311</v>
      </c>
      <c r="C82" s="31" t="s">
        <v>312</v>
      </c>
      <c r="D82" s="31" t="s">
        <v>304</v>
      </c>
      <c r="E82" s="31" t="s">
        <v>249</v>
      </c>
      <c r="F82" s="31" t="s">
        <v>250</v>
      </c>
      <c r="G82" s="31" t="s">
        <v>250</v>
      </c>
      <c r="H82" s="31" t="s">
        <v>251</v>
      </c>
      <c r="I82" s="31" t="b">
        <v>0</v>
      </c>
      <c r="J82" s="31">
        <v>2</v>
      </c>
      <c r="K82" s="31">
        <v>210.5</v>
      </c>
      <c r="L82" s="32">
        <v>406814104</v>
      </c>
      <c r="M82" s="32">
        <v>1200000080227979</v>
      </c>
      <c r="N82" s="31" t="s">
        <v>313</v>
      </c>
      <c r="O82" s="31"/>
    </row>
    <row r="83" spans="1:15">
      <c r="A83" s="31"/>
      <c r="B83" s="31" t="s">
        <v>311</v>
      </c>
      <c r="C83" s="31" t="s">
        <v>312</v>
      </c>
      <c r="D83" s="31" t="s">
        <v>304</v>
      </c>
      <c r="E83" s="31" t="s">
        <v>249</v>
      </c>
      <c r="F83" s="31" t="s">
        <v>250</v>
      </c>
      <c r="G83" s="31" t="s">
        <v>250</v>
      </c>
      <c r="H83" s="31" t="s">
        <v>251</v>
      </c>
      <c r="I83" s="31" t="b">
        <v>0</v>
      </c>
      <c r="J83" s="31">
        <v>2</v>
      </c>
      <c r="K83" s="31">
        <v>210.48</v>
      </c>
      <c r="L83" s="32">
        <v>406814088</v>
      </c>
      <c r="M83" s="32">
        <v>1200000080227979</v>
      </c>
      <c r="N83" s="31" t="s">
        <v>313</v>
      </c>
      <c r="O83" s="31"/>
    </row>
    <row r="84" spans="1:15">
      <c r="A84" s="31"/>
      <c r="B84" s="31" t="s">
        <v>311</v>
      </c>
      <c r="C84" s="31" t="s">
        <v>312</v>
      </c>
      <c r="D84" s="31" t="s">
        <v>304</v>
      </c>
      <c r="E84" s="31" t="s">
        <v>249</v>
      </c>
      <c r="F84" s="31" t="s">
        <v>250</v>
      </c>
      <c r="G84" s="31" t="s">
        <v>250</v>
      </c>
      <c r="H84" s="31" t="s">
        <v>251</v>
      </c>
      <c r="I84" s="31" t="b">
        <v>0</v>
      </c>
      <c r="J84" s="31">
        <v>7</v>
      </c>
      <c r="K84" s="31">
        <v>210.49</v>
      </c>
      <c r="L84" s="32">
        <v>406814103</v>
      </c>
      <c r="M84" s="32">
        <v>1200000080227979</v>
      </c>
      <c r="N84" s="31" t="s">
        <v>313</v>
      </c>
      <c r="O84" s="31"/>
    </row>
    <row r="85" spans="1:15">
      <c r="A85" s="31"/>
      <c r="B85" s="31" t="s">
        <v>273</v>
      </c>
      <c r="C85" s="31" t="s">
        <v>274</v>
      </c>
      <c r="D85" s="31" t="s">
        <v>304</v>
      </c>
      <c r="E85" s="31" t="s">
        <v>80</v>
      </c>
      <c r="F85" s="31" t="s">
        <v>250</v>
      </c>
      <c r="G85" s="31" t="s">
        <v>306</v>
      </c>
      <c r="H85" s="31" t="s">
        <v>251</v>
      </c>
      <c r="I85" s="31" t="b">
        <v>0</v>
      </c>
      <c r="J85" s="31">
        <v>163</v>
      </c>
      <c r="K85" s="31">
        <v>612.20000000000005</v>
      </c>
      <c r="L85" s="32">
        <v>7270300</v>
      </c>
      <c r="M85" s="32">
        <v>1.7597411099705011E+18</v>
      </c>
      <c r="N85" s="31" t="s">
        <v>314</v>
      </c>
      <c r="O85" s="31"/>
    </row>
    <row r="86" spans="1:15">
      <c r="A86" s="31"/>
      <c r="B86" s="31" t="s">
        <v>52</v>
      </c>
      <c r="C86" s="31" t="s">
        <v>315</v>
      </c>
      <c r="D86" s="31" t="s">
        <v>304</v>
      </c>
      <c r="E86" s="31" t="s">
        <v>249</v>
      </c>
      <c r="F86" s="31" t="s">
        <v>250</v>
      </c>
      <c r="G86" s="31" t="s">
        <v>250</v>
      </c>
      <c r="H86" s="31" t="s">
        <v>251</v>
      </c>
      <c r="I86" s="31" t="b">
        <v>0</v>
      </c>
      <c r="J86" s="31">
        <v>87</v>
      </c>
      <c r="K86" s="31">
        <v>775.7</v>
      </c>
      <c r="L86" s="32">
        <v>208032320</v>
      </c>
      <c r="M86" s="32">
        <v>1100000078423165</v>
      </c>
      <c r="N86" s="31" t="s">
        <v>316</v>
      </c>
      <c r="O86" s="31"/>
    </row>
    <row r="87" spans="1:15">
      <c r="A87" s="31"/>
      <c r="B87" s="31" t="s">
        <v>52</v>
      </c>
      <c r="C87" s="31" t="s">
        <v>315</v>
      </c>
      <c r="D87" s="31" t="s">
        <v>304</v>
      </c>
      <c r="E87" s="31" t="s">
        <v>249</v>
      </c>
      <c r="F87" s="31" t="s">
        <v>250</v>
      </c>
      <c r="G87" s="31" t="s">
        <v>250</v>
      </c>
      <c r="H87" s="31" t="s">
        <v>251</v>
      </c>
      <c r="I87" s="31" t="b">
        <v>0</v>
      </c>
      <c r="J87" s="31">
        <v>42</v>
      </c>
      <c r="K87" s="31">
        <v>775.7</v>
      </c>
      <c r="L87" s="32">
        <v>208032319</v>
      </c>
      <c r="M87" s="32">
        <v>1100000078423165</v>
      </c>
      <c r="N87" s="31" t="s">
        <v>316</v>
      </c>
      <c r="O87" s="31"/>
    </row>
    <row r="88" spans="1:15">
      <c r="A88" s="31"/>
      <c r="B88" s="31" t="s">
        <v>295</v>
      </c>
      <c r="C88" s="31" t="s">
        <v>296</v>
      </c>
      <c r="D88" s="31" t="s">
        <v>317</v>
      </c>
      <c r="E88" s="31" t="s">
        <v>249</v>
      </c>
      <c r="F88" s="31" t="s">
        <v>250</v>
      </c>
      <c r="G88" s="31" t="s">
        <v>250</v>
      </c>
      <c r="H88" s="31" t="s">
        <v>300</v>
      </c>
      <c r="I88" s="31" t="b">
        <v>0</v>
      </c>
      <c r="J88" s="31">
        <v>8</v>
      </c>
      <c r="K88" s="31">
        <v>786.7</v>
      </c>
      <c r="L88" s="32">
        <v>605515333</v>
      </c>
      <c r="M88" s="32">
        <v>1300000051006281</v>
      </c>
      <c r="N88" s="31" t="s">
        <v>318</v>
      </c>
      <c r="O88" s="31"/>
    </row>
    <row r="89" spans="1:15">
      <c r="A89" s="31"/>
      <c r="B89" s="31" t="s">
        <v>295</v>
      </c>
      <c r="C89" s="31" t="s">
        <v>296</v>
      </c>
      <c r="D89" s="31" t="s">
        <v>317</v>
      </c>
      <c r="E89" s="31" t="s">
        <v>249</v>
      </c>
      <c r="F89" s="31" t="s">
        <v>250</v>
      </c>
      <c r="G89" s="31" t="s">
        <v>250</v>
      </c>
      <c r="H89" s="31" t="s">
        <v>300</v>
      </c>
      <c r="I89" s="31" t="b">
        <v>0</v>
      </c>
      <c r="J89" s="31">
        <v>1</v>
      </c>
      <c r="K89" s="31">
        <v>786.85</v>
      </c>
      <c r="L89" s="32">
        <v>605515329</v>
      </c>
      <c r="M89" s="32">
        <v>1300000051006281</v>
      </c>
      <c r="N89" s="31" t="s">
        <v>318</v>
      </c>
      <c r="O89" s="31"/>
    </row>
    <row r="90" spans="1:15">
      <c r="A90" s="31"/>
      <c r="B90" s="31" t="s">
        <v>295</v>
      </c>
      <c r="C90" s="31" t="s">
        <v>296</v>
      </c>
      <c r="D90" s="31" t="s">
        <v>317</v>
      </c>
      <c r="E90" s="31" t="s">
        <v>249</v>
      </c>
      <c r="F90" s="31" t="s">
        <v>250</v>
      </c>
      <c r="G90" s="31" t="s">
        <v>250</v>
      </c>
      <c r="H90" s="31" t="s">
        <v>300</v>
      </c>
      <c r="I90" s="31" t="b">
        <v>0</v>
      </c>
      <c r="J90" s="31">
        <v>9</v>
      </c>
      <c r="K90" s="31">
        <v>786.75</v>
      </c>
      <c r="L90" s="32">
        <v>605515330</v>
      </c>
      <c r="M90" s="32">
        <v>1300000051006281</v>
      </c>
      <c r="N90" s="31" t="s">
        <v>318</v>
      </c>
      <c r="O90" s="31"/>
    </row>
    <row r="91" spans="1:15">
      <c r="A91" s="31"/>
      <c r="B91" s="31" t="s">
        <v>295</v>
      </c>
      <c r="C91" s="31" t="s">
        <v>296</v>
      </c>
      <c r="D91" s="31" t="s">
        <v>317</v>
      </c>
      <c r="E91" s="31" t="s">
        <v>249</v>
      </c>
      <c r="F91" s="31" t="s">
        <v>250</v>
      </c>
      <c r="G91" s="31" t="s">
        <v>250</v>
      </c>
      <c r="H91" s="31" t="s">
        <v>300</v>
      </c>
      <c r="I91" s="31" t="b">
        <v>0</v>
      </c>
      <c r="J91" s="31">
        <v>3</v>
      </c>
      <c r="K91" s="31">
        <v>786.7</v>
      </c>
      <c r="L91" s="32">
        <v>605515331</v>
      </c>
      <c r="M91" s="32">
        <v>1300000051006281</v>
      </c>
      <c r="N91" s="31" t="s">
        <v>318</v>
      </c>
      <c r="O91" s="31"/>
    </row>
    <row r="92" spans="1:15">
      <c r="A92" s="31"/>
      <c r="B92" s="31" t="s">
        <v>295</v>
      </c>
      <c r="C92" s="31" t="s">
        <v>296</v>
      </c>
      <c r="D92" s="31" t="s">
        <v>317</v>
      </c>
      <c r="E92" s="31" t="s">
        <v>249</v>
      </c>
      <c r="F92" s="31" t="s">
        <v>250</v>
      </c>
      <c r="G92" s="31" t="s">
        <v>250</v>
      </c>
      <c r="H92" s="31" t="s">
        <v>300</v>
      </c>
      <c r="I92" s="31" t="b">
        <v>0</v>
      </c>
      <c r="J92" s="31">
        <v>16</v>
      </c>
      <c r="K92" s="31">
        <v>786.9</v>
      </c>
      <c r="L92" s="32">
        <v>605515328</v>
      </c>
      <c r="M92" s="32">
        <v>1300000051006281</v>
      </c>
      <c r="N92" s="31" t="s">
        <v>318</v>
      </c>
      <c r="O92" s="31"/>
    </row>
    <row r="93" spans="1:15">
      <c r="A93" s="31"/>
      <c r="B93" s="31" t="s">
        <v>295</v>
      </c>
      <c r="C93" s="31" t="s">
        <v>296</v>
      </c>
      <c r="D93" s="31" t="s">
        <v>317</v>
      </c>
      <c r="E93" s="31" t="s">
        <v>249</v>
      </c>
      <c r="F93" s="31" t="s">
        <v>250</v>
      </c>
      <c r="G93" s="31" t="s">
        <v>250</v>
      </c>
      <c r="H93" s="31" t="s">
        <v>300</v>
      </c>
      <c r="I93" s="31" t="b">
        <v>0</v>
      </c>
      <c r="J93" s="31">
        <v>1</v>
      </c>
      <c r="K93" s="31">
        <v>786.95</v>
      </c>
      <c r="L93" s="32">
        <v>605515326</v>
      </c>
      <c r="M93" s="32">
        <v>1300000051006281</v>
      </c>
      <c r="N93" s="31" t="s">
        <v>318</v>
      </c>
      <c r="O93" s="31"/>
    </row>
    <row r="94" spans="1:15">
      <c r="A94" s="31"/>
      <c r="B94" s="31" t="s">
        <v>295</v>
      </c>
      <c r="C94" s="31" t="s">
        <v>296</v>
      </c>
      <c r="D94" s="31" t="s">
        <v>317</v>
      </c>
      <c r="E94" s="31" t="s">
        <v>249</v>
      </c>
      <c r="F94" s="31" t="s">
        <v>250</v>
      </c>
      <c r="G94" s="31" t="s">
        <v>250</v>
      </c>
      <c r="H94" s="31" t="s">
        <v>300</v>
      </c>
      <c r="I94" s="31" t="b">
        <v>0</v>
      </c>
      <c r="J94" s="31">
        <v>15</v>
      </c>
      <c r="K94" s="31">
        <v>786.95</v>
      </c>
      <c r="L94" s="32">
        <v>605515327</v>
      </c>
      <c r="M94" s="32">
        <v>1300000051006281</v>
      </c>
      <c r="N94" s="31" t="s">
        <v>318</v>
      </c>
      <c r="O94" s="31"/>
    </row>
    <row r="95" spans="1:15">
      <c r="A95" s="31"/>
      <c r="B95" s="31" t="s">
        <v>295</v>
      </c>
      <c r="C95" s="31" t="s">
        <v>296</v>
      </c>
      <c r="D95" s="31" t="s">
        <v>317</v>
      </c>
      <c r="E95" s="31" t="s">
        <v>249</v>
      </c>
      <c r="F95" s="31" t="s">
        <v>250</v>
      </c>
      <c r="G95" s="31" t="s">
        <v>250</v>
      </c>
      <c r="H95" s="31" t="s">
        <v>300</v>
      </c>
      <c r="I95" s="31" t="b">
        <v>0</v>
      </c>
      <c r="J95" s="31">
        <v>1</v>
      </c>
      <c r="K95" s="31">
        <v>786.7</v>
      </c>
      <c r="L95" s="32">
        <v>605515332</v>
      </c>
      <c r="M95" s="32">
        <v>1300000051006281</v>
      </c>
      <c r="N95" s="31" t="s">
        <v>318</v>
      </c>
      <c r="O95" s="31"/>
    </row>
    <row r="96" spans="1:15">
      <c r="A96" s="31"/>
      <c r="B96" s="31" t="s">
        <v>295</v>
      </c>
      <c r="C96" s="31" t="s">
        <v>296</v>
      </c>
      <c r="D96" s="31" t="s">
        <v>317</v>
      </c>
      <c r="E96" s="31" t="s">
        <v>249</v>
      </c>
      <c r="F96" s="31" t="s">
        <v>250</v>
      </c>
      <c r="G96" s="31" t="s">
        <v>250</v>
      </c>
      <c r="H96" s="31" t="s">
        <v>300</v>
      </c>
      <c r="I96" s="31" t="b">
        <v>0</v>
      </c>
      <c r="J96" s="31">
        <v>3</v>
      </c>
      <c r="K96" s="31">
        <v>787</v>
      </c>
      <c r="L96" s="32">
        <v>605515325</v>
      </c>
      <c r="M96" s="32">
        <v>1300000051006281</v>
      </c>
      <c r="N96" s="31" t="s">
        <v>318</v>
      </c>
      <c r="O96" s="31"/>
    </row>
    <row r="97" spans="1:15">
      <c r="A97" s="31"/>
      <c r="B97" s="31" t="s">
        <v>73</v>
      </c>
      <c r="C97" s="31" t="s">
        <v>247</v>
      </c>
      <c r="D97" s="31" t="s">
        <v>319</v>
      </c>
      <c r="E97" s="31" t="s">
        <v>249</v>
      </c>
      <c r="F97" s="31" t="s">
        <v>250</v>
      </c>
      <c r="G97" s="31" t="s">
        <v>250</v>
      </c>
      <c r="H97" s="31" t="s">
        <v>251</v>
      </c>
      <c r="I97" s="31" t="b">
        <v>0</v>
      </c>
      <c r="J97" s="31">
        <v>13</v>
      </c>
      <c r="K97" s="31">
        <v>7609</v>
      </c>
      <c r="L97" s="32">
        <v>402573640</v>
      </c>
      <c r="M97" s="32">
        <v>1200000029961011</v>
      </c>
      <c r="N97" s="31" t="s">
        <v>320</v>
      </c>
      <c r="O97" s="31"/>
    </row>
    <row r="98" spans="1:15">
      <c r="A98" s="31"/>
      <c r="B98" s="31" t="s">
        <v>289</v>
      </c>
      <c r="C98" s="31" t="s">
        <v>290</v>
      </c>
      <c r="D98" s="31" t="s">
        <v>321</v>
      </c>
      <c r="E98" s="31" t="s">
        <v>249</v>
      </c>
      <c r="F98" s="31" t="s">
        <v>250</v>
      </c>
      <c r="G98" s="31" t="s">
        <v>250</v>
      </c>
      <c r="H98" s="31" t="s">
        <v>251</v>
      </c>
      <c r="I98" s="31" t="b">
        <v>0</v>
      </c>
      <c r="J98" s="31">
        <v>356</v>
      </c>
      <c r="K98" s="31">
        <v>127.49</v>
      </c>
      <c r="L98" s="32">
        <v>4798495</v>
      </c>
      <c r="M98" s="32">
        <v>1000000054465625</v>
      </c>
      <c r="N98" s="31" t="s">
        <v>322</v>
      </c>
      <c r="O98" s="31"/>
    </row>
    <row r="99" spans="1:15">
      <c r="A99" s="31"/>
      <c r="B99" s="31" t="s">
        <v>289</v>
      </c>
      <c r="C99" s="31" t="s">
        <v>290</v>
      </c>
      <c r="D99" s="31" t="s">
        <v>321</v>
      </c>
      <c r="E99" s="31" t="s">
        <v>249</v>
      </c>
      <c r="F99" s="31" t="s">
        <v>250</v>
      </c>
      <c r="G99" s="31" t="s">
        <v>250</v>
      </c>
      <c r="H99" s="31" t="s">
        <v>251</v>
      </c>
      <c r="I99" s="31" t="b">
        <v>0</v>
      </c>
      <c r="J99" s="31">
        <v>428</v>
      </c>
      <c r="K99" s="31">
        <v>127.5</v>
      </c>
      <c r="L99" s="32">
        <v>4798496</v>
      </c>
      <c r="M99" s="32">
        <v>1000000054465625</v>
      </c>
      <c r="N99" s="31" t="s">
        <v>322</v>
      </c>
      <c r="O99" s="31"/>
    </row>
    <row r="100" spans="1:15">
      <c r="A100" s="31"/>
      <c r="B100" s="31" t="s">
        <v>269</v>
      </c>
      <c r="C100" s="31" t="s">
        <v>270</v>
      </c>
      <c r="D100" s="31" t="s">
        <v>321</v>
      </c>
      <c r="E100" s="31" t="s">
        <v>249</v>
      </c>
      <c r="F100" s="31" t="s">
        <v>250</v>
      </c>
      <c r="G100" s="31" t="s">
        <v>250</v>
      </c>
      <c r="H100" s="31" t="s">
        <v>251</v>
      </c>
      <c r="I100" s="31" t="b">
        <v>0</v>
      </c>
      <c r="J100" s="31">
        <v>28</v>
      </c>
      <c r="K100" s="31">
        <v>190.93</v>
      </c>
      <c r="L100" s="32">
        <v>5398744</v>
      </c>
      <c r="M100" s="32">
        <v>1000000058915517</v>
      </c>
      <c r="N100" s="31" t="s">
        <v>323</v>
      </c>
      <c r="O100" s="31"/>
    </row>
    <row r="101" spans="1:15">
      <c r="A101" s="31"/>
      <c r="B101" s="31" t="s">
        <v>269</v>
      </c>
      <c r="C101" s="31" t="s">
        <v>270</v>
      </c>
      <c r="D101" s="31" t="s">
        <v>321</v>
      </c>
      <c r="E101" s="31" t="s">
        <v>249</v>
      </c>
      <c r="F101" s="31" t="s">
        <v>250</v>
      </c>
      <c r="G101" s="31" t="s">
        <v>250</v>
      </c>
      <c r="H101" s="31" t="s">
        <v>251</v>
      </c>
      <c r="I101" s="31" t="b">
        <v>0</v>
      </c>
      <c r="J101" s="31">
        <v>122</v>
      </c>
      <c r="K101" s="31">
        <v>190.9</v>
      </c>
      <c r="L101" s="32">
        <v>5398743</v>
      </c>
      <c r="M101" s="32">
        <v>1000000058915517</v>
      </c>
      <c r="N101" s="31" t="s">
        <v>323</v>
      </c>
      <c r="O101" s="31"/>
    </row>
    <row r="102" spans="1:15">
      <c r="A102" s="31"/>
      <c r="B102" s="31" t="s">
        <v>324</v>
      </c>
      <c r="C102" s="31" t="s">
        <v>325</v>
      </c>
      <c r="D102" s="31" t="s">
        <v>326</v>
      </c>
      <c r="E102" s="31" t="s">
        <v>249</v>
      </c>
      <c r="F102" s="31" t="s">
        <v>250</v>
      </c>
      <c r="G102" s="31" t="s">
        <v>250</v>
      </c>
      <c r="H102" s="31" t="s">
        <v>251</v>
      </c>
      <c r="I102" s="31" t="b">
        <v>0</v>
      </c>
      <c r="J102" s="31">
        <v>7</v>
      </c>
      <c r="K102" s="31">
        <v>1064.5999999999999</v>
      </c>
      <c r="L102" s="32">
        <v>5528442</v>
      </c>
      <c r="M102" s="32">
        <v>1000000054803594</v>
      </c>
      <c r="N102" s="31" t="s">
        <v>327</v>
      </c>
      <c r="O102" s="31"/>
    </row>
    <row r="103" spans="1:15">
      <c r="A103" s="31"/>
      <c r="B103" s="31" t="s">
        <v>324</v>
      </c>
      <c r="C103" s="31" t="s">
        <v>325</v>
      </c>
      <c r="D103" s="31" t="s">
        <v>326</v>
      </c>
      <c r="E103" s="31" t="s">
        <v>249</v>
      </c>
      <c r="F103" s="31" t="s">
        <v>250</v>
      </c>
      <c r="G103" s="31" t="s">
        <v>250</v>
      </c>
      <c r="H103" s="31" t="s">
        <v>251</v>
      </c>
      <c r="I103" s="31" t="b">
        <v>0</v>
      </c>
      <c r="J103" s="31">
        <v>41</v>
      </c>
      <c r="K103" s="31">
        <v>1064.5999999999999</v>
      </c>
      <c r="L103" s="32">
        <v>5528440</v>
      </c>
      <c r="M103" s="32">
        <v>1000000054803594</v>
      </c>
      <c r="N103" s="31" t="s">
        <v>327</v>
      </c>
      <c r="O103" s="31"/>
    </row>
    <row r="104" spans="1:15">
      <c r="A104" s="31"/>
      <c r="B104" s="31" t="s">
        <v>324</v>
      </c>
      <c r="C104" s="31" t="s">
        <v>325</v>
      </c>
      <c r="D104" s="31" t="s">
        <v>326</v>
      </c>
      <c r="E104" s="31" t="s">
        <v>249</v>
      </c>
      <c r="F104" s="31" t="s">
        <v>250</v>
      </c>
      <c r="G104" s="31" t="s">
        <v>250</v>
      </c>
      <c r="H104" s="31" t="s">
        <v>251</v>
      </c>
      <c r="I104" s="31" t="b">
        <v>0</v>
      </c>
      <c r="J104" s="31">
        <v>16</v>
      </c>
      <c r="K104" s="31">
        <v>1064.5999999999999</v>
      </c>
      <c r="L104" s="32">
        <v>5528441</v>
      </c>
      <c r="M104" s="32">
        <v>1000000054803594</v>
      </c>
      <c r="N104" s="31" t="s">
        <v>327</v>
      </c>
      <c r="O104" s="31"/>
    </row>
    <row r="105" spans="1:15">
      <c r="A105" s="31"/>
      <c r="B105" s="31" t="s">
        <v>324</v>
      </c>
      <c r="C105" s="31" t="s">
        <v>325</v>
      </c>
      <c r="D105" s="31" t="s">
        <v>326</v>
      </c>
      <c r="E105" s="31" t="s">
        <v>249</v>
      </c>
      <c r="F105" s="31" t="s">
        <v>250</v>
      </c>
      <c r="G105" s="31" t="s">
        <v>250</v>
      </c>
      <c r="H105" s="31" t="s">
        <v>251</v>
      </c>
      <c r="I105" s="31" t="b">
        <v>0</v>
      </c>
      <c r="J105" s="31">
        <v>30</v>
      </c>
      <c r="K105" s="31">
        <v>1064.5999999999999</v>
      </c>
      <c r="L105" s="32">
        <v>5528443</v>
      </c>
      <c r="M105" s="32">
        <v>1000000054803594</v>
      </c>
      <c r="N105" s="31" t="s">
        <v>327</v>
      </c>
      <c r="O105" s="31"/>
    </row>
    <row r="106" spans="1:15">
      <c r="A106" s="31"/>
      <c r="B106" s="31" t="s">
        <v>84</v>
      </c>
      <c r="C106" s="31" t="s">
        <v>256</v>
      </c>
      <c r="D106" s="31" t="s">
        <v>326</v>
      </c>
      <c r="E106" s="31" t="s">
        <v>249</v>
      </c>
      <c r="F106" s="31" t="s">
        <v>250</v>
      </c>
      <c r="G106" s="31" t="s">
        <v>250</v>
      </c>
      <c r="H106" s="31" t="s">
        <v>251</v>
      </c>
      <c r="I106" s="31" t="b">
        <v>0</v>
      </c>
      <c r="J106" s="31">
        <v>110</v>
      </c>
      <c r="K106" s="31">
        <v>914.55</v>
      </c>
      <c r="L106" s="32">
        <v>206824794</v>
      </c>
      <c r="M106" s="32">
        <v>1100000060857644</v>
      </c>
      <c r="N106" s="31" t="s">
        <v>328</v>
      </c>
      <c r="O106" s="31"/>
    </row>
    <row r="107" spans="1:15">
      <c r="A107" s="31"/>
      <c r="B107" s="31" t="s">
        <v>58</v>
      </c>
      <c r="C107" s="31" t="s">
        <v>282</v>
      </c>
      <c r="D107" s="31" t="s">
        <v>329</v>
      </c>
      <c r="E107" s="31" t="s">
        <v>249</v>
      </c>
      <c r="F107" s="31" t="s">
        <v>250</v>
      </c>
      <c r="G107" s="31" t="s">
        <v>250</v>
      </c>
      <c r="H107" s="31" t="s">
        <v>300</v>
      </c>
      <c r="I107" s="31" t="b">
        <v>0</v>
      </c>
      <c r="J107" s="31">
        <v>24</v>
      </c>
      <c r="K107" s="31">
        <v>757.6</v>
      </c>
      <c r="L107" s="32">
        <v>5988450</v>
      </c>
      <c r="M107" s="32">
        <v>1000000067422485</v>
      </c>
      <c r="N107" s="31" t="s">
        <v>330</v>
      </c>
      <c r="O107" s="31"/>
    </row>
    <row r="108" spans="1:15">
      <c r="A108" s="31"/>
      <c r="B108" s="31" t="s">
        <v>58</v>
      </c>
      <c r="C108" s="31" t="s">
        <v>282</v>
      </c>
      <c r="D108" s="31" t="s">
        <v>329</v>
      </c>
      <c r="E108" s="31" t="s">
        <v>249</v>
      </c>
      <c r="F108" s="31" t="s">
        <v>250</v>
      </c>
      <c r="G108" s="31" t="s">
        <v>250</v>
      </c>
      <c r="H108" s="31" t="s">
        <v>300</v>
      </c>
      <c r="I108" s="31" t="b">
        <v>0</v>
      </c>
      <c r="J108" s="31">
        <v>9</v>
      </c>
      <c r="K108" s="31">
        <v>757.6</v>
      </c>
      <c r="L108" s="32">
        <v>5988451</v>
      </c>
      <c r="M108" s="32">
        <v>1000000067422485</v>
      </c>
      <c r="N108" s="31" t="s">
        <v>330</v>
      </c>
      <c r="O108" s="31"/>
    </row>
    <row r="109" spans="1:15">
      <c r="A109" s="31"/>
      <c r="B109" s="31" t="s">
        <v>285</v>
      </c>
      <c r="C109" s="31" t="s">
        <v>286</v>
      </c>
      <c r="D109" s="31" t="s">
        <v>329</v>
      </c>
      <c r="E109" s="31" t="s">
        <v>80</v>
      </c>
      <c r="F109" s="31" t="s">
        <v>250</v>
      </c>
      <c r="G109" s="31" t="s">
        <v>306</v>
      </c>
      <c r="H109" s="31" t="s">
        <v>300</v>
      </c>
      <c r="I109" s="31" t="b">
        <v>0</v>
      </c>
      <c r="J109" s="31">
        <v>5</v>
      </c>
      <c r="K109" s="31">
        <v>647.15</v>
      </c>
      <c r="L109" s="32">
        <v>7351500</v>
      </c>
      <c r="M109" s="32">
        <v>1.760690323268599E+18</v>
      </c>
      <c r="N109" s="31" t="s">
        <v>331</v>
      </c>
      <c r="O109" s="31"/>
    </row>
    <row r="110" spans="1:15">
      <c r="A110" s="31"/>
      <c r="B110" s="31" t="s">
        <v>285</v>
      </c>
      <c r="C110" s="31" t="s">
        <v>286</v>
      </c>
      <c r="D110" s="31" t="s">
        <v>329</v>
      </c>
      <c r="E110" s="31" t="s">
        <v>80</v>
      </c>
      <c r="F110" s="31" t="s">
        <v>250</v>
      </c>
      <c r="G110" s="31" t="s">
        <v>306</v>
      </c>
      <c r="H110" s="31" t="s">
        <v>300</v>
      </c>
      <c r="I110" s="31" t="b">
        <v>0</v>
      </c>
      <c r="J110" s="31">
        <v>30</v>
      </c>
      <c r="K110" s="31">
        <v>647.20000000000005</v>
      </c>
      <c r="L110" s="32">
        <v>7351300</v>
      </c>
      <c r="M110" s="32">
        <v>1.760690323268599E+18</v>
      </c>
      <c r="N110" s="31" t="s">
        <v>331</v>
      </c>
      <c r="O110" s="31"/>
    </row>
    <row r="111" spans="1:15">
      <c r="A111" s="31"/>
      <c r="B111" s="31" t="s">
        <v>269</v>
      </c>
      <c r="C111" s="31" t="s">
        <v>270</v>
      </c>
      <c r="D111" s="31" t="s">
        <v>332</v>
      </c>
      <c r="E111" s="31" t="s">
        <v>249</v>
      </c>
      <c r="F111" s="31" t="s">
        <v>250</v>
      </c>
      <c r="G111" s="31" t="s">
        <v>250</v>
      </c>
      <c r="H111" s="31" t="s">
        <v>300</v>
      </c>
      <c r="I111" s="31" t="b">
        <v>0</v>
      </c>
      <c r="J111" s="31">
        <v>100</v>
      </c>
      <c r="K111" s="31">
        <v>179.34</v>
      </c>
      <c r="L111" s="32">
        <v>29470</v>
      </c>
      <c r="M111" s="32">
        <v>1000000000031386</v>
      </c>
      <c r="N111" s="31" t="s">
        <v>333</v>
      </c>
      <c r="O111" s="31"/>
    </row>
    <row r="112" spans="1:15">
      <c r="A112" s="31"/>
      <c r="B112" s="31" t="s">
        <v>269</v>
      </c>
      <c r="C112" s="31" t="s">
        <v>270</v>
      </c>
      <c r="D112" s="31" t="s">
        <v>332</v>
      </c>
      <c r="E112" s="31" t="s">
        <v>249</v>
      </c>
      <c r="F112" s="31" t="s">
        <v>250</v>
      </c>
      <c r="G112" s="31" t="s">
        <v>250</v>
      </c>
      <c r="H112" s="31" t="s">
        <v>300</v>
      </c>
      <c r="I112" s="31" t="b">
        <v>0</v>
      </c>
      <c r="J112" s="31">
        <v>556</v>
      </c>
      <c r="K112" s="31">
        <v>179.34</v>
      </c>
      <c r="L112" s="32">
        <v>29471</v>
      </c>
      <c r="M112" s="32">
        <v>1000000000031386</v>
      </c>
      <c r="N112" s="31" t="s">
        <v>333</v>
      </c>
      <c r="O112" s="31"/>
    </row>
    <row r="113" spans="1:15">
      <c r="A113" s="31"/>
      <c r="B113" s="31" t="s">
        <v>269</v>
      </c>
      <c r="C113" s="31" t="s">
        <v>270</v>
      </c>
      <c r="D113" s="31" t="s">
        <v>332</v>
      </c>
      <c r="E113" s="31" t="s">
        <v>249</v>
      </c>
      <c r="F113" s="31" t="s">
        <v>250</v>
      </c>
      <c r="G113" s="31" t="s">
        <v>250</v>
      </c>
      <c r="H113" s="31" t="s">
        <v>300</v>
      </c>
      <c r="I113" s="31" t="b">
        <v>0</v>
      </c>
      <c r="J113" s="31">
        <v>15</v>
      </c>
      <c r="K113" s="31">
        <v>179.34</v>
      </c>
      <c r="L113" s="32">
        <v>29469</v>
      </c>
      <c r="M113" s="32">
        <v>1000000000031386</v>
      </c>
      <c r="N113" s="31" t="s">
        <v>333</v>
      </c>
      <c r="O113" s="31"/>
    </row>
    <row r="114" spans="1:15">
      <c r="A114" s="31"/>
      <c r="B114" s="31" t="s">
        <v>334</v>
      </c>
      <c r="C114" s="31" t="s">
        <v>335</v>
      </c>
      <c r="D114" s="31" t="s">
        <v>336</v>
      </c>
      <c r="E114" s="31" t="s">
        <v>249</v>
      </c>
      <c r="F114" s="31" t="s">
        <v>250</v>
      </c>
      <c r="G114" s="31" t="s">
        <v>250</v>
      </c>
      <c r="H114" s="31" t="s">
        <v>251</v>
      </c>
      <c r="I114" s="31" t="b">
        <v>0</v>
      </c>
      <c r="J114" s="31">
        <v>75</v>
      </c>
      <c r="K114" s="31">
        <v>339.2</v>
      </c>
      <c r="L114" s="32">
        <v>201509326</v>
      </c>
      <c r="M114" s="32">
        <v>1100000006516881</v>
      </c>
      <c r="N114" s="31" t="s">
        <v>337</v>
      </c>
      <c r="O114" s="31"/>
    </row>
    <row r="115" spans="1:15">
      <c r="A115" s="31"/>
      <c r="B115" s="31" t="s">
        <v>289</v>
      </c>
      <c r="C115" s="31" t="s">
        <v>290</v>
      </c>
      <c r="D115" s="31" t="s">
        <v>336</v>
      </c>
      <c r="E115" s="31" t="s">
        <v>80</v>
      </c>
      <c r="F115" s="31" t="s">
        <v>250</v>
      </c>
      <c r="G115" s="31" t="s">
        <v>306</v>
      </c>
      <c r="H115" s="31" t="s">
        <v>300</v>
      </c>
      <c r="I115" s="31" t="b">
        <v>0</v>
      </c>
      <c r="J115" s="31">
        <v>1754</v>
      </c>
      <c r="K115" s="31">
        <v>126.6</v>
      </c>
      <c r="L115" s="32">
        <v>3510100</v>
      </c>
      <c r="M115" s="32">
        <v>1.7610376559070579E+18</v>
      </c>
      <c r="N115" s="31" t="s">
        <v>338</v>
      </c>
      <c r="O115" s="31"/>
    </row>
    <row r="116" spans="1:15">
      <c r="A116" s="31"/>
      <c r="B116" s="31" t="s">
        <v>273</v>
      </c>
      <c r="C116" s="31" t="s">
        <v>274</v>
      </c>
      <c r="D116" s="31" t="s">
        <v>339</v>
      </c>
      <c r="E116" s="31" t="s">
        <v>249</v>
      </c>
      <c r="F116" s="31" t="s">
        <v>250</v>
      </c>
      <c r="G116" s="31" t="s">
        <v>250</v>
      </c>
      <c r="H116" s="31" t="s">
        <v>300</v>
      </c>
      <c r="I116" s="31" t="b">
        <v>0</v>
      </c>
      <c r="J116" s="31">
        <v>43</v>
      </c>
      <c r="K116" s="31">
        <v>589.95000000000005</v>
      </c>
      <c r="L116" s="32">
        <v>205345110</v>
      </c>
      <c r="M116" s="32">
        <v>1100000056341252</v>
      </c>
      <c r="N116" s="31" t="s">
        <v>340</v>
      </c>
      <c r="O116" s="31"/>
    </row>
    <row r="117" spans="1:15">
      <c r="A117" s="31"/>
      <c r="B117" s="31" t="s">
        <v>273</v>
      </c>
      <c r="C117" s="31" t="s">
        <v>274</v>
      </c>
      <c r="D117" s="31" t="s">
        <v>339</v>
      </c>
      <c r="E117" s="31" t="s">
        <v>249</v>
      </c>
      <c r="F117" s="31" t="s">
        <v>250</v>
      </c>
      <c r="G117" s="31" t="s">
        <v>250</v>
      </c>
      <c r="H117" s="31" t="s">
        <v>300</v>
      </c>
      <c r="I117" s="31" t="b">
        <v>0</v>
      </c>
      <c r="J117" s="31">
        <v>85</v>
      </c>
      <c r="K117" s="31">
        <v>589.9</v>
      </c>
      <c r="L117" s="32">
        <v>205345111</v>
      </c>
      <c r="M117" s="32">
        <v>1100000056341252</v>
      </c>
      <c r="N117" s="31" t="s">
        <v>340</v>
      </c>
      <c r="O117" s="31"/>
    </row>
    <row r="118" spans="1:15">
      <c r="A118" s="31"/>
      <c r="B118" s="31" t="s">
        <v>273</v>
      </c>
      <c r="C118" s="31" t="s">
        <v>274</v>
      </c>
      <c r="D118" s="31" t="s">
        <v>339</v>
      </c>
      <c r="E118" s="31" t="s">
        <v>249</v>
      </c>
      <c r="F118" s="31" t="s">
        <v>250</v>
      </c>
      <c r="G118" s="31" t="s">
        <v>250</v>
      </c>
      <c r="H118" s="31" t="s">
        <v>300</v>
      </c>
      <c r="I118" s="31" t="b">
        <v>0</v>
      </c>
      <c r="J118" s="31">
        <v>1</v>
      </c>
      <c r="K118" s="31">
        <v>589.95000000000005</v>
      </c>
      <c r="L118" s="32">
        <v>205345108</v>
      </c>
      <c r="M118" s="32">
        <v>1100000056341252</v>
      </c>
      <c r="N118" s="31" t="s">
        <v>340</v>
      </c>
      <c r="O118" s="31"/>
    </row>
    <row r="119" spans="1:15">
      <c r="A119" s="31"/>
      <c r="B119" s="31" t="s">
        <v>273</v>
      </c>
      <c r="C119" s="31" t="s">
        <v>274</v>
      </c>
      <c r="D119" s="31" t="s">
        <v>339</v>
      </c>
      <c r="E119" s="31" t="s">
        <v>249</v>
      </c>
      <c r="F119" s="31" t="s">
        <v>250</v>
      </c>
      <c r="G119" s="31" t="s">
        <v>250</v>
      </c>
      <c r="H119" s="31" t="s">
        <v>300</v>
      </c>
      <c r="I119" s="31" t="b">
        <v>0</v>
      </c>
      <c r="J119" s="31">
        <v>16</v>
      </c>
      <c r="K119" s="31">
        <v>589.9</v>
      </c>
      <c r="L119" s="32">
        <v>205345113</v>
      </c>
      <c r="M119" s="32">
        <v>1100000056341252</v>
      </c>
      <c r="N119" s="31" t="s">
        <v>340</v>
      </c>
      <c r="O119" s="31"/>
    </row>
    <row r="120" spans="1:15">
      <c r="A120" s="31"/>
      <c r="B120" s="31" t="s">
        <v>273</v>
      </c>
      <c r="C120" s="31" t="s">
        <v>274</v>
      </c>
      <c r="D120" s="31" t="s">
        <v>339</v>
      </c>
      <c r="E120" s="31" t="s">
        <v>249</v>
      </c>
      <c r="F120" s="31" t="s">
        <v>250</v>
      </c>
      <c r="G120" s="31" t="s">
        <v>250</v>
      </c>
      <c r="H120" s="31" t="s">
        <v>300</v>
      </c>
      <c r="I120" s="31" t="b">
        <v>0</v>
      </c>
      <c r="J120" s="31">
        <v>25</v>
      </c>
      <c r="K120" s="31">
        <v>590.20000000000005</v>
      </c>
      <c r="L120" s="32">
        <v>205345107</v>
      </c>
      <c r="M120" s="32">
        <v>1100000056341252</v>
      </c>
      <c r="N120" s="31" t="s">
        <v>340</v>
      </c>
      <c r="O120" s="31"/>
    </row>
    <row r="121" spans="1:15">
      <c r="A121" s="31"/>
      <c r="B121" s="31" t="s">
        <v>273</v>
      </c>
      <c r="C121" s="31" t="s">
        <v>274</v>
      </c>
      <c r="D121" s="31" t="s">
        <v>339</v>
      </c>
      <c r="E121" s="31" t="s">
        <v>249</v>
      </c>
      <c r="F121" s="31" t="s">
        <v>250</v>
      </c>
      <c r="G121" s="31" t="s">
        <v>250</v>
      </c>
      <c r="H121" s="31" t="s">
        <v>300</v>
      </c>
      <c r="I121" s="31" t="b">
        <v>0</v>
      </c>
      <c r="J121" s="31">
        <v>43</v>
      </c>
      <c r="K121" s="31">
        <v>589.9</v>
      </c>
      <c r="L121" s="32">
        <v>205345112</v>
      </c>
      <c r="M121" s="32">
        <v>1100000056341252</v>
      </c>
      <c r="N121" s="31" t="s">
        <v>340</v>
      </c>
      <c r="O121" s="31"/>
    </row>
    <row r="122" spans="1:15">
      <c r="A122" s="31"/>
      <c r="B122" s="31" t="s">
        <v>273</v>
      </c>
      <c r="C122" s="31" t="s">
        <v>274</v>
      </c>
      <c r="D122" s="31" t="s">
        <v>339</v>
      </c>
      <c r="E122" s="31" t="s">
        <v>249</v>
      </c>
      <c r="F122" s="31" t="s">
        <v>250</v>
      </c>
      <c r="G122" s="31" t="s">
        <v>250</v>
      </c>
      <c r="H122" s="31" t="s">
        <v>300</v>
      </c>
      <c r="I122" s="31" t="b">
        <v>0</v>
      </c>
      <c r="J122" s="31">
        <v>85</v>
      </c>
      <c r="K122" s="31">
        <v>589.95000000000005</v>
      </c>
      <c r="L122" s="32">
        <v>205345109</v>
      </c>
      <c r="M122" s="32">
        <v>1100000056341252</v>
      </c>
      <c r="N122" s="31" t="s">
        <v>340</v>
      </c>
      <c r="O122" s="31"/>
    </row>
    <row r="123" spans="1:15">
      <c r="A123" s="31"/>
      <c r="B123" s="31" t="s">
        <v>308</v>
      </c>
      <c r="C123" s="31" t="s">
        <v>309</v>
      </c>
      <c r="D123" s="31" t="s">
        <v>341</v>
      </c>
      <c r="E123" s="31" t="s">
        <v>249</v>
      </c>
      <c r="F123" s="31" t="s">
        <v>250</v>
      </c>
      <c r="G123" s="31" t="s">
        <v>250</v>
      </c>
      <c r="H123" s="31" t="s">
        <v>300</v>
      </c>
      <c r="I123" s="31" t="b">
        <v>0</v>
      </c>
      <c r="J123" s="31">
        <v>14</v>
      </c>
      <c r="K123" s="31">
        <v>482.05</v>
      </c>
      <c r="L123" s="32">
        <v>400073759</v>
      </c>
      <c r="M123" s="32">
        <v>1200000000472402</v>
      </c>
      <c r="N123" s="31" t="s">
        <v>342</v>
      </c>
      <c r="O123" s="31"/>
    </row>
    <row r="124" spans="1:15">
      <c r="A124" s="31"/>
      <c r="B124" s="31" t="s">
        <v>308</v>
      </c>
      <c r="C124" s="31" t="s">
        <v>309</v>
      </c>
      <c r="D124" s="31" t="s">
        <v>341</v>
      </c>
      <c r="E124" s="31" t="s">
        <v>249</v>
      </c>
      <c r="F124" s="31" t="s">
        <v>250</v>
      </c>
      <c r="G124" s="31" t="s">
        <v>250</v>
      </c>
      <c r="H124" s="31" t="s">
        <v>300</v>
      </c>
      <c r="I124" s="31" t="b">
        <v>0</v>
      </c>
      <c r="J124" s="31">
        <v>10</v>
      </c>
      <c r="K124" s="31">
        <v>482</v>
      </c>
      <c r="L124" s="32">
        <v>400073762</v>
      </c>
      <c r="M124" s="32">
        <v>1200000000472402</v>
      </c>
      <c r="N124" s="31" t="s">
        <v>342</v>
      </c>
      <c r="O124" s="31"/>
    </row>
    <row r="125" spans="1:15">
      <c r="A125" s="31"/>
      <c r="B125" s="31" t="s">
        <v>308</v>
      </c>
      <c r="C125" s="31" t="s">
        <v>309</v>
      </c>
      <c r="D125" s="31" t="s">
        <v>341</v>
      </c>
      <c r="E125" s="31" t="s">
        <v>249</v>
      </c>
      <c r="F125" s="31" t="s">
        <v>250</v>
      </c>
      <c r="G125" s="31" t="s">
        <v>250</v>
      </c>
      <c r="H125" s="31" t="s">
        <v>300</v>
      </c>
      <c r="I125" s="31" t="b">
        <v>0</v>
      </c>
      <c r="J125" s="31">
        <v>17</v>
      </c>
      <c r="K125" s="31">
        <v>482.05</v>
      </c>
      <c r="L125" s="32">
        <v>400073755</v>
      </c>
      <c r="M125" s="32">
        <v>1200000000472402</v>
      </c>
      <c r="N125" s="31" t="s">
        <v>342</v>
      </c>
      <c r="O125" s="31"/>
    </row>
    <row r="126" spans="1:15">
      <c r="A126" s="31"/>
      <c r="B126" s="31" t="s">
        <v>308</v>
      </c>
      <c r="C126" s="31" t="s">
        <v>309</v>
      </c>
      <c r="D126" s="31" t="s">
        <v>341</v>
      </c>
      <c r="E126" s="31" t="s">
        <v>249</v>
      </c>
      <c r="F126" s="31" t="s">
        <v>250</v>
      </c>
      <c r="G126" s="31" t="s">
        <v>250</v>
      </c>
      <c r="H126" s="31" t="s">
        <v>300</v>
      </c>
      <c r="I126" s="31" t="b">
        <v>0</v>
      </c>
      <c r="J126" s="31">
        <v>2</v>
      </c>
      <c r="K126" s="31">
        <v>482.05</v>
      </c>
      <c r="L126" s="32">
        <v>400073756</v>
      </c>
      <c r="M126" s="32">
        <v>1200000000472402</v>
      </c>
      <c r="N126" s="31" t="s">
        <v>342</v>
      </c>
      <c r="O126" s="31"/>
    </row>
    <row r="127" spans="1:15">
      <c r="A127" s="31"/>
      <c r="B127" s="31" t="s">
        <v>308</v>
      </c>
      <c r="C127" s="31" t="s">
        <v>309</v>
      </c>
      <c r="D127" s="31" t="s">
        <v>341</v>
      </c>
      <c r="E127" s="31" t="s">
        <v>249</v>
      </c>
      <c r="F127" s="31" t="s">
        <v>250</v>
      </c>
      <c r="G127" s="31" t="s">
        <v>250</v>
      </c>
      <c r="H127" s="31" t="s">
        <v>300</v>
      </c>
      <c r="I127" s="31" t="b">
        <v>0</v>
      </c>
      <c r="J127" s="31">
        <v>2</v>
      </c>
      <c r="K127" s="31">
        <v>482</v>
      </c>
      <c r="L127" s="32">
        <v>400073761</v>
      </c>
      <c r="M127" s="32">
        <v>1200000000472402</v>
      </c>
      <c r="N127" s="31" t="s">
        <v>342</v>
      </c>
      <c r="O127" s="31"/>
    </row>
    <row r="128" spans="1:15">
      <c r="A128" s="31"/>
      <c r="B128" s="31" t="s">
        <v>308</v>
      </c>
      <c r="C128" s="31" t="s">
        <v>309</v>
      </c>
      <c r="D128" s="31" t="s">
        <v>341</v>
      </c>
      <c r="E128" s="31" t="s">
        <v>249</v>
      </c>
      <c r="F128" s="31" t="s">
        <v>250</v>
      </c>
      <c r="G128" s="31" t="s">
        <v>250</v>
      </c>
      <c r="H128" s="31" t="s">
        <v>300</v>
      </c>
      <c r="I128" s="31" t="b">
        <v>0</v>
      </c>
      <c r="J128" s="31">
        <v>1</v>
      </c>
      <c r="K128" s="31">
        <v>482</v>
      </c>
      <c r="L128" s="32">
        <v>400073764</v>
      </c>
      <c r="M128" s="32">
        <v>1200000000472402</v>
      </c>
      <c r="N128" s="31" t="s">
        <v>342</v>
      </c>
      <c r="O128" s="31"/>
    </row>
    <row r="129" spans="1:15">
      <c r="A129" s="31"/>
      <c r="B129" s="31" t="s">
        <v>308</v>
      </c>
      <c r="C129" s="31" t="s">
        <v>309</v>
      </c>
      <c r="D129" s="31" t="s">
        <v>341</v>
      </c>
      <c r="E129" s="31" t="s">
        <v>249</v>
      </c>
      <c r="F129" s="31" t="s">
        <v>250</v>
      </c>
      <c r="G129" s="31" t="s">
        <v>250</v>
      </c>
      <c r="H129" s="31" t="s">
        <v>300</v>
      </c>
      <c r="I129" s="31" t="b">
        <v>0</v>
      </c>
      <c r="J129" s="31">
        <v>50</v>
      </c>
      <c r="K129" s="31">
        <v>482</v>
      </c>
      <c r="L129" s="32">
        <v>400073763</v>
      </c>
      <c r="M129" s="32">
        <v>1200000000472402</v>
      </c>
      <c r="N129" s="31" t="s">
        <v>342</v>
      </c>
      <c r="O129" s="31"/>
    </row>
    <row r="130" spans="1:15">
      <c r="A130" s="31"/>
      <c r="B130" s="31" t="s">
        <v>308</v>
      </c>
      <c r="C130" s="31" t="s">
        <v>309</v>
      </c>
      <c r="D130" s="31" t="s">
        <v>341</v>
      </c>
      <c r="E130" s="31" t="s">
        <v>249</v>
      </c>
      <c r="F130" s="31" t="s">
        <v>250</v>
      </c>
      <c r="G130" s="31" t="s">
        <v>250</v>
      </c>
      <c r="H130" s="31" t="s">
        <v>300</v>
      </c>
      <c r="I130" s="31" t="b">
        <v>0</v>
      </c>
      <c r="J130" s="31">
        <v>5</v>
      </c>
      <c r="K130" s="31">
        <v>481.9</v>
      </c>
      <c r="L130" s="32">
        <v>400073768</v>
      </c>
      <c r="M130" s="32">
        <v>1200000000472402</v>
      </c>
      <c r="N130" s="31" t="s">
        <v>342</v>
      </c>
      <c r="O130" s="31"/>
    </row>
    <row r="131" spans="1:15">
      <c r="A131" s="31"/>
      <c r="B131" s="31" t="s">
        <v>308</v>
      </c>
      <c r="C131" s="31" t="s">
        <v>309</v>
      </c>
      <c r="D131" s="31" t="s">
        <v>341</v>
      </c>
      <c r="E131" s="31" t="s">
        <v>249</v>
      </c>
      <c r="F131" s="31" t="s">
        <v>250</v>
      </c>
      <c r="G131" s="31" t="s">
        <v>250</v>
      </c>
      <c r="H131" s="31" t="s">
        <v>300</v>
      </c>
      <c r="I131" s="31" t="b">
        <v>0</v>
      </c>
      <c r="J131" s="31">
        <v>16</v>
      </c>
      <c r="K131" s="31">
        <v>482.05</v>
      </c>
      <c r="L131" s="32">
        <v>400073753</v>
      </c>
      <c r="M131" s="32">
        <v>1200000000472402</v>
      </c>
      <c r="N131" s="31" t="s">
        <v>342</v>
      </c>
      <c r="O131" s="31"/>
    </row>
    <row r="132" spans="1:15">
      <c r="A132" s="31"/>
      <c r="B132" s="31" t="s">
        <v>308</v>
      </c>
      <c r="C132" s="31" t="s">
        <v>309</v>
      </c>
      <c r="D132" s="31" t="s">
        <v>341</v>
      </c>
      <c r="E132" s="31" t="s">
        <v>249</v>
      </c>
      <c r="F132" s="31" t="s">
        <v>250</v>
      </c>
      <c r="G132" s="31" t="s">
        <v>250</v>
      </c>
      <c r="H132" s="31" t="s">
        <v>300</v>
      </c>
      <c r="I132" s="31" t="b">
        <v>0</v>
      </c>
      <c r="J132" s="31">
        <v>42</v>
      </c>
      <c r="K132" s="31">
        <v>482</v>
      </c>
      <c r="L132" s="32">
        <v>400073766</v>
      </c>
      <c r="M132" s="32">
        <v>1200000000472402</v>
      </c>
      <c r="N132" s="31" t="s">
        <v>342</v>
      </c>
      <c r="O132" s="31"/>
    </row>
    <row r="133" spans="1:15">
      <c r="A133" s="31"/>
      <c r="B133" s="31" t="s">
        <v>308</v>
      </c>
      <c r="C133" s="31" t="s">
        <v>309</v>
      </c>
      <c r="D133" s="31" t="s">
        <v>341</v>
      </c>
      <c r="E133" s="31" t="s">
        <v>249</v>
      </c>
      <c r="F133" s="31" t="s">
        <v>250</v>
      </c>
      <c r="G133" s="31" t="s">
        <v>250</v>
      </c>
      <c r="H133" s="31" t="s">
        <v>300</v>
      </c>
      <c r="I133" s="31" t="b">
        <v>0</v>
      </c>
      <c r="J133" s="31">
        <v>4</v>
      </c>
      <c r="K133" s="31">
        <v>482</v>
      </c>
      <c r="L133" s="32">
        <v>400073767</v>
      </c>
      <c r="M133" s="32">
        <v>1200000000472402</v>
      </c>
      <c r="N133" s="31" t="s">
        <v>342</v>
      </c>
      <c r="O133" s="31"/>
    </row>
    <row r="134" spans="1:15">
      <c r="A134" s="31"/>
      <c r="B134" s="31" t="s">
        <v>52</v>
      </c>
      <c r="C134" s="31" t="s">
        <v>315</v>
      </c>
      <c r="D134" s="31" t="s">
        <v>341</v>
      </c>
      <c r="E134" s="31" t="s">
        <v>249</v>
      </c>
      <c r="F134" s="31" t="s">
        <v>250</v>
      </c>
      <c r="G134" s="31" t="s">
        <v>250</v>
      </c>
      <c r="H134" s="31" t="s">
        <v>251</v>
      </c>
      <c r="I134" s="31" t="b">
        <v>0</v>
      </c>
      <c r="J134" s="31">
        <v>84</v>
      </c>
      <c r="K134" s="31">
        <v>841.1</v>
      </c>
      <c r="L134" s="32">
        <v>208603870</v>
      </c>
      <c r="M134" s="32">
        <v>1100000076303650</v>
      </c>
      <c r="N134" s="31" t="s">
        <v>343</v>
      </c>
      <c r="O134" s="31"/>
    </row>
    <row r="135" spans="1:15">
      <c r="A135" s="31"/>
      <c r="B135" s="31" t="s">
        <v>52</v>
      </c>
      <c r="C135" s="31" t="s">
        <v>315</v>
      </c>
      <c r="D135" s="31" t="s">
        <v>341</v>
      </c>
      <c r="E135" s="31" t="s">
        <v>249</v>
      </c>
      <c r="F135" s="31" t="s">
        <v>250</v>
      </c>
      <c r="G135" s="31" t="s">
        <v>250</v>
      </c>
      <c r="H135" s="31" t="s">
        <v>251</v>
      </c>
      <c r="I135" s="31" t="b">
        <v>0</v>
      </c>
      <c r="J135" s="31">
        <v>35</v>
      </c>
      <c r="K135" s="31">
        <v>841.1</v>
      </c>
      <c r="L135" s="32">
        <v>208603871</v>
      </c>
      <c r="M135" s="32">
        <v>1100000076303650</v>
      </c>
      <c r="N135" s="31" t="s">
        <v>343</v>
      </c>
      <c r="O135" s="31"/>
    </row>
    <row r="136" spans="1:15">
      <c r="A136" s="31"/>
      <c r="B136" s="31" t="s">
        <v>124</v>
      </c>
      <c r="C136" s="31" t="s">
        <v>344</v>
      </c>
      <c r="D136" s="31" t="s">
        <v>341</v>
      </c>
      <c r="E136" s="31" t="s">
        <v>249</v>
      </c>
      <c r="F136" s="31" t="s">
        <v>250</v>
      </c>
      <c r="G136" s="31" t="s">
        <v>250</v>
      </c>
      <c r="H136" s="31" t="s">
        <v>251</v>
      </c>
      <c r="I136" s="31" t="b">
        <v>0</v>
      </c>
      <c r="J136" s="31">
        <v>49</v>
      </c>
      <c r="K136" s="31">
        <v>269.69</v>
      </c>
      <c r="L136" s="32">
        <v>208693336</v>
      </c>
      <c r="M136" s="32">
        <v>1100000077091561</v>
      </c>
      <c r="N136" s="31" t="s">
        <v>345</v>
      </c>
      <c r="O136" s="31"/>
    </row>
    <row r="137" spans="1:15">
      <c r="A137" s="31"/>
      <c r="B137" s="31" t="s">
        <v>124</v>
      </c>
      <c r="C137" s="31" t="s">
        <v>344</v>
      </c>
      <c r="D137" s="31" t="s">
        <v>341</v>
      </c>
      <c r="E137" s="31" t="s">
        <v>249</v>
      </c>
      <c r="F137" s="31" t="s">
        <v>250</v>
      </c>
      <c r="G137" s="31" t="s">
        <v>250</v>
      </c>
      <c r="H137" s="31" t="s">
        <v>251</v>
      </c>
      <c r="I137" s="31" t="b">
        <v>0</v>
      </c>
      <c r="J137" s="31">
        <v>51</v>
      </c>
      <c r="K137" s="31">
        <v>269.68</v>
      </c>
      <c r="L137" s="32">
        <v>208693335</v>
      </c>
      <c r="M137" s="32">
        <v>1100000077091561</v>
      </c>
      <c r="N137" s="31" t="s">
        <v>345</v>
      </c>
      <c r="O137" s="31"/>
    </row>
    <row r="138" spans="1:15">
      <c r="A138" s="31"/>
      <c r="B138" s="31" t="s">
        <v>124</v>
      </c>
      <c r="C138" s="31" t="s">
        <v>344</v>
      </c>
      <c r="D138" s="31" t="s">
        <v>346</v>
      </c>
      <c r="E138" s="31" t="s">
        <v>249</v>
      </c>
      <c r="F138" s="31" t="s">
        <v>250</v>
      </c>
      <c r="G138" s="31" t="s">
        <v>250</v>
      </c>
      <c r="H138" s="31" t="s">
        <v>251</v>
      </c>
      <c r="I138" s="31" t="b">
        <v>0</v>
      </c>
      <c r="J138" s="31">
        <v>30</v>
      </c>
      <c r="K138" s="31">
        <v>283.87</v>
      </c>
      <c r="L138" s="32">
        <v>208482585</v>
      </c>
      <c r="M138" s="32">
        <v>1100000073723147</v>
      </c>
      <c r="N138" s="31" t="s">
        <v>347</v>
      </c>
      <c r="O138" s="31"/>
    </row>
    <row r="139" spans="1:15">
      <c r="A139" s="31"/>
      <c r="B139" s="31" t="s">
        <v>124</v>
      </c>
      <c r="C139" s="31" t="s">
        <v>344</v>
      </c>
      <c r="D139" s="31" t="s">
        <v>346</v>
      </c>
      <c r="E139" s="31" t="s">
        <v>249</v>
      </c>
      <c r="F139" s="31" t="s">
        <v>250</v>
      </c>
      <c r="G139" s="31" t="s">
        <v>250</v>
      </c>
      <c r="H139" s="31" t="s">
        <v>251</v>
      </c>
      <c r="I139" s="31" t="b">
        <v>0</v>
      </c>
      <c r="J139" s="31">
        <v>146</v>
      </c>
      <c r="K139" s="31">
        <v>283.89</v>
      </c>
      <c r="L139" s="32">
        <v>208482586</v>
      </c>
      <c r="M139" s="32">
        <v>1100000073723147</v>
      </c>
      <c r="N139" s="31" t="s">
        <v>347</v>
      </c>
      <c r="O139" s="31"/>
    </row>
    <row r="140" spans="1:15">
      <c r="A140" s="31"/>
      <c r="B140" s="31" t="s">
        <v>348</v>
      </c>
      <c r="C140" s="31" t="s">
        <v>349</v>
      </c>
      <c r="D140" s="31" t="s">
        <v>350</v>
      </c>
      <c r="E140" s="31" t="s">
        <v>249</v>
      </c>
      <c r="F140" s="31" t="s">
        <v>250</v>
      </c>
      <c r="G140" s="31" t="s">
        <v>250</v>
      </c>
      <c r="H140" s="31" t="s">
        <v>251</v>
      </c>
      <c r="I140" s="31" t="b">
        <v>0</v>
      </c>
      <c r="J140" s="31">
        <v>7</v>
      </c>
      <c r="K140" s="31">
        <v>483.35</v>
      </c>
      <c r="L140" s="32">
        <v>207124675</v>
      </c>
      <c r="M140" s="32">
        <v>1100000062113123</v>
      </c>
      <c r="N140" s="31" t="s">
        <v>351</v>
      </c>
      <c r="O140" s="31"/>
    </row>
    <row r="141" spans="1:15">
      <c r="A141" s="31"/>
      <c r="B141" s="31" t="s">
        <v>348</v>
      </c>
      <c r="C141" s="31" t="s">
        <v>349</v>
      </c>
      <c r="D141" s="31" t="s">
        <v>350</v>
      </c>
      <c r="E141" s="31" t="s">
        <v>249</v>
      </c>
      <c r="F141" s="31" t="s">
        <v>250</v>
      </c>
      <c r="G141" s="31" t="s">
        <v>250</v>
      </c>
      <c r="H141" s="31" t="s">
        <v>251</v>
      </c>
      <c r="I141" s="31" t="b">
        <v>0</v>
      </c>
      <c r="J141" s="31">
        <v>153</v>
      </c>
      <c r="K141" s="31">
        <v>483.35</v>
      </c>
      <c r="L141" s="32">
        <v>207124677</v>
      </c>
      <c r="M141" s="32">
        <v>1100000062113123</v>
      </c>
      <c r="N141" s="31" t="s">
        <v>351</v>
      </c>
      <c r="O141" s="31"/>
    </row>
    <row r="142" spans="1:15">
      <c r="A142" s="31"/>
      <c r="B142" s="31" t="s">
        <v>348</v>
      </c>
      <c r="C142" s="31" t="s">
        <v>349</v>
      </c>
      <c r="D142" s="31" t="s">
        <v>350</v>
      </c>
      <c r="E142" s="31" t="s">
        <v>249</v>
      </c>
      <c r="F142" s="31" t="s">
        <v>250</v>
      </c>
      <c r="G142" s="31" t="s">
        <v>250</v>
      </c>
      <c r="H142" s="31" t="s">
        <v>251</v>
      </c>
      <c r="I142" s="31" t="b">
        <v>0</v>
      </c>
      <c r="J142" s="31">
        <v>45</v>
      </c>
      <c r="K142" s="31">
        <v>483.35</v>
      </c>
      <c r="L142" s="32">
        <v>207124676</v>
      </c>
      <c r="M142" s="32">
        <v>1100000062113123</v>
      </c>
      <c r="N142" s="31" t="s">
        <v>351</v>
      </c>
      <c r="O142" s="31"/>
    </row>
    <row r="143" spans="1:15">
      <c r="A143" s="31"/>
      <c r="B143" s="31" t="s">
        <v>352</v>
      </c>
      <c r="C143" s="31" t="s">
        <v>353</v>
      </c>
      <c r="D143" s="31" t="s">
        <v>350</v>
      </c>
      <c r="E143" s="31" t="s">
        <v>249</v>
      </c>
      <c r="F143" s="31" t="s">
        <v>250</v>
      </c>
      <c r="G143" s="31" t="s">
        <v>250</v>
      </c>
      <c r="H143" s="31" t="s">
        <v>251</v>
      </c>
      <c r="I143" s="31" t="b">
        <v>0</v>
      </c>
      <c r="J143" s="31">
        <v>10</v>
      </c>
      <c r="K143" s="31">
        <v>955.9</v>
      </c>
      <c r="L143" s="32">
        <v>5432380</v>
      </c>
      <c r="M143" s="32">
        <v>1000000052812081</v>
      </c>
      <c r="N143" s="31" t="s">
        <v>354</v>
      </c>
      <c r="O143" s="31"/>
    </row>
    <row r="144" spans="1:15">
      <c r="A144" s="31"/>
      <c r="B144" s="31" t="s">
        <v>352</v>
      </c>
      <c r="C144" s="31" t="s">
        <v>353</v>
      </c>
      <c r="D144" s="31" t="s">
        <v>350</v>
      </c>
      <c r="E144" s="31" t="s">
        <v>249</v>
      </c>
      <c r="F144" s="31" t="s">
        <v>250</v>
      </c>
      <c r="G144" s="31" t="s">
        <v>250</v>
      </c>
      <c r="H144" s="31" t="s">
        <v>251</v>
      </c>
      <c r="I144" s="31" t="b">
        <v>0</v>
      </c>
      <c r="J144" s="31">
        <v>9</v>
      </c>
      <c r="K144" s="31">
        <v>955.9</v>
      </c>
      <c r="L144" s="32">
        <v>5432379</v>
      </c>
      <c r="M144" s="32">
        <v>1000000052812081</v>
      </c>
      <c r="N144" s="31" t="s">
        <v>354</v>
      </c>
      <c r="O144" s="31"/>
    </row>
    <row r="145" spans="1:15">
      <c r="A145" s="31"/>
      <c r="B145" s="31" t="s">
        <v>352</v>
      </c>
      <c r="C145" s="31" t="s">
        <v>353</v>
      </c>
      <c r="D145" s="31" t="s">
        <v>350</v>
      </c>
      <c r="E145" s="31" t="s">
        <v>249</v>
      </c>
      <c r="F145" s="31" t="s">
        <v>250</v>
      </c>
      <c r="G145" s="31" t="s">
        <v>250</v>
      </c>
      <c r="H145" s="31" t="s">
        <v>251</v>
      </c>
      <c r="I145" s="31" t="b">
        <v>0</v>
      </c>
      <c r="J145" s="31">
        <v>8</v>
      </c>
      <c r="K145" s="31">
        <v>955.9</v>
      </c>
      <c r="L145" s="32">
        <v>5432381</v>
      </c>
      <c r="M145" s="32">
        <v>1000000052812081</v>
      </c>
      <c r="N145" s="31" t="s">
        <v>354</v>
      </c>
      <c r="O145" s="31"/>
    </row>
    <row r="146" spans="1:15">
      <c r="A146" s="31"/>
      <c r="B146" s="31" t="s">
        <v>352</v>
      </c>
      <c r="C146" s="31" t="s">
        <v>353</v>
      </c>
      <c r="D146" s="31" t="s">
        <v>350</v>
      </c>
      <c r="E146" s="31" t="s">
        <v>249</v>
      </c>
      <c r="F146" s="31" t="s">
        <v>250</v>
      </c>
      <c r="G146" s="31" t="s">
        <v>250</v>
      </c>
      <c r="H146" s="31" t="s">
        <v>251</v>
      </c>
      <c r="I146" s="31" t="b">
        <v>0</v>
      </c>
      <c r="J146" s="31">
        <v>5</v>
      </c>
      <c r="K146" s="31">
        <v>955.85</v>
      </c>
      <c r="L146" s="32">
        <v>5432376</v>
      </c>
      <c r="M146" s="32">
        <v>1000000052812081</v>
      </c>
      <c r="N146" s="31" t="s">
        <v>354</v>
      </c>
      <c r="O146" s="31"/>
    </row>
    <row r="147" spans="1:15">
      <c r="A147" s="31"/>
      <c r="B147" s="31" t="s">
        <v>352</v>
      </c>
      <c r="C147" s="31" t="s">
        <v>353</v>
      </c>
      <c r="D147" s="31" t="s">
        <v>350</v>
      </c>
      <c r="E147" s="31" t="s">
        <v>249</v>
      </c>
      <c r="F147" s="31" t="s">
        <v>250</v>
      </c>
      <c r="G147" s="31" t="s">
        <v>250</v>
      </c>
      <c r="H147" s="31" t="s">
        <v>251</v>
      </c>
      <c r="I147" s="31" t="b">
        <v>0</v>
      </c>
      <c r="J147" s="31">
        <v>10</v>
      </c>
      <c r="K147" s="31">
        <v>955.85</v>
      </c>
      <c r="L147" s="32">
        <v>5432378</v>
      </c>
      <c r="M147" s="32">
        <v>1000000052812081</v>
      </c>
      <c r="N147" s="31" t="s">
        <v>354</v>
      </c>
      <c r="O147" s="31"/>
    </row>
    <row r="148" spans="1:15">
      <c r="A148" s="31"/>
      <c r="B148" s="31" t="s">
        <v>355</v>
      </c>
      <c r="C148" s="31" t="s">
        <v>356</v>
      </c>
      <c r="D148" s="31" t="s">
        <v>350</v>
      </c>
      <c r="E148" s="31" t="s">
        <v>249</v>
      </c>
      <c r="F148" s="31" t="s">
        <v>250</v>
      </c>
      <c r="G148" s="31" t="s">
        <v>250</v>
      </c>
      <c r="H148" s="31" t="s">
        <v>251</v>
      </c>
      <c r="I148" s="31" t="b">
        <v>0</v>
      </c>
      <c r="J148" s="31">
        <v>82</v>
      </c>
      <c r="K148" s="31">
        <v>367.7</v>
      </c>
      <c r="L148" s="32">
        <v>5441880</v>
      </c>
      <c r="M148" s="32">
        <v>1000000052895910</v>
      </c>
      <c r="N148" s="31" t="s">
        <v>357</v>
      </c>
      <c r="O148" s="31"/>
    </row>
    <row r="149" spans="1:15">
      <c r="A149" s="31"/>
      <c r="B149" s="31" t="s">
        <v>358</v>
      </c>
      <c r="C149" s="31" t="s">
        <v>359</v>
      </c>
      <c r="D149" s="31" t="s">
        <v>350</v>
      </c>
      <c r="E149" s="31" t="s">
        <v>249</v>
      </c>
      <c r="F149" s="31" t="s">
        <v>250</v>
      </c>
      <c r="G149" s="31" t="s">
        <v>250</v>
      </c>
      <c r="H149" s="31" t="s">
        <v>251</v>
      </c>
      <c r="I149" s="31" t="b">
        <v>0</v>
      </c>
      <c r="J149" s="31">
        <v>70</v>
      </c>
      <c r="K149" s="31">
        <v>167.82</v>
      </c>
      <c r="L149" s="32">
        <v>207164289</v>
      </c>
      <c r="M149" s="32">
        <v>1100000062440946</v>
      </c>
      <c r="N149" s="31" t="s">
        <v>360</v>
      </c>
      <c r="O149" s="31"/>
    </row>
    <row r="150" spans="1:15">
      <c r="A150" s="31"/>
      <c r="B150" s="31" t="s">
        <v>358</v>
      </c>
      <c r="C150" s="31" t="s">
        <v>359</v>
      </c>
      <c r="D150" s="31" t="s">
        <v>350</v>
      </c>
      <c r="E150" s="31" t="s">
        <v>249</v>
      </c>
      <c r="F150" s="31" t="s">
        <v>250</v>
      </c>
      <c r="G150" s="31" t="s">
        <v>250</v>
      </c>
      <c r="H150" s="31" t="s">
        <v>251</v>
      </c>
      <c r="I150" s="31" t="b">
        <v>0</v>
      </c>
      <c r="J150" s="31">
        <v>50</v>
      </c>
      <c r="K150" s="31">
        <v>167.82</v>
      </c>
      <c r="L150" s="32">
        <v>207164288</v>
      </c>
      <c r="M150" s="32">
        <v>1100000062440946</v>
      </c>
      <c r="N150" s="31" t="s">
        <v>360</v>
      </c>
      <c r="O150" s="31"/>
    </row>
    <row r="151" spans="1:15">
      <c r="A151" s="31"/>
      <c r="B151" s="31" t="s">
        <v>361</v>
      </c>
      <c r="C151" s="31" t="s">
        <v>362</v>
      </c>
      <c r="D151" s="31" t="s">
        <v>350</v>
      </c>
      <c r="E151" s="31" t="s">
        <v>249</v>
      </c>
      <c r="F151" s="31" t="s">
        <v>250</v>
      </c>
      <c r="G151" s="31" t="s">
        <v>250</v>
      </c>
      <c r="H151" s="31" t="s">
        <v>251</v>
      </c>
      <c r="I151" s="31" t="b">
        <v>0</v>
      </c>
      <c r="J151" s="31">
        <v>3</v>
      </c>
      <c r="K151" s="31">
        <v>950.5</v>
      </c>
      <c r="L151" s="32">
        <v>607883603</v>
      </c>
      <c r="M151" s="32">
        <v>1300000067038500</v>
      </c>
      <c r="N151" s="31" t="s">
        <v>363</v>
      </c>
      <c r="O151" s="31"/>
    </row>
    <row r="152" spans="1:15">
      <c r="A152" s="31"/>
      <c r="B152" s="31" t="s">
        <v>361</v>
      </c>
      <c r="C152" s="31" t="s">
        <v>362</v>
      </c>
      <c r="D152" s="31" t="s">
        <v>350</v>
      </c>
      <c r="E152" s="31" t="s">
        <v>249</v>
      </c>
      <c r="F152" s="31" t="s">
        <v>250</v>
      </c>
      <c r="G152" s="31" t="s">
        <v>250</v>
      </c>
      <c r="H152" s="31" t="s">
        <v>251</v>
      </c>
      <c r="I152" s="31" t="b">
        <v>0</v>
      </c>
      <c r="J152" s="31">
        <v>1</v>
      </c>
      <c r="K152" s="31">
        <v>950.5</v>
      </c>
      <c r="L152" s="32">
        <v>607883614</v>
      </c>
      <c r="M152" s="32">
        <v>1300000067038500</v>
      </c>
      <c r="N152" s="31" t="s">
        <v>363</v>
      </c>
      <c r="O152" s="31"/>
    </row>
    <row r="153" spans="1:15">
      <c r="A153" s="31"/>
      <c r="B153" s="31" t="s">
        <v>361</v>
      </c>
      <c r="C153" s="31" t="s">
        <v>362</v>
      </c>
      <c r="D153" s="31" t="s">
        <v>350</v>
      </c>
      <c r="E153" s="31" t="s">
        <v>249</v>
      </c>
      <c r="F153" s="31" t="s">
        <v>250</v>
      </c>
      <c r="G153" s="31" t="s">
        <v>250</v>
      </c>
      <c r="H153" s="31" t="s">
        <v>251</v>
      </c>
      <c r="I153" s="31" t="b">
        <v>0</v>
      </c>
      <c r="J153" s="31">
        <v>5</v>
      </c>
      <c r="K153" s="31">
        <v>950.5</v>
      </c>
      <c r="L153" s="32">
        <v>607883619</v>
      </c>
      <c r="M153" s="32">
        <v>1300000067038500</v>
      </c>
      <c r="N153" s="31" t="s">
        <v>363</v>
      </c>
      <c r="O153" s="31"/>
    </row>
    <row r="154" spans="1:15">
      <c r="A154" s="31"/>
      <c r="B154" s="31" t="s">
        <v>364</v>
      </c>
      <c r="C154" s="31" t="s">
        <v>365</v>
      </c>
      <c r="D154" s="31" t="s">
        <v>350</v>
      </c>
      <c r="E154" s="31" t="s">
        <v>249</v>
      </c>
      <c r="F154" s="31" t="s">
        <v>250</v>
      </c>
      <c r="G154" s="31" t="s">
        <v>250</v>
      </c>
      <c r="H154" s="31" t="s">
        <v>251</v>
      </c>
      <c r="I154" s="31" t="b">
        <v>0</v>
      </c>
      <c r="J154" s="31">
        <v>260</v>
      </c>
      <c r="K154" s="31">
        <v>292.10000000000002</v>
      </c>
      <c r="L154" s="32">
        <v>5467966</v>
      </c>
      <c r="M154" s="32">
        <v>1000000053096238</v>
      </c>
      <c r="N154" s="31" t="s">
        <v>366</v>
      </c>
      <c r="O154" s="31"/>
    </row>
    <row r="155" spans="1:15">
      <c r="A155" s="31"/>
      <c r="B155" s="31" t="s">
        <v>75</v>
      </c>
      <c r="C155" s="31" t="s">
        <v>367</v>
      </c>
      <c r="D155" s="31" t="s">
        <v>350</v>
      </c>
      <c r="E155" s="31" t="s">
        <v>249</v>
      </c>
      <c r="F155" s="31" t="s">
        <v>250</v>
      </c>
      <c r="G155" s="31" t="s">
        <v>250</v>
      </c>
      <c r="H155" s="31" t="s">
        <v>251</v>
      </c>
      <c r="I155" s="31" t="b">
        <v>0</v>
      </c>
      <c r="J155" s="31">
        <v>121</v>
      </c>
      <c r="K155" s="31">
        <v>238.41</v>
      </c>
      <c r="L155" s="32">
        <v>207221970</v>
      </c>
      <c r="M155" s="32">
        <v>1100000062851302</v>
      </c>
      <c r="N155" s="31" t="s">
        <v>368</v>
      </c>
      <c r="O155" s="31"/>
    </row>
    <row r="156" spans="1:15">
      <c r="A156" s="31"/>
      <c r="B156" s="31" t="s">
        <v>75</v>
      </c>
      <c r="C156" s="31" t="s">
        <v>367</v>
      </c>
      <c r="D156" s="31" t="s">
        <v>350</v>
      </c>
      <c r="E156" s="31" t="s">
        <v>249</v>
      </c>
      <c r="F156" s="31" t="s">
        <v>250</v>
      </c>
      <c r="G156" s="31" t="s">
        <v>250</v>
      </c>
      <c r="H156" s="31" t="s">
        <v>251</v>
      </c>
      <c r="I156" s="31" t="b">
        <v>0</v>
      </c>
      <c r="J156" s="31">
        <v>11</v>
      </c>
      <c r="K156" s="31">
        <v>238.41</v>
      </c>
      <c r="L156" s="32">
        <v>207221969</v>
      </c>
      <c r="M156" s="32">
        <v>1100000062851302</v>
      </c>
      <c r="N156" s="31" t="s">
        <v>368</v>
      </c>
      <c r="O156" s="31"/>
    </row>
    <row r="157" spans="1:15">
      <c r="A157" s="31"/>
      <c r="B157" s="31" t="s">
        <v>75</v>
      </c>
      <c r="C157" s="31" t="s">
        <v>367</v>
      </c>
      <c r="D157" s="31" t="s">
        <v>350</v>
      </c>
      <c r="E157" s="31" t="s">
        <v>249</v>
      </c>
      <c r="F157" s="31" t="s">
        <v>250</v>
      </c>
      <c r="G157" s="31" t="s">
        <v>250</v>
      </c>
      <c r="H157" s="31" t="s">
        <v>251</v>
      </c>
      <c r="I157" s="31" t="b">
        <v>0</v>
      </c>
      <c r="J157" s="31">
        <v>78</v>
      </c>
      <c r="K157" s="31">
        <v>238.41</v>
      </c>
      <c r="L157" s="32">
        <v>207221971</v>
      </c>
      <c r="M157" s="32">
        <v>1100000062851302</v>
      </c>
      <c r="N157" s="31" t="s">
        <v>368</v>
      </c>
      <c r="O157" s="31"/>
    </row>
    <row r="158" spans="1:15">
      <c r="A158" s="31"/>
      <c r="B158" s="31" t="s">
        <v>334</v>
      </c>
      <c r="C158" s="31" t="s">
        <v>335</v>
      </c>
      <c r="D158" s="31" t="s">
        <v>369</v>
      </c>
      <c r="E158" s="31" t="s">
        <v>249</v>
      </c>
      <c r="F158" s="31" t="s">
        <v>250</v>
      </c>
      <c r="G158" s="31" t="s">
        <v>250</v>
      </c>
      <c r="H158" s="31" t="s">
        <v>300</v>
      </c>
      <c r="I158" s="31" t="b">
        <v>0</v>
      </c>
      <c r="J158" s="31">
        <v>16</v>
      </c>
      <c r="K158" s="31">
        <v>304.75</v>
      </c>
      <c r="L158" s="32">
        <v>200847283</v>
      </c>
      <c r="M158" s="32">
        <v>1100000006789695</v>
      </c>
      <c r="N158" s="31" t="s">
        <v>370</v>
      </c>
      <c r="O158" s="31"/>
    </row>
    <row r="159" spans="1:15">
      <c r="A159" s="31"/>
      <c r="B159" s="31" t="s">
        <v>334</v>
      </c>
      <c r="C159" s="31" t="s">
        <v>335</v>
      </c>
      <c r="D159" s="31" t="s">
        <v>369</v>
      </c>
      <c r="E159" s="31" t="s">
        <v>249</v>
      </c>
      <c r="F159" s="31" t="s">
        <v>250</v>
      </c>
      <c r="G159" s="31" t="s">
        <v>250</v>
      </c>
      <c r="H159" s="31" t="s">
        <v>300</v>
      </c>
      <c r="I159" s="31" t="b">
        <v>0</v>
      </c>
      <c r="J159" s="31">
        <v>56</v>
      </c>
      <c r="K159" s="31">
        <v>304.75</v>
      </c>
      <c r="L159" s="32">
        <v>200847285</v>
      </c>
      <c r="M159" s="32">
        <v>1100000006789695</v>
      </c>
      <c r="N159" s="31" t="s">
        <v>370</v>
      </c>
      <c r="O159" s="31"/>
    </row>
    <row r="160" spans="1:15">
      <c r="A160" s="31"/>
      <c r="B160" s="31" t="s">
        <v>334</v>
      </c>
      <c r="C160" s="31" t="s">
        <v>335</v>
      </c>
      <c r="D160" s="31" t="s">
        <v>369</v>
      </c>
      <c r="E160" s="31" t="s">
        <v>249</v>
      </c>
      <c r="F160" s="31" t="s">
        <v>250</v>
      </c>
      <c r="G160" s="31" t="s">
        <v>250</v>
      </c>
      <c r="H160" s="31" t="s">
        <v>300</v>
      </c>
      <c r="I160" s="31" t="b">
        <v>0</v>
      </c>
      <c r="J160" s="31">
        <v>3</v>
      </c>
      <c r="K160" s="31">
        <v>304.75</v>
      </c>
      <c r="L160" s="32">
        <v>200847284</v>
      </c>
      <c r="M160" s="32">
        <v>1100000006789695</v>
      </c>
      <c r="N160" s="31" t="s">
        <v>370</v>
      </c>
      <c r="O160" s="31"/>
    </row>
    <row r="161" spans="1:15">
      <c r="A161" s="31"/>
      <c r="B161" s="31" t="s">
        <v>264</v>
      </c>
      <c r="C161" s="31" t="s">
        <v>265</v>
      </c>
      <c r="D161" s="31" t="s">
        <v>371</v>
      </c>
      <c r="E161" s="31" t="s">
        <v>249</v>
      </c>
      <c r="F161" s="31" t="s">
        <v>250</v>
      </c>
      <c r="G161" s="31" t="s">
        <v>250</v>
      </c>
      <c r="H161" s="31" t="s">
        <v>300</v>
      </c>
      <c r="I161" s="31" t="b">
        <v>0</v>
      </c>
      <c r="J161" s="31">
        <v>19</v>
      </c>
      <c r="K161" s="31">
        <v>4056.8</v>
      </c>
      <c r="L161" s="32">
        <v>206418034</v>
      </c>
      <c r="M161" s="32">
        <v>1100000055343086</v>
      </c>
      <c r="N161" s="31" t="s">
        <v>372</v>
      </c>
      <c r="O161" s="31"/>
    </row>
    <row r="162" spans="1:15">
      <c r="A162" s="31"/>
      <c r="B162" s="31" t="s">
        <v>112</v>
      </c>
      <c r="C162" s="31"/>
      <c r="D162" s="31" t="s">
        <v>371</v>
      </c>
      <c r="E162" s="31" t="s">
        <v>80</v>
      </c>
      <c r="F162" s="31" t="s">
        <v>250</v>
      </c>
      <c r="G162" s="31" t="s">
        <v>306</v>
      </c>
      <c r="H162" s="31" t="s">
        <v>300</v>
      </c>
      <c r="I162" s="31" t="b">
        <v>0</v>
      </c>
      <c r="J162" s="31">
        <v>160</v>
      </c>
      <c r="K162" s="31">
        <v>482.77499999999998</v>
      </c>
      <c r="L162" s="32">
        <v>6267600</v>
      </c>
      <c r="M162" s="32">
        <v>1.762844334102753E+18</v>
      </c>
      <c r="N162" s="31" t="s">
        <v>373</v>
      </c>
      <c r="O162" s="31"/>
    </row>
    <row r="163" spans="1:15">
      <c r="A163" s="31"/>
      <c r="B163" s="31" t="s">
        <v>112</v>
      </c>
      <c r="C163" s="31"/>
      <c r="D163" s="31" t="s">
        <v>371</v>
      </c>
      <c r="E163" s="31" t="s">
        <v>80</v>
      </c>
      <c r="F163" s="31" t="s">
        <v>250</v>
      </c>
      <c r="G163" s="31" t="s">
        <v>306</v>
      </c>
      <c r="H163" s="31" t="s">
        <v>300</v>
      </c>
      <c r="I163" s="31" t="b">
        <v>0</v>
      </c>
      <c r="J163" s="31">
        <v>8</v>
      </c>
      <c r="K163" s="31">
        <v>482.3125</v>
      </c>
      <c r="L163" s="32">
        <v>6267800</v>
      </c>
      <c r="M163" s="32">
        <v>1.762844334102753E+18</v>
      </c>
      <c r="N163" s="31" t="s">
        <v>373</v>
      </c>
      <c r="O163" s="31"/>
    </row>
    <row r="164" spans="1:15">
      <c r="A164" s="31"/>
      <c r="B164" s="31" t="s">
        <v>73</v>
      </c>
      <c r="C164" s="31" t="s">
        <v>247</v>
      </c>
      <c r="D164" s="31" t="s">
        <v>374</v>
      </c>
      <c r="E164" s="31" t="s">
        <v>249</v>
      </c>
      <c r="F164" s="31" t="s">
        <v>250</v>
      </c>
      <c r="G164" s="31" t="s">
        <v>250</v>
      </c>
      <c r="H164" s="31" t="s">
        <v>251</v>
      </c>
      <c r="I164" s="31" t="b">
        <v>0</v>
      </c>
      <c r="J164" s="31">
        <v>5</v>
      </c>
      <c r="K164" s="31">
        <v>7775.5</v>
      </c>
      <c r="L164" s="32">
        <v>402401951</v>
      </c>
      <c r="M164" s="32">
        <v>1200000022006382</v>
      </c>
      <c r="N164" s="31" t="s">
        <v>375</v>
      </c>
      <c r="O164" s="31"/>
    </row>
    <row r="165" spans="1:15">
      <c r="A165" s="31"/>
      <c r="B165" s="31" t="s">
        <v>73</v>
      </c>
      <c r="C165" s="31" t="s">
        <v>247</v>
      </c>
      <c r="D165" s="31" t="s">
        <v>374</v>
      </c>
      <c r="E165" s="31" t="s">
        <v>249</v>
      </c>
      <c r="F165" s="31" t="s">
        <v>250</v>
      </c>
      <c r="G165" s="31" t="s">
        <v>250</v>
      </c>
      <c r="H165" s="31" t="s">
        <v>251</v>
      </c>
      <c r="I165" s="31" t="b">
        <v>0</v>
      </c>
      <c r="J165" s="31">
        <v>1</v>
      </c>
      <c r="K165" s="31">
        <v>7773.5</v>
      </c>
      <c r="L165" s="32">
        <v>402401948</v>
      </c>
      <c r="M165" s="32">
        <v>1200000022006382</v>
      </c>
      <c r="N165" s="31" t="s">
        <v>375</v>
      </c>
      <c r="O165" s="31"/>
    </row>
    <row r="166" spans="1:15">
      <c r="A166" s="31"/>
      <c r="B166" s="31" t="s">
        <v>73</v>
      </c>
      <c r="C166" s="31" t="s">
        <v>247</v>
      </c>
      <c r="D166" s="31" t="s">
        <v>374</v>
      </c>
      <c r="E166" s="31" t="s">
        <v>249</v>
      </c>
      <c r="F166" s="31" t="s">
        <v>250</v>
      </c>
      <c r="G166" s="31" t="s">
        <v>250</v>
      </c>
      <c r="H166" s="31" t="s">
        <v>251</v>
      </c>
      <c r="I166" s="31" t="b">
        <v>0</v>
      </c>
      <c r="J166" s="31">
        <v>1</v>
      </c>
      <c r="K166" s="31">
        <v>7775.5</v>
      </c>
      <c r="L166" s="32">
        <v>402401949</v>
      </c>
      <c r="M166" s="32">
        <v>1200000022006382</v>
      </c>
      <c r="N166" s="31" t="s">
        <v>375</v>
      </c>
      <c r="O166" s="31"/>
    </row>
    <row r="167" spans="1:15">
      <c r="A167" s="31"/>
      <c r="B167" s="31" t="s">
        <v>73</v>
      </c>
      <c r="C167" s="31" t="s">
        <v>247</v>
      </c>
      <c r="D167" s="31" t="s">
        <v>374</v>
      </c>
      <c r="E167" s="31" t="s">
        <v>249</v>
      </c>
      <c r="F167" s="31" t="s">
        <v>250</v>
      </c>
      <c r="G167" s="31" t="s">
        <v>250</v>
      </c>
      <c r="H167" s="31" t="s">
        <v>251</v>
      </c>
      <c r="I167" s="31" t="b">
        <v>0</v>
      </c>
      <c r="J167" s="31">
        <v>3</v>
      </c>
      <c r="K167" s="31">
        <v>7775.5</v>
      </c>
      <c r="L167" s="32">
        <v>402401950</v>
      </c>
      <c r="M167" s="32">
        <v>1200000022006382</v>
      </c>
      <c r="N167" s="31" t="s">
        <v>375</v>
      </c>
      <c r="O167" s="31"/>
    </row>
    <row r="168" spans="1:15">
      <c r="A168" s="31"/>
      <c r="B168" s="31" t="s">
        <v>73</v>
      </c>
      <c r="C168" s="31" t="s">
        <v>247</v>
      </c>
      <c r="D168" s="31" t="s">
        <v>374</v>
      </c>
      <c r="E168" s="31" t="s">
        <v>249</v>
      </c>
      <c r="F168" s="31" t="s">
        <v>250</v>
      </c>
      <c r="G168" s="31" t="s">
        <v>250</v>
      </c>
      <c r="H168" s="31" t="s">
        <v>251</v>
      </c>
      <c r="I168" s="31" t="b">
        <v>0</v>
      </c>
      <c r="J168" s="31">
        <v>2</v>
      </c>
      <c r="K168" s="31">
        <v>7776</v>
      </c>
      <c r="L168" s="32">
        <v>402401953</v>
      </c>
      <c r="M168" s="32">
        <v>1200000022006382</v>
      </c>
      <c r="N168" s="31" t="s">
        <v>375</v>
      </c>
      <c r="O168" s="31"/>
    </row>
    <row r="169" spans="1:15">
      <c r="A169" s="31"/>
      <c r="B169" s="31" t="s">
        <v>311</v>
      </c>
      <c r="C169" s="31" t="s">
        <v>312</v>
      </c>
      <c r="D169" s="31" t="s">
        <v>376</v>
      </c>
      <c r="E169" s="31" t="s">
        <v>249</v>
      </c>
      <c r="F169" s="31" t="s">
        <v>250</v>
      </c>
      <c r="G169" s="31" t="s">
        <v>250</v>
      </c>
      <c r="H169" s="31" t="s">
        <v>251</v>
      </c>
      <c r="I169" s="31" t="b">
        <v>0</v>
      </c>
      <c r="J169" s="31">
        <v>1</v>
      </c>
      <c r="K169" s="31">
        <v>268.67</v>
      </c>
      <c r="L169" s="32">
        <v>406381643</v>
      </c>
      <c r="M169" s="32">
        <v>1200000064459364</v>
      </c>
      <c r="N169" s="31" t="s">
        <v>377</v>
      </c>
      <c r="O169" s="31"/>
    </row>
    <row r="170" spans="1:15">
      <c r="A170" s="31"/>
      <c r="B170" s="31" t="s">
        <v>311</v>
      </c>
      <c r="C170" s="31" t="s">
        <v>312</v>
      </c>
      <c r="D170" s="31" t="s">
        <v>376</v>
      </c>
      <c r="E170" s="31" t="s">
        <v>249</v>
      </c>
      <c r="F170" s="31" t="s">
        <v>250</v>
      </c>
      <c r="G170" s="31" t="s">
        <v>250</v>
      </c>
      <c r="H170" s="31" t="s">
        <v>251</v>
      </c>
      <c r="I170" s="31" t="b">
        <v>0</v>
      </c>
      <c r="J170" s="31">
        <v>99</v>
      </c>
      <c r="K170" s="31">
        <v>268.67</v>
      </c>
      <c r="L170" s="32">
        <v>406381642</v>
      </c>
      <c r="M170" s="32">
        <v>1200000064459364</v>
      </c>
      <c r="N170" s="31" t="s">
        <v>377</v>
      </c>
      <c r="O170" s="31"/>
    </row>
    <row r="171" spans="1:15">
      <c r="A171" s="31"/>
      <c r="B171" s="31" t="s">
        <v>378</v>
      </c>
      <c r="C171" s="31"/>
      <c r="D171" s="31" t="s">
        <v>379</v>
      </c>
      <c r="E171" s="31" t="s">
        <v>249</v>
      </c>
      <c r="F171" s="31" t="s">
        <v>250</v>
      </c>
      <c r="G171" s="31" t="s">
        <v>250</v>
      </c>
      <c r="H171" s="31" t="s">
        <v>251</v>
      </c>
      <c r="I171" s="31" t="b">
        <v>0</v>
      </c>
      <c r="J171" s="31">
        <v>13</v>
      </c>
      <c r="K171" s="31">
        <v>1393.8</v>
      </c>
      <c r="L171" s="32">
        <v>2834568</v>
      </c>
      <c r="M171" s="32">
        <v>1000000026298057</v>
      </c>
      <c r="N171" s="31" t="s">
        <v>380</v>
      </c>
      <c r="O171" s="31"/>
    </row>
    <row r="172" spans="1:15">
      <c r="A172" s="31"/>
      <c r="B172" s="31" t="s">
        <v>378</v>
      </c>
      <c r="C172" s="31"/>
      <c r="D172" s="31" t="s">
        <v>379</v>
      </c>
      <c r="E172" s="31" t="s">
        <v>249</v>
      </c>
      <c r="F172" s="31" t="s">
        <v>250</v>
      </c>
      <c r="G172" s="31" t="s">
        <v>250</v>
      </c>
      <c r="H172" s="31" t="s">
        <v>251</v>
      </c>
      <c r="I172" s="31" t="b">
        <v>0</v>
      </c>
      <c r="J172" s="31">
        <v>23</v>
      </c>
      <c r="K172" s="31">
        <v>1393.8</v>
      </c>
      <c r="L172" s="32">
        <v>2834567</v>
      </c>
      <c r="M172" s="32">
        <v>1000000026298057</v>
      </c>
      <c r="N172" s="31" t="s">
        <v>380</v>
      </c>
      <c r="O172" s="31"/>
    </row>
    <row r="173" spans="1:15">
      <c r="A173" s="31"/>
      <c r="B173" s="31" t="s">
        <v>381</v>
      </c>
      <c r="C173" s="31"/>
      <c r="D173" s="31" t="s">
        <v>379</v>
      </c>
      <c r="E173" s="31" t="s">
        <v>249</v>
      </c>
      <c r="F173" s="31" t="s">
        <v>250</v>
      </c>
      <c r="G173" s="31" t="s">
        <v>250</v>
      </c>
      <c r="H173" s="31" t="s">
        <v>251</v>
      </c>
      <c r="I173" s="31" t="b">
        <v>0</v>
      </c>
      <c r="J173" s="31">
        <v>2</v>
      </c>
      <c r="K173" s="31">
        <v>4514.2997999999998</v>
      </c>
      <c r="L173" s="32">
        <v>604224003</v>
      </c>
      <c r="M173" s="32">
        <v>1300000032610706</v>
      </c>
      <c r="N173" s="31" t="s">
        <v>382</v>
      </c>
      <c r="O173" s="31"/>
    </row>
    <row r="174" spans="1:15">
      <c r="A174" s="31"/>
      <c r="B174" s="31" t="s">
        <v>381</v>
      </c>
      <c r="C174" s="31"/>
      <c r="D174" s="31" t="s">
        <v>379</v>
      </c>
      <c r="E174" s="31" t="s">
        <v>249</v>
      </c>
      <c r="F174" s="31" t="s">
        <v>250</v>
      </c>
      <c r="G174" s="31" t="s">
        <v>250</v>
      </c>
      <c r="H174" s="31" t="s">
        <v>251</v>
      </c>
      <c r="I174" s="31" t="b">
        <v>0</v>
      </c>
      <c r="J174" s="31">
        <v>2</v>
      </c>
      <c r="K174" s="31">
        <v>4514.7002000000002</v>
      </c>
      <c r="L174" s="32">
        <v>604224005</v>
      </c>
      <c r="M174" s="32">
        <v>1300000032610706</v>
      </c>
      <c r="N174" s="31" t="s">
        <v>382</v>
      </c>
      <c r="O174" s="31"/>
    </row>
    <row r="175" spans="1:15">
      <c r="A175" s="31"/>
      <c r="B175" s="31" t="s">
        <v>381</v>
      </c>
      <c r="C175" s="31"/>
      <c r="D175" s="31" t="s">
        <v>379</v>
      </c>
      <c r="E175" s="31" t="s">
        <v>249</v>
      </c>
      <c r="F175" s="31" t="s">
        <v>250</v>
      </c>
      <c r="G175" s="31" t="s">
        <v>250</v>
      </c>
      <c r="H175" s="31" t="s">
        <v>251</v>
      </c>
      <c r="I175" s="31" t="b">
        <v>0</v>
      </c>
      <c r="J175" s="31">
        <v>4</v>
      </c>
      <c r="K175" s="31">
        <v>4512.5</v>
      </c>
      <c r="L175" s="32">
        <v>604224002</v>
      </c>
      <c r="M175" s="32">
        <v>1300000032610706</v>
      </c>
      <c r="N175" s="31" t="s">
        <v>382</v>
      </c>
      <c r="O175" s="31"/>
    </row>
    <row r="176" spans="1:15">
      <c r="A176" s="31"/>
      <c r="B176" s="31" t="s">
        <v>381</v>
      </c>
      <c r="C176" s="31"/>
      <c r="D176" s="31" t="s">
        <v>379</v>
      </c>
      <c r="E176" s="31" t="s">
        <v>249</v>
      </c>
      <c r="F176" s="31" t="s">
        <v>250</v>
      </c>
      <c r="G176" s="31" t="s">
        <v>250</v>
      </c>
      <c r="H176" s="31" t="s">
        <v>251</v>
      </c>
      <c r="I176" s="31" t="b">
        <v>0</v>
      </c>
      <c r="J176" s="31">
        <v>3</v>
      </c>
      <c r="K176" s="31">
        <v>4514.3999000000003</v>
      </c>
      <c r="L176" s="32">
        <v>604224004</v>
      </c>
      <c r="M176" s="32">
        <v>1300000032610706</v>
      </c>
      <c r="N176" s="31" t="s">
        <v>382</v>
      </c>
      <c r="O176" s="31"/>
    </row>
    <row r="177" spans="1:15">
      <c r="A177" s="31"/>
      <c r="B177" s="31" t="s">
        <v>381</v>
      </c>
      <c r="C177" s="31" t="s">
        <v>383</v>
      </c>
      <c r="D177" s="31" t="s">
        <v>384</v>
      </c>
      <c r="E177" s="31" t="s">
        <v>249</v>
      </c>
      <c r="F177" s="31" t="s">
        <v>250</v>
      </c>
      <c r="G177" s="31" t="s">
        <v>250</v>
      </c>
      <c r="H177" s="31" t="s">
        <v>251</v>
      </c>
      <c r="I177" s="31" t="b">
        <v>0</v>
      </c>
      <c r="J177" s="31">
        <v>3</v>
      </c>
      <c r="K177" s="31">
        <v>4712.1000999999997</v>
      </c>
      <c r="L177" s="32">
        <v>605255054</v>
      </c>
      <c r="M177" s="32">
        <v>1300000045811742</v>
      </c>
      <c r="N177" s="31" t="s">
        <v>385</v>
      </c>
      <c r="O177" s="31"/>
    </row>
    <row r="178" spans="1:15">
      <c r="A178" s="31"/>
      <c r="B178" s="31" t="s">
        <v>381</v>
      </c>
      <c r="C178" s="31" t="s">
        <v>383</v>
      </c>
      <c r="D178" s="31" t="s">
        <v>384</v>
      </c>
      <c r="E178" s="31" t="s">
        <v>249</v>
      </c>
      <c r="F178" s="31" t="s">
        <v>250</v>
      </c>
      <c r="G178" s="31" t="s">
        <v>250</v>
      </c>
      <c r="H178" s="31" t="s">
        <v>251</v>
      </c>
      <c r="I178" s="31" t="b">
        <v>0</v>
      </c>
      <c r="J178" s="31">
        <v>4</v>
      </c>
      <c r="K178" s="31">
        <v>4712</v>
      </c>
      <c r="L178" s="32">
        <v>605255052</v>
      </c>
      <c r="M178" s="32">
        <v>1300000045811742</v>
      </c>
      <c r="N178" s="31" t="s">
        <v>385</v>
      </c>
      <c r="O178" s="31"/>
    </row>
    <row r="179" spans="1:15">
      <c r="A179" s="31"/>
      <c r="B179" s="31" t="s">
        <v>381</v>
      </c>
      <c r="C179" s="31" t="s">
        <v>383</v>
      </c>
      <c r="D179" s="31" t="s">
        <v>384</v>
      </c>
      <c r="E179" s="31" t="s">
        <v>249</v>
      </c>
      <c r="F179" s="31" t="s">
        <v>250</v>
      </c>
      <c r="G179" s="31" t="s">
        <v>250</v>
      </c>
      <c r="H179" s="31" t="s">
        <v>251</v>
      </c>
      <c r="I179" s="31" t="b">
        <v>0</v>
      </c>
      <c r="J179" s="31">
        <v>2</v>
      </c>
      <c r="K179" s="31">
        <v>4712.1000999999997</v>
      </c>
      <c r="L179" s="32">
        <v>605255053</v>
      </c>
      <c r="M179" s="32">
        <v>1300000045811742</v>
      </c>
      <c r="N179" s="31" t="s">
        <v>385</v>
      </c>
      <c r="O179" s="31"/>
    </row>
    <row r="180" spans="1:15">
      <c r="A180" s="31"/>
      <c r="B180" s="31" t="s">
        <v>381</v>
      </c>
      <c r="C180" s="31" t="s">
        <v>383</v>
      </c>
      <c r="D180" s="31" t="s">
        <v>384</v>
      </c>
      <c r="E180" s="31" t="s">
        <v>249</v>
      </c>
      <c r="F180" s="31" t="s">
        <v>250</v>
      </c>
      <c r="G180" s="31" t="s">
        <v>250</v>
      </c>
      <c r="H180" s="31" t="s">
        <v>251</v>
      </c>
      <c r="I180" s="31" t="b">
        <v>0</v>
      </c>
      <c r="J180" s="31">
        <v>2</v>
      </c>
      <c r="K180" s="31">
        <v>4711.8999000000003</v>
      </c>
      <c r="L180" s="32">
        <v>605255051</v>
      </c>
      <c r="M180" s="32">
        <v>1300000045811742</v>
      </c>
      <c r="N180" s="31" t="s">
        <v>385</v>
      </c>
      <c r="O180" s="31"/>
    </row>
    <row r="181" spans="1:15">
      <c r="A181" s="31"/>
      <c r="B181" s="31" t="s">
        <v>75</v>
      </c>
      <c r="C181" s="31" t="s">
        <v>367</v>
      </c>
      <c r="D181" s="31" t="s">
        <v>384</v>
      </c>
      <c r="E181" s="31" t="s">
        <v>249</v>
      </c>
      <c r="F181" s="31" t="s">
        <v>250</v>
      </c>
      <c r="G181" s="31" t="s">
        <v>250</v>
      </c>
      <c r="H181" s="31" t="s">
        <v>251</v>
      </c>
      <c r="I181" s="31" t="b">
        <v>0</v>
      </c>
      <c r="J181" s="31">
        <v>108</v>
      </c>
      <c r="K181" s="31">
        <v>246.27</v>
      </c>
      <c r="L181" s="32">
        <v>206412972</v>
      </c>
      <c r="M181" s="32">
        <v>1100000054184602</v>
      </c>
      <c r="N181" s="31" t="s">
        <v>386</v>
      </c>
      <c r="O181" s="31"/>
    </row>
    <row r="182" spans="1:15">
      <c r="A182" s="31"/>
      <c r="B182" s="31" t="s">
        <v>75</v>
      </c>
      <c r="C182" s="31" t="s">
        <v>367</v>
      </c>
      <c r="D182" s="31" t="s">
        <v>384</v>
      </c>
      <c r="E182" s="31" t="s">
        <v>249</v>
      </c>
      <c r="F182" s="31" t="s">
        <v>250</v>
      </c>
      <c r="G182" s="31" t="s">
        <v>250</v>
      </c>
      <c r="H182" s="31" t="s">
        <v>251</v>
      </c>
      <c r="I182" s="31" t="b">
        <v>0</v>
      </c>
      <c r="J182" s="31">
        <v>96</v>
      </c>
      <c r="K182" s="31">
        <v>246.28</v>
      </c>
      <c r="L182" s="32">
        <v>206412973</v>
      </c>
      <c r="M182" s="32">
        <v>1100000054184602</v>
      </c>
      <c r="N182" s="31" t="s">
        <v>386</v>
      </c>
      <c r="O182" s="31"/>
    </row>
    <row r="183" spans="1:15">
      <c r="A183" s="31"/>
      <c r="B183" s="31" t="s">
        <v>75</v>
      </c>
      <c r="C183" s="31" t="s">
        <v>367</v>
      </c>
      <c r="D183" s="31" t="s">
        <v>387</v>
      </c>
      <c r="E183" s="31" t="s">
        <v>249</v>
      </c>
      <c r="F183" s="31" t="s">
        <v>250</v>
      </c>
      <c r="G183" s="31" t="s">
        <v>250</v>
      </c>
      <c r="H183" s="31" t="s">
        <v>251</v>
      </c>
      <c r="I183" s="31" t="b">
        <v>0</v>
      </c>
      <c r="J183" s="31">
        <v>14</v>
      </c>
      <c r="K183" s="31">
        <v>257.70999999999998</v>
      </c>
      <c r="L183" s="32">
        <v>205976622</v>
      </c>
      <c r="M183" s="32">
        <v>1100000056648477</v>
      </c>
      <c r="N183" s="31" t="s">
        <v>388</v>
      </c>
      <c r="O183" s="31"/>
    </row>
    <row r="184" spans="1:15">
      <c r="A184" s="31"/>
      <c r="B184" s="31" t="s">
        <v>75</v>
      </c>
      <c r="C184" s="31" t="s">
        <v>367</v>
      </c>
      <c r="D184" s="31" t="s">
        <v>387</v>
      </c>
      <c r="E184" s="31" t="s">
        <v>249</v>
      </c>
      <c r="F184" s="31" t="s">
        <v>250</v>
      </c>
      <c r="G184" s="31" t="s">
        <v>250</v>
      </c>
      <c r="H184" s="31" t="s">
        <v>251</v>
      </c>
      <c r="I184" s="31" t="b">
        <v>0</v>
      </c>
      <c r="J184" s="31">
        <v>250</v>
      </c>
      <c r="K184" s="31">
        <v>257.7</v>
      </c>
      <c r="L184" s="32">
        <v>205976620</v>
      </c>
      <c r="M184" s="32">
        <v>1100000056648477</v>
      </c>
      <c r="N184" s="31" t="s">
        <v>388</v>
      </c>
      <c r="O184" s="31"/>
    </row>
    <row r="185" spans="1:15">
      <c r="A185" s="31"/>
      <c r="B185" s="31" t="s">
        <v>75</v>
      </c>
      <c r="C185" s="31" t="s">
        <v>367</v>
      </c>
      <c r="D185" s="31" t="s">
        <v>387</v>
      </c>
      <c r="E185" s="31" t="s">
        <v>249</v>
      </c>
      <c r="F185" s="31" t="s">
        <v>250</v>
      </c>
      <c r="G185" s="31" t="s">
        <v>250</v>
      </c>
      <c r="H185" s="31" t="s">
        <v>251</v>
      </c>
      <c r="I185" s="31" t="b">
        <v>0</v>
      </c>
      <c r="J185" s="31">
        <v>92</v>
      </c>
      <c r="K185" s="31">
        <v>257.7</v>
      </c>
      <c r="L185" s="32">
        <v>205976621</v>
      </c>
      <c r="M185" s="32">
        <v>1100000056648477</v>
      </c>
      <c r="N185" s="31" t="s">
        <v>388</v>
      </c>
      <c r="O185" s="31"/>
    </row>
    <row r="186" spans="1:15">
      <c r="A186" s="31"/>
      <c r="B186" s="31" t="s">
        <v>75</v>
      </c>
      <c r="C186" s="31" t="s">
        <v>367</v>
      </c>
      <c r="D186" s="31" t="s">
        <v>387</v>
      </c>
      <c r="E186" s="31" t="s">
        <v>249</v>
      </c>
      <c r="F186" s="31" t="s">
        <v>250</v>
      </c>
      <c r="G186" s="31" t="s">
        <v>250</v>
      </c>
      <c r="H186" s="31" t="s">
        <v>251</v>
      </c>
      <c r="I186" s="31" t="b">
        <v>0</v>
      </c>
      <c r="J186" s="31">
        <v>32</v>
      </c>
      <c r="K186" s="31">
        <v>257.7</v>
      </c>
      <c r="L186" s="32">
        <v>205976619</v>
      </c>
      <c r="M186" s="32">
        <v>1100000056648477</v>
      </c>
      <c r="N186" s="31" t="s">
        <v>388</v>
      </c>
      <c r="O186" s="31"/>
    </row>
    <row r="187" spans="1:15">
      <c r="A187" s="31"/>
      <c r="B187" s="31" t="s">
        <v>389</v>
      </c>
      <c r="C187" s="31" t="s">
        <v>390</v>
      </c>
      <c r="D187" s="31" t="s">
        <v>387</v>
      </c>
      <c r="E187" s="31" t="s">
        <v>249</v>
      </c>
      <c r="F187" s="31" t="s">
        <v>250</v>
      </c>
      <c r="G187" s="31" t="s">
        <v>250</v>
      </c>
      <c r="H187" s="31" t="s">
        <v>251</v>
      </c>
      <c r="I187" s="31" t="b">
        <v>0</v>
      </c>
      <c r="J187" s="31">
        <v>677</v>
      </c>
      <c r="K187" s="31">
        <v>108.48</v>
      </c>
      <c r="L187" s="32">
        <v>206027992</v>
      </c>
      <c r="M187" s="32">
        <v>1100000057056789</v>
      </c>
      <c r="N187" s="31" t="s">
        <v>391</v>
      </c>
      <c r="O187" s="31"/>
    </row>
    <row r="188" spans="1:15">
      <c r="A188" s="31"/>
      <c r="B188" s="31" t="s">
        <v>389</v>
      </c>
      <c r="C188" s="31" t="s">
        <v>390</v>
      </c>
      <c r="D188" s="31" t="s">
        <v>387</v>
      </c>
      <c r="E188" s="31" t="s">
        <v>249</v>
      </c>
      <c r="F188" s="31" t="s">
        <v>250</v>
      </c>
      <c r="G188" s="31" t="s">
        <v>250</v>
      </c>
      <c r="H188" s="31" t="s">
        <v>251</v>
      </c>
      <c r="I188" s="31" t="b">
        <v>0</v>
      </c>
      <c r="J188" s="31">
        <v>243</v>
      </c>
      <c r="K188" s="31">
        <v>108.48</v>
      </c>
      <c r="L188" s="32">
        <v>206027993</v>
      </c>
      <c r="M188" s="32">
        <v>1100000057056789</v>
      </c>
      <c r="N188" s="31" t="s">
        <v>391</v>
      </c>
      <c r="O188" s="31"/>
    </row>
    <row r="189" spans="1:15">
      <c r="A189" s="31"/>
      <c r="B189" s="31" t="s">
        <v>392</v>
      </c>
      <c r="C189" s="31" t="s">
        <v>393</v>
      </c>
      <c r="D189" s="31" t="s">
        <v>394</v>
      </c>
      <c r="E189" s="31" t="s">
        <v>249</v>
      </c>
      <c r="F189" s="31" t="s">
        <v>250</v>
      </c>
      <c r="G189" s="31" t="s">
        <v>250</v>
      </c>
      <c r="H189" s="31" t="s">
        <v>251</v>
      </c>
      <c r="I189" s="31" t="b">
        <v>0</v>
      </c>
      <c r="J189" s="31">
        <v>36</v>
      </c>
      <c r="K189" s="31">
        <v>426.6</v>
      </c>
      <c r="L189" s="32">
        <v>4769488</v>
      </c>
      <c r="M189" s="32">
        <v>1000000042386900</v>
      </c>
      <c r="N189" s="31" t="s">
        <v>395</v>
      </c>
      <c r="O189" s="31"/>
    </row>
    <row r="190" spans="1:15">
      <c r="A190" s="31"/>
      <c r="B190" s="31" t="s">
        <v>392</v>
      </c>
      <c r="C190" s="31" t="s">
        <v>393</v>
      </c>
      <c r="D190" s="31" t="s">
        <v>394</v>
      </c>
      <c r="E190" s="31" t="s">
        <v>249</v>
      </c>
      <c r="F190" s="31" t="s">
        <v>250</v>
      </c>
      <c r="G190" s="31" t="s">
        <v>250</v>
      </c>
      <c r="H190" s="31" t="s">
        <v>251</v>
      </c>
      <c r="I190" s="31" t="b">
        <v>0</v>
      </c>
      <c r="J190" s="31">
        <v>81</v>
      </c>
      <c r="K190" s="31">
        <v>426.6</v>
      </c>
      <c r="L190" s="32">
        <v>4769042</v>
      </c>
      <c r="M190" s="32">
        <v>1000000042386900</v>
      </c>
      <c r="N190" s="31" t="s">
        <v>395</v>
      </c>
      <c r="O190" s="31"/>
    </row>
    <row r="191" spans="1:15">
      <c r="A191" s="31"/>
      <c r="B191" s="31" t="s">
        <v>80</v>
      </c>
      <c r="C191" s="31" t="s">
        <v>396</v>
      </c>
      <c r="D191" s="31" t="s">
        <v>394</v>
      </c>
      <c r="E191" s="31" t="s">
        <v>249</v>
      </c>
      <c r="F191" s="31" t="s">
        <v>250</v>
      </c>
      <c r="G191" s="31" t="s">
        <v>250</v>
      </c>
      <c r="H191" s="31" t="s">
        <v>251</v>
      </c>
      <c r="I191" s="31" t="b">
        <v>0</v>
      </c>
      <c r="J191" s="31">
        <v>18</v>
      </c>
      <c r="K191" s="31">
        <v>2801.6001000000001</v>
      </c>
      <c r="L191" s="32">
        <v>4787082</v>
      </c>
      <c r="M191" s="32">
        <v>1000000042553870</v>
      </c>
      <c r="N191" s="31" t="s">
        <v>397</v>
      </c>
      <c r="O191" s="31"/>
    </row>
    <row r="192" spans="1:15">
      <c r="A192" s="31"/>
      <c r="B192" s="31" t="s">
        <v>398</v>
      </c>
      <c r="C192" s="31" t="s">
        <v>399</v>
      </c>
      <c r="D192" s="31" t="s">
        <v>400</v>
      </c>
      <c r="E192" s="31" t="s">
        <v>249</v>
      </c>
      <c r="F192" s="31" t="s">
        <v>250</v>
      </c>
      <c r="G192" s="31" t="s">
        <v>250</v>
      </c>
      <c r="H192" s="31" t="s">
        <v>251</v>
      </c>
      <c r="I192" s="31" t="b">
        <v>0</v>
      </c>
      <c r="J192" s="31">
        <v>26</v>
      </c>
      <c r="K192" s="31">
        <v>485.05</v>
      </c>
      <c r="L192" s="32">
        <v>202333156</v>
      </c>
      <c r="M192" s="32">
        <v>1100000017290156</v>
      </c>
      <c r="N192" s="31" t="s">
        <v>401</v>
      </c>
      <c r="O192" s="31"/>
    </row>
    <row r="193" spans="1:15">
      <c r="A193" s="31"/>
      <c r="B193" s="31" t="s">
        <v>398</v>
      </c>
      <c r="C193" s="31" t="s">
        <v>399</v>
      </c>
      <c r="D193" s="31" t="s">
        <v>400</v>
      </c>
      <c r="E193" s="31" t="s">
        <v>249</v>
      </c>
      <c r="F193" s="31" t="s">
        <v>250</v>
      </c>
      <c r="G193" s="31" t="s">
        <v>250</v>
      </c>
      <c r="H193" s="31" t="s">
        <v>251</v>
      </c>
      <c r="I193" s="31" t="b">
        <v>0</v>
      </c>
      <c r="J193" s="31">
        <v>77</v>
      </c>
      <c r="K193" s="31">
        <v>485.05</v>
      </c>
      <c r="L193" s="32">
        <v>202333157</v>
      </c>
      <c r="M193" s="32">
        <v>1100000017290156</v>
      </c>
      <c r="N193" s="31" t="s">
        <v>401</v>
      </c>
      <c r="O193" s="31"/>
    </row>
    <row r="194" spans="1:15">
      <c r="A194" s="31"/>
      <c r="B194" s="31" t="s">
        <v>392</v>
      </c>
      <c r="C194" s="31" t="s">
        <v>393</v>
      </c>
      <c r="D194" s="31" t="s">
        <v>400</v>
      </c>
      <c r="E194" s="31" t="s">
        <v>249</v>
      </c>
      <c r="F194" s="31" t="s">
        <v>250</v>
      </c>
      <c r="G194" s="31" t="s">
        <v>250</v>
      </c>
      <c r="H194" s="31" t="s">
        <v>251</v>
      </c>
      <c r="I194" s="31" t="b">
        <v>0</v>
      </c>
      <c r="J194" s="31">
        <v>100</v>
      </c>
      <c r="K194" s="31">
        <v>450.45</v>
      </c>
      <c r="L194" s="32">
        <v>1534655</v>
      </c>
      <c r="M194" s="32">
        <v>1000000015384872</v>
      </c>
      <c r="N194" s="31" t="s">
        <v>402</v>
      </c>
      <c r="O194" s="31"/>
    </row>
    <row r="195" spans="1:15">
      <c r="A195" s="31"/>
      <c r="B195" s="31" t="s">
        <v>392</v>
      </c>
      <c r="C195" s="31" t="s">
        <v>393</v>
      </c>
      <c r="D195" s="31" t="s">
        <v>400</v>
      </c>
      <c r="E195" s="31" t="s">
        <v>249</v>
      </c>
      <c r="F195" s="31" t="s">
        <v>250</v>
      </c>
      <c r="G195" s="31" t="s">
        <v>250</v>
      </c>
      <c r="H195" s="31" t="s">
        <v>251</v>
      </c>
      <c r="I195" s="31" t="b">
        <v>0</v>
      </c>
      <c r="J195" s="31">
        <v>11</v>
      </c>
      <c r="K195" s="31">
        <v>450.45</v>
      </c>
      <c r="L195" s="32">
        <v>1534656</v>
      </c>
      <c r="M195" s="32">
        <v>1000000015384872</v>
      </c>
      <c r="N195" s="31" t="s">
        <v>402</v>
      </c>
      <c r="O195" s="31"/>
    </row>
    <row r="196" spans="1:15">
      <c r="A196" s="31"/>
      <c r="B196" s="31" t="s">
        <v>403</v>
      </c>
      <c r="C196" s="31" t="s">
        <v>404</v>
      </c>
      <c r="D196" s="31" t="s">
        <v>405</v>
      </c>
      <c r="E196" s="31" t="s">
        <v>249</v>
      </c>
      <c r="F196" s="31" t="s">
        <v>250</v>
      </c>
      <c r="G196" s="31" t="s">
        <v>250</v>
      </c>
      <c r="H196" s="31" t="s">
        <v>251</v>
      </c>
      <c r="I196" s="31" t="b">
        <v>0</v>
      </c>
      <c r="J196" s="31">
        <v>19</v>
      </c>
      <c r="K196" s="31">
        <v>1314.6</v>
      </c>
      <c r="L196" s="32">
        <v>402017427</v>
      </c>
      <c r="M196" s="32">
        <v>1200000019575555</v>
      </c>
      <c r="N196" s="31" t="s">
        <v>406</v>
      </c>
      <c r="O196" s="31"/>
    </row>
    <row r="197" spans="1:15">
      <c r="A197" s="31"/>
      <c r="B197" s="31" t="s">
        <v>311</v>
      </c>
      <c r="C197" s="31" t="s">
        <v>312</v>
      </c>
      <c r="D197" s="31" t="s">
        <v>407</v>
      </c>
      <c r="E197" s="31" t="s">
        <v>249</v>
      </c>
      <c r="F197" s="31" t="s">
        <v>250</v>
      </c>
      <c r="G197" s="31" t="s">
        <v>250</v>
      </c>
      <c r="H197" s="31" t="s">
        <v>300</v>
      </c>
      <c r="I197" s="31" t="b">
        <v>0</v>
      </c>
      <c r="J197" s="31">
        <v>220</v>
      </c>
      <c r="K197" s="31">
        <v>245.9</v>
      </c>
      <c r="L197" s="32">
        <v>401382540</v>
      </c>
      <c r="M197" s="32">
        <v>1200000014901459</v>
      </c>
      <c r="N197" s="31" t="s">
        <v>408</v>
      </c>
      <c r="O197" s="31"/>
    </row>
    <row r="198" spans="1:15">
      <c r="A198" s="31"/>
      <c r="B198" s="31" t="s">
        <v>52</v>
      </c>
      <c r="C198" s="31" t="s">
        <v>315</v>
      </c>
      <c r="D198" s="31" t="s">
        <v>409</v>
      </c>
      <c r="E198" s="31" t="s">
        <v>80</v>
      </c>
      <c r="F198" s="31" t="s">
        <v>250</v>
      </c>
      <c r="G198" s="31" t="s">
        <v>306</v>
      </c>
      <c r="H198" s="31" t="s">
        <v>251</v>
      </c>
      <c r="I198" s="31" t="b">
        <v>0</v>
      </c>
      <c r="J198" s="31">
        <v>11</v>
      </c>
      <c r="K198" s="31">
        <v>926.6</v>
      </c>
      <c r="L198" s="32">
        <v>8895500</v>
      </c>
      <c r="M198" s="32">
        <v>1.7673437114127171E+18</v>
      </c>
      <c r="N198" s="31" t="s">
        <v>410</v>
      </c>
      <c r="O198" s="31"/>
    </row>
    <row r="199" spans="1:15">
      <c r="A199" s="31"/>
      <c r="B199" s="31" t="s">
        <v>52</v>
      </c>
      <c r="C199" s="31" t="s">
        <v>315</v>
      </c>
      <c r="D199" s="31" t="s">
        <v>409</v>
      </c>
      <c r="E199" s="31" t="s">
        <v>80</v>
      </c>
      <c r="F199" s="31" t="s">
        <v>250</v>
      </c>
      <c r="G199" s="31" t="s">
        <v>306</v>
      </c>
      <c r="H199" s="31" t="s">
        <v>251</v>
      </c>
      <c r="I199" s="31" t="b">
        <v>0</v>
      </c>
      <c r="J199" s="31">
        <v>97</v>
      </c>
      <c r="K199" s="31">
        <v>926.5</v>
      </c>
      <c r="L199" s="32">
        <v>8895300</v>
      </c>
      <c r="M199" s="32">
        <v>1.7673437114127171E+18</v>
      </c>
      <c r="N199" s="31" t="s">
        <v>410</v>
      </c>
      <c r="O199" s="31"/>
    </row>
    <row r="200" spans="1:15">
      <c r="A200" s="31"/>
      <c r="B200" s="31" t="s">
        <v>175</v>
      </c>
      <c r="C200" s="31" t="s">
        <v>411</v>
      </c>
      <c r="D200" s="31" t="s">
        <v>409</v>
      </c>
      <c r="E200" s="31" t="s">
        <v>249</v>
      </c>
      <c r="F200" s="31" t="s">
        <v>250</v>
      </c>
      <c r="G200" s="31" t="s">
        <v>250</v>
      </c>
      <c r="H200" s="31" t="s">
        <v>251</v>
      </c>
      <c r="I200" s="31" t="b">
        <v>0</v>
      </c>
      <c r="J200" s="31">
        <v>300</v>
      </c>
      <c r="K200" s="31">
        <v>84.49</v>
      </c>
      <c r="L200" s="32">
        <v>406243588</v>
      </c>
      <c r="M200" s="32">
        <v>1200000058479057</v>
      </c>
      <c r="N200" s="31" t="s">
        <v>412</v>
      </c>
      <c r="O200" s="31"/>
    </row>
    <row r="201" spans="1:15">
      <c r="A201" s="31"/>
      <c r="B201" s="31" t="s">
        <v>126</v>
      </c>
      <c r="C201" s="31" t="s">
        <v>413</v>
      </c>
      <c r="D201" s="31" t="s">
        <v>409</v>
      </c>
      <c r="E201" s="31" t="s">
        <v>249</v>
      </c>
      <c r="F201" s="31" t="s">
        <v>250</v>
      </c>
      <c r="G201" s="31" t="s">
        <v>250</v>
      </c>
      <c r="H201" s="31" t="s">
        <v>251</v>
      </c>
      <c r="I201" s="31" t="b">
        <v>0</v>
      </c>
      <c r="J201" s="31">
        <v>182</v>
      </c>
      <c r="K201" s="31">
        <v>137.25</v>
      </c>
      <c r="L201" s="32">
        <v>208912626</v>
      </c>
      <c r="M201" s="32">
        <v>1100000068739066</v>
      </c>
      <c r="N201" s="31" t="s">
        <v>414</v>
      </c>
      <c r="O201" s="31"/>
    </row>
    <row r="202" spans="1:15">
      <c r="A202" s="31"/>
      <c r="B202" s="31" t="s">
        <v>55</v>
      </c>
      <c r="C202" s="31" t="s">
        <v>415</v>
      </c>
      <c r="D202" s="31" t="s">
        <v>416</v>
      </c>
      <c r="E202" s="31" t="s">
        <v>249</v>
      </c>
      <c r="F202" s="31" t="s">
        <v>250</v>
      </c>
      <c r="G202" s="31" t="s">
        <v>250</v>
      </c>
      <c r="H202" s="31" t="s">
        <v>251</v>
      </c>
      <c r="I202" s="31" t="b">
        <v>0</v>
      </c>
      <c r="J202" s="31">
        <v>665</v>
      </c>
      <c r="K202" s="31">
        <v>75.5</v>
      </c>
      <c r="L202" s="32">
        <v>3525224</v>
      </c>
      <c r="M202" s="32">
        <v>1000000030563951</v>
      </c>
      <c r="N202" s="31" t="s">
        <v>417</v>
      </c>
      <c r="O202" s="31"/>
    </row>
    <row r="203" spans="1:15">
      <c r="A203" s="31"/>
      <c r="B203" s="31" t="s">
        <v>352</v>
      </c>
      <c r="C203" s="31" t="s">
        <v>353</v>
      </c>
      <c r="D203" s="31" t="s">
        <v>416</v>
      </c>
      <c r="E203" s="31" t="s">
        <v>249</v>
      </c>
      <c r="F203" s="31" t="s">
        <v>250</v>
      </c>
      <c r="G203" s="31" t="s">
        <v>250</v>
      </c>
      <c r="H203" s="31" t="s">
        <v>300</v>
      </c>
      <c r="I203" s="31" t="b">
        <v>0</v>
      </c>
      <c r="J203" s="31">
        <v>11</v>
      </c>
      <c r="K203" s="31">
        <v>814.95</v>
      </c>
      <c r="L203" s="32">
        <v>4105206</v>
      </c>
      <c r="M203" s="32">
        <v>1000000035841343</v>
      </c>
      <c r="N203" s="31" t="s">
        <v>418</v>
      </c>
      <c r="O203" s="31"/>
    </row>
    <row r="204" spans="1:15">
      <c r="A204" s="31"/>
      <c r="B204" s="31" t="s">
        <v>352</v>
      </c>
      <c r="C204" s="31" t="s">
        <v>353</v>
      </c>
      <c r="D204" s="31" t="s">
        <v>416</v>
      </c>
      <c r="E204" s="31" t="s">
        <v>249</v>
      </c>
      <c r="F204" s="31" t="s">
        <v>250</v>
      </c>
      <c r="G204" s="31" t="s">
        <v>250</v>
      </c>
      <c r="H204" s="31" t="s">
        <v>300</v>
      </c>
      <c r="I204" s="31" t="b">
        <v>0</v>
      </c>
      <c r="J204" s="31">
        <v>1</v>
      </c>
      <c r="K204" s="31">
        <v>814.95</v>
      </c>
      <c r="L204" s="32">
        <v>4105207</v>
      </c>
      <c r="M204" s="32">
        <v>1000000035841343</v>
      </c>
      <c r="N204" s="31" t="s">
        <v>418</v>
      </c>
      <c r="O204" s="31"/>
    </row>
    <row r="205" spans="1:15">
      <c r="A205" s="31"/>
      <c r="B205" s="31" t="s">
        <v>352</v>
      </c>
      <c r="C205" s="31" t="s">
        <v>353</v>
      </c>
      <c r="D205" s="31" t="s">
        <v>416</v>
      </c>
      <c r="E205" s="31" t="s">
        <v>249</v>
      </c>
      <c r="F205" s="31" t="s">
        <v>250</v>
      </c>
      <c r="G205" s="31" t="s">
        <v>250</v>
      </c>
      <c r="H205" s="31" t="s">
        <v>300</v>
      </c>
      <c r="I205" s="31" t="b">
        <v>0</v>
      </c>
      <c r="J205" s="31">
        <v>2</v>
      </c>
      <c r="K205" s="31">
        <v>814.9</v>
      </c>
      <c r="L205" s="32">
        <v>4105209</v>
      </c>
      <c r="M205" s="32">
        <v>1000000035841343</v>
      </c>
      <c r="N205" s="31" t="s">
        <v>418</v>
      </c>
      <c r="O205" s="31"/>
    </row>
    <row r="206" spans="1:15">
      <c r="A206" s="31"/>
      <c r="B206" s="31" t="s">
        <v>352</v>
      </c>
      <c r="C206" s="31" t="s">
        <v>353</v>
      </c>
      <c r="D206" s="31" t="s">
        <v>416</v>
      </c>
      <c r="E206" s="31" t="s">
        <v>249</v>
      </c>
      <c r="F206" s="31" t="s">
        <v>250</v>
      </c>
      <c r="G206" s="31" t="s">
        <v>250</v>
      </c>
      <c r="H206" s="31" t="s">
        <v>300</v>
      </c>
      <c r="I206" s="31" t="b">
        <v>0</v>
      </c>
      <c r="J206" s="31">
        <v>38</v>
      </c>
      <c r="K206" s="31">
        <v>814.95</v>
      </c>
      <c r="L206" s="32">
        <v>4105208</v>
      </c>
      <c r="M206" s="32">
        <v>1000000035841343</v>
      </c>
      <c r="N206" s="31" t="s">
        <v>418</v>
      </c>
      <c r="O206" s="31"/>
    </row>
    <row r="207" spans="1:15">
      <c r="A207" s="31"/>
      <c r="B207" s="31" t="s">
        <v>55</v>
      </c>
      <c r="C207" s="31" t="s">
        <v>415</v>
      </c>
      <c r="D207" s="31" t="s">
        <v>416</v>
      </c>
      <c r="E207" s="31" t="s">
        <v>249</v>
      </c>
      <c r="F207" s="31" t="s">
        <v>250</v>
      </c>
      <c r="G207" s="31" t="s">
        <v>250</v>
      </c>
      <c r="H207" s="31" t="s">
        <v>300</v>
      </c>
      <c r="I207" s="31" t="b">
        <v>0</v>
      </c>
      <c r="J207" s="31">
        <v>50</v>
      </c>
      <c r="K207" s="31">
        <v>72.97999999999999</v>
      </c>
      <c r="L207" s="32">
        <v>4343004</v>
      </c>
      <c r="M207" s="32">
        <v>1000000038012849</v>
      </c>
      <c r="N207" s="31" t="s">
        <v>419</v>
      </c>
      <c r="O207" s="31"/>
    </row>
    <row r="208" spans="1:15">
      <c r="A208" s="31"/>
      <c r="B208" s="31" t="s">
        <v>55</v>
      </c>
      <c r="C208" s="31" t="s">
        <v>415</v>
      </c>
      <c r="D208" s="31" t="s">
        <v>416</v>
      </c>
      <c r="E208" s="31" t="s">
        <v>249</v>
      </c>
      <c r="F208" s="31" t="s">
        <v>250</v>
      </c>
      <c r="G208" s="31" t="s">
        <v>250</v>
      </c>
      <c r="H208" s="31" t="s">
        <v>300</v>
      </c>
      <c r="I208" s="31" t="b">
        <v>0</v>
      </c>
      <c r="J208" s="31">
        <v>590</v>
      </c>
      <c r="K208" s="31">
        <v>72.97999999999999</v>
      </c>
      <c r="L208" s="32">
        <v>4343005</v>
      </c>
      <c r="M208" s="32">
        <v>1000000038012849</v>
      </c>
      <c r="N208" s="31" t="s">
        <v>419</v>
      </c>
      <c r="O208" s="31"/>
    </row>
    <row r="209" spans="1:15">
      <c r="A209" s="31"/>
      <c r="B209" s="31" t="s">
        <v>55</v>
      </c>
      <c r="C209" s="31" t="s">
        <v>415</v>
      </c>
      <c r="D209" s="31" t="s">
        <v>416</v>
      </c>
      <c r="E209" s="31" t="s">
        <v>249</v>
      </c>
      <c r="F209" s="31" t="s">
        <v>250</v>
      </c>
      <c r="G209" s="31" t="s">
        <v>250</v>
      </c>
      <c r="H209" s="31" t="s">
        <v>300</v>
      </c>
      <c r="I209" s="31" t="b">
        <v>0</v>
      </c>
      <c r="J209" s="31">
        <v>25</v>
      </c>
      <c r="K209" s="31">
        <v>72.97999999999999</v>
      </c>
      <c r="L209" s="32">
        <v>4343006</v>
      </c>
      <c r="M209" s="32">
        <v>1000000038012849</v>
      </c>
      <c r="N209" s="31" t="s">
        <v>419</v>
      </c>
      <c r="O209" s="31"/>
    </row>
    <row r="210" spans="1:15">
      <c r="A210" s="31"/>
      <c r="B210" s="31" t="s">
        <v>289</v>
      </c>
      <c r="C210" s="31" t="s">
        <v>290</v>
      </c>
      <c r="D210" s="31" t="s">
        <v>416</v>
      </c>
      <c r="E210" s="31" t="s">
        <v>249</v>
      </c>
      <c r="F210" s="31" t="s">
        <v>250</v>
      </c>
      <c r="G210" s="31" t="s">
        <v>250</v>
      </c>
      <c r="H210" s="31" t="s">
        <v>251</v>
      </c>
      <c r="I210" s="31" t="b">
        <v>0</v>
      </c>
      <c r="J210" s="31">
        <v>125</v>
      </c>
      <c r="K210" s="31">
        <v>154.59</v>
      </c>
      <c r="L210" s="32">
        <v>5678235</v>
      </c>
      <c r="M210" s="32">
        <v>1000000049175784</v>
      </c>
      <c r="N210" s="31" t="s">
        <v>420</v>
      </c>
      <c r="O210" s="31"/>
    </row>
    <row r="211" spans="1:15">
      <c r="A211" s="31"/>
      <c r="B211" s="31" t="s">
        <v>289</v>
      </c>
      <c r="C211" s="31" t="s">
        <v>290</v>
      </c>
      <c r="D211" s="31" t="s">
        <v>416</v>
      </c>
      <c r="E211" s="31" t="s">
        <v>249</v>
      </c>
      <c r="F211" s="31" t="s">
        <v>250</v>
      </c>
      <c r="G211" s="31" t="s">
        <v>250</v>
      </c>
      <c r="H211" s="31" t="s">
        <v>251</v>
      </c>
      <c r="I211" s="31" t="b">
        <v>0</v>
      </c>
      <c r="J211" s="31">
        <v>136</v>
      </c>
      <c r="K211" s="31">
        <v>154.59</v>
      </c>
      <c r="L211" s="32">
        <v>5678236</v>
      </c>
      <c r="M211" s="32">
        <v>1000000049175784</v>
      </c>
      <c r="N211" s="31" t="s">
        <v>420</v>
      </c>
      <c r="O211" s="31"/>
    </row>
    <row r="212" spans="1:15">
      <c r="A212" s="31"/>
      <c r="B212" s="31" t="s">
        <v>289</v>
      </c>
      <c r="C212" s="31" t="s">
        <v>290</v>
      </c>
      <c r="D212" s="31" t="s">
        <v>416</v>
      </c>
      <c r="E212" s="31" t="s">
        <v>249</v>
      </c>
      <c r="F212" s="31" t="s">
        <v>250</v>
      </c>
      <c r="G212" s="31" t="s">
        <v>250</v>
      </c>
      <c r="H212" s="31" t="s">
        <v>251</v>
      </c>
      <c r="I212" s="31" t="b">
        <v>0</v>
      </c>
      <c r="J212" s="31">
        <v>19</v>
      </c>
      <c r="K212" s="31">
        <v>154.59</v>
      </c>
      <c r="L212" s="32">
        <v>5678237</v>
      </c>
      <c r="M212" s="32">
        <v>1000000049175784</v>
      </c>
      <c r="N212" s="31" t="s">
        <v>420</v>
      </c>
      <c r="O212" s="31"/>
    </row>
    <row r="213" spans="1:15">
      <c r="A213" s="31"/>
      <c r="B213" s="31" t="s">
        <v>289</v>
      </c>
      <c r="C213" s="31" t="s">
        <v>290</v>
      </c>
      <c r="D213" s="31" t="s">
        <v>416</v>
      </c>
      <c r="E213" s="31" t="s">
        <v>249</v>
      </c>
      <c r="F213" s="31" t="s">
        <v>250</v>
      </c>
      <c r="G213" s="31" t="s">
        <v>250</v>
      </c>
      <c r="H213" s="31" t="s">
        <v>251</v>
      </c>
      <c r="I213" s="31" t="b">
        <v>0</v>
      </c>
      <c r="J213" s="31">
        <v>44</v>
      </c>
      <c r="K213" s="31">
        <v>154.6</v>
      </c>
      <c r="L213" s="32">
        <v>5678238</v>
      </c>
      <c r="M213" s="32">
        <v>1000000049175784</v>
      </c>
      <c r="N213" s="31" t="s">
        <v>420</v>
      </c>
      <c r="O213" s="31"/>
    </row>
    <row r="214" spans="1:15">
      <c r="A214" s="31"/>
      <c r="B214" s="31" t="s">
        <v>273</v>
      </c>
      <c r="C214" s="31" t="s">
        <v>274</v>
      </c>
      <c r="D214" s="31" t="s">
        <v>416</v>
      </c>
      <c r="E214" s="31" t="s">
        <v>249</v>
      </c>
      <c r="F214" s="31" t="s">
        <v>250</v>
      </c>
      <c r="G214" s="31" t="s">
        <v>250</v>
      </c>
      <c r="H214" s="31" t="s">
        <v>251</v>
      </c>
      <c r="I214" s="31" t="b">
        <v>0</v>
      </c>
      <c r="J214" s="31">
        <v>41</v>
      </c>
      <c r="K214" s="31">
        <v>612</v>
      </c>
      <c r="L214" s="32">
        <v>208704403</v>
      </c>
      <c r="M214" s="32">
        <v>1100000068344678</v>
      </c>
      <c r="N214" s="31" t="s">
        <v>421</v>
      </c>
      <c r="O214" s="31"/>
    </row>
    <row r="215" spans="1:15">
      <c r="A215" s="31"/>
      <c r="B215" s="31" t="s">
        <v>65</v>
      </c>
      <c r="C215" s="31" t="s">
        <v>422</v>
      </c>
      <c r="D215" s="31" t="s">
        <v>416</v>
      </c>
      <c r="E215" s="31" t="s">
        <v>249</v>
      </c>
      <c r="F215" s="31" t="s">
        <v>250</v>
      </c>
      <c r="G215" s="31" t="s">
        <v>250</v>
      </c>
      <c r="H215" s="31" t="s">
        <v>251</v>
      </c>
      <c r="I215" s="31" t="b">
        <v>0</v>
      </c>
      <c r="J215" s="31">
        <v>1</v>
      </c>
      <c r="K215" s="31">
        <v>2936.3</v>
      </c>
      <c r="L215" s="32">
        <v>5735291</v>
      </c>
      <c r="M215" s="32">
        <v>1000000049547677</v>
      </c>
      <c r="N215" s="31" t="s">
        <v>423</v>
      </c>
      <c r="O215" s="31"/>
    </row>
    <row r="216" spans="1:15">
      <c r="A216" s="31"/>
      <c r="B216" s="31" t="s">
        <v>65</v>
      </c>
      <c r="C216" s="31" t="s">
        <v>422</v>
      </c>
      <c r="D216" s="31" t="s">
        <v>416</v>
      </c>
      <c r="E216" s="31" t="s">
        <v>249</v>
      </c>
      <c r="F216" s="31" t="s">
        <v>250</v>
      </c>
      <c r="G216" s="31" t="s">
        <v>250</v>
      </c>
      <c r="H216" s="31" t="s">
        <v>251</v>
      </c>
      <c r="I216" s="31" t="b">
        <v>0</v>
      </c>
      <c r="J216" s="31">
        <v>3</v>
      </c>
      <c r="K216" s="31">
        <v>2936.3</v>
      </c>
      <c r="L216" s="32">
        <v>5735290</v>
      </c>
      <c r="M216" s="32">
        <v>1000000049547677</v>
      </c>
      <c r="N216" s="31" t="s">
        <v>423</v>
      </c>
      <c r="O216" s="31"/>
    </row>
    <row r="217" spans="1:15">
      <c r="A217" s="31"/>
      <c r="B217" s="31" t="s">
        <v>55</v>
      </c>
      <c r="C217" s="31" t="s">
        <v>415</v>
      </c>
      <c r="D217" s="31" t="s">
        <v>424</v>
      </c>
      <c r="E217" s="31" t="s">
        <v>249</v>
      </c>
      <c r="F217" s="31" t="s">
        <v>250</v>
      </c>
      <c r="G217" s="31" t="s">
        <v>250</v>
      </c>
      <c r="H217" s="31" t="s">
        <v>251</v>
      </c>
      <c r="I217" s="31" t="b">
        <v>0</v>
      </c>
      <c r="J217" s="31">
        <v>500</v>
      </c>
      <c r="K217" s="31">
        <v>84.92</v>
      </c>
      <c r="L217" s="32">
        <v>277975</v>
      </c>
      <c r="M217" s="32">
        <v>1000000002320226</v>
      </c>
      <c r="N217" s="31" t="s">
        <v>425</v>
      </c>
      <c r="O217" s="31"/>
    </row>
    <row r="218" spans="1:15">
      <c r="A218" s="31"/>
      <c r="B218" s="31" t="s">
        <v>381</v>
      </c>
      <c r="C218" s="31" t="s">
        <v>383</v>
      </c>
      <c r="D218" s="31" t="s">
        <v>426</v>
      </c>
      <c r="E218" s="31" t="s">
        <v>249</v>
      </c>
      <c r="F218" s="31" t="s">
        <v>250</v>
      </c>
      <c r="G218" s="31" t="s">
        <v>250</v>
      </c>
      <c r="H218" s="31" t="s">
        <v>300</v>
      </c>
      <c r="I218" s="31" t="b">
        <v>0</v>
      </c>
      <c r="J218" s="31">
        <v>1</v>
      </c>
      <c r="K218" s="31">
        <v>4030.5</v>
      </c>
      <c r="L218" s="32">
        <v>606190475</v>
      </c>
      <c r="M218" s="32">
        <v>1300000047221509</v>
      </c>
      <c r="N218" s="31" t="s">
        <v>427</v>
      </c>
      <c r="O218" s="31"/>
    </row>
    <row r="219" spans="1:15">
      <c r="A219" s="31"/>
      <c r="B219" s="31" t="s">
        <v>381</v>
      </c>
      <c r="C219" s="31" t="s">
        <v>383</v>
      </c>
      <c r="D219" s="31" t="s">
        <v>426</v>
      </c>
      <c r="E219" s="31" t="s">
        <v>249</v>
      </c>
      <c r="F219" s="31" t="s">
        <v>250</v>
      </c>
      <c r="G219" s="31" t="s">
        <v>250</v>
      </c>
      <c r="H219" s="31" t="s">
        <v>300</v>
      </c>
      <c r="I219" s="31" t="b">
        <v>0</v>
      </c>
      <c r="J219" s="31">
        <v>1</v>
      </c>
      <c r="K219" s="31">
        <v>4030.7</v>
      </c>
      <c r="L219" s="32">
        <v>606190474</v>
      </c>
      <c r="M219" s="32">
        <v>1300000047221509</v>
      </c>
      <c r="N219" s="31" t="s">
        <v>427</v>
      </c>
      <c r="O219" s="31"/>
    </row>
    <row r="220" spans="1:15">
      <c r="A220" s="31"/>
      <c r="B220" s="31" t="s">
        <v>381</v>
      </c>
      <c r="C220" s="31" t="s">
        <v>383</v>
      </c>
      <c r="D220" s="31" t="s">
        <v>426</v>
      </c>
      <c r="E220" s="31" t="s">
        <v>249</v>
      </c>
      <c r="F220" s="31" t="s">
        <v>250</v>
      </c>
      <c r="G220" s="31" t="s">
        <v>250</v>
      </c>
      <c r="H220" s="31" t="s">
        <v>300</v>
      </c>
      <c r="I220" s="31" t="b">
        <v>0</v>
      </c>
      <c r="J220" s="31">
        <v>20</v>
      </c>
      <c r="K220" s="31">
        <v>4030.3998999999999</v>
      </c>
      <c r="L220" s="32">
        <v>606190476</v>
      </c>
      <c r="M220" s="32">
        <v>1300000047221509</v>
      </c>
      <c r="N220" s="31" t="s">
        <v>427</v>
      </c>
      <c r="O220" s="31"/>
    </row>
    <row r="221" spans="1:15">
      <c r="A221" s="31"/>
      <c r="B221" s="31" t="s">
        <v>126</v>
      </c>
      <c r="C221" s="31" t="s">
        <v>413</v>
      </c>
      <c r="D221" s="31" t="s">
        <v>426</v>
      </c>
      <c r="E221" s="31" t="s">
        <v>249</v>
      </c>
      <c r="F221" s="31" t="s">
        <v>250</v>
      </c>
      <c r="G221" s="31" t="s">
        <v>250</v>
      </c>
      <c r="H221" s="31" t="s">
        <v>251</v>
      </c>
      <c r="I221" s="31" t="b">
        <v>0</v>
      </c>
      <c r="J221" s="31">
        <v>20</v>
      </c>
      <c r="K221" s="31">
        <v>140.28</v>
      </c>
      <c r="L221" s="32">
        <v>208258801</v>
      </c>
      <c r="M221" s="32">
        <v>1100000062498088</v>
      </c>
      <c r="N221" s="31" t="s">
        <v>428</v>
      </c>
      <c r="O221" s="31"/>
    </row>
    <row r="222" spans="1:15">
      <c r="A222" s="31"/>
      <c r="B222" s="31" t="s">
        <v>126</v>
      </c>
      <c r="C222" s="31" t="s">
        <v>413</v>
      </c>
      <c r="D222" s="31" t="s">
        <v>426</v>
      </c>
      <c r="E222" s="31" t="s">
        <v>249</v>
      </c>
      <c r="F222" s="31" t="s">
        <v>250</v>
      </c>
      <c r="G222" s="31" t="s">
        <v>250</v>
      </c>
      <c r="H222" s="31" t="s">
        <v>251</v>
      </c>
      <c r="I222" s="31" t="b">
        <v>0</v>
      </c>
      <c r="J222" s="31">
        <v>40</v>
      </c>
      <c r="K222" s="31">
        <v>140.28</v>
      </c>
      <c r="L222" s="32">
        <v>208258799</v>
      </c>
      <c r="M222" s="32">
        <v>1100000062498088</v>
      </c>
      <c r="N222" s="31" t="s">
        <v>428</v>
      </c>
      <c r="O222" s="31"/>
    </row>
    <row r="223" spans="1:15">
      <c r="A223" s="31"/>
      <c r="B223" s="31" t="s">
        <v>126</v>
      </c>
      <c r="C223" s="31" t="s">
        <v>413</v>
      </c>
      <c r="D223" s="31" t="s">
        <v>426</v>
      </c>
      <c r="E223" s="31" t="s">
        <v>249</v>
      </c>
      <c r="F223" s="31" t="s">
        <v>250</v>
      </c>
      <c r="G223" s="31" t="s">
        <v>250</v>
      </c>
      <c r="H223" s="31" t="s">
        <v>251</v>
      </c>
      <c r="I223" s="31" t="b">
        <v>0</v>
      </c>
      <c r="J223" s="31">
        <v>50</v>
      </c>
      <c r="K223" s="31">
        <v>140.28</v>
      </c>
      <c r="L223" s="32">
        <v>208258800</v>
      </c>
      <c r="M223" s="32">
        <v>1100000062498088</v>
      </c>
      <c r="N223" s="31" t="s">
        <v>428</v>
      </c>
      <c r="O223" s="31"/>
    </row>
    <row r="224" spans="1:15">
      <c r="A224" s="31"/>
      <c r="B224" s="31" t="s">
        <v>126</v>
      </c>
      <c r="C224" s="31" t="s">
        <v>413</v>
      </c>
      <c r="D224" s="31" t="s">
        <v>426</v>
      </c>
      <c r="E224" s="31" t="s">
        <v>249</v>
      </c>
      <c r="F224" s="31" t="s">
        <v>250</v>
      </c>
      <c r="G224" s="31" t="s">
        <v>250</v>
      </c>
      <c r="H224" s="31" t="s">
        <v>251</v>
      </c>
      <c r="I224" s="31" t="b">
        <v>0</v>
      </c>
      <c r="J224" s="31">
        <v>61</v>
      </c>
      <c r="K224" s="31">
        <v>140.27000000000001</v>
      </c>
      <c r="L224" s="32">
        <v>208258798</v>
      </c>
      <c r="M224" s="32">
        <v>1100000062498088</v>
      </c>
      <c r="N224" s="31" t="s">
        <v>428</v>
      </c>
      <c r="O224" s="31"/>
    </row>
    <row r="225" spans="1:15">
      <c r="A225" s="31"/>
      <c r="B225" s="31" t="s">
        <v>126</v>
      </c>
      <c r="C225" s="31" t="s">
        <v>413</v>
      </c>
      <c r="D225" s="31" t="s">
        <v>426</v>
      </c>
      <c r="E225" s="31" t="s">
        <v>249</v>
      </c>
      <c r="F225" s="31" t="s">
        <v>250</v>
      </c>
      <c r="G225" s="31" t="s">
        <v>250</v>
      </c>
      <c r="H225" s="31" t="s">
        <v>251</v>
      </c>
      <c r="I225" s="31" t="b">
        <v>0</v>
      </c>
      <c r="J225" s="31">
        <v>9</v>
      </c>
      <c r="K225" s="31">
        <v>140.28</v>
      </c>
      <c r="L225" s="32">
        <v>208258802</v>
      </c>
      <c r="M225" s="32">
        <v>1100000062498088</v>
      </c>
      <c r="N225" s="31" t="s">
        <v>428</v>
      </c>
      <c r="O225" s="31"/>
    </row>
    <row r="226" spans="1:15">
      <c r="A226" s="31"/>
      <c r="B226" s="31" t="s">
        <v>55</v>
      </c>
      <c r="C226" s="31" t="s">
        <v>415</v>
      </c>
      <c r="D226" s="31" t="s">
        <v>426</v>
      </c>
      <c r="E226" s="31" t="s">
        <v>80</v>
      </c>
      <c r="F226" s="31" t="s">
        <v>250</v>
      </c>
      <c r="G226" s="31" t="s">
        <v>429</v>
      </c>
      <c r="H226" s="31" t="s">
        <v>251</v>
      </c>
      <c r="I226" s="31" t="b">
        <v>0</v>
      </c>
      <c r="J226" s="31">
        <v>525</v>
      </c>
      <c r="K226" s="31">
        <v>96.34</v>
      </c>
      <c r="L226" s="32">
        <v>6999200</v>
      </c>
      <c r="M226" s="32">
        <v>1.768553083055275E+18</v>
      </c>
      <c r="N226" s="31" t="s">
        <v>430</v>
      </c>
      <c r="O226" s="31"/>
    </row>
    <row r="227" spans="1:15">
      <c r="A227" s="31"/>
      <c r="B227" s="31" t="s">
        <v>431</v>
      </c>
      <c r="C227" s="31" t="s">
        <v>432</v>
      </c>
      <c r="D227" s="31" t="s">
        <v>426</v>
      </c>
      <c r="E227" s="31" t="s">
        <v>249</v>
      </c>
      <c r="F227" s="31" t="s">
        <v>250</v>
      </c>
      <c r="G227" s="31" t="s">
        <v>250</v>
      </c>
      <c r="H227" s="31" t="s">
        <v>251</v>
      </c>
      <c r="I227" s="31" t="b">
        <v>0</v>
      </c>
      <c r="J227" s="31">
        <v>600</v>
      </c>
      <c r="K227" s="31">
        <v>44.47</v>
      </c>
      <c r="L227" s="32">
        <v>608076103</v>
      </c>
      <c r="M227" s="32">
        <v>1300000063866786</v>
      </c>
      <c r="N227" s="31" t="s">
        <v>433</v>
      </c>
      <c r="O227" s="31"/>
    </row>
    <row r="228" spans="1:15">
      <c r="A228" s="31"/>
      <c r="B228" s="31" t="s">
        <v>434</v>
      </c>
      <c r="C228" s="31" t="s">
        <v>435</v>
      </c>
      <c r="D228" s="31" t="s">
        <v>426</v>
      </c>
      <c r="E228" s="31" t="s">
        <v>249</v>
      </c>
      <c r="F228" s="31" t="s">
        <v>250</v>
      </c>
      <c r="G228" s="31" t="s">
        <v>250</v>
      </c>
      <c r="H228" s="31" t="s">
        <v>251</v>
      </c>
      <c r="I228" s="31" t="b">
        <v>0</v>
      </c>
      <c r="J228" s="31">
        <v>1</v>
      </c>
      <c r="K228" s="31">
        <v>131.88999999999999</v>
      </c>
      <c r="L228" s="32">
        <v>406128904</v>
      </c>
      <c r="M228" s="32">
        <v>1200000061891005</v>
      </c>
      <c r="N228" s="31" t="s">
        <v>436</v>
      </c>
      <c r="O228" s="31"/>
    </row>
    <row r="229" spans="1:15">
      <c r="A229" s="31"/>
      <c r="B229" s="31" t="s">
        <v>434</v>
      </c>
      <c r="C229" s="31" t="s">
        <v>435</v>
      </c>
      <c r="D229" s="31" t="s">
        <v>426</v>
      </c>
      <c r="E229" s="31" t="s">
        <v>249</v>
      </c>
      <c r="F229" s="31" t="s">
        <v>250</v>
      </c>
      <c r="G229" s="31" t="s">
        <v>250</v>
      </c>
      <c r="H229" s="31" t="s">
        <v>251</v>
      </c>
      <c r="I229" s="31" t="b">
        <v>0</v>
      </c>
      <c r="J229" s="31">
        <v>9</v>
      </c>
      <c r="K229" s="31">
        <v>131.88999999999999</v>
      </c>
      <c r="L229" s="32">
        <v>406128905</v>
      </c>
      <c r="M229" s="32">
        <v>1200000061891005</v>
      </c>
      <c r="N229" s="31" t="s">
        <v>436</v>
      </c>
      <c r="O229" s="31"/>
    </row>
    <row r="230" spans="1:15">
      <c r="A230" s="31"/>
      <c r="B230" s="31" t="s">
        <v>437</v>
      </c>
      <c r="C230" s="31" t="s">
        <v>438</v>
      </c>
      <c r="D230" s="31" t="s">
        <v>426</v>
      </c>
      <c r="E230" s="31" t="s">
        <v>249</v>
      </c>
      <c r="F230" s="31" t="s">
        <v>250</v>
      </c>
      <c r="G230" s="31" t="s">
        <v>250</v>
      </c>
      <c r="H230" s="31" t="s">
        <v>251</v>
      </c>
      <c r="I230" s="31" t="b">
        <v>0</v>
      </c>
      <c r="J230" s="31">
        <v>10</v>
      </c>
      <c r="K230" s="31">
        <v>156.75</v>
      </c>
      <c r="L230" s="32">
        <v>5688654</v>
      </c>
      <c r="M230" s="32">
        <v>1000000056015274</v>
      </c>
      <c r="N230" s="31" t="s">
        <v>439</v>
      </c>
      <c r="O230" s="31"/>
    </row>
    <row r="231" spans="1:15">
      <c r="A231" s="31"/>
      <c r="B231" s="31" t="s">
        <v>440</v>
      </c>
      <c r="C231" s="31" t="s">
        <v>441</v>
      </c>
      <c r="D231" s="31" t="s">
        <v>426</v>
      </c>
      <c r="E231" s="31" t="s">
        <v>249</v>
      </c>
      <c r="F231" s="31" t="s">
        <v>250</v>
      </c>
      <c r="G231" s="31" t="s">
        <v>250</v>
      </c>
      <c r="H231" s="31" t="s">
        <v>251</v>
      </c>
      <c r="I231" s="31" t="b">
        <v>0</v>
      </c>
      <c r="J231" s="31">
        <v>20</v>
      </c>
      <c r="K231" s="31">
        <v>66.849999999999994</v>
      </c>
      <c r="L231" s="32">
        <v>406134247</v>
      </c>
      <c r="M231" s="32">
        <v>1200000061948522</v>
      </c>
      <c r="N231" s="31" t="s">
        <v>442</v>
      </c>
      <c r="O231" s="31"/>
    </row>
    <row r="232" spans="1:15">
      <c r="A232" s="31"/>
      <c r="B232" s="31" t="s">
        <v>75</v>
      </c>
      <c r="C232" s="31" t="s">
        <v>367</v>
      </c>
      <c r="D232" s="31" t="s">
        <v>426</v>
      </c>
      <c r="E232" s="31" t="s">
        <v>80</v>
      </c>
      <c r="F232" s="31" t="s">
        <v>250</v>
      </c>
      <c r="G232" s="31" t="s">
        <v>306</v>
      </c>
      <c r="H232" s="31" t="s">
        <v>251</v>
      </c>
      <c r="I232" s="31" t="b">
        <v>0</v>
      </c>
      <c r="J232" s="31">
        <v>11</v>
      </c>
      <c r="K232" s="31">
        <v>270.14999999999998</v>
      </c>
      <c r="L232" s="32">
        <v>15720900</v>
      </c>
      <c r="M232" s="32">
        <v>1.768554517040546E+18</v>
      </c>
      <c r="N232" s="31" t="s">
        <v>443</v>
      </c>
      <c r="O232" s="31"/>
    </row>
    <row r="233" spans="1:15">
      <c r="A233" s="31"/>
      <c r="B233" s="31" t="s">
        <v>75</v>
      </c>
      <c r="C233" s="31" t="s">
        <v>367</v>
      </c>
      <c r="D233" s="31" t="s">
        <v>426</v>
      </c>
      <c r="E233" s="31" t="s">
        <v>80</v>
      </c>
      <c r="F233" s="31" t="s">
        <v>250</v>
      </c>
      <c r="G233" s="31" t="s">
        <v>306</v>
      </c>
      <c r="H233" s="31" t="s">
        <v>251</v>
      </c>
      <c r="I233" s="31" t="b">
        <v>0</v>
      </c>
      <c r="J233" s="31">
        <v>359</v>
      </c>
      <c r="K233" s="31">
        <v>270.25</v>
      </c>
      <c r="L233" s="32">
        <v>15721600</v>
      </c>
      <c r="M233" s="32">
        <v>1.768554517040546E+18</v>
      </c>
      <c r="N233" s="31" t="s">
        <v>443</v>
      </c>
      <c r="O233" s="31"/>
    </row>
    <row r="234" spans="1:15">
      <c r="A234" s="31"/>
      <c r="B234" s="31" t="s">
        <v>437</v>
      </c>
      <c r="C234" s="31" t="s">
        <v>438</v>
      </c>
      <c r="D234" s="31" t="s">
        <v>426</v>
      </c>
      <c r="E234" s="31" t="s">
        <v>249</v>
      </c>
      <c r="F234" s="31" t="s">
        <v>250</v>
      </c>
      <c r="G234" s="31" t="s">
        <v>250</v>
      </c>
      <c r="H234" s="31" t="s">
        <v>251</v>
      </c>
      <c r="I234" s="31" t="b">
        <v>0</v>
      </c>
      <c r="J234" s="31">
        <v>1</v>
      </c>
      <c r="K234" s="31">
        <v>157.28</v>
      </c>
      <c r="L234" s="32">
        <v>6113555</v>
      </c>
      <c r="M234" s="32">
        <v>1000000059176836</v>
      </c>
      <c r="N234" s="31" t="s">
        <v>444</v>
      </c>
      <c r="O234" s="31"/>
    </row>
    <row r="235" spans="1:15">
      <c r="A235" s="31"/>
      <c r="B235" s="31" t="s">
        <v>437</v>
      </c>
      <c r="C235" s="31" t="s">
        <v>438</v>
      </c>
      <c r="D235" s="31" t="s">
        <v>426</v>
      </c>
      <c r="E235" s="31" t="s">
        <v>249</v>
      </c>
      <c r="F235" s="31" t="s">
        <v>250</v>
      </c>
      <c r="G235" s="31" t="s">
        <v>250</v>
      </c>
      <c r="H235" s="31" t="s">
        <v>251</v>
      </c>
      <c r="I235" s="31" t="b">
        <v>0</v>
      </c>
      <c r="J235" s="31">
        <v>149</v>
      </c>
      <c r="K235" s="31">
        <v>157.30000000000001</v>
      </c>
      <c r="L235" s="32">
        <v>6113556</v>
      </c>
      <c r="M235" s="32">
        <v>1000000059176836</v>
      </c>
      <c r="N235" s="31" t="s">
        <v>444</v>
      </c>
      <c r="O235" s="31"/>
    </row>
    <row r="236" spans="1:15">
      <c r="A236" s="31"/>
      <c r="B236" s="31" t="s">
        <v>361</v>
      </c>
      <c r="C236" s="31" t="s">
        <v>362</v>
      </c>
      <c r="D236" s="31" t="s">
        <v>426</v>
      </c>
      <c r="E236" s="31" t="s">
        <v>249</v>
      </c>
      <c r="F236" s="31" t="s">
        <v>250</v>
      </c>
      <c r="G236" s="31" t="s">
        <v>250</v>
      </c>
      <c r="H236" s="31" t="s">
        <v>251</v>
      </c>
      <c r="I236" s="31" t="b">
        <v>0</v>
      </c>
      <c r="J236" s="31">
        <v>24</v>
      </c>
      <c r="K236" s="31">
        <v>1043.0999999999999</v>
      </c>
      <c r="L236" s="32">
        <v>608736445</v>
      </c>
      <c r="M236" s="32">
        <v>1300000068849574</v>
      </c>
      <c r="N236" s="31" t="s">
        <v>445</v>
      </c>
      <c r="O236" s="31"/>
    </row>
    <row r="237" spans="1:15">
      <c r="A237" s="31"/>
      <c r="B237" s="31" t="s">
        <v>434</v>
      </c>
      <c r="C237" s="31" t="s">
        <v>435</v>
      </c>
      <c r="D237" s="31" t="s">
        <v>446</v>
      </c>
      <c r="E237" s="31" t="s">
        <v>249</v>
      </c>
      <c r="F237" s="31" t="s">
        <v>250</v>
      </c>
      <c r="G237" s="31" t="s">
        <v>250</v>
      </c>
      <c r="H237" s="31" t="s">
        <v>251</v>
      </c>
      <c r="I237" s="31" t="b">
        <v>0</v>
      </c>
      <c r="J237" s="31">
        <v>190</v>
      </c>
      <c r="K237" s="31">
        <v>127.48</v>
      </c>
      <c r="L237" s="32">
        <v>405751563</v>
      </c>
      <c r="M237" s="32">
        <v>1200000067042159</v>
      </c>
      <c r="N237" s="31" t="s">
        <v>447</v>
      </c>
      <c r="O237" s="31"/>
    </row>
    <row r="238" spans="1:15">
      <c r="A238" s="31"/>
      <c r="B238" s="31" t="s">
        <v>440</v>
      </c>
      <c r="C238" s="31" t="s">
        <v>441</v>
      </c>
      <c r="D238" s="31" t="s">
        <v>446</v>
      </c>
      <c r="E238" s="31" t="s">
        <v>80</v>
      </c>
      <c r="F238" s="31" t="s">
        <v>250</v>
      </c>
      <c r="G238" s="31" t="s">
        <v>306</v>
      </c>
      <c r="H238" s="31" t="s">
        <v>251</v>
      </c>
      <c r="I238" s="31" t="b">
        <v>0</v>
      </c>
      <c r="J238" s="31">
        <v>29</v>
      </c>
      <c r="K238" s="31">
        <v>66.849999999999994</v>
      </c>
      <c r="L238" s="32">
        <v>10398800</v>
      </c>
      <c r="M238" s="32">
        <v>1.7688136933173701E+18</v>
      </c>
      <c r="N238" s="31" t="s">
        <v>448</v>
      </c>
      <c r="O238" s="31"/>
    </row>
    <row r="239" spans="1:15">
      <c r="A239" s="31"/>
      <c r="B239" s="31" t="s">
        <v>440</v>
      </c>
      <c r="C239" s="31" t="s">
        <v>441</v>
      </c>
      <c r="D239" s="31" t="s">
        <v>446</v>
      </c>
      <c r="E239" s="31" t="s">
        <v>80</v>
      </c>
      <c r="F239" s="31" t="s">
        <v>250</v>
      </c>
      <c r="G239" s="31" t="s">
        <v>306</v>
      </c>
      <c r="H239" s="31" t="s">
        <v>251</v>
      </c>
      <c r="I239" s="31" t="b">
        <v>0</v>
      </c>
      <c r="J239" s="31">
        <v>331</v>
      </c>
      <c r="K239" s="31">
        <v>66.84</v>
      </c>
      <c r="L239" s="32">
        <v>10398600</v>
      </c>
      <c r="M239" s="32">
        <v>1.7688136933173701E+18</v>
      </c>
      <c r="N239" s="31" t="s">
        <v>448</v>
      </c>
      <c r="O239" s="31"/>
    </row>
    <row r="240" spans="1:15">
      <c r="A240" s="31"/>
      <c r="B240" s="31" t="s">
        <v>403</v>
      </c>
      <c r="C240" s="31" t="s">
        <v>404</v>
      </c>
      <c r="D240" s="31" t="s">
        <v>446</v>
      </c>
      <c r="E240" s="31" t="s">
        <v>80</v>
      </c>
      <c r="F240" s="31" t="s">
        <v>250</v>
      </c>
      <c r="G240" s="31" t="s">
        <v>306</v>
      </c>
      <c r="H240" s="31" t="s">
        <v>300</v>
      </c>
      <c r="I240" s="31" t="b">
        <v>0</v>
      </c>
      <c r="J240" s="31">
        <v>19</v>
      </c>
      <c r="K240" s="31">
        <v>1130.3</v>
      </c>
      <c r="L240" s="32">
        <v>11141700</v>
      </c>
      <c r="M240" s="32">
        <v>1.7688142602535319E+18</v>
      </c>
      <c r="N240" s="31" t="s">
        <v>449</v>
      </c>
      <c r="O240" s="31"/>
    </row>
    <row r="241" spans="1:15">
      <c r="A241" s="31"/>
      <c r="B241" s="31" t="s">
        <v>389</v>
      </c>
      <c r="C241" s="31" t="s">
        <v>390</v>
      </c>
      <c r="D241" s="31" t="s">
        <v>450</v>
      </c>
      <c r="E241" s="31" t="s">
        <v>249</v>
      </c>
      <c r="F241" s="31" t="s">
        <v>250</v>
      </c>
      <c r="G241" s="31" t="s">
        <v>250</v>
      </c>
      <c r="H241" s="31" t="s">
        <v>300</v>
      </c>
      <c r="I241" s="31" t="b">
        <v>0</v>
      </c>
      <c r="J241" s="31">
        <v>920</v>
      </c>
      <c r="K241" s="31">
        <v>89.75</v>
      </c>
      <c r="L241" s="32">
        <v>206689184</v>
      </c>
      <c r="M241" s="32">
        <v>1100000059613610</v>
      </c>
      <c r="N241" s="31" t="s">
        <v>451</v>
      </c>
      <c r="O241" s="31"/>
    </row>
    <row r="242" spans="1:15">
      <c r="A242" s="31"/>
      <c r="B242" s="31" t="s">
        <v>392</v>
      </c>
      <c r="C242" s="31" t="s">
        <v>393</v>
      </c>
      <c r="D242" s="31" t="s">
        <v>450</v>
      </c>
      <c r="E242" s="31" t="s">
        <v>80</v>
      </c>
      <c r="F242" s="31" t="s">
        <v>250</v>
      </c>
      <c r="G242" s="31" t="s">
        <v>306</v>
      </c>
      <c r="H242" s="31" t="s">
        <v>300</v>
      </c>
      <c r="I242" s="31" t="b">
        <v>0</v>
      </c>
      <c r="J242" s="31">
        <v>51</v>
      </c>
      <c r="K242" s="31">
        <v>395.35</v>
      </c>
      <c r="L242" s="32">
        <v>8397700</v>
      </c>
      <c r="M242" s="32">
        <v>1.769493701763714E+18</v>
      </c>
      <c r="N242" s="31" t="s">
        <v>452</v>
      </c>
      <c r="O242" s="31"/>
    </row>
    <row r="243" spans="1:15">
      <c r="A243" s="31"/>
      <c r="B243" s="31" t="s">
        <v>392</v>
      </c>
      <c r="C243" s="31" t="s">
        <v>393</v>
      </c>
      <c r="D243" s="31" t="s">
        <v>450</v>
      </c>
      <c r="E243" s="31" t="s">
        <v>80</v>
      </c>
      <c r="F243" s="31" t="s">
        <v>250</v>
      </c>
      <c r="G243" s="31" t="s">
        <v>306</v>
      </c>
      <c r="H243" s="31" t="s">
        <v>300</v>
      </c>
      <c r="I243" s="31" t="b">
        <v>0</v>
      </c>
      <c r="J243" s="31">
        <v>53</v>
      </c>
      <c r="K243" s="31">
        <v>395.55</v>
      </c>
      <c r="L243" s="32">
        <v>8397200</v>
      </c>
      <c r="M243" s="32">
        <v>1.769493701763714E+18</v>
      </c>
      <c r="N243" s="31" t="s">
        <v>452</v>
      </c>
      <c r="O243" s="31"/>
    </row>
    <row r="244" spans="1:15">
      <c r="A244" s="31"/>
      <c r="B244" s="31" t="s">
        <v>392</v>
      </c>
      <c r="C244" s="31" t="s">
        <v>393</v>
      </c>
      <c r="D244" s="31" t="s">
        <v>450</v>
      </c>
      <c r="E244" s="31" t="s">
        <v>80</v>
      </c>
      <c r="F244" s="31" t="s">
        <v>250</v>
      </c>
      <c r="G244" s="31" t="s">
        <v>306</v>
      </c>
      <c r="H244" s="31" t="s">
        <v>300</v>
      </c>
      <c r="I244" s="31" t="b">
        <v>0</v>
      </c>
      <c r="J244" s="31">
        <v>56</v>
      </c>
      <c r="K244" s="31">
        <v>395.5</v>
      </c>
      <c r="L244" s="32">
        <v>8397400</v>
      </c>
      <c r="M244" s="32">
        <v>1.769493701763714E+18</v>
      </c>
      <c r="N244" s="31" t="s">
        <v>452</v>
      </c>
      <c r="O244" s="31"/>
    </row>
    <row r="245" spans="1:15">
      <c r="A245" s="31"/>
      <c r="B245" s="31" t="s">
        <v>392</v>
      </c>
      <c r="C245" s="31" t="s">
        <v>393</v>
      </c>
      <c r="D245" s="31" t="s">
        <v>450</v>
      </c>
      <c r="E245" s="31" t="s">
        <v>80</v>
      </c>
      <c r="F245" s="31" t="s">
        <v>250</v>
      </c>
      <c r="G245" s="31" t="s">
        <v>306</v>
      </c>
      <c r="H245" s="31" t="s">
        <v>300</v>
      </c>
      <c r="I245" s="31" t="b">
        <v>0</v>
      </c>
      <c r="J245" s="31">
        <v>68</v>
      </c>
      <c r="K245" s="31">
        <v>395.3</v>
      </c>
      <c r="L245" s="32">
        <v>8397900</v>
      </c>
      <c r="M245" s="32">
        <v>1.769493701763714E+18</v>
      </c>
      <c r="N245" s="31" t="s">
        <v>452</v>
      </c>
      <c r="O245" s="31"/>
    </row>
    <row r="246" spans="1:15">
      <c r="A246" s="31"/>
      <c r="B246" s="31" t="s">
        <v>52</v>
      </c>
      <c r="C246" s="31" t="s">
        <v>315</v>
      </c>
      <c r="D246" s="31" t="s">
        <v>453</v>
      </c>
      <c r="E246" s="31" t="s">
        <v>80</v>
      </c>
      <c r="F246" s="31" t="s">
        <v>250</v>
      </c>
      <c r="G246" s="31" t="s">
        <v>306</v>
      </c>
      <c r="H246" s="31" t="s">
        <v>300</v>
      </c>
      <c r="I246" s="31" t="b">
        <v>0</v>
      </c>
      <c r="J246" s="31">
        <v>102</v>
      </c>
      <c r="K246" s="31">
        <v>968.1</v>
      </c>
      <c r="L246" s="32">
        <v>10133500</v>
      </c>
      <c r="M246" s="32">
        <v>1.7697610541504599E+18</v>
      </c>
      <c r="N246" s="31" t="s">
        <v>454</v>
      </c>
      <c r="O246" s="31"/>
    </row>
    <row r="247" spans="1:15">
      <c r="A247" s="31"/>
      <c r="B247" s="31" t="s">
        <v>52</v>
      </c>
      <c r="C247" s="31" t="s">
        <v>315</v>
      </c>
      <c r="D247" s="31" t="s">
        <v>453</v>
      </c>
      <c r="E247" s="31" t="s">
        <v>80</v>
      </c>
      <c r="F247" s="31" t="s">
        <v>250</v>
      </c>
      <c r="G247" s="31" t="s">
        <v>306</v>
      </c>
      <c r="H247" s="31" t="s">
        <v>300</v>
      </c>
      <c r="I247" s="31" t="b">
        <v>0</v>
      </c>
      <c r="J247" s="31">
        <v>1</v>
      </c>
      <c r="K247" s="31">
        <v>968.15</v>
      </c>
      <c r="L247" s="32">
        <v>10132800</v>
      </c>
      <c r="M247" s="32">
        <v>1.7697610541504599E+18</v>
      </c>
      <c r="N247" s="31" t="s">
        <v>454</v>
      </c>
      <c r="O247" s="31"/>
    </row>
    <row r="248" spans="1:15">
      <c r="A248" s="31"/>
      <c r="B248" s="31" t="s">
        <v>361</v>
      </c>
      <c r="C248" s="31" t="s">
        <v>362</v>
      </c>
      <c r="D248" s="31" t="s">
        <v>453</v>
      </c>
      <c r="E248" s="31" t="s">
        <v>249</v>
      </c>
      <c r="F248" s="31" t="s">
        <v>250</v>
      </c>
      <c r="G248" s="31" t="s">
        <v>250</v>
      </c>
      <c r="H248" s="31" t="s">
        <v>251</v>
      </c>
      <c r="I248" s="31" t="b">
        <v>0</v>
      </c>
      <c r="J248" s="31">
        <v>1</v>
      </c>
      <c r="K248" s="31">
        <v>1078</v>
      </c>
      <c r="L248" s="32">
        <v>613155382</v>
      </c>
      <c r="M248" s="32">
        <v>1300000114057798</v>
      </c>
      <c r="N248" s="31" t="s">
        <v>455</v>
      </c>
      <c r="O248" s="31"/>
    </row>
    <row r="249" spans="1:15">
      <c r="A249" s="31"/>
      <c r="B249" s="31" t="s">
        <v>361</v>
      </c>
      <c r="C249" s="31" t="s">
        <v>362</v>
      </c>
      <c r="D249" s="31" t="s">
        <v>453</v>
      </c>
      <c r="E249" s="31" t="s">
        <v>249</v>
      </c>
      <c r="F249" s="31" t="s">
        <v>250</v>
      </c>
      <c r="G249" s="31" t="s">
        <v>250</v>
      </c>
      <c r="H249" s="31" t="s">
        <v>251</v>
      </c>
      <c r="I249" s="31" t="b">
        <v>0</v>
      </c>
      <c r="J249" s="31">
        <v>18</v>
      </c>
      <c r="K249" s="31">
        <v>1078</v>
      </c>
      <c r="L249" s="32">
        <v>613155383</v>
      </c>
      <c r="M249" s="32">
        <v>1300000114057798</v>
      </c>
      <c r="N249" s="31" t="s">
        <v>455</v>
      </c>
      <c r="O249" s="31"/>
    </row>
    <row r="250" spans="1:15">
      <c r="A250" s="31"/>
      <c r="B250" s="31" t="s">
        <v>361</v>
      </c>
      <c r="C250" s="31" t="s">
        <v>362</v>
      </c>
      <c r="D250" s="31" t="s">
        <v>453</v>
      </c>
      <c r="E250" s="31" t="s">
        <v>249</v>
      </c>
      <c r="F250" s="31" t="s">
        <v>250</v>
      </c>
      <c r="G250" s="31" t="s">
        <v>250</v>
      </c>
      <c r="H250" s="31" t="s">
        <v>251</v>
      </c>
      <c r="I250" s="31" t="b">
        <v>0</v>
      </c>
      <c r="J250" s="31">
        <v>74</v>
      </c>
      <c r="K250" s="31">
        <v>1078</v>
      </c>
      <c r="L250" s="32">
        <v>613155384</v>
      </c>
      <c r="M250" s="32">
        <v>1300000114057798</v>
      </c>
      <c r="N250" s="31" t="s">
        <v>455</v>
      </c>
      <c r="O250" s="31"/>
    </row>
    <row r="251" spans="1:15">
      <c r="A251" s="31"/>
      <c r="B251" s="31" t="s">
        <v>456</v>
      </c>
      <c r="C251" s="31" t="s">
        <v>457</v>
      </c>
      <c r="D251" s="31" t="s">
        <v>453</v>
      </c>
      <c r="E251" s="31" t="s">
        <v>249</v>
      </c>
      <c r="F251" s="31" t="s">
        <v>250</v>
      </c>
      <c r="G251" s="31" t="s">
        <v>250</v>
      </c>
      <c r="H251" s="31" t="s">
        <v>251</v>
      </c>
      <c r="I251" s="31" t="b">
        <v>0</v>
      </c>
      <c r="J251" s="31">
        <v>41</v>
      </c>
      <c r="K251" s="31">
        <v>449.45</v>
      </c>
      <c r="L251" s="32">
        <v>7205709</v>
      </c>
      <c r="M251" s="32">
        <v>1000000070570871</v>
      </c>
      <c r="N251" s="31" t="s">
        <v>458</v>
      </c>
      <c r="O251" s="31"/>
    </row>
    <row r="252" spans="1:15">
      <c r="A252" s="31"/>
      <c r="B252" s="31" t="s">
        <v>456</v>
      </c>
      <c r="C252" s="31" t="s">
        <v>457</v>
      </c>
      <c r="D252" s="31" t="s">
        <v>453</v>
      </c>
      <c r="E252" s="31" t="s">
        <v>249</v>
      </c>
      <c r="F252" s="31" t="s">
        <v>250</v>
      </c>
      <c r="G252" s="31" t="s">
        <v>250</v>
      </c>
      <c r="H252" s="31" t="s">
        <v>251</v>
      </c>
      <c r="I252" s="31" t="b">
        <v>0</v>
      </c>
      <c r="J252" s="31">
        <v>71</v>
      </c>
      <c r="K252" s="31">
        <v>449.4</v>
      </c>
      <c r="L252" s="32">
        <v>7205708</v>
      </c>
      <c r="M252" s="32">
        <v>1000000070570871</v>
      </c>
      <c r="N252" s="31" t="s">
        <v>458</v>
      </c>
      <c r="O252" s="31"/>
    </row>
    <row r="253" spans="1:15">
      <c r="A253" s="31"/>
      <c r="B253" s="31" t="s">
        <v>129</v>
      </c>
      <c r="C253" s="31" t="s">
        <v>459</v>
      </c>
      <c r="D253" s="31" t="s">
        <v>453</v>
      </c>
      <c r="E253" s="31" t="s">
        <v>249</v>
      </c>
      <c r="F253" s="31" t="s">
        <v>250</v>
      </c>
      <c r="G253" s="31" t="s">
        <v>250</v>
      </c>
      <c r="H253" s="31" t="s">
        <v>251</v>
      </c>
      <c r="I253" s="31" t="b">
        <v>0</v>
      </c>
      <c r="J253" s="31">
        <v>4</v>
      </c>
      <c r="K253" s="31">
        <v>1282.3</v>
      </c>
      <c r="L253" s="32">
        <v>613660967</v>
      </c>
      <c r="M253" s="32">
        <v>1300000116901518</v>
      </c>
      <c r="N253" s="31" t="s">
        <v>460</v>
      </c>
      <c r="O253" s="31"/>
    </row>
    <row r="254" spans="1:15">
      <c r="A254" s="31"/>
      <c r="B254" s="31" t="s">
        <v>129</v>
      </c>
      <c r="C254" s="31" t="s">
        <v>459</v>
      </c>
      <c r="D254" s="31" t="s">
        <v>453</v>
      </c>
      <c r="E254" s="31" t="s">
        <v>249</v>
      </c>
      <c r="F254" s="31" t="s">
        <v>250</v>
      </c>
      <c r="G254" s="31" t="s">
        <v>250</v>
      </c>
      <c r="H254" s="31" t="s">
        <v>251</v>
      </c>
      <c r="I254" s="31" t="b">
        <v>0</v>
      </c>
      <c r="J254" s="31">
        <v>6</v>
      </c>
      <c r="K254" s="31">
        <v>1282.4000000000001</v>
      </c>
      <c r="L254" s="32">
        <v>613660968</v>
      </c>
      <c r="M254" s="32">
        <v>1300000116901518</v>
      </c>
      <c r="N254" s="31" t="s">
        <v>460</v>
      </c>
      <c r="O254" s="31"/>
    </row>
    <row r="255" spans="1:15">
      <c r="A255" s="31"/>
      <c r="B255" s="31" t="s">
        <v>431</v>
      </c>
      <c r="C255" s="31" t="s">
        <v>432</v>
      </c>
      <c r="D255" s="31" t="s">
        <v>453</v>
      </c>
      <c r="E255" s="31" t="s">
        <v>80</v>
      </c>
      <c r="F255" s="31" t="s">
        <v>250</v>
      </c>
      <c r="G255" s="31" t="s">
        <v>306</v>
      </c>
      <c r="H255" s="31" t="s">
        <v>300</v>
      </c>
      <c r="I255" s="31" t="b">
        <v>0</v>
      </c>
      <c r="J255" s="31">
        <v>201</v>
      </c>
      <c r="K255" s="31">
        <v>37.56</v>
      </c>
      <c r="L255" s="32">
        <v>15336500</v>
      </c>
      <c r="M255" s="32">
        <v>1.7697643044148229E+18</v>
      </c>
      <c r="N255" s="31" t="s">
        <v>461</v>
      </c>
      <c r="O255" s="31"/>
    </row>
    <row r="256" spans="1:15">
      <c r="A256" s="31"/>
      <c r="B256" s="31" t="s">
        <v>431</v>
      </c>
      <c r="C256" s="31" t="s">
        <v>432</v>
      </c>
      <c r="D256" s="31" t="s">
        <v>453</v>
      </c>
      <c r="E256" s="31" t="s">
        <v>80</v>
      </c>
      <c r="F256" s="31" t="s">
        <v>250</v>
      </c>
      <c r="G256" s="31" t="s">
        <v>306</v>
      </c>
      <c r="H256" s="31" t="s">
        <v>300</v>
      </c>
      <c r="I256" s="31" t="b">
        <v>0</v>
      </c>
      <c r="J256" s="31">
        <v>399</v>
      </c>
      <c r="K256" s="31">
        <v>37.549999999999997</v>
      </c>
      <c r="L256" s="32">
        <v>15336900</v>
      </c>
      <c r="M256" s="32">
        <v>1.7697643044148229E+18</v>
      </c>
      <c r="N256" s="31" t="s">
        <v>461</v>
      </c>
      <c r="O256" s="31"/>
    </row>
    <row r="257" spans="1:15">
      <c r="A257" s="31"/>
      <c r="B257" s="31" t="s">
        <v>456</v>
      </c>
      <c r="C257" s="31" t="s">
        <v>457</v>
      </c>
      <c r="D257" s="31" t="s">
        <v>453</v>
      </c>
      <c r="E257" s="31" t="s">
        <v>249</v>
      </c>
      <c r="F257" s="31" t="s">
        <v>250</v>
      </c>
      <c r="G257" s="31" t="s">
        <v>250</v>
      </c>
      <c r="H257" s="31" t="s">
        <v>251</v>
      </c>
      <c r="I257" s="31" t="b">
        <v>0</v>
      </c>
      <c r="J257" s="31">
        <v>56</v>
      </c>
      <c r="K257" s="31">
        <v>449.2</v>
      </c>
      <c r="L257" s="32">
        <v>7774549</v>
      </c>
      <c r="M257" s="32">
        <v>1000000073240827</v>
      </c>
      <c r="N257" s="31" t="s">
        <v>462</v>
      </c>
      <c r="O257" s="31"/>
    </row>
    <row r="258" spans="1:15">
      <c r="A258" s="31"/>
      <c r="B258" s="31" t="s">
        <v>289</v>
      </c>
      <c r="C258" s="31" t="s">
        <v>290</v>
      </c>
      <c r="D258" s="31" t="s">
        <v>463</v>
      </c>
      <c r="E258" s="31" t="s">
        <v>249</v>
      </c>
      <c r="F258" s="31" t="s">
        <v>250</v>
      </c>
      <c r="G258" s="31" t="s">
        <v>250</v>
      </c>
      <c r="H258" s="31" t="s">
        <v>300</v>
      </c>
      <c r="I258" s="31" t="b">
        <v>0</v>
      </c>
      <c r="J258" s="31">
        <v>216</v>
      </c>
      <c r="K258" s="31">
        <v>140.33000000000001</v>
      </c>
      <c r="L258" s="32">
        <v>138516</v>
      </c>
      <c r="M258" s="32">
        <v>1000000000842622</v>
      </c>
      <c r="N258" s="31" t="s">
        <v>464</v>
      </c>
      <c r="O258" s="31"/>
    </row>
    <row r="259" spans="1:15">
      <c r="A259" s="31"/>
      <c r="B259" s="31" t="s">
        <v>289</v>
      </c>
      <c r="C259" s="31" t="s">
        <v>290</v>
      </c>
      <c r="D259" s="31" t="s">
        <v>463</v>
      </c>
      <c r="E259" s="31" t="s">
        <v>249</v>
      </c>
      <c r="F259" s="31" t="s">
        <v>250</v>
      </c>
      <c r="G259" s="31" t="s">
        <v>250</v>
      </c>
      <c r="H259" s="31" t="s">
        <v>300</v>
      </c>
      <c r="I259" s="31" t="b">
        <v>0</v>
      </c>
      <c r="J259" s="31">
        <v>25</v>
      </c>
      <c r="K259" s="31">
        <v>140.34</v>
      </c>
      <c r="L259" s="32">
        <v>138514</v>
      </c>
      <c r="M259" s="32">
        <v>1000000000842622</v>
      </c>
      <c r="N259" s="31" t="s">
        <v>464</v>
      </c>
      <c r="O259" s="31"/>
    </row>
    <row r="260" spans="1:15">
      <c r="A260" s="31"/>
      <c r="B260" s="31" t="s">
        <v>289</v>
      </c>
      <c r="C260" s="31" t="s">
        <v>290</v>
      </c>
      <c r="D260" s="31" t="s">
        <v>463</v>
      </c>
      <c r="E260" s="31" t="s">
        <v>249</v>
      </c>
      <c r="F260" s="31" t="s">
        <v>250</v>
      </c>
      <c r="G260" s="31" t="s">
        <v>250</v>
      </c>
      <c r="H260" s="31" t="s">
        <v>300</v>
      </c>
      <c r="I260" s="31" t="b">
        <v>0</v>
      </c>
      <c r="J260" s="31">
        <v>83</v>
      </c>
      <c r="K260" s="31">
        <v>140.34</v>
      </c>
      <c r="L260" s="32">
        <v>138515</v>
      </c>
      <c r="M260" s="32">
        <v>1000000000842622</v>
      </c>
      <c r="N260" s="31" t="s">
        <v>464</v>
      </c>
      <c r="O260" s="31"/>
    </row>
    <row r="261" spans="1:15">
      <c r="A261" s="31"/>
      <c r="B261" s="31" t="s">
        <v>324</v>
      </c>
      <c r="C261" s="31" t="s">
        <v>325</v>
      </c>
      <c r="D261" s="31" t="s">
        <v>463</v>
      </c>
      <c r="E261" s="31" t="s">
        <v>80</v>
      </c>
      <c r="F261" s="31" t="s">
        <v>250</v>
      </c>
      <c r="G261" s="31" t="s">
        <v>306</v>
      </c>
      <c r="H261" s="31" t="s">
        <v>300</v>
      </c>
      <c r="I261" s="31" t="b">
        <v>0</v>
      </c>
      <c r="J261" s="31">
        <v>94</v>
      </c>
      <c r="K261" s="31">
        <v>898.15</v>
      </c>
      <c r="L261" s="32">
        <v>792900</v>
      </c>
      <c r="M261" s="32">
        <v>1.7700030001372119E+18</v>
      </c>
      <c r="N261" s="31" t="s">
        <v>465</v>
      </c>
      <c r="O261" s="31"/>
    </row>
    <row r="262" spans="1:15">
      <c r="A262" s="31"/>
      <c r="B262" s="31" t="s">
        <v>364</v>
      </c>
      <c r="C262" s="31" t="s">
        <v>365</v>
      </c>
      <c r="D262" s="31" t="s">
        <v>463</v>
      </c>
      <c r="E262" s="31" t="s">
        <v>249</v>
      </c>
      <c r="F262" s="31" t="s">
        <v>250</v>
      </c>
      <c r="G262" s="31" t="s">
        <v>250</v>
      </c>
      <c r="H262" s="31" t="s">
        <v>300</v>
      </c>
      <c r="I262" s="31" t="b">
        <v>0</v>
      </c>
      <c r="J262" s="31">
        <v>10</v>
      </c>
      <c r="K262" s="31">
        <v>271.55</v>
      </c>
      <c r="L262" s="32">
        <v>3556964</v>
      </c>
      <c r="M262" s="32">
        <v>1000000039324729</v>
      </c>
      <c r="N262" s="31" t="s">
        <v>466</v>
      </c>
      <c r="O262" s="31"/>
    </row>
    <row r="263" spans="1:15">
      <c r="A263" s="31"/>
      <c r="B263" s="31" t="s">
        <v>364</v>
      </c>
      <c r="C263" s="31" t="s">
        <v>365</v>
      </c>
      <c r="D263" s="31" t="s">
        <v>463</v>
      </c>
      <c r="E263" s="31" t="s">
        <v>249</v>
      </c>
      <c r="F263" s="31" t="s">
        <v>250</v>
      </c>
      <c r="G263" s="31" t="s">
        <v>250</v>
      </c>
      <c r="H263" s="31" t="s">
        <v>300</v>
      </c>
      <c r="I263" s="31" t="b">
        <v>0</v>
      </c>
      <c r="J263" s="31">
        <v>31</v>
      </c>
      <c r="K263" s="31">
        <v>271.60000000000002</v>
      </c>
      <c r="L263" s="32">
        <v>3556962</v>
      </c>
      <c r="M263" s="32">
        <v>1000000039324729</v>
      </c>
      <c r="N263" s="31" t="s">
        <v>466</v>
      </c>
      <c r="O263" s="31"/>
    </row>
    <row r="264" spans="1:15">
      <c r="A264" s="31"/>
      <c r="B264" s="31" t="s">
        <v>364</v>
      </c>
      <c r="C264" s="31" t="s">
        <v>365</v>
      </c>
      <c r="D264" s="31" t="s">
        <v>463</v>
      </c>
      <c r="E264" s="31" t="s">
        <v>249</v>
      </c>
      <c r="F264" s="31" t="s">
        <v>250</v>
      </c>
      <c r="G264" s="31" t="s">
        <v>250</v>
      </c>
      <c r="H264" s="31" t="s">
        <v>300</v>
      </c>
      <c r="I264" s="31" t="b">
        <v>0</v>
      </c>
      <c r="J264" s="31">
        <v>59</v>
      </c>
      <c r="K264" s="31">
        <v>271.55</v>
      </c>
      <c r="L264" s="32">
        <v>3556968</v>
      </c>
      <c r="M264" s="32">
        <v>1000000039324729</v>
      </c>
      <c r="N264" s="31" t="s">
        <v>466</v>
      </c>
      <c r="O264" s="31"/>
    </row>
    <row r="265" spans="1:15">
      <c r="A265" s="31"/>
      <c r="B265" s="31" t="s">
        <v>364</v>
      </c>
      <c r="C265" s="31" t="s">
        <v>365</v>
      </c>
      <c r="D265" s="31" t="s">
        <v>463</v>
      </c>
      <c r="E265" s="31" t="s">
        <v>249</v>
      </c>
      <c r="F265" s="31" t="s">
        <v>250</v>
      </c>
      <c r="G265" s="31" t="s">
        <v>250</v>
      </c>
      <c r="H265" s="31" t="s">
        <v>300</v>
      </c>
      <c r="I265" s="31" t="b">
        <v>0</v>
      </c>
      <c r="J265" s="31">
        <v>70</v>
      </c>
      <c r="K265" s="31">
        <v>271.55</v>
      </c>
      <c r="L265" s="32">
        <v>3556963</v>
      </c>
      <c r="M265" s="32">
        <v>1000000039324729</v>
      </c>
      <c r="N265" s="31" t="s">
        <v>466</v>
      </c>
      <c r="O265" s="31"/>
    </row>
    <row r="266" spans="1:15">
      <c r="A266" s="31"/>
      <c r="B266" s="31" t="s">
        <v>434</v>
      </c>
      <c r="C266" s="31" t="s">
        <v>435</v>
      </c>
      <c r="D266" s="31" t="s">
        <v>463</v>
      </c>
      <c r="E266" s="31" t="s">
        <v>249</v>
      </c>
      <c r="F266" s="31" t="s">
        <v>250</v>
      </c>
      <c r="G266" s="31" t="s">
        <v>250</v>
      </c>
      <c r="H266" s="31" t="s">
        <v>300</v>
      </c>
      <c r="I266" s="31" t="b">
        <v>0</v>
      </c>
      <c r="J266" s="31">
        <v>200</v>
      </c>
      <c r="K266" s="31">
        <v>119.56</v>
      </c>
      <c r="L266" s="32">
        <v>404684795</v>
      </c>
      <c r="M266" s="32">
        <v>1200000051538381</v>
      </c>
      <c r="N266" s="31" t="s">
        <v>467</v>
      </c>
      <c r="O266" s="31"/>
    </row>
    <row r="267" spans="1:15">
      <c r="A267" s="31"/>
      <c r="B267" s="31" t="s">
        <v>253</v>
      </c>
      <c r="C267" s="31" t="s">
        <v>254</v>
      </c>
      <c r="D267" s="31" t="s">
        <v>463</v>
      </c>
      <c r="E267" s="31" t="s">
        <v>249</v>
      </c>
      <c r="F267" s="31" t="s">
        <v>250</v>
      </c>
      <c r="G267" s="31" t="s">
        <v>250</v>
      </c>
      <c r="H267" s="31" t="s">
        <v>300</v>
      </c>
      <c r="I267" s="31" t="b">
        <v>0</v>
      </c>
      <c r="J267" s="31">
        <v>1</v>
      </c>
      <c r="K267" s="31">
        <v>1299.4000000000001</v>
      </c>
      <c r="L267" s="32">
        <v>4407181</v>
      </c>
      <c r="M267" s="32">
        <v>1000000050030745</v>
      </c>
      <c r="N267" s="31" t="s">
        <v>468</v>
      </c>
      <c r="O267" s="31"/>
    </row>
    <row r="268" spans="1:15">
      <c r="A268" s="31"/>
      <c r="B268" s="31" t="s">
        <v>253</v>
      </c>
      <c r="C268" s="31" t="s">
        <v>254</v>
      </c>
      <c r="D268" s="31" t="s">
        <v>463</v>
      </c>
      <c r="E268" s="31" t="s">
        <v>249</v>
      </c>
      <c r="F268" s="31" t="s">
        <v>250</v>
      </c>
      <c r="G268" s="31" t="s">
        <v>250</v>
      </c>
      <c r="H268" s="31" t="s">
        <v>300</v>
      </c>
      <c r="I268" s="31" t="b">
        <v>0</v>
      </c>
      <c r="J268" s="31">
        <v>12</v>
      </c>
      <c r="K268" s="31">
        <v>1299.4000000000001</v>
      </c>
      <c r="L268" s="32">
        <v>4407183</v>
      </c>
      <c r="M268" s="32">
        <v>1000000050030745</v>
      </c>
      <c r="N268" s="31" t="s">
        <v>468</v>
      </c>
      <c r="O268" s="31"/>
    </row>
    <row r="269" spans="1:15">
      <c r="A269" s="31"/>
      <c r="B269" s="31" t="s">
        <v>253</v>
      </c>
      <c r="C269" s="31" t="s">
        <v>254</v>
      </c>
      <c r="D269" s="31" t="s">
        <v>463</v>
      </c>
      <c r="E269" s="31" t="s">
        <v>249</v>
      </c>
      <c r="F269" s="31" t="s">
        <v>250</v>
      </c>
      <c r="G269" s="31" t="s">
        <v>250</v>
      </c>
      <c r="H269" s="31" t="s">
        <v>300</v>
      </c>
      <c r="I269" s="31" t="b">
        <v>0</v>
      </c>
      <c r="J269" s="31">
        <v>15</v>
      </c>
      <c r="K269" s="31">
        <v>1299.4000000000001</v>
      </c>
      <c r="L269" s="32">
        <v>4407180</v>
      </c>
      <c r="M269" s="32">
        <v>1000000050030745</v>
      </c>
      <c r="N269" s="31" t="s">
        <v>468</v>
      </c>
      <c r="O269" s="31"/>
    </row>
    <row r="270" spans="1:15">
      <c r="A270" s="31"/>
      <c r="B270" s="31" t="s">
        <v>253</v>
      </c>
      <c r="C270" s="31" t="s">
        <v>254</v>
      </c>
      <c r="D270" s="31" t="s">
        <v>463</v>
      </c>
      <c r="E270" s="31" t="s">
        <v>249</v>
      </c>
      <c r="F270" s="31" t="s">
        <v>250</v>
      </c>
      <c r="G270" s="31" t="s">
        <v>250</v>
      </c>
      <c r="H270" s="31" t="s">
        <v>300</v>
      </c>
      <c r="I270" s="31" t="b">
        <v>0</v>
      </c>
      <c r="J270" s="31">
        <v>2</v>
      </c>
      <c r="K270" s="31">
        <v>1299.4000000000001</v>
      </c>
      <c r="L270" s="32">
        <v>4407179</v>
      </c>
      <c r="M270" s="32">
        <v>1000000050030745</v>
      </c>
      <c r="N270" s="31" t="s">
        <v>468</v>
      </c>
      <c r="O270" s="31"/>
    </row>
    <row r="271" spans="1:15">
      <c r="A271" s="31"/>
      <c r="B271" s="31" t="s">
        <v>253</v>
      </c>
      <c r="C271" s="31" t="s">
        <v>254</v>
      </c>
      <c r="D271" s="31" t="s">
        <v>463</v>
      </c>
      <c r="E271" s="31" t="s">
        <v>249</v>
      </c>
      <c r="F271" s="31" t="s">
        <v>250</v>
      </c>
      <c r="G271" s="31" t="s">
        <v>250</v>
      </c>
      <c r="H271" s="31" t="s">
        <v>300</v>
      </c>
      <c r="I271" s="31" t="b">
        <v>0</v>
      </c>
      <c r="J271" s="31">
        <v>28</v>
      </c>
      <c r="K271" s="31">
        <v>1299.4000000000001</v>
      </c>
      <c r="L271" s="32">
        <v>4407182</v>
      </c>
      <c r="M271" s="32">
        <v>1000000050030745</v>
      </c>
      <c r="N271" s="31" t="s">
        <v>468</v>
      </c>
      <c r="O271" s="31"/>
    </row>
    <row r="272" spans="1:15">
      <c r="A272" s="31"/>
      <c r="B272" s="31" t="s">
        <v>253</v>
      </c>
      <c r="C272" s="31" t="s">
        <v>254</v>
      </c>
      <c r="D272" s="31" t="s">
        <v>463</v>
      </c>
      <c r="E272" s="31" t="s">
        <v>249</v>
      </c>
      <c r="F272" s="31" t="s">
        <v>250</v>
      </c>
      <c r="G272" s="31" t="s">
        <v>250</v>
      </c>
      <c r="H272" s="31" t="s">
        <v>300</v>
      </c>
      <c r="I272" s="31" t="b">
        <v>0</v>
      </c>
      <c r="J272" s="31">
        <v>5</v>
      </c>
      <c r="K272" s="31">
        <v>1299.4000000000001</v>
      </c>
      <c r="L272" s="32">
        <v>4407185</v>
      </c>
      <c r="M272" s="32">
        <v>1000000050030745</v>
      </c>
      <c r="N272" s="31" t="s">
        <v>468</v>
      </c>
      <c r="O272" s="31"/>
    </row>
    <row r="273" spans="1:15">
      <c r="A273" s="31"/>
      <c r="B273" s="31" t="s">
        <v>378</v>
      </c>
      <c r="C273" s="31" t="s">
        <v>469</v>
      </c>
      <c r="D273" s="31" t="s">
        <v>463</v>
      </c>
      <c r="E273" s="31" t="s">
        <v>249</v>
      </c>
      <c r="F273" s="31" t="s">
        <v>250</v>
      </c>
      <c r="G273" s="31" t="s">
        <v>250</v>
      </c>
      <c r="H273" s="31" t="s">
        <v>300</v>
      </c>
      <c r="I273" s="31" t="b">
        <v>0</v>
      </c>
      <c r="J273" s="31">
        <v>32</v>
      </c>
      <c r="K273" s="31">
        <v>1416.6</v>
      </c>
      <c r="L273" s="32">
        <v>5956220</v>
      </c>
      <c r="M273" s="32">
        <v>1000000069738672</v>
      </c>
      <c r="N273" s="31" t="s">
        <v>470</v>
      </c>
      <c r="O273" s="31"/>
    </row>
    <row r="274" spans="1:15">
      <c r="A274" s="31"/>
      <c r="B274" s="31" t="s">
        <v>378</v>
      </c>
      <c r="C274" s="31" t="s">
        <v>469</v>
      </c>
      <c r="D274" s="31" t="s">
        <v>463</v>
      </c>
      <c r="E274" s="31" t="s">
        <v>249</v>
      </c>
      <c r="F274" s="31" t="s">
        <v>250</v>
      </c>
      <c r="G274" s="31" t="s">
        <v>250</v>
      </c>
      <c r="H274" s="31" t="s">
        <v>300</v>
      </c>
      <c r="I274" s="31" t="b">
        <v>0</v>
      </c>
      <c r="J274" s="31">
        <v>4</v>
      </c>
      <c r="K274" s="31">
        <v>1416.6</v>
      </c>
      <c r="L274" s="32">
        <v>5956219</v>
      </c>
      <c r="M274" s="32">
        <v>1000000069738672</v>
      </c>
      <c r="N274" s="31" t="s">
        <v>470</v>
      </c>
      <c r="O274" s="31"/>
    </row>
    <row r="275" spans="1:15">
      <c r="A275" s="31"/>
      <c r="B275" s="31" t="s">
        <v>437</v>
      </c>
      <c r="C275" s="31" t="s">
        <v>438</v>
      </c>
      <c r="D275" s="31" t="s">
        <v>471</v>
      </c>
      <c r="E275" s="31" t="s">
        <v>249</v>
      </c>
      <c r="F275" s="31" t="s">
        <v>250</v>
      </c>
      <c r="G275" s="31" t="s">
        <v>250</v>
      </c>
      <c r="H275" s="31" t="s">
        <v>251</v>
      </c>
      <c r="I275" s="31" t="b">
        <v>0</v>
      </c>
      <c r="J275" s="31">
        <v>305</v>
      </c>
      <c r="K275" s="31">
        <v>163.99</v>
      </c>
      <c r="L275" s="32">
        <v>5395551</v>
      </c>
      <c r="M275" s="32">
        <v>1000000062502140</v>
      </c>
      <c r="N275" s="31" t="s">
        <v>472</v>
      </c>
      <c r="O275" s="31"/>
    </row>
    <row r="276" spans="1:15">
      <c r="A276" s="31"/>
      <c r="B276" s="31" t="s">
        <v>85</v>
      </c>
      <c r="C276" s="31" t="s">
        <v>473</v>
      </c>
      <c r="D276" s="31" t="s">
        <v>474</v>
      </c>
      <c r="E276" s="31" t="s">
        <v>249</v>
      </c>
      <c r="F276" s="31" t="s">
        <v>250</v>
      </c>
      <c r="G276" s="31" t="s">
        <v>250</v>
      </c>
      <c r="H276" s="31" t="s">
        <v>251</v>
      </c>
      <c r="I276" s="31" t="b">
        <v>0</v>
      </c>
      <c r="J276" s="31">
        <v>45</v>
      </c>
      <c r="K276" s="31">
        <v>2237.6001000000001</v>
      </c>
      <c r="L276" s="32">
        <v>5804977</v>
      </c>
      <c r="M276" s="32">
        <v>1000000059786587</v>
      </c>
      <c r="N276" s="31" t="s">
        <v>475</v>
      </c>
      <c r="O276" s="31"/>
    </row>
    <row r="277" spans="1:15">
      <c r="A277" s="31"/>
      <c r="B277" s="31" t="s">
        <v>72</v>
      </c>
      <c r="C277" s="31" t="s">
        <v>476</v>
      </c>
      <c r="D277" s="31" t="s">
        <v>477</v>
      </c>
      <c r="E277" s="31" t="s">
        <v>249</v>
      </c>
      <c r="F277" s="31" t="s">
        <v>250</v>
      </c>
      <c r="G277" s="31" t="s">
        <v>250</v>
      </c>
      <c r="H277" s="31" t="s">
        <v>251</v>
      </c>
      <c r="I277" s="31" t="b">
        <v>0</v>
      </c>
      <c r="J277" s="31">
        <v>10</v>
      </c>
      <c r="K277" s="31">
        <v>853.85</v>
      </c>
      <c r="L277" s="32">
        <v>606300119</v>
      </c>
      <c r="M277" s="32">
        <v>1300000062934832</v>
      </c>
      <c r="N277" s="31" t="s">
        <v>478</v>
      </c>
      <c r="O277" s="31"/>
    </row>
    <row r="278" spans="1:15">
      <c r="A278" s="31"/>
      <c r="B278" s="31" t="s">
        <v>58</v>
      </c>
      <c r="C278" s="31" t="s">
        <v>282</v>
      </c>
      <c r="D278" s="31" t="s">
        <v>477</v>
      </c>
      <c r="E278" s="31" t="s">
        <v>249</v>
      </c>
      <c r="F278" s="31" t="s">
        <v>250</v>
      </c>
      <c r="G278" s="31" t="s">
        <v>250</v>
      </c>
      <c r="H278" s="31" t="s">
        <v>251</v>
      </c>
      <c r="I278" s="31" t="b">
        <v>0</v>
      </c>
      <c r="J278" s="31">
        <v>10</v>
      </c>
      <c r="K278" s="31">
        <v>684</v>
      </c>
      <c r="L278" s="32">
        <v>4236742</v>
      </c>
      <c r="M278" s="32">
        <v>1000000047242522</v>
      </c>
      <c r="N278" s="31" t="s">
        <v>479</v>
      </c>
      <c r="O278" s="31"/>
    </row>
    <row r="279" spans="1:15">
      <c r="A279" s="31"/>
      <c r="B279" s="31" t="s">
        <v>480</v>
      </c>
      <c r="C279" s="31" t="s">
        <v>481</v>
      </c>
      <c r="D279" s="31" t="s">
        <v>477</v>
      </c>
      <c r="E279" s="31" t="s">
        <v>249</v>
      </c>
      <c r="F279" s="31" t="s">
        <v>250</v>
      </c>
      <c r="G279" s="31" t="s">
        <v>250</v>
      </c>
      <c r="H279" s="31" t="s">
        <v>251</v>
      </c>
      <c r="I279" s="31" t="b">
        <v>0</v>
      </c>
      <c r="J279" s="31">
        <v>10</v>
      </c>
      <c r="K279" s="31">
        <v>483.55</v>
      </c>
      <c r="L279" s="32">
        <v>606313822</v>
      </c>
      <c r="M279" s="32">
        <v>1300000063069924</v>
      </c>
      <c r="N279" s="31" t="s">
        <v>482</v>
      </c>
      <c r="O279" s="31"/>
    </row>
    <row r="280" spans="1:15">
      <c r="A280" s="31"/>
      <c r="B280" s="31" t="s">
        <v>129</v>
      </c>
      <c r="C280" s="31" t="s">
        <v>459</v>
      </c>
      <c r="D280" s="31" t="s">
        <v>477</v>
      </c>
      <c r="E280" s="31" t="s">
        <v>249</v>
      </c>
      <c r="F280" s="31" t="s">
        <v>250</v>
      </c>
      <c r="G280" s="31" t="s">
        <v>250</v>
      </c>
      <c r="H280" s="31" t="s">
        <v>251</v>
      </c>
      <c r="I280" s="31" t="b">
        <v>0</v>
      </c>
      <c r="J280" s="31">
        <v>10</v>
      </c>
      <c r="K280" s="31">
        <v>1368</v>
      </c>
      <c r="L280" s="32">
        <v>608157505</v>
      </c>
      <c r="M280" s="32">
        <v>1300000081645901</v>
      </c>
      <c r="N280" s="31" t="s">
        <v>483</v>
      </c>
      <c r="O280" s="31"/>
    </row>
    <row r="281" spans="1:15">
      <c r="A281" s="31"/>
      <c r="B281" s="31" t="s">
        <v>129</v>
      </c>
      <c r="C281" s="31" t="s">
        <v>459</v>
      </c>
      <c r="D281" s="31" t="s">
        <v>484</v>
      </c>
      <c r="E281" s="31" t="s">
        <v>249</v>
      </c>
      <c r="F281" s="31" t="s">
        <v>250</v>
      </c>
      <c r="G281" s="31" t="s">
        <v>250</v>
      </c>
      <c r="H281" s="31" t="s">
        <v>251</v>
      </c>
      <c r="I281" s="31" t="b">
        <v>0</v>
      </c>
      <c r="J281" s="31">
        <v>2</v>
      </c>
      <c r="K281" s="31">
        <v>1380.6</v>
      </c>
      <c r="L281" s="32">
        <v>608658740</v>
      </c>
      <c r="M281" s="32">
        <v>1300000087615108</v>
      </c>
      <c r="N281" s="31" t="s">
        <v>485</v>
      </c>
      <c r="O281" s="31"/>
    </row>
    <row r="282" spans="1:15">
      <c r="A282" s="31"/>
      <c r="B282" s="31" t="s">
        <v>129</v>
      </c>
      <c r="C282" s="31" t="s">
        <v>459</v>
      </c>
      <c r="D282" s="31" t="s">
        <v>484</v>
      </c>
      <c r="E282" s="31" t="s">
        <v>249</v>
      </c>
      <c r="F282" s="31" t="s">
        <v>250</v>
      </c>
      <c r="G282" s="31" t="s">
        <v>250</v>
      </c>
      <c r="H282" s="31" t="s">
        <v>251</v>
      </c>
      <c r="I282" s="31" t="b">
        <v>0</v>
      </c>
      <c r="J282" s="31">
        <v>3</v>
      </c>
      <c r="K282" s="31">
        <v>1380.6</v>
      </c>
      <c r="L282" s="32">
        <v>608658741</v>
      </c>
      <c r="M282" s="32">
        <v>1300000087615108</v>
      </c>
      <c r="N282" s="31" t="s">
        <v>485</v>
      </c>
      <c r="O282" s="31"/>
    </row>
    <row r="283" spans="1:15">
      <c r="A283" s="31"/>
      <c r="B283" s="31" t="s">
        <v>129</v>
      </c>
      <c r="C283" s="31" t="s">
        <v>459</v>
      </c>
      <c r="D283" s="31" t="s">
        <v>484</v>
      </c>
      <c r="E283" s="31" t="s">
        <v>249</v>
      </c>
      <c r="F283" s="31" t="s">
        <v>250</v>
      </c>
      <c r="G283" s="31" t="s">
        <v>250</v>
      </c>
      <c r="H283" s="31" t="s">
        <v>251</v>
      </c>
      <c r="I283" s="31" t="b">
        <v>0</v>
      </c>
      <c r="J283" s="31">
        <v>4</v>
      </c>
      <c r="K283" s="31">
        <v>1380.7</v>
      </c>
      <c r="L283" s="32">
        <v>608658742</v>
      </c>
      <c r="M283" s="32">
        <v>1300000087615108</v>
      </c>
      <c r="N283" s="31" t="s">
        <v>485</v>
      </c>
      <c r="O283" s="31"/>
    </row>
    <row r="284" spans="1:15">
      <c r="A284" s="31"/>
      <c r="B284" s="31" t="s">
        <v>129</v>
      </c>
      <c r="C284" s="31" t="s">
        <v>459</v>
      </c>
      <c r="D284" s="31" t="s">
        <v>484</v>
      </c>
      <c r="E284" s="31" t="s">
        <v>249</v>
      </c>
      <c r="F284" s="31" t="s">
        <v>250</v>
      </c>
      <c r="G284" s="31" t="s">
        <v>250</v>
      </c>
      <c r="H284" s="31" t="s">
        <v>251</v>
      </c>
      <c r="I284" s="31" t="b">
        <v>0</v>
      </c>
      <c r="J284" s="31">
        <v>5</v>
      </c>
      <c r="K284" s="31">
        <v>1380.7</v>
      </c>
      <c r="L284" s="32">
        <v>608658743</v>
      </c>
      <c r="M284" s="32">
        <v>1300000087615108</v>
      </c>
      <c r="N284" s="31" t="s">
        <v>485</v>
      </c>
      <c r="O284" s="31"/>
    </row>
    <row r="285" spans="1:15">
      <c r="A285" s="31"/>
      <c r="B285" s="31" t="s">
        <v>58</v>
      </c>
      <c r="C285" s="31" t="s">
        <v>282</v>
      </c>
      <c r="D285" s="31" t="s">
        <v>486</v>
      </c>
      <c r="E285" s="31" t="s">
        <v>249</v>
      </c>
      <c r="F285" s="31" t="s">
        <v>250</v>
      </c>
      <c r="G285" s="31" t="s">
        <v>250</v>
      </c>
      <c r="H285" s="31" t="s">
        <v>251</v>
      </c>
      <c r="I285" s="31" t="b">
        <v>0</v>
      </c>
      <c r="J285" s="31">
        <v>12</v>
      </c>
      <c r="K285" s="31">
        <v>714.9</v>
      </c>
      <c r="L285" s="32">
        <v>4580522</v>
      </c>
      <c r="M285" s="32">
        <v>1000000061460854</v>
      </c>
      <c r="N285" s="31" t="s">
        <v>487</v>
      </c>
      <c r="O285" s="31"/>
    </row>
    <row r="286" spans="1:15">
      <c r="A286" s="31"/>
      <c r="B286" s="31" t="s">
        <v>58</v>
      </c>
      <c r="C286" s="31" t="s">
        <v>282</v>
      </c>
      <c r="D286" s="31" t="s">
        <v>486</v>
      </c>
      <c r="E286" s="31" t="s">
        <v>249</v>
      </c>
      <c r="F286" s="31" t="s">
        <v>250</v>
      </c>
      <c r="G286" s="31" t="s">
        <v>250</v>
      </c>
      <c r="H286" s="31" t="s">
        <v>251</v>
      </c>
      <c r="I286" s="31" t="b">
        <v>0</v>
      </c>
      <c r="J286" s="31">
        <v>15</v>
      </c>
      <c r="K286" s="31">
        <v>714.9</v>
      </c>
      <c r="L286" s="32">
        <v>4580523</v>
      </c>
      <c r="M286" s="32">
        <v>1000000061460854</v>
      </c>
      <c r="N286" s="31" t="s">
        <v>487</v>
      </c>
      <c r="O286" s="31"/>
    </row>
    <row r="287" spans="1:15">
      <c r="A287" s="31"/>
      <c r="B287" s="31" t="s">
        <v>361</v>
      </c>
      <c r="C287" s="31" t="s">
        <v>362</v>
      </c>
      <c r="D287" s="31" t="s">
        <v>486</v>
      </c>
      <c r="E287" s="31" t="s">
        <v>80</v>
      </c>
      <c r="F287" s="31" t="s">
        <v>250</v>
      </c>
      <c r="G287" s="31" t="s">
        <v>306</v>
      </c>
      <c r="H287" s="31" t="s">
        <v>251</v>
      </c>
      <c r="I287" s="31" t="b">
        <v>0</v>
      </c>
      <c r="J287" s="31">
        <v>28</v>
      </c>
      <c r="K287" s="31">
        <v>1213.95</v>
      </c>
      <c r="L287" s="32">
        <v>13253100</v>
      </c>
      <c r="M287" s="32">
        <v>1.771577768926583E+18</v>
      </c>
      <c r="N287" s="31" t="s">
        <v>488</v>
      </c>
      <c r="O287" s="31"/>
    </row>
    <row r="288" spans="1:15">
      <c r="A288" s="31"/>
      <c r="B288" s="31" t="s">
        <v>361</v>
      </c>
      <c r="C288" s="31" t="s">
        <v>362</v>
      </c>
      <c r="D288" s="31" t="s">
        <v>486</v>
      </c>
      <c r="E288" s="31" t="s">
        <v>80</v>
      </c>
      <c r="F288" s="31" t="s">
        <v>250</v>
      </c>
      <c r="G288" s="31" t="s">
        <v>306</v>
      </c>
      <c r="H288" s="31" t="s">
        <v>251</v>
      </c>
      <c r="I288" s="31" t="b">
        <v>0</v>
      </c>
      <c r="J288" s="31">
        <v>49</v>
      </c>
      <c r="K288" s="31">
        <v>1213.5999999999999</v>
      </c>
      <c r="L288" s="32">
        <v>13252800</v>
      </c>
      <c r="M288" s="32">
        <v>1.771577768926583E+18</v>
      </c>
      <c r="N288" s="31" t="s">
        <v>488</v>
      </c>
      <c r="O288" s="31"/>
    </row>
    <row r="289" spans="1:15">
      <c r="A289" s="31"/>
      <c r="B289" s="31" t="s">
        <v>361</v>
      </c>
      <c r="C289" s="31" t="s">
        <v>362</v>
      </c>
      <c r="D289" s="31" t="s">
        <v>486</v>
      </c>
      <c r="E289" s="31" t="s">
        <v>80</v>
      </c>
      <c r="F289" s="31" t="s">
        <v>250</v>
      </c>
      <c r="G289" s="31" t="s">
        <v>306</v>
      </c>
      <c r="H289" s="31" t="s">
        <v>251</v>
      </c>
      <c r="I289" s="31" t="b">
        <v>0</v>
      </c>
      <c r="J289" s="31">
        <v>5</v>
      </c>
      <c r="K289" s="31">
        <v>1214</v>
      </c>
      <c r="L289" s="32">
        <v>13253400</v>
      </c>
      <c r="M289" s="32">
        <v>1.771577768926583E+18</v>
      </c>
      <c r="N289" s="31" t="s">
        <v>488</v>
      </c>
      <c r="O289" s="31"/>
    </row>
    <row r="290" spans="1:15">
      <c r="A290" s="31"/>
      <c r="B290" s="31" t="s">
        <v>398</v>
      </c>
      <c r="C290" s="31" t="s">
        <v>399</v>
      </c>
      <c r="D290" s="31" t="s">
        <v>486</v>
      </c>
      <c r="E290" s="31" t="s">
        <v>80</v>
      </c>
      <c r="F290" s="31" t="s">
        <v>250</v>
      </c>
      <c r="G290" s="31" t="s">
        <v>306</v>
      </c>
      <c r="H290" s="31" t="s">
        <v>251</v>
      </c>
      <c r="I290" s="31" t="b">
        <v>0</v>
      </c>
      <c r="J290" s="31">
        <v>14</v>
      </c>
      <c r="K290" s="31">
        <v>538.9</v>
      </c>
      <c r="L290" s="32">
        <v>11077300</v>
      </c>
      <c r="M290" s="32">
        <v>1.77157744033997E+18</v>
      </c>
      <c r="N290" s="31" t="s">
        <v>489</v>
      </c>
      <c r="O290" s="31"/>
    </row>
    <row r="291" spans="1:15">
      <c r="A291" s="31"/>
      <c r="B291" s="31" t="s">
        <v>398</v>
      </c>
      <c r="C291" s="31" t="s">
        <v>399</v>
      </c>
      <c r="D291" s="31" t="s">
        <v>486</v>
      </c>
      <c r="E291" s="31" t="s">
        <v>80</v>
      </c>
      <c r="F291" s="31" t="s">
        <v>250</v>
      </c>
      <c r="G291" s="31" t="s">
        <v>306</v>
      </c>
      <c r="H291" s="31" t="s">
        <v>251</v>
      </c>
      <c r="I291" s="31" t="b">
        <v>0</v>
      </c>
      <c r="J291" s="31">
        <v>23</v>
      </c>
      <c r="K291" s="31">
        <v>538.85</v>
      </c>
      <c r="L291" s="32">
        <v>11077100</v>
      </c>
      <c r="M291" s="32">
        <v>1.77157744033997E+18</v>
      </c>
      <c r="N291" s="31" t="s">
        <v>489</v>
      </c>
      <c r="O291" s="31"/>
    </row>
    <row r="292" spans="1:15">
      <c r="A292" s="31"/>
      <c r="B292" s="31" t="s">
        <v>398</v>
      </c>
      <c r="C292" s="31" t="s">
        <v>399</v>
      </c>
      <c r="D292" s="31" t="s">
        <v>486</v>
      </c>
      <c r="E292" s="31" t="s">
        <v>80</v>
      </c>
      <c r="F292" s="31" t="s">
        <v>250</v>
      </c>
      <c r="G292" s="31" t="s">
        <v>306</v>
      </c>
      <c r="H292" s="31" t="s">
        <v>251</v>
      </c>
      <c r="I292" s="31" t="b">
        <v>0</v>
      </c>
      <c r="J292" s="31">
        <v>56</v>
      </c>
      <c r="K292" s="31">
        <v>538.95000000000005</v>
      </c>
      <c r="L292" s="32">
        <v>11077500</v>
      </c>
      <c r="M292" s="32">
        <v>1.77157744033997E+18</v>
      </c>
      <c r="N292" s="31" t="s">
        <v>489</v>
      </c>
      <c r="O292" s="31"/>
    </row>
    <row r="293" spans="1:15">
      <c r="A293" s="31"/>
      <c r="B293" s="31" t="s">
        <v>490</v>
      </c>
      <c r="C293" s="31" t="s">
        <v>491</v>
      </c>
      <c r="D293" s="31" t="s">
        <v>486</v>
      </c>
      <c r="E293" s="31" t="s">
        <v>249</v>
      </c>
      <c r="F293" s="31" t="s">
        <v>250</v>
      </c>
      <c r="G293" s="31" t="s">
        <v>250</v>
      </c>
      <c r="H293" s="31" t="s">
        <v>251</v>
      </c>
      <c r="I293" s="31" t="b">
        <v>0</v>
      </c>
      <c r="J293" s="31">
        <v>2</v>
      </c>
      <c r="K293" s="31">
        <v>314.69</v>
      </c>
      <c r="L293" s="32">
        <v>606311000</v>
      </c>
      <c r="M293" s="32">
        <v>1300000076352903</v>
      </c>
      <c r="N293" s="31" t="s">
        <v>492</v>
      </c>
      <c r="O293" s="31"/>
    </row>
    <row r="294" spans="1:15">
      <c r="A294" s="31"/>
      <c r="B294" s="31" t="s">
        <v>490</v>
      </c>
      <c r="C294" s="31" t="s">
        <v>491</v>
      </c>
      <c r="D294" s="31" t="s">
        <v>486</v>
      </c>
      <c r="E294" s="31" t="s">
        <v>249</v>
      </c>
      <c r="F294" s="31" t="s">
        <v>250</v>
      </c>
      <c r="G294" s="31" t="s">
        <v>250</v>
      </c>
      <c r="H294" s="31" t="s">
        <v>251</v>
      </c>
      <c r="I294" s="31" t="b">
        <v>0</v>
      </c>
      <c r="J294" s="31">
        <v>78</v>
      </c>
      <c r="K294" s="31">
        <v>314.7</v>
      </c>
      <c r="L294" s="32">
        <v>606311001</v>
      </c>
      <c r="M294" s="32">
        <v>1300000076352903</v>
      </c>
      <c r="N294" s="31" t="s">
        <v>492</v>
      </c>
      <c r="O294" s="31"/>
    </row>
    <row r="295" spans="1:15">
      <c r="A295" s="31"/>
      <c r="B295" s="31" t="s">
        <v>358</v>
      </c>
      <c r="C295" s="31" t="s">
        <v>359</v>
      </c>
      <c r="D295" s="31" t="s">
        <v>493</v>
      </c>
      <c r="E295" s="31" t="s">
        <v>80</v>
      </c>
      <c r="F295" s="31" t="s">
        <v>250</v>
      </c>
      <c r="G295" s="31" t="s">
        <v>306</v>
      </c>
      <c r="H295" s="31" t="s">
        <v>251</v>
      </c>
      <c r="I295" s="31" t="b">
        <v>0</v>
      </c>
      <c r="J295" s="31">
        <v>266</v>
      </c>
      <c r="K295" s="31">
        <v>188.15</v>
      </c>
      <c r="L295" s="32">
        <v>22055000</v>
      </c>
      <c r="M295" s="32">
        <v>1.772179817893634E+18</v>
      </c>
      <c r="N295" s="31" t="s">
        <v>494</v>
      </c>
      <c r="O295" s="31"/>
    </row>
    <row r="296" spans="1:15">
      <c r="A296" s="31"/>
      <c r="B296" s="31" t="s">
        <v>72</v>
      </c>
      <c r="C296" s="31" t="s">
        <v>476</v>
      </c>
      <c r="D296" s="31" t="s">
        <v>493</v>
      </c>
      <c r="E296" s="31" t="s">
        <v>80</v>
      </c>
      <c r="F296" s="31" t="s">
        <v>250</v>
      </c>
      <c r="G296" s="31" t="s">
        <v>306</v>
      </c>
      <c r="H296" s="31" t="s">
        <v>251</v>
      </c>
      <c r="I296" s="31" t="b">
        <v>0</v>
      </c>
      <c r="J296" s="31">
        <v>45</v>
      </c>
      <c r="K296" s="31">
        <v>908</v>
      </c>
      <c r="L296" s="32">
        <v>6795400</v>
      </c>
      <c r="M296" s="32">
        <v>1.7721776639566021E+18</v>
      </c>
      <c r="N296" s="31" t="s">
        <v>495</v>
      </c>
      <c r="O296" s="31"/>
    </row>
    <row r="297" spans="1:15">
      <c r="A297" s="31"/>
      <c r="B297" s="31" t="s">
        <v>480</v>
      </c>
      <c r="C297" s="31" t="s">
        <v>481</v>
      </c>
      <c r="D297" s="31" t="s">
        <v>493</v>
      </c>
      <c r="E297" s="31" t="s">
        <v>80</v>
      </c>
      <c r="F297" s="31" t="s">
        <v>250</v>
      </c>
      <c r="G297" s="31" t="s">
        <v>429</v>
      </c>
      <c r="H297" s="31" t="s">
        <v>300</v>
      </c>
      <c r="I297" s="31" t="b">
        <v>0</v>
      </c>
      <c r="J297" s="31">
        <v>10</v>
      </c>
      <c r="K297" s="31">
        <v>419.3</v>
      </c>
      <c r="L297" s="32">
        <v>4846000</v>
      </c>
      <c r="M297" s="32">
        <v>1.7721796532175109E+18</v>
      </c>
      <c r="N297" s="31" t="s">
        <v>496</v>
      </c>
      <c r="O297" s="31"/>
    </row>
    <row r="298" spans="1:15">
      <c r="A298" s="31"/>
      <c r="B298" s="31" t="s">
        <v>440</v>
      </c>
      <c r="C298" s="31" t="s">
        <v>441</v>
      </c>
      <c r="D298" s="31" t="s">
        <v>493</v>
      </c>
      <c r="E298" s="31" t="s">
        <v>249</v>
      </c>
      <c r="F298" s="31" t="s">
        <v>250</v>
      </c>
      <c r="G298" s="31" t="s">
        <v>250</v>
      </c>
      <c r="H298" s="31" t="s">
        <v>251</v>
      </c>
      <c r="I298" s="31" t="b">
        <v>0</v>
      </c>
      <c r="J298" s="31">
        <v>340</v>
      </c>
      <c r="K298" s="31">
        <v>75</v>
      </c>
      <c r="L298" s="32">
        <v>406697576</v>
      </c>
      <c r="M298" s="32">
        <v>1200000075865702</v>
      </c>
      <c r="N298" s="31" t="s">
        <v>497</v>
      </c>
      <c r="O298" s="31"/>
    </row>
    <row r="299" spans="1:15">
      <c r="A299" s="31"/>
      <c r="B299" s="31" t="s">
        <v>398</v>
      </c>
      <c r="C299" s="31" t="s">
        <v>399</v>
      </c>
      <c r="D299" s="31" t="s">
        <v>498</v>
      </c>
      <c r="E299" s="31" t="s">
        <v>80</v>
      </c>
      <c r="F299" s="31" t="s">
        <v>250</v>
      </c>
      <c r="G299" s="31" t="s">
        <v>306</v>
      </c>
      <c r="H299" s="31" t="s">
        <v>300</v>
      </c>
      <c r="I299" s="31" t="b">
        <v>0</v>
      </c>
      <c r="J299" s="31">
        <v>196</v>
      </c>
      <c r="K299" s="31">
        <v>420.4</v>
      </c>
      <c r="L299" s="32">
        <v>81200</v>
      </c>
      <c r="M299" s="32">
        <v>1.7724222003260019E+18</v>
      </c>
      <c r="N299" s="31" t="s">
        <v>499</v>
      </c>
      <c r="O299" s="31"/>
    </row>
    <row r="300" spans="1:15">
      <c r="A300" s="31"/>
      <c r="B300" s="31" t="s">
        <v>456</v>
      </c>
      <c r="C300" s="31" t="s">
        <v>457</v>
      </c>
      <c r="D300" s="31" t="s">
        <v>500</v>
      </c>
      <c r="E300" s="31" t="s">
        <v>80</v>
      </c>
      <c r="F300" s="31" t="s">
        <v>250</v>
      </c>
      <c r="G300" s="31" t="s">
        <v>306</v>
      </c>
      <c r="H300" s="31" t="s">
        <v>251</v>
      </c>
      <c r="I300" s="31" t="b">
        <v>0</v>
      </c>
      <c r="J300" s="31">
        <v>54</v>
      </c>
      <c r="K300" s="31">
        <v>468.3</v>
      </c>
      <c r="L300" s="32">
        <v>12056500</v>
      </c>
      <c r="M300" s="32">
        <v>1.7727866281458839E+18</v>
      </c>
      <c r="N300" s="31" t="s">
        <v>501</v>
      </c>
      <c r="O300" s="31"/>
    </row>
    <row r="301" spans="1:15">
      <c r="A301" s="31"/>
      <c r="B301" s="31" t="s">
        <v>502</v>
      </c>
      <c r="C301" s="31" t="s">
        <v>503</v>
      </c>
      <c r="D301" s="31" t="s">
        <v>500</v>
      </c>
      <c r="E301" s="31" t="s">
        <v>249</v>
      </c>
      <c r="F301" s="31" t="s">
        <v>250</v>
      </c>
      <c r="G301" s="31" t="s">
        <v>250</v>
      </c>
      <c r="H301" s="31" t="s">
        <v>251</v>
      </c>
      <c r="I301" s="31" t="b">
        <v>0</v>
      </c>
      <c r="J301" s="31">
        <v>42</v>
      </c>
      <c r="K301" s="31">
        <v>206.6</v>
      </c>
      <c r="L301" s="32">
        <v>408247693</v>
      </c>
      <c r="M301" s="32">
        <v>1200000077068736</v>
      </c>
      <c r="N301" s="31" t="s">
        <v>504</v>
      </c>
      <c r="O301" s="31"/>
    </row>
    <row r="302" spans="1:15">
      <c r="A302" s="31"/>
      <c r="B302" s="31" t="s">
        <v>502</v>
      </c>
      <c r="C302" s="31" t="s">
        <v>503</v>
      </c>
      <c r="D302" s="31" t="s">
        <v>500</v>
      </c>
      <c r="E302" s="31" t="s">
        <v>249</v>
      </c>
      <c r="F302" s="31" t="s">
        <v>250</v>
      </c>
      <c r="G302" s="31" t="s">
        <v>250</v>
      </c>
      <c r="H302" s="31" t="s">
        <v>251</v>
      </c>
      <c r="I302" s="31" t="b">
        <v>0</v>
      </c>
      <c r="J302" s="31">
        <v>79</v>
      </c>
      <c r="K302" s="31">
        <v>206.6</v>
      </c>
      <c r="L302" s="32">
        <v>408247694</v>
      </c>
      <c r="M302" s="32">
        <v>1200000077068736</v>
      </c>
      <c r="N302" s="31" t="s">
        <v>504</v>
      </c>
      <c r="O302" s="31"/>
    </row>
    <row r="303" spans="1:15">
      <c r="A303" s="31"/>
      <c r="B303" s="31" t="s">
        <v>258</v>
      </c>
      <c r="C303" s="31" t="s">
        <v>259</v>
      </c>
      <c r="D303" s="31" t="s">
        <v>299</v>
      </c>
      <c r="E303" s="31" t="s">
        <v>249</v>
      </c>
      <c r="F303" s="31" t="s">
        <v>250</v>
      </c>
      <c r="G303" s="31" t="s">
        <v>250</v>
      </c>
      <c r="H303" s="31" t="s">
        <v>300</v>
      </c>
      <c r="I303" s="31" t="b">
        <v>0</v>
      </c>
      <c r="J303" s="31">
        <v>2</v>
      </c>
      <c r="K303" s="31">
        <v>4180.2002000000002</v>
      </c>
      <c r="L303" s="32">
        <v>602393096</v>
      </c>
      <c r="M303" s="32">
        <v>1300000019368715</v>
      </c>
      <c r="N303" s="31" t="s">
        <v>302</v>
      </c>
      <c r="O303" s="31"/>
    </row>
    <row r="304" spans="1:15">
      <c r="A304" s="31"/>
      <c r="B304" s="31" t="s">
        <v>258</v>
      </c>
      <c r="C304" s="31" t="s">
        <v>259</v>
      </c>
      <c r="D304" s="31" t="s">
        <v>299</v>
      </c>
      <c r="E304" s="31" t="s">
        <v>249</v>
      </c>
      <c r="F304" s="31" t="s">
        <v>250</v>
      </c>
      <c r="G304" s="31" t="s">
        <v>250</v>
      </c>
      <c r="H304" s="31" t="s">
        <v>300</v>
      </c>
      <c r="I304" s="31" t="b">
        <v>0</v>
      </c>
      <c r="J304" s="31">
        <v>1</v>
      </c>
      <c r="K304" s="31">
        <v>4180.2002000000002</v>
      </c>
      <c r="L304" s="32">
        <v>602393097</v>
      </c>
      <c r="M304" s="32">
        <v>1300000019368715</v>
      </c>
      <c r="N304" s="31" t="s">
        <v>302</v>
      </c>
      <c r="O304" s="31"/>
    </row>
    <row r="305" spans="1:15">
      <c r="A305" s="31"/>
      <c r="B305" s="31" t="s">
        <v>258</v>
      </c>
      <c r="C305" s="31" t="s">
        <v>259</v>
      </c>
      <c r="D305" s="31" t="s">
        <v>299</v>
      </c>
      <c r="E305" s="31" t="s">
        <v>249</v>
      </c>
      <c r="F305" s="31" t="s">
        <v>250</v>
      </c>
      <c r="G305" s="31" t="s">
        <v>250</v>
      </c>
      <c r="H305" s="31" t="s">
        <v>300</v>
      </c>
      <c r="I305" s="31" t="b">
        <v>0</v>
      </c>
      <c r="J305" s="31">
        <v>1</v>
      </c>
      <c r="K305" s="31">
        <v>4180.2002000000002</v>
      </c>
      <c r="L305" s="32">
        <v>602393094</v>
      </c>
      <c r="M305" s="32">
        <v>1300000019368715</v>
      </c>
      <c r="N305" s="31" t="s">
        <v>302</v>
      </c>
      <c r="O305" s="31"/>
    </row>
    <row r="306" spans="1:15">
      <c r="A306" s="31"/>
      <c r="B306" s="31" t="s">
        <v>253</v>
      </c>
      <c r="C306" s="31" t="s">
        <v>254</v>
      </c>
      <c r="D306" s="31" t="s">
        <v>463</v>
      </c>
      <c r="E306" s="31" t="s">
        <v>249</v>
      </c>
      <c r="F306" s="31" t="s">
        <v>250</v>
      </c>
      <c r="G306" s="31" t="s">
        <v>250</v>
      </c>
      <c r="H306" s="31" t="s">
        <v>300</v>
      </c>
      <c r="I306" s="31" t="b">
        <v>0</v>
      </c>
      <c r="J306" s="31">
        <v>1</v>
      </c>
      <c r="K306" s="31">
        <v>1299.4000000000001</v>
      </c>
      <c r="L306" s="32">
        <v>4407184</v>
      </c>
      <c r="M306" s="32">
        <v>1000000050030745</v>
      </c>
      <c r="N306" s="31" t="s">
        <v>468</v>
      </c>
      <c r="O306" s="31"/>
    </row>
    <row r="307" spans="1:15">
      <c r="A307" s="31"/>
      <c r="B307" s="31" t="s">
        <v>308</v>
      </c>
      <c r="C307" s="31" t="s">
        <v>309</v>
      </c>
      <c r="D307" s="31" t="s">
        <v>341</v>
      </c>
      <c r="E307" s="31" t="s">
        <v>249</v>
      </c>
      <c r="F307" s="31" t="s">
        <v>250</v>
      </c>
      <c r="G307" s="31" t="s">
        <v>250</v>
      </c>
      <c r="H307" s="31" t="s">
        <v>300</v>
      </c>
      <c r="I307" s="31" t="b">
        <v>0</v>
      </c>
      <c r="J307" s="31">
        <v>2</v>
      </c>
      <c r="K307" s="31">
        <v>482.05</v>
      </c>
      <c r="L307" s="32">
        <v>400073760</v>
      </c>
      <c r="M307" s="32">
        <v>1200000000472402</v>
      </c>
      <c r="N307" s="31" t="s">
        <v>342</v>
      </c>
      <c r="O307" s="31"/>
    </row>
    <row r="308" spans="1:15">
      <c r="A308" s="31"/>
      <c r="B308" s="31" t="s">
        <v>308</v>
      </c>
      <c r="C308" s="31" t="s">
        <v>309</v>
      </c>
      <c r="D308" s="31" t="s">
        <v>341</v>
      </c>
      <c r="E308" s="31" t="s">
        <v>249</v>
      </c>
      <c r="F308" s="31" t="s">
        <v>250</v>
      </c>
      <c r="G308" s="31" t="s">
        <v>250</v>
      </c>
      <c r="H308" s="31" t="s">
        <v>300</v>
      </c>
      <c r="I308" s="31" t="b">
        <v>0</v>
      </c>
      <c r="J308" s="31">
        <v>2</v>
      </c>
      <c r="K308" s="31">
        <v>482</v>
      </c>
      <c r="L308" s="32">
        <v>400073765</v>
      </c>
      <c r="M308" s="32">
        <v>1200000000472402</v>
      </c>
      <c r="N308" s="31" t="s">
        <v>342</v>
      </c>
      <c r="O308" s="31"/>
    </row>
    <row r="309" spans="1:15">
      <c r="A309" s="31"/>
      <c r="B309" s="31" t="s">
        <v>308</v>
      </c>
      <c r="C309" s="31" t="s">
        <v>309</v>
      </c>
      <c r="D309" s="31" t="s">
        <v>341</v>
      </c>
      <c r="E309" s="31" t="s">
        <v>249</v>
      </c>
      <c r="F309" s="31" t="s">
        <v>250</v>
      </c>
      <c r="G309" s="31" t="s">
        <v>250</v>
      </c>
      <c r="H309" s="31" t="s">
        <v>300</v>
      </c>
      <c r="I309" s="31" t="b">
        <v>0</v>
      </c>
      <c r="J309" s="31">
        <v>2</v>
      </c>
      <c r="K309" s="31">
        <v>482.05</v>
      </c>
      <c r="L309" s="32">
        <v>400073754</v>
      </c>
      <c r="M309" s="32">
        <v>1200000000472402</v>
      </c>
      <c r="N309" s="31" t="s">
        <v>342</v>
      </c>
      <c r="O309" s="31"/>
    </row>
    <row r="310" spans="1:15">
      <c r="A310" s="31"/>
      <c r="B310" s="31" t="s">
        <v>308</v>
      </c>
      <c r="C310" s="31" t="s">
        <v>309</v>
      </c>
      <c r="D310" s="31" t="s">
        <v>341</v>
      </c>
      <c r="E310" s="31" t="s">
        <v>249</v>
      </c>
      <c r="F310" s="31" t="s">
        <v>250</v>
      </c>
      <c r="G310" s="31" t="s">
        <v>250</v>
      </c>
      <c r="H310" s="31" t="s">
        <v>300</v>
      </c>
      <c r="I310" s="31" t="b">
        <v>0</v>
      </c>
      <c r="J310" s="31">
        <v>17</v>
      </c>
      <c r="K310" s="31">
        <v>482.05</v>
      </c>
      <c r="L310" s="32">
        <v>400073757</v>
      </c>
      <c r="M310" s="32">
        <v>1200000000472402</v>
      </c>
      <c r="N310" s="31" t="s">
        <v>342</v>
      </c>
      <c r="O310" s="31"/>
    </row>
    <row r="311" spans="1:15">
      <c r="A311" s="31"/>
      <c r="B311" s="31" t="s">
        <v>308</v>
      </c>
      <c r="C311" s="31" t="s">
        <v>309</v>
      </c>
      <c r="D311" s="31" t="s">
        <v>341</v>
      </c>
      <c r="E311" s="31" t="s">
        <v>249</v>
      </c>
      <c r="F311" s="31" t="s">
        <v>250</v>
      </c>
      <c r="G311" s="31" t="s">
        <v>250</v>
      </c>
      <c r="H311" s="31" t="s">
        <v>300</v>
      </c>
      <c r="I311" s="31" t="b">
        <v>0</v>
      </c>
      <c r="J311" s="31">
        <v>2</v>
      </c>
      <c r="K311" s="31">
        <v>482.05</v>
      </c>
      <c r="L311" s="32">
        <v>400073758</v>
      </c>
      <c r="M311" s="32">
        <v>1200000000472402</v>
      </c>
      <c r="N311" s="31" t="s">
        <v>342</v>
      </c>
      <c r="O311" s="31"/>
    </row>
    <row r="312" spans="1:15">
      <c r="A312" s="31"/>
      <c r="B312" s="31" t="s">
        <v>72</v>
      </c>
      <c r="C312" s="31" t="s">
        <v>476</v>
      </c>
      <c r="D312" s="31" t="s">
        <v>505</v>
      </c>
      <c r="E312" s="31" t="s">
        <v>80</v>
      </c>
      <c r="F312" s="31" t="s">
        <v>250</v>
      </c>
      <c r="G312" s="31" t="s">
        <v>306</v>
      </c>
      <c r="H312" s="31" t="s">
        <v>251</v>
      </c>
      <c r="I312" s="31" t="b">
        <v>0</v>
      </c>
      <c r="J312" s="31">
        <v>14</v>
      </c>
      <c r="K312" s="31">
        <v>846.65</v>
      </c>
      <c r="L312" s="32">
        <v>12948500</v>
      </c>
      <c r="M312" s="32">
        <v>1.7730484151741571E+18</v>
      </c>
      <c r="N312" s="31" t="s">
        <v>506</v>
      </c>
      <c r="O312" s="31"/>
    </row>
    <row r="313" spans="1:15">
      <c r="A313" s="31"/>
      <c r="B313" s="31" t="s">
        <v>72</v>
      </c>
      <c r="C313" s="31" t="s">
        <v>476</v>
      </c>
      <c r="D313" s="31" t="s">
        <v>505</v>
      </c>
      <c r="E313" s="31" t="s">
        <v>80</v>
      </c>
      <c r="F313" s="31" t="s">
        <v>250</v>
      </c>
      <c r="G313" s="31" t="s">
        <v>306</v>
      </c>
      <c r="H313" s="31" t="s">
        <v>251</v>
      </c>
      <c r="I313" s="31" t="b">
        <v>0</v>
      </c>
      <c r="J313" s="31">
        <v>14</v>
      </c>
      <c r="K313" s="31">
        <v>847.3</v>
      </c>
      <c r="L313" s="32">
        <v>12949700</v>
      </c>
      <c r="M313" s="32">
        <v>1.7730484151741571E+18</v>
      </c>
      <c r="N313" s="31" t="s">
        <v>506</v>
      </c>
      <c r="O313" s="31"/>
    </row>
    <row r="314" spans="1:15">
      <c r="A314" s="31"/>
      <c r="B314" s="31" t="s">
        <v>72</v>
      </c>
      <c r="C314" s="31" t="s">
        <v>476</v>
      </c>
      <c r="D314" s="31" t="s">
        <v>505</v>
      </c>
      <c r="E314" s="31" t="s">
        <v>80</v>
      </c>
      <c r="F314" s="31" t="s">
        <v>250</v>
      </c>
      <c r="G314" s="31" t="s">
        <v>306</v>
      </c>
      <c r="H314" s="31" t="s">
        <v>251</v>
      </c>
      <c r="I314" s="31" t="b">
        <v>0</v>
      </c>
      <c r="J314" s="31">
        <v>20</v>
      </c>
      <c r="K314" s="31">
        <v>847.15</v>
      </c>
      <c r="L314" s="32">
        <v>12949500</v>
      </c>
      <c r="M314" s="32">
        <v>1.7730484151741571E+18</v>
      </c>
      <c r="N314" s="31" t="s">
        <v>506</v>
      </c>
      <c r="O314" s="31"/>
    </row>
    <row r="315" spans="1:15">
      <c r="A315" s="31"/>
      <c r="B315" s="31" t="s">
        <v>72</v>
      </c>
      <c r="C315" s="31" t="s">
        <v>476</v>
      </c>
      <c r="D315" s="31" t="s">
        <v>505</v>
      </c>
      <c r="E315" s="31" t="s">
        <v>80</v>
      </c>
      <c r="F315" s="31" t="s">
        <v>250</v>
      </c>
      <c r="G315" s="31" t="s">
        <v>306</v>
      </c>
      <c r="H315" s="31" t="s">
        <v>251</v>
      </c>
      <c r="I315" s="31" t="b">
        <v>0</v>
      </c>
      <c r="J315" s="31">
        <v>27</v>
      </c>
      <c r="K315" s="31">
        <v>846.75</v>
      </c>
      <c r="L315" s="32">
        <v>12948800</v>
      </c>
      <c r="M315" s="32">
        <v>1.7730484151741571E+18</v>
      </c>
      <c r="N315" s="31" t="s">
        <v>506</v>
      </c>
      <c r="O315" s="31"/>
    </row>
    <row r="316" spans="1:15">
      <c r="A316" s="31"/>
      <c r="B316" s="31" t="s">
        <v>72</v>
      </c>
      <c r="C316" s="31" t="s">
        <v>476</v>
      </c>
      <c r="D316" s="31" t="s">
        <v>505</v>
      </c>
      <c r="E316" s="31" t="s">
        <v>80</v>
      </c>
      <c r="F316" s="31" t="s">
        <v>250</v>
      </c>
      <c r="G316" s="31" t="s">
        <v>306</v>
      </c>
      <c r="H316" s="31" t="s">
        <v>251</v>
      </c>
      <c r="I316" s="31" t="b">
        <v>0</v>
      </c>
      <c r="J316" s="31">
        <v>28</v>
      </c>
      <c r="K316" s="31">
        <v>846.9</v>
      </c>
      <c r="L316" s="32">
        <v>12949300</v>
      </c>
      <c r="M316" s="32">
        <v>1.7730484151741571E+18</v>
      </c>
      <c r="N316" s="31" t="s">
        <v>506</v>
      </c>
      <c r="O316" s="31"/>
    </row>
    <row r="317" spans="1:15">
      <c r="A317" s="31"/>
      <c r="B317" s="31" t="s">
        <v>72</v>
      </c>
      <c r="C317" s="31" t="s">
        <v>476</v>
      </c>
      <c r="D317" s="31" t="s">
        <v>505</v>
      </c>
      <c r="E317" s="31" t="s">
        <v>80</v>
      </c>
      <c r="F317" s="31" t="s">
        <v>250</v>
      </c>
      <c r="G317" s="31" t="s">
        <v>306</v>
      </c>
      <c r="H317" s="31" t="s">
        <v>251</v>
      </c>
      <c r="I317" s="31" t="b">
        <v>0</v>
      </c>
      <c r="J317" s="31">
        <v>6</v>
      </c>
      <c r="K317" s="31">
        <v>846.85</v>
      </c>
      <c r="L317" s="32">
        <v>12949000</v>
      </c>
      <c r="M317" s="32">
        <v>1.7730484151741571E+18</v>
      </c>
      <c r="N317" s="31" t="s">
        <v>506</v>
      </c>
      <c r="O317" s="31"/>
    </row>
    <row r="318" spans="1:15">
      <c r="A318" s="31"/>
      <c r="B318" s="31" t="s">
        <v>72</v>
      </c>
      <c r="C318" s="31" t="s">
        <v>476</v>
      </c>
      <c r="D318" s="31" t="s">
        <v>505</v>
      </c>
      <c r="E318" s="31" t="s">
        <v>80</v>
      </c>
      <c r="F318" s="31" t="s">
        <v>250</v>
      </c>
      <c r="G318" s="31" t="s">
        <v>306</v>
      </c>
      <c r="H318" s="31" t="s">
        <v>251</v>
      </c>
      <c r="I318" s="31" t="b">
        <v>0</v>
      </c>
      <c r="J318" s="31">
        <v>9</v>
      </c>
      <c r="K318" s="31">
        <v>847.35</v>
      </c>
      <c r="L318" s="32">
        <v>12949900</v>
      </c>
      <c r="M318" s="32">
        <v>1.7730484151741571E+18</v>
      </c>
      <c r="N318" s="31" t="s">
        <v>506</v>
      </c>
      <c r="O318" s="31"/>
    </row>
    <row r="319" spans="1:15">
      <c r="A319" s="31"/>
      <c r="B319" s="31" t="s">
        <v>507</v>
      </c>
      <c r="C319" s="31" t="s">
        <v>508</v>
      </c>
      <c r="D319" s="31" t="s">
        <v>505</v>
      </c>
      <c r="E319" s="31" t="s">
        <v>249</v>
      </c>
      <c r="F319" s="31" t="s">
        <v>250</v>
      </c>
      <c r="G319" s="31" t="s">
        <v>250</v>
      </c>
      <c r="H319" s="31" t="s">
        <v>251</v>
      </c>
      <c r="I319" s="31" t="b">
        <v>0</v>
      </c>
      <c r="J319" s="31">
        <v>92</v>
      </c>
      <c r="K319" s="31">
        <v>272.58999999999997</v>
      </c>
      <c r="L319" s="32">
        <v>408679913</v>
      </c>
      <c r="M319" s="32">
        <v>1200000090521780</v>
      </c>
      <c r="N319" s="31" t="s">
        <v>509</v>
      </c>
      <c r="O319" s="31"/>
    </row>
    <row r="320" spans="1:15">
      <c r="A320" s="31"/>
      <c r="B320" s="31" t="s">
        <v>73</v>
      </c>
      <c r="C320" s="31" t="s">
        <v>247</v>
      </c>
      <c r="D320" s="31" t="s">
        <v>505</v>
      </c>
      <c r="E320" s="31" t="s">
        <v>249</v>
      </c>
      <c r="F320" s="31" t="s">
        <v>250</v>
      </c>
      <c r="G320" s="31" t="s">
        <v>250</v>
      </c>
      <c r="H320" s="31" t="s">
        <v>251</v>
      </c>
      <c r="I320" s="31" t="b">
        <v>0</v>
      </c>
      <c r="J320" s="31">
        <v>12</v>
      </c>
      <c r="K320" s="31">
        <v>8230.5</v>
      </c>
      <c r="L320" s="32">
        <v>409007482</v>
      </c>
      <c r="M320" s="32">
        <v>1200000092616711</v>
      </c>
      <c r="N320" s="31" t="s">
        <v>510</v>
      </c>
      <c r="O320" s="31"/>
    </row>
    <row r="321" spans="1:15">
      <c r="A321" s="31"/>
      <c r="B321" s="31" t="s">
        <v>130</v>
      </c>
      <c r="C321" s="31" t="s">
        <v>511</v>
      </c>
      <c r="D321" s="31" t="s">
        <v>505</v>
      </c>
      <c r="E321" s="31" t="s">
        <v>249</v>
      </c>
      <c r="F321" s="31" t="s">
        <v>250</v>
      </c>
      <c r="G321" s="31" t="s">
        <v>250</v>
      </c>
      <c r="H321" s="31" t="s">
        <v>251</v>
      </c>
      <c r="I321" s="31" t="b">
        <v>0</v>
      </c>
      <c r="J321" s="31">
        <v>20</v>
      </c>
      <c r="K321" s="31">
        <v>1033.0999999999999</v>
      </c>
      <c r="L321" s="32">
        <v>8272775</v>
      </c>
      <c r="M321" s="32">
        <v>1000000076102617</v>
      </c>
      <c r="N321" s="31" t="s">
        <v>512</v>
      </c>
      <c r="O321" s="31"/>
    </row>
    <row r="322" spans="1:15">
      <c r="A322" s="31"/>
      <c r="B322" s="31" t="s">
        <v>130</v>
      </c>
      <c r="C322" s="31" t="s">
        <v>511</v>
      </c>
      <c r="D322" s="31" t="s">
        <v>505</v>
      </c>
      <c r="E322" s="31" t="s">
        <v>249</v>
      </c>
      <c r="F322" s="31" t="s">
        <v>250</v>
      </c>
      <c r="G322" s="31" t="s">
        <v>250</v>
      </c>
      <c r="H322" s="31" t="s">
        <v>251</v>
      </c>
      <c r="I322" s="31" t="b">
        <v>0</v>
      </c>
      <c r="J322" s="31">
        <v>2</v>
      </c>
      <c r="K322" s="31">
        <v>1033.0999999999999</v>
      </c>
      <c r="L322" s="32">
        <v>8272774</v>
      </c>
      <c r="M322" s="32">
        <v>1000000076102617</v>
      </c>
      <c r="N322" s="31" t="s">
        <v>512</v>
      </c>
      <c r="O322" s="31"/>
    </row>
    <row r="323" spans="1:15">
      <c r="A323" s="31"/>
      <c r="B323" s="31" t="s">
        <v>130</v>
      </c>
      <c r="C323" s="31" t="s">
        <v>511</v>
      </c>
      <c r="D323" s="31" t="s">
        <v>505</v>
      </c>
      <c r="E323" s="31" t="s">
        <v>249</v>
      </c>
      <c r="F323" s="31" t="s">
        <v>250</v>
      </c>
      <c r="G323" s="31" t="s">
        <v>250</v>
      </c>
      <c r="H323" s="31" t="s">
        <v>251</v>
      </c>
      <c r="I323" s="31" t="b">
        <v>0</v>
      </c>
      <c r="J323" s="31">
        <v>27</v>
      </c>
      <c r="K323" s="31">
        <v>1033.2</v>
      </c>
      <c r="L323" s="32">
        <v>8272776</v>
      </c>
      <c r="M323" s="32">
        <v>1000000076102617</v>
      </c>
      <c r="N323" s="31" t="s">
        <v>512</v>
      </c>
      <c r="O323" s="31"/>
    </row>
    <row r="324" spans="1:15">
      <c r="A324" s="31"/>
      <c r="B324" s="31" t="s">
        <v>79</v>
      </c>
      <c r="C324" s="31" t="s">
        <v>513</v>
      </c>
      <c r="D324" s="31" t="s">
        <v>505</v>
      </c>
      <c r="E324" s="31" t="s">
        <v>249</v>
      </c>
      <c r="F324" s="31" t="s">
        <v>250</v>
      </c>
      <c r="G324" s="31" t="s">
        <v>250</v>
      </c>
      <c r="H324" s="31" t="s">
        <v>251</v>
      </c>
      <c r="I324" s="31" t="b">
        <v>0</v>
      </c>
      <c r="J324" s="31">
        <v>1</v>
      </c>
      <c r="K324" s="31">
        <v>3775.7</v>
      </c>
      <c r="L324" s="32">
        <v>211697566</v>
      </c>
      <c r="M324" s="32">
        <v>1100000104870322</v>
      </c>
      <c r="N324" s="31" t="s">
        <v>514</v>
      </c>
      <c r="O324" s="31"/>
    </row>
    <row r="325" spans="1:15">
      <c r="A325" s="31"/>
      <c r="B325" s="31" t="s">
        <v>79</v>
      </c>
      <c r="C325" s="31" t="s">
        <v>513</v>
      </c>
      <c r="D325" s="31" t="s">
        <v>505</v>
      </c>
      <c r="E325" s="31" t="s">
        <v>249</v>
      </c>
      <c r="F325" s="31" t="s">
        <v>250</v>
      </c>
      <c r="G325" s="31" t="s">
        <v>250</v>
      </c>
      <c r="H325" s="31" t="s">
        <v>251</v>
      </c>
      <c r="I325" s="31" t="b">
        <v>0</v>
      </c>
      <c r="J325" s="31">
        <v>3</v>
      </c>
      <c r="K325" s="31">
        <v>3775.7</v>
      </c>
      <c r="L325" s="32">
        <v>211697563</v>
      </c>
      <c r="M325" s="32">
        <v>1100000104870322</v>
      </c>
      <c r="N325" s="31" t="s">
        <v>514</v>
      </c>
      <c r="O325" s="31"/>
    </row>
    <row r="326" spans="1:15">
      <c r="A326" s="31"/>
      <c r="B326" s="31" t="s">
        <v>79</v>
      </c>
      <c r="C326" s="31" t="s">
        <v>513</v>
      </c>
      <c r="D326" s="31" t="s">
        <v>505</v>
      </c>
      <c r="E326" s="31" t="s">
        <v>249</v>
      </c>
      <c r="F326" s="31" t="s">
        <v>250</v>
      </c>
      <c r="G326" s="31" t="s">
        <v>250</v>
      </c>
      <c r="H326" s="31" t="s">
        <v>251</v>
      </c>
      <c r="I326" s="31" t="b">
        <v>0</v>
      </c>
      <c r="J326" s="31">
        <v>4</v>
      </c>
      <c r="K326" s="31">
        <v>3775.7</v>
      </c>
      <c r="L326" s="32">
        <v>211697565</v>
      </c>
      <c r="M326" s="32">
        <v>1100000104870322</v>
      </c>
      <c r="N326" s="31" t="s">
        <v>514</v>
      </c>
      <c r="O326" s="31"/>
    </row>
    <row r="327" spans="1:15">
      <c r="A327" s="31"/>
      <c r="B327" s="31" t="s">
        <v>79</v>
      </c>
      <c r="C327" s="31" t="s">
        <v>513</v>
      </c>
      <c r="D327" s="31" t="s">
        <v>505</v>
      </c>
      <c r="E327" s="31" t="s">
        <v>249</v>
      </c>
      <c r="F327" s="31" t="s">
        <v>250</v>
      </c>
      <c r="G327" s="31" t="s">
        <v>250</v>
      </c>
      <c r="H327" s="31" t="s">
        <v>251</v>
      </c>
      <c r="I327" s="31" t="b">
        <v>0</v>
      </c>
      <c r="J327" s="31">
        <v>5</v>
      </c>
      <c r="K327" s="31">
        <v>3775.7</v>
      </c>
      <c r="L327" s="32">
        <v>211697564</v>
      </c>
      <c r="M327" s="32">
        <v>1100000104870322</v>
      </c>
      <c r="N327" s="31" t="s">
        <v>514</v>
      </c>
      <c r="O327" s="31"/>
    </row>
    <row r="328" spans="1:15">
      <c r="A328" s="31"/>
      <c r="B328" s="31" t="s">
        <v>279</v>
      </c>
      <c r="C328" s="31" t="s">
        <v>280</v>
      </c>
      <c r="D328" s="31" t="s">
        <v>299</v>
      </c>
      <c r="E328" s="31" t="s">
        <v>249</v>
      </c>
      <c r="F328" s="31" t="s">
        <v>250</v>
      </c>
      <c r="G328" s="31" t="s">
        <v>250</v>
      </c>
      <c r="H328" s="31" t="s">
        <v>300</v>
      </c>
      <c r="I328" s="31" t="b">
        <v>0</v>
      </c>
      <c r="J328" s="31">
        <v>4</v>
      </c>
      <c r="K328" s="31">
        <v>1477.1</v>
      </c>
      <c r="L328" s="32">
        <v>402016993</v>
      </c>
      <c r="M328" s="32">
        <v>1200000018561473</v>
      </c>
      <c r="N328" s="31" t="s">
        <v>303</v>
      </c>
      <c r="O328" s="31"/>
    </row>
    <row r="329" spans="1:15">
      <c r="A329" s="31"/>
      <c r="B329" s="31" t="s">
        <v>279</v>
      </c>
      <c r="C329" s="31" t="s">
        <v>280</v>
      </c>
      <c r="D329" s="31" t="s">
        <v>299</v>
      </c>
      <c r="E329" s="31" t="s">
        <v>249</v>
      </c>
      <c r="F329" s="31" t="s">
        <v>250</v>
      </c>
      <c r="G329" s="31" t="s">
        <v>250</v>
      </c>
      <c r="H329" s="31" t="s">
        <v>300</v>
      </c>
      <c r="I329" s="31" t="b">
        <v>0</v>
      </c>
      <c r="J329" s="31">
        <v>4</v>
      </c>
      <c r="K329" s="31">
        <v>1477.1</v>
      </c>
      <c r="L329" s="32">
        <v>402016995</v>
      </c>
      <c r="M329" s="32">
        <v>1200000018561473</v>
      </c>
      <c r="N329" s="31" t="s">
        <v>303</v>
      </c>
      <c r="O329" s="31"/>
    </row>
    <row r="330" spans="1:15">
      <c r="A330" s="31"/>
      <c r="B330" s="31" t="s">
        <v>437</v>
      </c>
      <c r="C330" s="31" t="s">
        <v>438</v>
      </c>
      <c r="D330" s="31" t="s">
        <v>515</v>
      </c>
      <c r="E330" s="31" t="s">
        <v>80</v>
      </c>
      <c r="F330" s="31" t="s">
        <v>250</v>
      </c>
      <c r="G330" s="31" t="s">
        <v>306</v>
      </c>
      <c r="H330" s="31" t="s">
        <v>300</v>
      </c>
      <c r="I330" s="31" t="b">
        <v>0</v>
      </c>
      <c r="J330" s="31">
        <v>368</v>
      </c>
      <c r="K330" s="31">
        <v>152.80000000000001</v>
      </c>
      <c r="L330" s="32">
        <v>1999700</v>
      </c>
      <c r="M330" s="32">
        <v>1.7738046000148769E+18</v>
      </c>
      <c r="N330" s="31" t="s">
        <v>516</v>
      </c>
      <c r="O330" s="31"/>
    </row>
    <row r="331" spans="1:15">
      <c r="A331" s="31"/>
      <c r="B331" s="31" t="s">
        <v>437</v>
      </c>
      <c r="C331" s="31" t="s">
        <v>438</v>
      </c>
      <c r="D331" s="31" t="s">
        <v>515</v>
      </c>
      <c r="E331" s="31" t="s">
        <v>80</v>
      </c>
      <c r="F331" s="31" t="s">
        <v>250</v>
      </c>
      <c r="G331" s="31" t="s">
        <v>306</v>
      </c>
      <c r="H331" s="31" t="s">
        <v>300</v>
      </c>
      <c r="I331" s="31" t="b">
        <v>0</v>
      </c>
      <c r="J331" s="31">
        <v>97</v>
      </c>
      <c r="K331" s="31">
        <v>152.85</v>
      </c>
      <c r="L331" s="32">
        <v>1999000</v>
      </c>
      <c r="M331" s="32">
        <v>1.7738046000148769E+18</v>
      </c>
      <c r="N331" s="31" t="s">
        <v>516</v>
      </c>
      <c r="O331" s="31"/>
    </row>
    <row r="332" spans="1:15">
      <c r="A332" s="31"/>
      <c r="B332" s="31" t="s">
        <v>72</v>
      </c>
      <c r="C332" s="31" t="s">
        <v>476</v>
      </c>
      <c r="D332" s="31" t="s">
        <v>517</v>
      </c>
      <c r="E332" s="31" t="s">
        <v>249</v>
      </c>
      <c r="F332" s="31" t="s">
        <v>250</v>
      </c>
      <c r="G332" s="31" t="s">
        <v>250</v>
      </c>
      <c r="H332" s="31" t="s">
        <v>251</v>
      </c>
      <c r="I332" s="31" t="b">
        <v>0</v>
      </c>
      <c r="J332" s="31">
        <v>12</v>
      </c>
      <c r="K332" s="31">
        <v>862.95</v>
      </c>
      <c r="L332" s="32">
        <v>606850025</v>
      </c>
      <c r="M332" s="32">
        <v>1300000087261603</v>
      </c>
      <c r="N332" s="31" t="s">
        <v>518</v>
      </c>
      <c r="O332" s="31"/>
    </row>
    <row r="333" spans="1:15">
      <c r="A333" s="31"/>
      <c r="B333" s="31" t="s">
        <v>72</v>
      </c>
      <c r="C333" s="31" t="s">
        <v>476</v>
      </c>
      <c r="D333" s="31" t="s">
        <v>517</v>
      </c>
      <c r="E333" s="31" t="s">
        <v>249</v>
      </c>
      <c r="F333" s="31" t="s">
        <v>250</v>
      </c>
      <c r="G333" s="31" t="s">
        <v>250</v>
      </c>
      <c r="H333" s="31" t="s">
        <v>251</v>
      </c>
      <c r="I333" s="31" t="b">
        <v>0</v>
      </c>
      <c r="J333" s="31">
        <v>2</v>
      </c>
      <c r="K333" s="31">
        <v>862.95</v>
      </c>
      <c r="L333" s="32">
        <v>606850024</v>
      </c>
      <c r="M333" s="32">
        <v>1300000087261603</v>
      </c>
      <c r="N333" s="31" t="s">
        <v>518</v>
      </c>
      <c r="O333" s="31"/>
    </row>
    <row r="334" spans="1:15">
      <c r="A334" s="31"/>
      <c r="B334" s="31" t="s">
        <v>72</v>
      </c>
      <c r="C334" s="31" t="s">
        <v>476</v>
      </c>
      <c r="D334" s="31" t="s">
        <v>517</v>
      </c>
      <c r="E334" s="31" t="s">
        <v>249</v>
      </c>
      <c r="F334" s="31" t="s">
        <v>250</v>
      </c>
      <c r="G334" s="31" t="s">
        <v>250</v>
      </c>
      <c r="H334" s="31" t="s">
        <v>251</v>
      </c>
      <c r="I334" s="31" t="b">
        <v>0</v>
      </c>
      <c r="J334" s="31">
        <v>26</v>
      </c>
      <c r="K334" s="31">
        <v>862.95</v>
      </c>
      <c r="L334" s="32">
        <v>606850023</v>
      </c>
      <c r="M334" s="32">
        <v>1300000087261603</v>
      </c>
      <c r="N334" s="31" t="s">
        <v>518</v>
      </c>
      <c r="O334" s="31"/>
    </row>
    <row r="335" spans="1:15">
      <c r="A335" s="31"/>
      <c r="B335" s="31" t="s">
        <v>72</v>
      </c>
      <c r="C335" s="31" t="s">
        <v>476</v>
      </c>
      <c r="D335" s="31" t="s">
        <v>517</v>
      </c>
      <c r="E335" s="31" t="s">
        <v>249</v>
      </c>
      <c r="F335" s="31" t="s">
        <v>250</v>
      </c>
      <c r="G335" s="31" t="s">
        <v>250</v>
      </c>
      <c r="H335" s="31" t="s">
        <v>251</v>
      </c>
      <c r="I335" s="31" t="b">
        <v>0</v>
      </c>
      <c r="J335" s="31">
        <v>9</v>
      </c>
      <c r="K335" s="31">
        <v>862.95</v>
      </c>
      <c r="L335" s="32">
        <v>606850022</v>
      </c>
      <c r="M335" s="32">
        <v>1300000087261603</v>
      </c>
      <c r="N335" s="31" t="s">
        <v>518</v>
      </c>
      <c r="O335" s="31"/>
    </row>
    <row r="336" spans="1:15">
      <c r="A336" s="31"/>
      <c r="B336" s="31" t="s">
        <v>72</v>
      </c>
      <c r="C336" s="31" t="s">
        <v>476</v>
      </c>
      <c r="D336" s="31" t="s">
        <v>517</v>
      </c>
      <c r="E336" s="31" t="s">
        <v>249</v>
      </c>
      <c r="F336" s="31" t="s">
        <v>250</v>
      </c>
      <c r="G336" s="31" t="s">
        <v>250</v>
      </c>
      <c r="H336" s="31" t="s">
        <v>251</v>
      </c>
      <c r="I336" s="31" t="b">
        <v>0</v>
      </c>
      <c r="J336" s="31">
        <v>9</v>
      </c>
      <c r="K336" s="31">
        <v>862.95</v>
      </c>
      <c r="L336" s="32">
        <v>606850026</v>
      </c>
      <c r="M336" s="32">
        <v>1300000087261603</v>
      </c>
      <c r="N336" s="31" t="s">
        <v>518</v>
      </c>
      <c r="O336" s="31"/>
    </row>
    <row r="337" spans="1:15">
      <c r="A337" s="31"/>
      <c r="B337" s="31" t="s">
        <v>84</v>
      </c>
      <c r="C337" s="31" t="s">
        <v>256</v>
      </c>
      <c r="D337" s="31" t="s">
        <v>517</v>
      </c>
      <c r="E337" s="31" t="s">
        <v>249</v>
      </c>
      <c r="F337" s="31" t="s">
        <v>250</v>
      </c>
      <c r="G337" s="31" t="s">
        <v>250</v>
      </c>
      <c r="H337" s="31" t="s">
        <v>300</v>
      </c>
      <c r="I337" s="31" t="b">
        <v>0</v>
      </c>
      <c r="J337" s="31">
        <v>3</v>
      </c>
      <c r="K337" s="31">
        <v>661.7</v>
      </c>
      <c r="L337" s="32">
        <v>209509049</v>
      </c>
      <c r="M337" s="32">
        <v>1100000108860545</v>
      </c>
      <c r="N337" s="31" t="s">
        <v>519</v>
      </c>
      <c r="O337" s="31"/>
    </row>
    <row r="338" spans="1:15">
      <c r="A338" s="31"/>
      <c r="B338" s="31" t="s">
        <v>84</v>
      </c>
      <c r="C338" s="31" t="s">
        <v>256</v>
      </c>
      <c r="D338" s="31" t="s">
        <v>517</v>
      </c>
      <c r="E338" s="31" t="s">
        <v>249</v>
      </c>
      <c r="F338" s="31" t="s">
        <v>250</v>
      </c>
      <c r="G338" s="31" t="s">
        <v>250</v>
      </c>
      <c r="H338" s="31" t="s">
        <v>300</v>
      </c>
      <c r="I338" s="31" t="b">
        <v>0</v>
      </c>
      <c r="J338" s="31">
        <v>10</v>
      </c>
      <c r="K338" s="31">
        <v>661.7</v>
      </c>
      <c r="L338" s="32">
        <v>209509052</v>
      </c>
      <c r="M338" s="32">
        <v>1100000108860545</v>
      </c>
      <c r="N338" s="31" t="s">
        <v>519</v>
      </c>
      <c r="O338" s="31"/>
    </row>
    <row r="339" spans="1:15">
      <c r="A339" s="31"/>
      <c r="B339" s="31" t="s">
        <v>84</v>
      </c>
      <c r="C339" s="31" t="s">
        <v>256</v>
      </c>
      <c r="D339" s="31" t="s">
        <v>517</v>
      </c>
      <c r="E339" s="31" t="s">
        <v>249</v>
      </c>
      <c r="F339" s="31" t="s">
        <v>250</v>
      </c>
      <c r="G339" s="31" t="s">
        <v>250</v>
      </c>
      <c r="H339" s="31" t="s">
        <v>300</v>
      </c>
      <c r="I339" s="31" t="b">
        <v>0</v>
      </c>
      <c r="J339" s="31">
        <v>11</v>
      </c>
      <c r="K339" s="31">
        <v>662</v>
      </c>
      <c r="L339" s="32">
        <v>209509041</v>
      </c>
      <c r="M339" s="32">
        <v>1100000108860545</v>
      </c>
      <c r="N339" s="31" t="s">
        <v>519</v>
      </c>
      <c r="O339" s="31"/>
    </row>
    <row r="340" spans="1:15">
      <c r="A340" s="31"/>
      <c r="B340" s="31" t="s">
        <v>84</v>
      </c>
      <c r="C340" s="31" t="s">
        <v>256</v>
      </c>
      <c r="D340" s="31" t="s">
        <v>517</v>
      </c>
      <c r="E340" s="31" t="s">
        <v>249</v>
      </c>
      <c r="F340" s="31" t="s">
        <v>250</v>
      </c>
      <c r="G340" s="31" t="s">
        <v>250</v>
      </c>
      <c r="H340" s="31" t="s">
        <v>300</v>
      </c>
      <c r="I340" s="31" t="b">
        <v>0</v>
      </c>
      <c r="J340" s="31">
        <v>1</v>
      </c>
      <c r="K340" s="31">
        <v>661.7</v>
      </c>
      <c r="L340" s="32">
        <v>209509053</v>
      </c>
      <c r="M340" s="32">
        <v>1100000108860545</v>
      </c>
      <c r="N340" s="31" t="s">
        <v>519</v>
      </c>
      <c r="O340" s="31"/>
    </row>
    <row r="341" spans="1:15">
      <c r="A341" s="31"/>
      <c r="B341" s="31" t="s">
        <v>84</v>
      </c>
      <c r="C341" s="31" t="s">
        <v>256</v>
      </c>
      <c r="D341" s="31" t="s">
        <v>517</v>
      </c>
      <c r="E341" s="31" t="s">
        <v>249</v>
      </c>
      <c r="F341" s="31" t="s">
        <v>250</v>
      </c>
      <c r="G341" s="31" t="s">
        <v>250</v>
      </c>
      <c r="H341" s="31" t="s">
        <v>300</v>
      </c>
      <c r="I341" s="31" t="b">
        <v>0</v>
      </c>
      <c r="J341" s="31">
        <v>1</v>
      </c>
      <c r="K341" s="31">
        <v>662.1</v>
      </c>
      <c r="L341" s="32">
        <v>209509040</v>
      </c>
      <c r="M341" s="32">
        <v>1100000108860545</v>
      </c>
      <c r="N341" s="31" t="s">
        <v>519</v>
      </c>
      <c r="O341" s="31"/>
    </row>
    <row r="342" spans="1:15">
      <c r="A342" s="31"/>
      <c r="B342" s="31" t="s">
        <v>84</v>
      </c>
      <c r="C342" s="31" t="s">
        <v>256</v>
      </c>
      <c r="D342" s="31" t="s">
        <v>517</v>
      </c>
      <c r="E342" s="31" t="s">
        <v>249</v>
      </c>
      <c r="F342" s="31" t="s">
        <v>250</v>
      </c>
      <c r="G342" s="31" t="s">
        <v>250</v>
      </c>
      <c r="H342" s="31" t="s">
        <v>300</v>
      </c>
      <c r="I342" s="31" t="b">
        <v>0</v>
      </c>
      <c r="J342" s="31">
        <v>21</v>
      </c>
      <c r="K342" s="31">
        <v>661.75</v>
      </c>
      <c r="L342" s="32">
        <v>209509047</v>
      </c>
      <c r="M342" s="32">
        <v>1100000108860545</v>
      </c>
      <c r="N342" s="31" t="s">
        <v>519</v>
      </c>
      <c r="O342" s="31"/>
    </row>
    <row r="343" spans="1:15">
      <c r="A343" s="31"/>
      <c r="B343" s="31" t="s">
        <v>84</v>
      </c>
      <c r="C343" s="31" t="s">
        <v>256</v>
      </c>
      <c r="D343" s="31" t="s">
        <v>517</v>
      </c>
      <c r="E343" s="31" t="s">
        <v>249</v>
      </c>
      <c r="F343" s="31" t="s">
        <v>250</v>
      </c>
      <c r="G343" s="31" t="s">
        <v>250</v>
      </c>
      <c r="H343" s="31" t="s">
        <v>300</v>
      </c>
      <c r="I343" s="31" t="b">
        <v>0</v>
      </c>
      <c r="J343" s="31">
        <v>22</v>
      </c>
      <c r="K343" s="31">
        <v>661.8</v>
      </c>
      <c r="L343" s="32">
        <v>209509043</v>
      </c>
      <c r="M343" s="32">
        <v>1100000108860545</v>
      </c>
      <c r="N343" s="31" t="s">
        <v>519</v>
      </c>
      <c r="O343" s="31"/>
    </row>
    <row r="344" spans="1:15">
      <c r="A344" s="31"/>
      <c r="B344" s="31" t="s">
        <v>84</v>
      </c>
      <c r="C344" s="31" t="s">
        <v>256</v>
      </c>
      <c r="D344" s="31" t="s">
        <v>517</v>
      </c>
      <c r="E344" s="31" t="s">
        <v>249</v>
      </c>
      <c r="F344" s="31" t="s">
        <v>250</v>
      </c>
      <c r="G344" s="31" t="s">
        <v>250</v>
      </c>
      <c r="H344" s="31" t="s">
        <v>300</v>
      </c>
      <c r="I344" s="31" t="b">
        <v>0</v>
      </c>
      <c r="J344" s="31">
        <v>10</v>
      </c>
      <c r="K344" s="31">
        <v>661.7</v>
      </c>
      <c r="L344" s="32">
        <v>209509050</v>
      </c>
      <c r="M344" s="32">
        <v>1100000108860545</v>
      </c>
      <c r="N344" s="31" t="s">
        <v>519</v>
      </c>
      <c r="O344" s="31"/>
    </row>
    <row r="345" spans="1:15">
      <c r="A345" s="31"/>
      <c r="B345" s="31" t="s">
        <v>84</v>
      </c>
      <c r="C345" s="31" t="s">
        <v>256</v>
      </c>
      <c r="D345" s="31" t="s">
        <v>517</v>
      </c>
      <c r="E345" s="31" t="s">
        <v>249</v>
      </c>
      <c r="F345" s="31" t="s">
        <v>250</v>
      </c>
      <c r="G345" s="31" t="s">
        <v>250</v>
      </c>
      <c r="H345" s="31" t="s">
        <v>300</v>
      </c>
      <c r="I345" s="31" t="b">
        <v>0</v>
      </c>
      <c r="J345" s="31">
        <v>3</v>
      </c>
      <c r="K345" s="31">
        <v>661.7</v>
      </c>
      <c r="L345" s="32">
        <v>209509051</v>
      </c>
      <c r="M345" s="32">
        <v>1100000108860545</v>
      </c>
      <c r="N345" s="31" t="s">
        <v>519</v>
      </c>
      <c r="O345" s="31"/>
    </row>
    <row r="346" spans="1:15">
      <c r="A346" s="31"/>
      <c r="B346" s="31" t="s">
        <v>84</v>
      </c>
      <c r="C346" s="31" t="s">
        <v>256</v>
      </c>
      <c r="D346" s="31" t="s">
        <v>517</v>
      </c>
      <c r="E346" s="31" t="s">
        <v>249</v>
      </c>
      <c r="F346" s="31" t="s">
        <v>250</v>
      </c>
      <c r="G346" s="31" t="s">
        <v>250</v>
      </c>
      <c r="H346" s="31" t="s">
        <v>300</v>
      </c>
      <c r="I346" s="31" t="b">
        <v>0</v>
      </c>
      <c r="J346" s="31">
        <v>3</v>
      </c>
      <c r="K346" s="31">
        <v>661.75</v>
      </c>
      <c r="L346" s="32">
        <v>209509045</v>
      </c>
      <c r="M346" s="32">
        <v>1100000108860545</v>
      </c>
      <c r="N346" s="31" t="s">
        <v>519</v>
      </c>
      <c r="O346" s="31"/>
    </row>
    <row r="347" spans="1:15">
      <c r="A347" s="31"/>
      <c r="B347" s="31" t="s">
        <v>84</v>
      </c>
      <c r="C347" s="31" t="s">
        <v>256</v>
      </c>
      <c r="D347" s="31" t="s">
        <v>517</v>
      </c>
      <c r="E347" s="31" t="s">
        <v>249</v>
      </c>
      <c r="F347" s="31" t="s">
        <v>250</v>
      </c>
      <c r="G347" s="31" t="s">
        <v>250</v>
      </c>
      <c r="H347" s="31" t="s">
        <v>300</v>
      </c>
      <c r="I347" s="31" t="b">
        <v>0</v>
      </c>
      <c r="J347" s="31">
        <v>60</v>
      </c>
      <c r="K347" s="31">
        <v>661.75</v>
      </c>
      <c r="L347" s="32">
        <v>209509046</v>
      </c>
      <c r="M347" s="32">
        <v>1100000108860545</v>
      </c>
      <c r="N347" s="31" t="s">
        <v>519</v>
      </c>
      <c r="O347" s="31"/>
    </row>
    <row r="348" spans="1:15">
      <c r="A348" s="31"/>
      <c r="B348" s="31" t="s">
        <v>84</v>
      </c>
      <c r="C348" s="31" t="s">
        <v>256</v>
      </c>
      <c r="D348" s="31" t="s">
        <v>517</v>
      </c>
      <c r="E348" s="31" t="s">
        <v>249</v>
      </c>
      <c r="F348" s="31" t="s">
        <v>250</v>
      </c>
      <c r="G348" s="31" t="s">
        <v>250</v>
      </c>
      <c r="H348" s="31" t="s">
        <v>300</v>
      </c>
      <c r="I348" s="31" t="b">
        <v>0</v>
      </c>
      <c r="J348" s="31">
        <v>64</v>
      </c>
      <c r="K348" s="31">
        <v>661.8</v>
      </c>
      <c r="L348" s="32">
        <v>209509044</v>
      </c>
      <c r="M348" s="32">
        <v>1100000108860545</v>
      </c>
      <c r="N348" s="31" t="s">
        <v>519</v>
      </c>
      <c r="O348" s="31"/>
    </row>
    <row r="349" spans="1:15">
      <c r="A349" s="31"/>
      <c r="B349" s="31" t="s">
        <v>84</v>
      </c>
      <c r="C349" s="31" t="s">
        <v>256</v>
      </c>
      <c r="D349" s="31" t="s">
        <v>517</v>
      </c>
      <c r="E349" s="31" t="s">
        <v>249</v>
      </c>
      <c r="F349" s="31" t="s">
        <v>250</v>
      </c>
      <c r="G349" s="31" t="s">
        <v>250</v>
      </c>
      <c r="H349" s="31" t="s">
        <v>300</v>
      </c>
      <c r="I349" s="31" t="b">
        <v>0</v>
      </c>
      <c r="J349" s="31">
        <v>8</v>
      </c>
      <c r="K349" s="31">
        <v>661.75</v>
      </c>
      <c r="L349" s="32">
        <v>209509048</v>
      </c>
      <c r="M349" s="32">
        <v>1100000108860545</v>
      </c>
      <c r="N349" s="31" t="s">
        <v>519</v>
      </c>
      <c r="O349" s="31"/>
    </row>
    <row r="350" spans="1:15">
      <c r="A350" s="31"/>
      <c r="B350" s="31" t="s">
        <v>84</v>
      </c>
      <c r="C350" s="31" t="s">
        <v>256</v>
      </c>
      <c r="D350" s="31" t="s">
        <v>517</v>
      </c>
      <c r="E350" s="31" t="s">
        <v>249</v>
      </c>
      <c r="F350" s="31" t="s">
        <v>250</v>
      </c>
      <c r="G350" s="31" t="s">
        <v>250</v>
      </c>
      <c r="H350" s="31" t="s">
        <v>300</v>
      </c>
      <c r="I350" s="31" t="b">
        <v>0</v>
      </c>
      <c r="J350" s="31">
        <v>9</v>
      </c>
      <c r="K350" s="31">
        <v>661.85</v>
      </c>
      <c r="L350" s="32">
        <v>209509042</v>
      </c>
      <c r="M350" s="32">
        <v>1100000108860545</v>
      </c>
      <c r="N350" s="31" t="s">
        <v>519</v>
      </c>
      <c r="O350" s="31"/>
    </row>
    <row r="351" spans="1:15">
      <c r="A351" s="31"/>
      <c r="B351" s="31" t="s">
        <v>79</v>
      </c>
      <c r="C351" s="31" t="s">
        <v>513</v>
      </c>
      <c r="D351" s="31" t="s">
        <v>517</v>
      </c>
      <c r="E351" s="31" t="s">
        <v>249</v>
      </c>
      <c r="F351" s="31" t="s">
        <v>250</v>
      </c>
      <c r="G351" s="31" t="s">
        <v>250</v>
      </c>
      <c r="H351" s="31" t="s">
        <v>251</v>
      </c>
      <c r="I351" s="31" t="b">
        <v>0</v>
      </c>
      <c r="J351" s="31">
        <v>14</v>
      </c>
      <c r="K351" s="31">
        <v>3676.8</v>
      </c>
      <c r="L351" s="32">
        <v>209534085</v>
      </c>
      <c r="M351" s="32">
        <v>1100000109127675</v>
      </c>
      <c r="N351" s="31" t="s">
        <v>520</v>
      </c>
      <c r="O351" s="31"/>
    </row>
    <row r="352" spans="1:15">
      <c r="A352" s="31"/>
      <c r="B352" s="31" t="s">
        <v>85</v>
      </c>
      <c r="C352" s="31" t="s">
        <v>473</v>
      </c>
      <c r="D352" s="31" t="s">
        <v>517</v>
      </c>
      <c r="E352" s="31" t="s">
        <v>249</v>
      </c>
      <c r="F352" s="31" t="s">
        <v>250</v>
      </c>
      <c r="G352" s="31" t="s">
        <v>250</v>
      </c>
      <c r="H352" s="31" t="s">
        <v>251</v>
      </c>
      <c r="I352" s="31" t="b">
        <v>0</v>
      </c>
      <c r="J352" s="31">
        <v>15</v>
      </c>
      <c r="K352" s="31">
        <v>1980.1</v>
      </c>
      <c r="L352" s="32">
        <v>5422345</v>
      </c>
      <c r="M352" s="32">
        <v>1000000073661560</v>
      </c>
      <c r="N352" s="31" t="s">
        <v>521</v>
      </c>
      <c r="O352" s="31"/>
    </row>
    <row r="353" spans="1:15">
      <c r="A353" s="31"/>
      <c r="B353" s="31" t="s">
        <v>85</v>
      </c>
      <c r="C353" s="31" t="s">
        <v>473</v>
      </c>
      <c r="D353" s="31" t="s">
        <v>517</v>
      </c>
      <c r="E353" s="31" t="s">
        <v>249</v>
      </c>
      <c r="F353" s="31" t="s">
        <v>250</v>
      </c>
      <c r="G353" s="31" t="s">
        <v>250</v>
      </c>
      <c r="H353" s="31" t="s">
        <v>251</v>
      </c>
      <c r="I353" s="31" t="b">
        <v>0</v>
      </c>
      <c r="J353" s="31">
        <v>31</v>
      </c>
      <c r="K353" s="31">
        <v>1980.1</v>
      </c>
      <c r="L353" s="32">
        <v>5422346</v>
      </c>
      <c r="M353" s="32">
        <v>1000000073661560</v>
      </c>
      <c r="N353" s="31" t="s">
        <v>521</v>
      </c>
      <c r="O353" s="31"/>
    </row>
    <row r="354" spans="1:15">
      <c r="A354" s="31"/>
      <c r="B354" s="31" t="s">
        <v>85</v>
      </c>
      <c r="C354" s="31" t="s">
        <v>473</v>
      </c>
      <c r="D354" s="31" t="s">
        <v>517</v>
      </c>
      <c r="E354" s="31" t="s">
        <v>249</v>
      </c>
      <c r="F354" s="31" t="s">
        <v>250</v>
      </c>
      <c r="G354" s="31" t="s">
        <v>250</v>
      </c>
      <c r="H354" s="31" t="s">
        <v>251</v>
      </c>
      <c r="I354" s="31" t="b">
        <v>0</v>
      </c>
      <c r="J354" s="31">
        <v>5</v>
      </c>
      <c r="K354" s="31">
        <v>1980.1</v>
      </c>
      <c r="L354" s="32">
        <v>5422347</v>
      </c>
      <c r="M354" s="32">
        <v>1000000073661560</v>
      </c>
      <c r="N354" s="31" t="s">
        <v>521</v>
      </c>
      <c r="O354" s="31"/>
    </row>
    <row r="355" spans="1:15">
      <c r="A355" s="31"/>
      <c r="B355" s="31" t="s">
        <v>522</v>
      </c>
      <c r="C355" s="31" t="s">
        <v>523</v>
      </c>
      <c r="D355" s="31" t="s">
        <v>517</v>
      </c>
      <c r="E355" s="31" t="s">
        <v>249</v>
      </c>
      <c r="F355" s="31" t="s">
        <v>250</v>
      </c>
      <c r="G355" s="31" t="s">
        <v>250</v>
      </c>
      <c r="H355" s="31" t="s">
        <v>251</v>
      </c>
      <c r="I355" s="31" t="b">
        <v>0</v>
      </c>
      <c r="J355" s="31">
        <v>1</v>
      </c>
      <c r="K355" s="31">
        <v>13020</v>
      </c>
      <c r="L355" s="32">
        <v>607146405</v>
      </c>
      <c r="M355" s="32">
        <v>1300000090848577</v>
      </c>
      <c r="N355" s="31" t="s">
        <v>524</v>
      </c>
      <c r="O355" s="31"/>
    </row>
    <row r="356" spans="1:15">
      <c r="A356" s="31"/>
      <c r="B356" s="31" t="s">
        <v>522</v>
      </c>
      <c r="C356" s="31" t="s">
        <v>523</v>
      </c>
      <c r="D356" s="31" t="s">
        <v>517</v>
      </c>
      <c r="E356" s="31" t="s">
        <v>249</v>
      </c>
      <c r="F356" s="31" t="s">
        <v>250</v>
      </c>
      <c r="G356" s="31" t="s">
        <v>250</v>
      </c>
      <c r="H356" s="31" t="s">
        <v>251</v>
      </c>
      <c r="I356" s="31" t="b">
        <v>0</v>
      </c>
      <c r="J356" s="31">
        <v>1</v>
      </c>
      <c r="K356" s="31">
        <v>13022</v>
      </c>
      <c r="L356" s="32">
        <v>607146406</v>
      </c>
      <c r="M356" s="32">
        <v>1300000090848577</v>
      </c>
      <c r="N356" s="31" t="s">
        <v>524</v>
      </c>
      <c r="O356" s="31"/>
    </row>
    <row r="357" spans="1:15">
      <c r="A357" s="31"/>
      <c r="B357" s="31" t="s">
        <v>129</v>
      </c>
      <c r="C357" s="31" t="s">
        <v>459</v>
      </c>
      <c r="D357" s="31" t="s">
        <v>517</v>
      </c>
      <c r="E357" s="31" t="s">
        <v>249</v>
      </c>
      <c r="F357" s="31" t="s">
        <v>250</v>
      </c>
      <c r="G357" s="31" t="s">
        <v>250</v>
      </c>
      <c r="H357" s="31" t="s">
        <v>251</v>
      </c>
      <c r="I357" s="31" t="b">
        <v>0</v>
      </c>
      <c r="J357" s="31">
        <v>8</v>
      </c>
      <c r="K357" s="31">
        <v>1378.7</v>
      </c>
      <c r="L357" s="32">
        <v>608752169</v>
      </c>
      <c r="M357" s="32">
        <v>1300000102008239</v>
      </c>
      <c r="N357" s="31" t="s">
        <v>525</v>
      </c>
      <c r="O357" s="31"/>
    </row>
    <row r="358" spans="1:15">
      <c r="A358" s="31"/>
      <c r="B358" s="31" t="s">
        <v>526</v>
      </c>
      <c r="C358" s="31" t="s">
        <v>527</v>
      </c>
      <c r="D358" s="31" t="s">
        <v>528</v>
      </c>
      <c r="E358" s="31" t="s">
        <v>249</v>
      </c>
      <c r="F358" s="31" t="s">
        <v>250</v>
      </c>
      <c r="G358" s="31" t="s">
        <v>250</v>
      </c>
      <c r="H358" s="31" t="s">
        <v>251</v>
      </c>
      <c r="I358" s="31" t="b">
        <v>0</v>
      </c>
      <c r="J358" s="31">
        <v>19</v>
      </c>
      <c r="K358" s="31">
        <v>2683</v>
      </c>
      <c r="L358" s="32">
        <v>406774172</v>
      </c>
      <c r="M358" s="32">
        <v>1200000087322430</v>
      </c>
      <c r="N358" s="31" t="s">
        <v>529</v>
      </c>
      <c r="O358" s="31"/>
    </row>
    <row r="359" spans="1:15">
      <c r="A359" s="31"/>
      <c r="B359" s="31" t="s">
        <v>185</v>
      </c>
      <c r="C359" s="31" t="s">
        <v>530</v>
      </c>
      <c r="D359" s="31" t="s">
        <v>528</v>
      </c>
      <c r="E359" s="31" t="s">
        <v>249</v>
      </c>
      <c r="F359" s="31" t="s">
        <v>250</v>
      </c>
      <c r="G359" s="31" t="s">
        <v>250</v>
      </c>
      <c r="H359" s="31" t="s">
        <v>251</v>
      </c>
      <c r="I359" s="31" t="b">
        <v>0</v>
      </c>
      <c r="J359" s="31">
        <v>44</v>
      </c>
      <c r="K359" s="31">
        <v>1141.55</v>
      </c>
      <c r="L359" s="32">
        <v>6545076</v>
      </c>
      <c r="M359" s="32">
        <v>1000000074468622</v>
      </c>
      <c r="N359" s="31" t="s">
        <v>531</v>
      </c>
      <c r="O359" s="31"/>
    </row>
    <row r="360" spans="1:15">
      <c r="A360" s="31"/>
      <c r="B360" s="31" t="s">
        <v>355</v>
      </c>
      <c r="C360" s="31" t="s">
        <v>356</v>
      </c>
      <c r="D360" s="31" t="s">
        <v>532</v>
      </c>
      <c r="E360" s="31" t="s">
        <v>249</v>
      </c>
      <c r="F360" s="31" t="s">
        <v>250</v>
      </c>
      <c r="G360" s="31" t="s">
        <v>250</v>
      </c>
      <c r="H360" s="31" t="s">
        <v>300</v>
      </c>
      <c r="I360" s="31" t="b">
        <v>0</v>
      </c>
      <c r="J360" s="31">
        <v>6</v>
      </c>
      <c r="K360" s="31">
        <v>301.64999999999998</v>
      </c>
      <c r="L360" s="32">
        <v>8430924</v>
      </c>
      <c r="M360" s="32">
        <v>1000000084813264</v>
      </c>
      <c r="N360" s="31" t="s">
        <v>533</v>
      </c>
      <c r="O360" s="31"/>
    </row>
    <row r="361" spans="1:15">
      <c r="A361" s="31"/>
      <c r="B361" s="31" t="s">
        <v>355</v>
      </c>
      <c r="C361" s="31" t="s">
        <v>356</v>
      </c>
      <c r="D361" s="31" t="s">
        <v>532</v>
      </c>
      <c r="E361" s="31" t="s">
        <v>249</v>
      </c>
      <c r="F361" s="31" t="s">
        <v>250</v>
      </c>
      <c r="G361" s="31" t="s">
        <v>250</v>
      </c>
      <c r="H361" s="31" t="s">
        <v>300</v>
      </c>
      <c r="I361" s="31" t="b">
        <v>0</v>
      </c>
      <c r="J361" s="31">
        <v>76</v>
      </c>
      <c r="K361" s="31">
        <v>301.64999999999998</v>
      </c>
      <c r="L361" s="32">
        <v>8430923</v>
      </c>
      <c r="M361" s="32">
        <v>1000000084813264</v>
      </c>
      <c r="N361" s="31" t="s">
        <v>533</v>
      </c>
      <c r="O361" s="31"/>
    </row>
    <row r="362" spans="1:15">
      <c r="A362" s="31"/>
      <c r="B362" s="31" t="s">
        <v>502</v>
      </c>
      <c r="C362" s="31" t="s">
        <v>503</v>
      </c>
      <c r="D362" s="31" t="s">
        <v>532</v>
      </c>
      <c r="E362" s="31" t="s">
        <v>80</v>
      </c>
      <c r="F362" s="31" t="s">
        <v>250</v>
      </c>
      <c r="G362" s="31" t="s">
        <v>306</v>
      </c>
      <c r="H362" s="31" t="s">
        <v>300</v>
      </c>
      <c r="I362" s="31" t="b">
        <v>0</v>
      </c>
      <c r="J362" s="31">
        <v>23</v>
      </c>
      <c r="K362" s="31">
        <v>159.5</v>
      </c>
      <c r="L362" s="32">
        <v>5853700</v>
      </c>
      <c r="M362" s="32">
        <v>1.777882835281353E+18</v>
      </c>
      <c r="N362" s="31" t="s">
        <v>534</v>
      </c>
      <c r="O362" s="31"/>
    </row>
    <row r="363" spans="1:15">
      <c r="A363" s="31"/>
      <c r="B363" s="31" t="s">
        <v>502</v>
      </c>
      <c r="C363" s="31" t="s">
        <v>503</v>
      </c>
      <c r="D363" s="31" t="s">
        <v>532</v>
      </c>
      <c r="E363" s="31" t="s">
        <v>80</v>
      </c>
      <c r="F363" s="31" t="s">
        <v>250</v>
      </c>
      <c r="G363" s="31" t="s">
        <v>306</v>
      </c>
      <c r="H363" s="31" t="s">
        <v>300</v>
      </c>
      <c r="I363" s="31" t="b">
        <v>0</v>
      </c>
      <c r="J363" s="31">
        <v>98</v>
      </c>
      <c r="K363" s="31">
        <v>159.44999999999999</v>
      </c>
      <c r="L363" s="32">
        <v>5854000</v>
      </c>
      <c r="M363" s="32">
        <v>1.777882835281353E+18</v>
      </c>
      <c r="N363" s="31" t="s">
        <v>534</v>
      </c>
      <c r="O363" s="31"/>
    </row>
    <row r="364" spans="1:15">
      <c r="A364" s="31"/>
      <c r="B364" s="31" t="s">
        <v>168</v>
      </c>
      <c r="C364" s="31" t="s">
        <v>535</v>
      </c>
      <c r="D364" s="31" t="s">
        <v>532</v>
      </c>
      <c r="E364" s="31" t="s">
        <v>249</v>
      </c>
      <c r="F364" s="31" t="s">
        <v>250</v>
      </c>
      <c r="G364" s="31" t="s">
        <v>250</v>
      </c>
      <c r="H364" s="31" t="s">
        <v>251</v>
      </c>
      <c r="I364" s="31" t="b">
        <v>0</v>
      </c>
      <c r="J364" s="31">
        <v>17</v>
      </c>
      <c r="K364" s="31">
        <v>1375</v>
      </c>
      <c r="L364" s="32">
        <v>408376134</v>
      </c>
      <c r="M364" s="32">
        <v>1200000088766497</v>
      </c>
      <c r="N364" s="31" t="s">
        <v>536</v>
      </c>
      <c r="O364" s="31"/>
    </row>
    <row r="365" spans="1:15">
      <c r="A365" s="31"/>
      <c r="B365" s="31" t="s">
        <v>168</v>
      </c>
      <c r="C365" s="31" t="s">
        <v>535</v>
      </c>
      <c r="D365" s="31" t="s">
        <v>532</v>
      </c>
      <c r="E365" s="31" t="s">
        <v>249</v>
      </c>
      <c r="F365" s="31" t="s">
        <v>250</v>
      </c>
      <c r="G365" s="31" t="s">
        <v>250</v>
      </c>
      <c r="H365" s="31" t="s">
        <v>251</v>
      </c>
      <c r="I365" s="31" t="b">
        <v>0</v>
      </c>
      <c r="J365" s="31">
        <v>37</v>
      </c>
      <c r="K365" s="31">
        <v>1375</v>
      </c>
      <c r="L365" s="32">
        <v>408376133</v>
      </c>
      <c r="M365" s="32">
        <v>1200000088766497</v>
      </c>
      <c r="N365" s="31" t="s">
        <v>536</v>
      </c>
      <c r="O365" s="31"/>
    </row>
    <row r="366" spans="1:15">
      <c r="A366" s="31"/>
      <c r="B366" s="31" t="s">
        <v>56</v>
      </c>
      <c r="C366" s="31" t="s">
        <v>537</v>
      </c>
      <c r="D366" s="31" t="s">
        <v>532</v>
      </c>
      <c r="E366" s="31" t="s">
        <v>249</v>
      </c>
      <c r="F366" s="31" t="s">
        <v>250</v>
      </c>
      <c r="G366" s="31" t="s">
        <v>250</v>
      </c>
      <c r="H366" s="31" t="s">
        <v>251</v>
      </c>
      <c r="I366" s="31" t="b">
        <v>0</v>
      </c>
      <c r="J366" s="31">
        <v>3</v>
      </c>
      <c r="K366" s="31">
        <v>293.85000000000002</v>
      </c>
      <c r="L366" s="32">
        <v>8522751</v>
      </c>
      <c r="M366" s="32">
        <v>1000000085710219</v>
      </c>
      <c r="N366" s="31" t="s">
        <v>538</v>
      </c>
      <c r="O366" s="31"/>
    </row>
    <row r="367" spans="1:15">
      <c r="A367" s="31"/>
      <c r="B367" s="31" t="s">
        <v>56</v>
      </c>
      <c r="C367" s="31" t="s">
        <v>537</v>
      </c>
      <c r="D367" s="31" t="s">
        <v>532</v>
      </c>
      <c r="E367" s="31" t="s">
        <v>249</v>
      </c>
      <c r="F367" s="31" t="s">
        <v>250</v>
      </c>
      <c r="G367" s="31" t="s">
        <v>250</v>
      </c>
      <c r="H367" s="31" t="s">
        <v>251</v>
      </c>
      <c r="I367" s="31" t="b">
        <v>0</v>
      </c>
      <c r="J367" s="31">
        <v>72</v>
      </c>
      <c r="K367" s="31">
        <v>293.85000000000002</v>
      </c>
      <c r="L367" s="32">
        <v>8522752</v>
      </c>
      <c r="M367" s="32">
        <v>1000000085710219</v>
      </c>
      <c r="N367" s="31" t="s">
        <v>538</v>
      </c>
      <c r="O367" s="31"/>
    </row>
    <row r="368" spans="1:15">
      <c r="A368" s="31"/>
      <c r="B368" s="31" t="s">
        <v>56</v>
      </c>
      <c r="C368" s="31" t="s">
        <v>537</v>
      </c>
      <c r="D368" s="31" t="s">
        <v>532</v>
      </c>
      <c r="E368" s="31" t="s">
        <v>249</v>
      </c>
      <c r="F368" s="31" t="s">
        <v>250</v>
      </c>
      <c r="G368" s="31" t="s">
        <v>250</v>
      </c>
      <c r="H368" s="31" t="s">
        <v>251</v>
      </c>
      <c r="I368" s="31" t="b">
        <v>0</v>
      </c>
      <c r="J368" s="31">
        <v>96</v>
      </c>
      <c r="K368" s="31">
        <v>293.85000000000002</v>
      </c>
      <c r="L368" s="32">
        <v>8522750</v>
      </c>
      <c r="M368" s="32">
        <v>1000000085710219</v>
      </c>
      <c r="N368" s="31" t="s">
        <v>538</v>
      </c>
      <c r="O368" s="31"/>
    </row>
    <row r="369" spans="1:15">
      <c r="A369" s="31"/>
      <c r="B369" s="31" t="s">
        <v>539</v>
      </c>
      <c r="C369" s="31" t="s">
        <v>540</v>
      </c>
      <c r="D369" s="31" t="s">
        <v>541</v>
      </c>
      <c r="E369" s="31" t="s">
        <v>249</v>
      </c>
      <c r="F369" s="31" t="s">
        <v>250</v>
      </c>
      <c r="G369" s="31" t="s">
        <v>250</v>
      </c>
      <c r="H369" s="31" t="s">
        <v>251</v>
      </c>
      <c r="I369" s="31" t="b">
        <v>0</v>
      </c>
      <c r="J369" s="31">
        <v>10</v>
      </c>
      <c r="K369" s="31">
        <v>10033</v>
      </c>
      <c r="L369" s="32">
        <v>607637537</v>
      </c>
      <c r="M369" s="32">
        <v>1300000082781863</v>
      </c>
      <c r="N369" s="31" t="s">
        <v>542</v>
      </c>
      <c r="O369" s="31"/>
    </row>
    <row r="370" spans="1:15">
      <c r="A370" s="31"/>
      <c r="B370" s="31" t="s">
        <v>539</v>
      </c>
      <c r="C370" s="31" t="s">
        <v>540</v>
      </c>
      <c r="D370" s="31" t="s">
        <v>543</v>
      </c>
      <c r="E370" s="31" t="s">
        <v>249</v>
      </c>
      <c r="F370" s="31" t="s">
        <v>250</v>
      </c>
      <c r="G370" s="31" t="s">
        <v>250</v>
      </c>
      <c r="H370" s="31" t="s">
        <v>300</v>
      </c>
      <c r="I370" s="31" t="b">
        <v>0</v>
      </c>
      <c r="J370" s="31">
        <v>10</v>
      </c>
      <c r="K370" s="31">
        <v>9901</v>
      </c>
      <c r="L370" s="32">
        <v>600356889</v>
      </c>
      <c r="M370" s="32">
        <v>1300000002487452</v>
      </c>
      <c r="N370" s="31" t="s">
        <v>544</v>
      </c>
      <c r="O370" s="31"/>
    </row>
    <row r="371" spans="1:15">
      <c r="A371" s="31"/>
      <c r="B371" s="31" t="s">
        <v>276</v>
      </c>
      <c r="C371" s="31" t="s">
        <v>277</v>
      </c>
      <c r="D371" s="31" t="s">
        <v>543</v>
      </c>
      <c r="E371" s="31" t="s">
        <v>249</v>
      </c>
      <c r="F371" s="31" t="s">
        <v>250</v>
      </c>
      <c r="G371" s="31" t="s">
        <v>250</v>
      </c>
      <c r="H371" s="31" t="s">
        <v>300</v>
      </c>
      <c r="I371" s="31" t="b">
        <v>0</v>
      </c>
      <c r="J371" s="31">
        <v>71</v>
      </c>
      <c r="K371" s="31">
        <v>1091.8</v>
      </c>
      <c r="L371" s="32">
        <v>601225185</v>
      </c>
      <c r="M371" s="32">
        <v>1300000010227980</v>
      </c>
      <c r="N371" s="31" t="s">
        <v>545</v>
      </c>
      <c r="O371" s="31"/>
    </row>
    <row r="372" spans="1:15">
      <c r="A372" s="31"/>
      <c r="B372" s="31" t="s">
        <v>72</v>
      </c>
      <c r="C372" s="31" t="s">
        <v>476</v>
      </c>
      <c r="D372" s="31" t="s">
        <v>543</v>
      </c>
      <c r="E372" s="31" t="s">
        <v>80</v>
      </c>
      <c r="F372" s="31" t="s">
        <v>250</v>
      </c>
      <c r="G372" s="31" t="s">
        <v>306</v>
      </c>
      <c r="H372" s="31" t="s">
        <v>251</v>
      </c>
      <c r="I372" s="31" t="b">
        <v>0</v>
      </c>
      <c r="J372" s="31">
        <v>1</v>
      </c>
      <c r="K372" s="31">
        <v>1159.9000000000001</v>
      </c>
      <c r="L372" s="32">
        <v>2757900</v>
      </c>
      <c r="M372" s="32">
        <v>1.7780382000158469E+18</v>
      </c>
      <c r="N372" s="31" t="s">
        <v>546</v>
      </c>
      <c r="O372" s="31"/>
    </row>
    <row r="373" spans="1:15">
      <c r="A373" s="31"/>
      <c r="B373" s="31" t="s">
        <v>72</v>
      </c>
      <c r="C373" s="31" t="s">
        <v>476</v>
      </c>
      <c r="D373" s="31" t="s">
        <v>543</v>
      </c>
      <c r="E373" s="31" t="s">
        <v>80</v>
      </c>
      <c r="F373" s="31" t="s">
        <v>250</v>
      </c>
      <c r="G373" s="31" t="s">
        <v>306</v>
      </c>
      <c r="H373" s="31" t="s">
        <v>251</v>
      </c>
      <c r="I373" s="31" t="b">
        <v>0</v>
      </c>
      <c r="J373" s="31">
        <v>12</v>
      </c>
      <c r="K373" s="31">
        <v>1160</v>
      </c>
      <c r="L373" s="32">
        <v>2758100</v>
      </c>
      <c r="M373" s="32">
        <v>1.7780382000158469E+18</v>
      </c>
      <c r="N373" s="31" t="s">
        <v>546</v>
      </c>
      <c r="O373" s="31"/>
    </row>
    <row r="374" spans="1:15">
      <c r="A374" s="31"/>
      <c r="B374" s="31" t="s">
        <v>72</v>
      </c>
      <c r="C374" s="31" t="s">
        <v>476</v>
      </c>
      <c r="D374" s="31" t="s">
        <v>543</v>
      </c>
      <c r="E374" s="31" t="s">
        <v>80</v>
      </c>
      <c r="F374" s="31" t="s">
        <v>250</v>
      </c>
      <c r="G374" s="31" t="s">
        <v>306</v>
      </c>
      <c r="H374" s="31" t="s">
        <v>251</v>
      </c>
      <c r="I374" s="31" t="b">
        <v>0</v>
      </c>
      <c r="J374" s="31">
        <v>3</v>
      </c>
      <c r="K374" s="31">
        <v>1159.6500000000001</v>
      </c>
      <c r="L374" s="32">
        <v>2757400</v>
      </c>
      <c r="M374" s="32">
        <v>1.7780382000158469E+18</v>
      </c>
      <c r="N374" s="31" t="s">
        <v>546</v>
      </c>
      <c r="O374" s="31"/>
    </row>
    <row r="375" spans="1:15">
      <c r="A375" s="31"/>
      <c r="B375" s="31" t="s">
        <v>72</v>
      </c>
      <c r="C375" s="31" t="s">
        <v>476</v>
      </c>
      <c r="D375" s="31" t="s">
        <v>543</v>
      </c>
      <c r="E375" s="31" t="s">
        <v>80</v>
      </c>
      <c r="F375" s="31" t="s">
        <v>250</v>
      </c>
      <c r="G375" s="31" t="s">
        <v>306</v>
      </c>
      <c r="H375" s="31" t="s">
        <v>251</v>
      </c>
      <c r="I375" s="31" t="b">
        <v>0</v>
      </c>
      <c r="J375" s="31">
        <v>49</v>
      </c>
      <c r="K375" s="31">
        <v>1159.7</v>
      </c>
      <c r="L375" s="32">
        <v>2757700</v>
      </c>
      <c r="M375" s="32">
        <v>1.7780382000158469E+18</v>
      </c>
      <c r="N375" s="31" t="s">
        <v>546</v>
      </c>
      <c r="O375" s="31"/>
    </row>
    <row r="376" spans="1:15">
      <c r="A376" s="31"/>
      <c r="B376" s="31" t="s">
        <v>440</v>
      </c>
      <c r="C376" s="31" t="s">
        <v>441</v>
      </c>
      <c r="D376" s="31" t="s">
        <v>547</v>
      </c>
      <c r="E376" s="31" t="s">
        <v>80</v>
      </c>
      <c r="F376" s="31" t="s">
        <v>250</v>
      </c>
      <c r="G376" s="31" t="s">
        <v>306</v>
      </c>
      <c r="H376" s="31" t="s">
        <v>251</v>
      </c>
      <c r="I376" s="31" t="b">
        <v>0</v>
      </c>
      <c r="J376" s="31">
        <v>204</v>
      </c>
      <c r="K376" s="31">
        <v>84.04</v>
      </c>
      <c r="L376" s="32">
        <v>16785300</v>
      </c>
      <c r="M376" s="32">
        <v>1.7782300901514481E+18</v>
      </c>
      <c r="N376" s="31" t="s">
        <v>548</v>
      </c>
      <c r="O376" s="31"/>
    </row>
    <row r="377" spans="1:15">
      <c r="A377" s="31"/>
      <c r="B377" s="31" t="s">
        <v>440</v>
      </c>
      <c r="C377" s="31" t="s">
        <v>441</v>
      </c>
      <c r="D377" s="31" t="s">
        <v>547</v>
      </c>
      <c r="E377" s="31" t="s">
        <v>80</v>
      </c>
      <c r="F377" s="31" t="s">
        <v>250</v>
      </c>
      <c r="G377" s="31" t="s">
        <v>306</v>
      </c>
      <c r="H377" s="31" t="s">
        <v>251</v>
      </c>
      <c r="I377" s="31" t="b">
        <v>0</v>
      </c>
      <c r="J377" s="31">
        <v>391</v>
      </c>
      <c r="K377" s="31">
        <v>84.05</v>
      </c>
      <c r="L377" s="32">
        <v>16785600</v>
      </c>
      <c r="M377" s="32">
        <v>1.7782300901514481E+18</v>
      </c>
      <c r="N377" s="31" t="s">
        <v>548</v>
      </c>
      <c r="O377" s="31"/>
    </row>
    <row r="378" spans="1:15">
      <c r="A378" s="31"/>
      <c r="B378" s="31" t="s">
        <v>58</v>
      </c>
      <c r="C378" s="31" t="s">
        <v>282</v>
      </c>
      <c r="D378" s="31" t="s">
        <v>547</v>
      </c>
      <c r="E378" s="31" t="s">
        <v>249</v>
      </c>
      <c r="F378" s="31" t="s">
        <v>250</v>
      </c>
      <c r="G378" s="31" t="s">
        <v>250</v>
      </c>
      <c r="H378" s="31" t="s">
        <v>251</v>
      </c>
      <c r="I378" s="31" t="b">
        <v>0</v>
      </c>
      <c r="J378" s="31">
        <v>17</v>
      </c>
      <c r="K378" s="31">
        <v>870.95</v>
      </c>
      <c r="L378" s="32">
        <v>7993096</v>
      </c>
      <c r="M378" s="32">
        <v>1000000080642240</v>
      </c>
      <c r="N378" s="31" t="s">
        <v>549</v>
      </c>
      <c r="O378" s="31"/>
    </row>
    <row r="379" spans="1:15">
      <c r="A379" s="31"/>
      <c r="B379" s="31" t="s">
        <v>58</v>
      </c>
      <c r="C379" s="31" t="s">
        <v>282</v>
      </c>
      <c r="D379" s="31" t="s">
        <v>547</v>
      </c>
      <c r="E379" s="31" t="s">
        <v>249</v>
      </c>
      <c r="F379" s="31" t="s">
        <v>250</v>
      </c>
      <c r="G379" s="31" t="s">
        <v>250</v>
      </c>
      <c r="H379" s="31" t="s">
        <v>251</v>
      </c>
      <c r="I379" s="31" t="b">
        <v>0</v>
      </c>
      <c r="J379" s="31">
        <v>18</v>
      </c>
      <c r="K379" s="31">
        <v>870.95</v>
      </c>
      <c r="L379" s="32">
        <v>7993097</v>
      </c>
      <c r="M379" s="32">
        <v>1000000080642240</v>
      </c>
      <c r="N379" s="31" t="s">
        <v>549</v>
      </c>
      <c r="O379" s="31"/>
    </row>
    <row r="380" spans="1:15">
      <c r="A380" s="31"/>
      <c r="B380" s="31" t="s">
        <v>58</v>
      </c>
      <c r="C380" s="31" t="s">
        <v>282</v>
      </c>
      <c r="D380" s="31" t="s">
        <v>547</v>
      </c>
      <c r="E380" s="31" t="s">
        <v>249</v>
      </c>
      <c r="F380" s="31" t="s">
        <v>250</v>
      </c>
      <c r="G380" s="31" t="s">
        <v>250</v>
      </c>
      <c r="H380" s="31" t="s">
        <v>251</v>
      </c>
      <c r="I380" s="31" t="b">
        <v>0</v>
      </c>
      <c r="J380" s="31">
        <v>22</v>
      </c>
      <c r="K380" s="31">
        <v>870.95</v>
      </c>
      <c r="L380" s="32">
        <v>7993098</v>
      </c>
      <c r="M380" s="32">
        <v>1000000080642240</v>
      </c>
      <c r="N380" s="31" t="s">
        <v>549</v>
      </c>
      <c r="O380" s="31"/>
    </row>
    <row r="381" spans="1:15">
      <c r="A381" s="31"/>
      <c r="B381" s="31" t="s">
        <v>440</v>
      </c>
      <c r="C381" s="31" t="s">
        <v>441</v>
      </c>
      <c r="D381" s="31" t="s">
        <v>547</v>
      </c>
      <c r="E381" s="31" t="s">
        <v>80</v>
      </c>
      <c r="F381" s="31" t="s">
        <v>250</v>
      </c>
      <c r="G381" s="31" t="s">
        <v>306</v>
      </c>
      <c r="H381" s="31" t="s">
        <v>300</v>
      </c>
      <c r="I381" s="31" t="b">
        <v>0</v>
      </c>
      <c r="J381" s="31">
        <v>535</v>
      </c>
      <c r="K381" s="31">
        <v>83.95</v>
      </c>
      <c r="L381" s="32">
        <v>16855200</v>
      </c>
      <c r="M381" s="32">
        <v>1.7782300901514501E+18</v>
      </c>
      <c r="N381" s="31" t="s">
        <v>550</v>
      </c>
      <c r="O381" s="31"/>
    </row>
    <row r="382" spans="1:15">
      <c r="A382" s="31"/>
      <c r="B382" s="31" t="s">
        <v>440</v>
      </c>
      <c r="C382" s="31" t="s">
        <v>441</v>
      </c>
      <c r="D382" s="31" t="s">
        <v>547</v>
      </c>
      <c r="E382" s="31" t="s">
        <v>80</v>
      </c>
      <c r="F382" s="31" t="s">
        <v>250</v>
      </c>
      <c r="G382" s="31" t="s">
        <v>306</v>
      </c>
      <c r="H382" s="31" t="s">
        <v>300</v>
      </c>
      <c r="I382" s="31" t="b">
        <v>0</v>
      </c>
      <c r="J382" s="31">
        <v>60</v>
      </c>
      <c r="K382" s="31">
        <v>83.96</v>
      </c>
      <c r="L382" s="32">
        <v>16854900</v>
      </c>
      <c r="M382" s="32">
        <v>1.7782300901514501E+18</v>
      </c>
      <c r="N382" s="31" t="s">
        <v>550</v>
      </c>
      <c r="O382" s="31"/>
    </row>
    <row r="383" spans="1:15">
      <c r="A383" s="31"/>
      <c r="B383" s="31" t="s">
        <v>79</v>
      </c>
      <c r="C383" s="31" t="s">
        <v>513</v>
      </c>
      <c r="D383" s="31" t="s">
        <v>543</v>
      </c>
      <c r="E383" s="31" t="s">
        <v>80</v>
      </c>
      <c r="F383" s="31" t="s">
        <v>250</v>
      </c>
      <c r="G383" s="31" t="s">
        <v>306</v>
      </c>
      <c r="H383" s="31" t="s">
        <v>251</v>
      </c>
      <c r="I383" s="31" t="b">
        <v>0</v>
      </c>
      <c r="J383" s="31">
        <v>1</v>
      </c>
      <c r="K383" s="31">
        <v>4534.5</v>
      </c>
      <c r="L383" s="32">
        <v>2301600</v>
      </c>
      <c r="M383" s="32">
        <v>1.7780382000125921E+18</v>
      </c>
      <c r="N383" s="31" t="s">
        <v>551</v>
      </c>
      <c r="O383" s="31"/>
    </row>
    <row r="384" spans="1:15">
      <c r="A384" s="31"/>
      <c r="B384" s="31" t="s">
        <v>79</v>
      </c>
      <c r="C384" s="31" t="s">
        <v>513</v>
      </c>
      <c r="D384" s="31" t="s">
        <v>543</v>
      </c>
      <c r="E384" s="31" t="s">
        <v>80</v>
      </c>
      <c r="F384" s="31" t="s">
        <v>250</v>
      </c>
      <c r="G384" s="31" t="s">
        <v>306</v>
      </c>
      <c r="H384" s="31" t="s">
        <v>251</v>
      </c>
      <c r="I384" s="31" t="b">
        <v>0</v>
      </c>
      <c r="J384" s="31">
        <v>1</v>
      </c>
      <c r="K384" s="31">
        <v>4534.7997999999998</v>
      </c>
      <c r="L384" s="32">
        <v>2302000</v>
      </c>
      <c r="M384" s="32">
        <v>1.7780382000125921E+18</v>
      </c>
      <c r="N384" s="31" t="s">
        <v>551</v>
      </c>
      <c r="O384" s="31"/>
    </row>
    <row r="385" spans="1:15">
      <c r="A385" s="31"/>
      <c r="B385" s="31" t="s">
        <v>79</v>
      </c>
      <c r="C385" s="31" t="s">
        <v>513</v>
      </c>
      <c r="D385" s="31" t="s">
        <v>543</v>
      </c>
      <c r="E385" s="31" t="s">
        <v>80</v>
      </c>
      <c r="F385" s="31" t="s">
        <v>250</v>
      </c>
      <c r="G385" s="31" t="s">
        <v>306</v>
      </c>
      <c r="H385" s="31" t="s">
        <v>251</v>
      </c>
      <c r="I385" s="31" t="b">
        <v>0</v>
      </c>
      <c r="J385" s="31">
        <v>5</v>
      </c>
      <c r="K385" s="31">
        <v>4534.7002000000002</v>
      </c>
      <c r="L385" s="32">
        <v>2301800</v>
      </c>
      <c r="M385" s="32">
        <v>1.7780382000125921E+18</v>
      </c>
      <c r="N385" s="31" t="s">
        <v>551</v>
      </c>
      <c r="O385" s="31"/>
    </row>
    <row r="386" spans="1:15">
      <c r="A386" s="31"/>
      <c r="B386" s="31" t="s">
        <v>79</v>
      </c>
      <c r="C386" s="31" t="s">
        <v>513</v>
      </c>
      <c r="D386" s="31" t="s">
        <v>543</v>
      </c>
      <c r="E386" s="31" t="s">
        <v>80</v>
      </c>
      <c r="F386" s="31" t="s">
        <v>250</v>
      </c>
      <c r="G386" s="31" t="s">
        <v>306</v>
      </c>
      <c r="H386" s="31" t="s">
        <v>251</v>
      </c>
      <c r="I386" s="31" t="b">
        <v>0</v>
      </c>
      <c r="J386" s="31">
        <v>6</v>
      </c>
      <c r="K386" s="31">
        <v>4534.4502000000002</v>
      </c>
      <c r="L386" s="32">
        <v>2301400</v>
      </c>
      <c r="M386" s="32">
        <v>1.7780382000125921E+18</v>
      </c>
      <c r="N386" s="31" t="s">
        <v>551</v>
      </c>
      <c r="O386" s="31"/>
    </row>
    <row r="387" spans="1:15">
      <c r="A387" s="31"/>
      <c r="B387" s="31" t="s">
        <v>79</v>
      </c>
      <c r="C387" s="31" t="s">
        <v>513</v>
      </c>
      <c r="D387" s="31" t="s">
        <v>543</v>
      </c>
      <c r="E387" s="31" t="s">
        <v>80</v>
      </c>
      <c r="F387" s="31" t="s">
        <v>250</v>
      </c>
      <c r="G387" s="31" t="s">
        <v>306</v>
      </c>
      <c r="H387" s="31" t="s">
        <v>251</v>
      </c>
      <c r="I387" s="31" t="b">
        <v>0</v>
      </c>
      <c r="J387" s="31">
        <v>9</v>
      </c>
      <c r="K387" s="31">
        <v>4535</v>
      </c>
      <c r="L387" s="32">
        <v>2302200</v>
      </c>
      <c r="M387" s="32">
        <v>1.7780382000125921E+18</v>
      </c>
      <c r="N387" s="31" t="s">
        <v>551</v>
      </c>
      <c r="O387" s="31"/>
    </row>
    <row r="388" spans="1:15">
      <c r="A388" s="31"/>
      <c r="B388" s="31" t="s">
        <v>456</v>
      </c>
      <c r="C388" s="31" t="s">
        <v>457</v>
      </c>
      <c r="D388" s="31" t="s">
        <v>552</v>
      </c>
      <c r="E388" s="31" t="s">
        <v>80</v>
      </c>
      <c r="F388" s="31" t="s">
        <v>250</v>
      </c>
      <c r="G388" s="31" t="s">
        <v>306</v>
      </c>
      <c r="H388" s="31" t="s">
        <v>300</v>
      </c>
      <c r="I388" s="31" t="b">
        <v>0</v>
      </c>
      <c r="J388" s="31">
        <v>222</v>
      </c>
      <c r="K388" s="31">
        <v>425.25</v>
      </c>
      <c r="L388" s="32">
        <v>19706700</v>
      </c>
      <c r="M388" s="32">
        <v>1.7788293053555899E+18</v>
      </c>
      <c r="N388" s="31" t="s">
        <v>553</v>
      </c>
      <c r="O388" s="31"/>
    </row>
    <row r="389" spans="1:15">
      <c r="A389" s="31"/>
      <c r="B389" s="31" t="s">
        <v>526</v>
      </c>
      <c r="C389" s="31" t="s">
        <v>527</v>
      </c>
      <c r="D389" s="31" t="s">
        <v>552</v>
      </c>
      <c r="E389" s="31" t="s">
        <v>80</v>
      </c>
      <c r="F389" s="31" t="s">
        <v>250</v>
      </c>
      <c r="G389" s="31" t="s">
        <v>306</v>
      </c>
      <c r="H389" s="31" t="s">
        <v>300</v>
      </c>
      <c r="I389" s="31" t="b">
        <v>0</v>
      </c>
      <c r="J389" s="31">
        <v>1</v>
      </c>
      <c r="K389" s="31">
        <v>2505.8501000000001</v>
      </c>
      <c r="L389" s="32">
        <v>8437100</v>
      </c>
      <c r="M389" s="32">
        <v>1.7788291752655501E+18</v>
      </c>
      <c r="N389" s="31" t="s">
        <v>554</v>
      </c>
      <c r="O389" s="31"/>
    </row>
    <row r="390" spans="1:15">
      <c r="A390" s="31"/>
      <c r="B390" s="31" t="s">
        <v>526</v>
      </c>
      <c r="C390" s="31" t="s">
        <v>527</v>
      </c>
      <c r="D390" s="31" t="s">
        <v>552</v>
      </c>
      <c r="E390" s="31" t="s">
        <v>80</v>
      </c>
      <c r="F390" s="31" t="s">
        <v>250</v>
      </c>
      <c r="G390" s="31" t="s">
        <v>306</v>
      </c>
      <c r="H390" s="31" t="s">
        <v>300</v>
      </c>
      <c r="I390" s="31" t="b">
        <v>0</v>
      </c>
      <c r="J390" s="31">
        <v>18</v>
      </c>
      <c r="K390" s="31">
        <v>2505.8998999999999</v>
      </c>
      <c r="L390" s="32">
        <v>8436900</v>
      </c>
      <c r="M390" s="32">
        <v>1.7788291752655501E+18</v>
      </c>
      <c r="N390" s="31" t="s">
        <v>554</v>
      </c>
      <c r="O390" s="31"/>
    </row>
    <row r="391" spans="1:15">
      <c r="A391" s="31"/>
      <c r="B391" s="31" t="s">
        <v>361</v>
      </c>
      <c r="C391" s="31" t="s">
        <v>362</v>
      </c>
      <c r="D391" s="31" t="s">
        <v>552</v>
      </c>
      <c r="E391" s="31" t="s">
        <v>249</v>
      </c>
      <c r="F391" s="31" t="s">
        <v>250</v>
      </c>
      <c r="G391" s="31" t="s">
        <v>250</v>
      </c>
      <c r="H391" s="31" t="s">
        <v>300</v>
      </c>
      <c r="I391" s="31" t="b">
        <v>0</v>
      </c>
      <c r="J391" s="31">
        <v>139</v>
      </c>
      <c r="K391" s="31">
        <v>970.2</v>
      </c>
      <c r="L391" s="32">
        <v>607127058</v>
      </c>
      <c r="M391" s="32">
        <v>1300000075009446</v>
      </c>
      <c r="N391" s="31" t="s">
        <v>555</v>
      </c>
      <c r="O391" s="31"/>
    </row>
    <row r="392" spans="1:15">
      <c r="A392" s="31"/>
      <c r="B392" s="31" t="s">
        <v>361</v>
      </c>
      <c r="C392" s="31" t="s">
        <v>362</v>
      </c>
      <c r="D392" s="31" t="s">
        <v>552</v>
      </c>
      <c r="E392" s="31" t="s">
        <v>249</v>
      </c>
      <c r="F392" s="31" t="s">
        <v>250</v>
      </c>
      <c r="G392" s="31" t="s">
        <v>250</v>
      </c>
      <c r="H392" s="31" t="s">
        <v>300</v>
      </c>
      <c r="I392" s="31" t="b">
        <v>0</v>
      </c>
      <c r="J392" s="31">
        <v>139</v>
      </c>
      <c r="K392" s="31">
        <v>970.4</v>
      </c>
      <c r="L392" s="32">
        <v>607127057</v>
      </c>
      <c r="M392" s="32">
        <v>1300000075009446</v>
      </c>
      <c r="N392" s="31" t="s">
        <v>555</v>
      </c>
      <c r="O392" s="31"/>
    </row>
    <row r="393" spans="1:15">
      <c r="A393" s="31"/>
      <c r="B393" s="31" t="s">
        <v>490</v>
      </c>
      <c r="C393" s="31" t="s">
        <v>491</v>
      </c>
      <c r="D393" s="31" t="s">
        <v>552</v>
      </c>
      <c r="E393" s="31" t="s">
        <v>249</v>
      </c>
      <c r="F393" s="31" t="s">
        <v>250</v>
      </c>
      <c r="G393" s="31" t="s">
        <v>250</v>
      </c>
      <c r="H393" s="31" t="s">
        <v>300</v>
      </c>
      <c r="I393" s="31" t="b">
        <v>0</v>
      </c>
      <c r="J393" s="31">
        <v>80</v>
      </c>
      <c r="K393" s="31">
        <v>304.10000000000002</v>
      </c>
      <c r="L393" s="32">
        <v>607151187</v>
      </c>
      <c r="M393" s="32">
        <v>1300000075257931</v>
      </c>
      <c r="N393" s="31" t="s">
        <v>556</v>
      </c>
      <c r="O393" s="31"/>
    </row>
    <row r="394" spans="1:15">
      <c r="A394" s="31"/>
      <c r="B394" s="31" t="s">
        <v>348</v>
      </c>
      <c r="C394" s="31" t="s">
        <v>349</v>
      </c>
      <c r="D394" s="31" t="s">
        <v>552</v>
      </c>
      <c r="E394" s="31" t="s">
        <v>249</v>
      </c>
      <c r="F394" s="31" t="s">
        <v>250</v>
      </c>
      <c r="G394" s="31" t="s">
        <v>250</v>
      </c>
      <c r="H394" s="31" t="s">
        <v>300</v>
      </c>
      <c r="I394" s="31" t="b">
        <v>0</v>
      </c>
      <c r="J394" s="31">
        <v>100</v>
      </c>
      <c r="K394" s="31">
        <v>367</v>
      </c>
      <c r="L394" s="32">
        <v>206749723</v>
      </c>
      <c r="M394" s="32">
        <v>1100000069714916</v>
      </c>
      <c r="N394" s="31" t="s">
        <v>557</v>
      </c>
      <c r="O394" s="31"/>
    </row>
    <row r="395" spans="1:15">
      <c r="A395" s="31"/>
      <c r="B395" s="31" t="s">
        <v>348</v>
      </c>
      <c r="C395" s="31" t="s">
        <v>349</v>
      </c>
      <c r="D395" s="31" t="s">
        <v>552</v>
      </c>
      <c r="E395" s="31" t="s">
        <v>249</v>
      </c>
      <c r="F395" s="31" t="s">
        <v>250</v>
      </c>
      <c r="G395" s="31" t="s">
        <v>250</v>
      </c>
      <c r="H395" s="31" t="s">
        <v>300</v>
      </c>
      <c r="I395" s="31" t="b">
        <v>0</v>
      </c>
      <c r="J395" s="31">
        <v>41</v>
      </c>
      <c r="K395" s="31">
        <v>367</v>
      </c>
      <c r="L395" s="32">
        <v>206749724</v>
      </c>
      <c r="M395" s="32">
        <v>1100000069714916</v>
      </c>
      <c r="N395" s="31" t="s">
        <v>557</v>
      </c>
      <c r="O395" s="31"/>
    </row>
    <row r="396" spans="1:15">
      <c r="A396" s="31"/>
      <c r="B396" s="31" t="s">
        <v>348</v>
      </c>
      <c r="C396" s="31" t="s">
        <v>349</v>
      </c>
      <c r="D396" s="31" t="s">
        <v>552</v>
      </c>
      <c r="E396" s="31" t="s">
        <v>249</v>
      </c>
      <c r="F396" s="31" t="s">
        <v>250</v>
      </c>
      <c r="G396" s="31" t="s">
        <v>250</v>
      </c>
      <c r="H396" s="31" t="s">
        <v>300</v>
      </c>
      <c r="I396" s="31" t="b">
        <v>0</v>
      </c>
      <c r="J396" s="31">
        <v>64</v>
      </c>
      <c r="K396" s="31">
        <v>367</v>
      </c>
      <c r="L396" s="32">
        <v>206749722</v>
      </c>
      <c r="M396" s="32">
        <v>1100000069714916</v>
      </c>
      <c r="N396" s="31" t="s">
        <v>557</v>
      </c>
      <c r="O396" s="31"/>
    </row>
    <row r="397" spans="1:15">
      <c r="A397" s="31"/>
      <c r="B397" s="31" t="s">
        <v>358</v>
      </c>
      <c r="C397" s="31" t="s">
        <v>359</v>
      </c>
      <c r="D397" s="31" t="s">
        <v>552</v>
      </c>
      <c r="E397" s="31" t="s">
        <v>249</v>
      </c>
      <c r="F397" s="31" t="s">
        <v>250</v>
      </c>
      <c r="G397" s="31" t="s">
        <v>250</v>
      </c>
      <c r="H397" s="31" t="s">
        <v>300</v>
      </c>
      <c r="I397" s="31" t="b">
        <v>0</v>
      </c>
      <c r="J397" s="31">
        <v>49</v>
      </c>
      <c r="K397" s="31">
        <v>136.25</v>
      </c>
      <c r="L397" s="32">
        <v>206751108</v>
      </c>
      <c r="M397" s="32">
        <v>1100000069734612</v>
      </c>
      <c r="N397" s="31" t="s">
        <v>558</v>
      </c>
      <c r="O397" s="31"/>
    </row>
    <row r="398" spans="1:15">
      <c r="A398" s="31"/>
      <c r="B398" s="31" t="s">
        <v>358</v>
      </c>
      <c r="C398" s="31" t="s">
        <v>359</v>
      </c>
      <c r="D398" s="31" t="s">
        <v>552</v>
      </c>
      <c r="E398" s="31" t="s">
        <v>249</v>
      </c>
      <c r="F398" s="31" t="s">
        <v>250</v>
      </c>
      <c r="G398" s="31" t="s">
        <v>250</v>
      </c>
      <c r="H398" s="31" t="s">
        <v>300</v>
      </c>
      <c r="I398" s="31" t="b">
        <v>0</v>
      </c>
      <c r="J398" s="31">
        <v>201</v>
      </c>
      <c r="K398" s="31">
        <v>136.25</v>
      </c>
      <c r="L398" s="32">
        <v>206751110</v>
      </c>
      <c r="M398" s="32">
        <v>1100000069734612</v>
      </c>
      <c r="N398" s="31" t="s">
        <v>558</v>
      </c>
      <c r="O398" s="31"/>
    </row>
    <row r="399" spans="1:15">
      <c r="A399" s="31"/>
      <c r="B399" s="31" t="s">
        <v>358</v>
      </c>
      <c r="C399" s="31" t="s">
        <v>359</v>
      </c>
      <c r="D399" s="31" t="s">
        <v>552</v>
      </c>
      <c r="E399" s="31" t="s">
        <v>249</v>
      </c>
      <c r="F399" s="31" t="s">
        <v>250</v>
      </c>
      <c r="G399" s="31" t="s">
        <v>250</v>
      </c>
      <c r="H399" s="31" t="s">
        <v>300</v>
      </c>
      <c r="I399" s="31" t="b">
        <v>0</v>
      </c>
      <c r="J399" s="31">
        <v>33</v>
      </c>
      <c r="K399" s="31">
        <v>136.25</v>
      </c>
      <c r="L399" s="32">
        <v>206751111</v>
      </c>
      <c r="M399" s="32">
        <v>1100000069734612</v>
      </c>
      <c r="N399" s="31" t="s">
        <v>558</v>
      </c>
      <c r="O399" s="31"/>
    </row>
    <row r="400" spans="1:15">
      <c r="A400" s="31"/>
      <c r="B400" s="31" t="s">
        <v>358</v>
      </c>
      <c r="C400" s="31" t="s">
        <v>359</v>
      </c>
      <c r="D400" s="31" t="s">
        <v>552</v>
      </c>
      <c r="E400" s="31" t="s">
        <v>249</v>
      </c>
      <c r="F400" s="31" t="s">
        <v>250</v>
      </c>
      <c r="G400" s="31" t="s">
        <v>250</v>
      </c>
      <c r="H400" s="31" t="s">
        <v>300</v>
      </c>
      <c r="I400" s="31" t="b">
        <v>0</v>
      </c>
      <c r="J400" s="31">
        <v>103</v>
      </c>
      <c r="K400" s="31">
        <v>136.25</v>
      </c>
      <c r="L400" s="32">
        <v>206751109</v>
      </c>
      <c r="M400" s="32">
        <v>1100000069734612</v>
      </c>
      <c r="N400" s="31" t="s">
        <v>558</v>
      </c>
      <c r="O400" s="31"/>
    </row>
    <row r="401" spans="1:15">
      <c r="A401" s="31"/>
      <c r="B401" s="31" t="s">
        <v>168</v>
      </c>
      <c r="C401" s="31" t="s">
        <v>535</v>
      </c>
      <c r="D401" s="31" t="s">
        <v>552</v>
      </c>
      <c r="E401" s="31" t="s">
        <v>249</v>
      </c>
      <c r="F401" s="31" t="s">
        <v>250</v>
      </c>
      <c r="G401" s="31" t="s">
        <v>250</v>
      </c>
      <c r="H401" s="31" t="s">
        <v>251</v>
      </c>
      <c r="I401" s="31" t="b">
        <v>0</v>
      </c>
      <c r="J401" s="31">
        <v>1</v>
      </c>
      <c r="K401" s="31">
        <v>1583.5</v>
      </c>
      <c r="L401" s="32">
        <v>406658173</v>
      </c>
      <c r="M401" s="32">
        <v>1200000075614562</v>
      </c>
      <c r="N401" s="31" t="s">
        <v>559</v>
      </c>
      <c r="O401" s="31"/>
    </row>
    <row r="402" spans="1:15">
      <c r="A402" s="31"/>
      <c r="B402" s="31" t="s">
        <v>168</v>
      </c>
      <c r="C402" s="31" t="s">
        <v>535</v>
      </c>
      <c r="D402" s="31" t="s">
        <v>552</v>
      </c>
      <c r="E402" s="31" t="s">
        <v>249</v>
      </c>
      <c r="F402" s="31" t="s">
        <v>250</v>
      </c>
      <c r="G402" s="31" t="s">
        <v>250</v>
      </c>
      <c r="H402" s="31" t="s">
        <v>251</v>
      </c>
      <c r="I402" s="31" t="b">
        <v>0</v>
      </c>
      <c r="J402" s="31">
        <v>3</v>
      </c>
      <c r="K402" s="31">
        <v>1583.3</v>
      </c>
      <c r="L402" s="32">
        <v>406658171</v>
      </c>
      <c r="M402" s="32">
        <v>1200000075614562</v>
      </c>
      <c r="N402" s="31" t="s">
        <v>559</v>
      </c>
      <c r="O402" s="31"/>
    </row>
    <row r="403" spans="1:15">
      <c r="A403" s="31"/>
      <c r="B403" s="31" t="s">
        <v>168</v>
      </c>
      <c r="C403" s="31" t="s">
        <v>535</v>
      </c>
      <c r="D403" s="31" t="s">
        <v>552</v>
      </c>
      <c r="E403" s="31" t="s">
        <v>249</v>
      </c>
      <c r="F403" s="31" t="s">
        <v>250</v>
      </c>
      <c r="G403" s="31" t="s">
        <v>250</v>
      </c>
      <c r="H403" s="31" t="s">
        <v>251</v>
      </c>
      <c r="I403" s="31" t="b">
        <v>0</v>
      </c>
      <c r="J403" s="31">
        <v>4</v>
      </c>
      <c r="K403" s="31">
        <v>1583.1</v>
      </c>
      <c r="L403" s="32">
        <v>406658169</v>
      </c>
      <c r="M403" s="32">
        <v>1200000075614562</v>
      </c>
      <c r="N403" s="31" t="s">
        <v>559</v>
      </c>
      <c r="O403" s="31"/>
    </row>
    <row r="404" spans="1:15">
      <c r="A404" s="31"/>
      <c r="B404" s="31" t="s">
        <v>168</v>
      </c>
      <c r="C404" s="31" t="s">
        <v>535</v>
      </c>
      <c r="D404" s="31" t="s">
        <v>552</v>
      </c>
      <c r="E404" s="31" t="s">
        <v>249</v>
      </c>
      <c r="F404" s="31" t="s">
        <v>250</v>
      </c>
      <c r="G404" s="31" t="s">
        <v>250</v>
      </c>
      <c r="H404" s="31" t="s">
        <v>251</v>
      </c>
      <c r="I404" s="31" t="b">
        <v>0</v>
      </c>
      <c r="J404" s="31">
        <v>4</v>
      </c>
      <c r="K404" s="31">
        <v>1583.3</v>
      </c>
      <c r="L404" s="32">
        <v>406658170</v>
      </c>
      <c r="M404" s="32">
        <v>1200000075614562</v>
      </c>
      <c r="N404" s="31" t="s">
        <v>559</v>
      </c>
      <c r="O404" s="31"/>
    </row>
    <row r="405" spans="1:15">
      <c r="A405" s="31"/>
      <c r="B405" s="31" t="s">
        <v>168</v>
      </c>
      <c r="C405" s="31" t="s">
        <v>535</v>
      </c>
      <c r="D405" s="31" t="s">
        <v>552</v>
      </c>
      <c r="E405" s="31" t="s">
        <v>249</v>
      </c>
      <c r="F405" s="31" t="s">
        <v>250</v>
      </c>
      <c r="G405" s="31" t="s">
        <v>250</v>
      </c>
      <c r="H405" s="31" t="s">
        <v>251</v>
      </c>
      <c r="I405" s="31" t="b">
        <v>0</v>
      </c>
      <c r="J405" s="31">
        <v>4</v>
      </c>
      <c r="K405" s="31">
        <v>1583.4</v>
      </c>
      <c r="L405" s="32">
        <v>406658172</v>
      </c>
      <c r="M405" s="32">
        <v>1200000075614562</v>
      </c>
      <c r="N405" s="31" t="s">
        <v>559</v>
      </c>
      <c r="O405" s="31"/>
    </row>
    <row r="406" spans="1:15">
      <c r="A406" s="31"/>
      <c r="B406" s="31" t="s">
        <v>136</v>
      </c>
      <c r="C406" s="31" t="s">
        <v>560</v>
      </c>
      <c r="D406" s="31" t="s">
        <v>552</v>
      </c>
      <c r="E406" s="31" t="s">
        <v>249</v>
      </c>
      <c r="F406" s="31" t="s">
        <v>250</v>
      </c>
      <c r="G406" s="31" t="s">
        <v>250</v>
      </c>
      <c r="H406" s="31" t="s">
        <v>251</v>
      </c>
      <c r="I406" s="31" t="b">
        <v>0</v>
      </c>
      <c r="J406" s="31">
        <v>38</v>
      </c>
      <c r="K406" s="31">
        <v>1325.5</v>
      </c>
      <c r="L406" s="32">
        <v>408006404</v>
      </c>
      <c r="M406" s="32">
        <v>1200000088607726</v>
      </c>
      <c r="N406" s="31" t="s">
        <v>561</v>
      </c>
      <c r="O406" s="31"/>
    </row>
    <row r="407" spans="1:15">
      <c r="A407" s="31"/>
      <c r="B407" s="31" t="s">
        <v>188</v>
      </c>
      <c r="C407" s="31" t="s">
        <v>562</v>
      </c>
      <c r="D407" s="31" t="s">
        <v>552</v>
      </c>
      <c r="E407" s="31" t="s">
        <v>249</v>
      </c>
      <c r="F407" s="31" t="s">
        <v>250</v>
      </c>
      <c r="G407" s="31" t="s">
        <v>250</v>
      </c>
      <c r="H407" s="31" t="s">
        <v>251</v>
      </c>
      <c r="I407" s="31" t="b">
        <v>0</v>
      </c>
      <c r="J407" s="31">
        <v>15</v>
      </c>
      <c r="K407" s="31">
        <v>2727.2</v>
      </c>
      <c r="L407" s="32">
        <v>7218708</v>
      </c>
      <c r="M407" s="32">
        <v>1000000079349236</v>
      </c>
      <c r="N407" s="31" t="s">
        <v>563</v>
      </c>
      <c r="O407" s="31"/>
    </row>
    <row r="408" spans="1:15">
      <c r="A408" s="31"/>
      <c r="B408" s="31" t="s">
        <v>188</v>
      </c>
      <c r="C408" s="31" t="s">
        <v>562</v>
      </c>
      <c r="D408" s="31" t="s">
        <v>552</v>
      </c>
      <c r="E408" s="31" t="s">
        <v>249</v>
      </c>
      <c r="F408" s="31" t="s">
        <v>250</v>
      </c>
      <c r="G408" s="31" t="s">
        <v>250</v>
      </c>
      <c r="H408" s="31" t="s">
        <v>251</v>
      </c>
      <c r="I408" s="31" t="b">
        <v>0</v>
      </c>
      <c r="J408" s="31">
        <v>4</v>
      </c>
      <c r="K408" s="31">
        <v>2727.2</v>
      </c>
      <c r="L408" s="32">
        <v>7218709</v>
      </c>
      <c r="M408" s="32">
        <v>1000000079349236</v>
      </c>
      <c r="N408" s="31" t="s">
        <v>563</v>
      </c>
      <c r="O408" s="31"/>
    </row>
    <row r="409" spans="1:15">
      <c r="A409" s="31"/>
      <c r="B409" s="31" t="s">
        <v>564</v>
      </c>
      <c r="C409" s="31" t="s">
        <v>565</v>
      </c>
      <c r="D409" s="31" t="s">
        <v>552</v>
      </c>
      <c r="E409" s="31" t="s">
        <v>249</v>
      </c>
      <c r="F409" s="31" t="s">
        <v>250</v>
      </c>
      <c r="G409" s="31" t="s">
        <v>250</v>
      </c>
      <c r="H409" s="31" t="s">
        <v>251</v>
      </c>
      <c r="I409" s="31" t="b">
        <v>0</v>
      </c>
      <c r="J409" s="31">
        <v>1</v>
      </c>
      <c r="K409" s="31">
        <v>2730</v>
      </c>
      <c r="L409" s="32">
        <v>7769815</v>
      </c>
      <c r="M409" s="32">
        <v>1000000082794405</v>
      </c>
      <c r="N409" s="31" t="s">
        <v>566</v>
      </c>
      <c r="O409" s="31"/>
    </row>
    <row r="410" spans="1:15">
      <c r="A410" s="31"/>
      <c r="B410" s="31" t="s">
        <v>564</v>
      </c>
      <c r="C410" s="31" t="s">
        <v>565</v>
      </c>
      <c r="D410" s="31" t="s">
        <v>552</v>
      </c>
      <c r="E410" s="31" t="s">
        <v>249</v>
      </c>
      <c r="F410" s="31" t="s">
        <v>250</v>
      </c>
      <c r="G410" s="31" t="s">
        <v>250</v>
      </c>
      <c r="H410" s="31" t="s">
        <v>251</v>
      </c>
      <c r="I410" s="31" t="b">
        <v>0</v>
      </c>
      <c r="J410" s="31">
        <v>17</v>
      </c>
      <c r="K410" s="31">
        <v>2730</v>
      </c>
      <c r="L410" s="32">
        <v>7769814</v>
      </c>
      <c r="M410" s="32">
        <v>1000000082794405</v>
      </c>
      <c r="N410" s="31" t="s">
        <v>566</v>
      </c>
      <c r="O410" s="31"/>
    </row>
    <row r="411" spans="1:15">
      <c r="A411" s="31"/>
      <c r="B411" s="31" t="s">
        <v>83</v>
      </c>
      <c r="C411" s="31" t="s">
        <v>567</v>
      </c>
      <c r="D411" s="31" t="s">
        <v>552</v>
      </c>
      <c r="E411" s="31" t="s">
        <v>249</v>
      </c>
      <c r="F411" s="31" t="s">
        <v>250</v>
      </c>
      <c r="G411" s="31" t="s">
        <v>250</v>
      </c>
      <c r="H411" s="31" t="s">
        <v>251</v>
      </c>
      <c r="I411" s="31" t="b">
        <v>0</v>
      </c>
      <c r="J411" s="31">
        <v>16</v>
      </c>
      <c r="K411" s="31">
        <v>3127</v>
      </c>
      <c r="L411" s="32">
        <v>408659311</v>
      </c>
      <c r="M411" s="32">
        <v>1200000092419234</v>
      </c>
      <c r="N411" s="31" t="s">
        <v>568</v>
      </c>
      <c r="O411" s="31"/>
    </row>
    <row r="412" spans="1:15">
      <c r="A412" s="31"/>
      <c r="B412" s="31" t="s">
        <v>63</v>
      </c>
      <c r="C412" s="31" t="s">
        <v>569</v>
      </c>
      <c r="D412" s="31" t="s">
        <v>570</v>
      </c>
      <c r="E412" s="31" t="s">
        <v>249</v>
      </c>
      <c r="F412" s="31" t="s">
        <v>250</v>
      </c>
      <c r="G412" s="31" t="s">
        <v>250</v>
      </c>
      <c r="H412" s="31" t="s">
        <v>251</v>
      </c>
      <c r="I412" s="31" t="b">
        <v>0</v>
      </c>
      <c r="J412" s="31">
        <v>10</v>
      </c>
      <c r="K412" s="31">
        <v>1505.6</v>
      </c>
      <c r="L412" s="32">
        <v>6180298</v>
      </c>
      <c r="M412" s="32">
        <v>1000000066826705</v>
      </c>
      <c r="N412" s="31" t="s">
        <v>571</v>
      </c>
      <c r="O412" s="31"/>
    </row>
    <row r="413" spans="1:15">
      <c r="A413" s="31"/>
      <c r="B413" s="31" t="s">
        <v>63</v>
      </c>
      <c r="C413" s="31" t="s">
        <v>569</v>
      </c>
      <c r="D413" s="31" t="s">
        <v>570</v>
      </c>
      <c r="E413" s="31" t="s">
        <v>249</v>
      </c>
      <c r="F413" s="31" t="s">
        <v>250</v>
      </c>
      <c r="G413" s="31" t="s">
        <v>250</v>
      </c>
      <c r="H413" s="31" t="s">
        <v>251</v>
      </c>
      <c r="I413" s="31" t="b">
        <v>0</v>
      </c>
      <c r="J413" s="31">
        <v>10</v>
      </c>
      <c r="K413" s="31">
        <v>1505.6</v>
      </c>
      <c r="L413" s="32">
        <v>6180301</v>
      </c>
      <c r="M413" s="32">
        <v>1000000066826705</v>
      </c>
      <c r="N413" s="31" t="s">
        <v>571</v>
      </c>
      <c r="O413" s="31"/>
    </row>
    <row r="414" spans="1:15">
      <c r="A414" s="31"/>
      <c r="B414" s="31" t="s">
        <v>63</v>
      </c>
      <c r="C414" s="31" t="s">
        <v>569</v>
      </c>
      <c r="D414" s="31" t="s">
        <v>570</v>
      </c>
      <c r="E414" s="31" t="s">
        <v>249</v>
      </c>
      <c r="F414" s="31" t="s">
        <v>250</v>
      </c>
      <c r="G414" s="31" t="s">
        <v>250</v>
      </c>
      <c r="H414" s="31" t="s">
        <v>251</v>
      </c>
      <c r="I414" s="31" t="b">
        <v>0</v>
      </c>
      <c r="J414" s="31">
        <v>1</v>
      </c>
      <c r="K414" s="31">
        <v>1505.6</v>
      </c>
      <c r="L414" s="32">
        <v>6180299</v>
      </c>
      <c r="M414" s="32">
        <v>1000000066826705</v>
      </c>
      <c r="N414" s="31" t="s">
        <v>571</v>
      </c>
      <c r="O414" s="31"/>
    </row>
    <row r="415" spans="1:15">
      <c r="A415" s="31"/>
      <c r="B415" s="31" t="s">
        <v>63</v>
      </c>
      <c r="C415" s="31" t="s">
        <v>569</v>
      </c>
      <c r="D415" s="31" t="s">
        <v>570</v>
      </c>
      <c r="E415" s="31" t="s">
        <v>249</v>
      </c>
      <c r="F415" s="31" t="s">
        <v>250</v>
      </c>
      <c r="G415" s="31" t="s">
        <v>250</v>
      </c>
      <c r="H415" s="31" t="s">
        <v>251</v>
      </c>
      <c r="I415" s="31" t="b">
        <v>0</v>
      </c>
      <c r="J415" s="31">
        <v>12</v>
      </c>
      <c r="K415" s="31">
        <v>1505.6</v>
      </c>
      <c r="L415" s="32">
        <v>6180300</v>
      </c>
      <c r="M415" s="32">
        <v>1000000066826705</v>
      </c>
      <c r="N415" s="31" t="s">
        <v>571</v>
      </c>
      <c r="O415" s="31"/>
    </row>
    <row r="416" spans="1:15">
      <c r="A416" s="31"/>
      <c r="B416" s="31" t="s">
        <v>57</v>
      </c>
      <c r="C416" s="31" t="s">
        <v>572</v>
      </c>
      <c r="D416" s="31" t="s">
        <v>570</v>
      </c>
      <c r="E416" s="31" t="s">
        <v>249</v>
      </c>
      <c r="F416" s="31" t="s">
        <v>250</v>
      </c>
      <c r="G416" s="31" t="s">
        <v>250</v>
      </c>
      <c r="H416" s="31" t="s">
        <v>251</v>
      </c>
      <c r="I416" s="31" t="b">
        <v>0</v>
      </c>
      <c r="J416" s="31">
        <v>10</v>
      </c>
      <c r="K416" s="31">
        <v>1713.2</v>
      </c>
      <c r="L416" s="32">
        <v>6186275</v>
      </c>
      <c r="M416" s="32">
        <v>1000000066876330</v>
      </c>
      <c r="N416" s="31" t="s">
        <v>573</v>
      </c>
      <c r="O416" s="31"/>
    </row>
    <row r="417" spans="1:15">
      <c r="A417" s="31"/>
      <c r="B417" s="31" t="s">
        <v>57</v>
      </c>
      <c r="C417" s="31" t="s">
        <v>572</v>
      </c>
      <c r="D417" s="31" t="s">
        <v>570</v>
      </c>
      <c r="E417" s="31" t="s">
        <v>249</v>
      </c>
      <c r="F417" s="31" t="s">
        <v>250</v>
      </c>
      <c r="G417" s="31" t="s">
        <v>250</v>
      </c>
      <c r="H417" s="31" t="s">
        <v>251</v>
      </c>
      <c r="I417" s="31" t="b">
        <v>0</v>
      </c>
      <c r="J417" s="31">
        <v>10</v>
      </c>
      <c r="K417" s="31">
        <v>1713.8</v>
      </c>
      <c r="L417" s="32">
        <v>6186277</v>
      </c>
      <c r="M417" s="32">
        <v>1000000066876330</v>
      </c>
      <c r="N417" s="31" t="s">
        <v>573</v>
      </c>
      <c r="O417" s="31"/>
    </row>
    <row r="418" spans="1:15">
      <c r="A418" s="31"/>
      <c r="B418" s="31" t="s">
        <v>57</v>
      </c>
      <c r="C418" s="31" t="s">
        <v>572</v>
      </c>
      <c r="D418" s="31" t="s">
        <v>570</v>
      </c>
      <c r="E418" s="31" t="s">
        <v>249</v>
      </c>
      <c r="F418" s="31" t="s">
        <v>250</v>
      </c>
      <c r="G418" s="31" t="s">
        <v>250</v>
      </c>
      <c r="H418" s="31" t="s">
        <v>251</v>
      </c>
      <c r="I418" s="31" t="b">
        <v>0</v>
      </c>
      <c r="J418" s="31">
        <v>1</v>
      </c>
      <c r="K418" s="31">
        <v>1712.9</v>
      </c>
      <c r="L418" s="32">
        <v>6186273</v>
      </c>
      <c r="M418" s="32">
        <v>1000000066876330</v>
      </c>
      <c r="N418" s="31" t="s">
        <v>573</v>
      </c>
      <c r="O418" s="31"/>
    </row>
    <row r="419" spans="1:15">
      <c r="A419" s="31"/>
      <c r="B419" s="31" t="s">
        <v>57</v>
      </c>
      <c r="C419" s="31" t="s">
        <v>572</v>
      </c>
      <c r="D419" s="31" t="s">
        <v>570</v>
      </c>
      <c r="E419" s="31" t="s">
        <v>249</v>
      </c>
      <c r="F419" s="31" t="s">
        <v>250</v>
      </c>
      <c r="G419" s="31" t="s">
        <v>250</v>
      </c>
      <c r="H419" s="31" t="s">
        <v>251</v>
      </c>
      <c r="I419" s="31" t="b">
        <v>0</v>
      </c>
      <c r="J419" s="31">
        <v>4</v>
      </c>
      <c r="K419" s="31">
        <v>1713</v>
      </c>
      <c r="L419" s="32">
        <v>6186274</v>
      </c>
      <c r="M419" s="32">
        <v>1000000066876330</v>
      </c>
      <c r="N419" s="31" t="s">
        <v>573</v>
      </c>
      <c r="O419" s="31"/>
    </row>
    <row r="420" spans="1:15">
      <c r="A420" s="31"/>
      <c r="B420" s="31" t="s">
        <v>57</v>
      </c>
      <c r="C420" s="31" t="s">
        <v>572</v>
      </c>
      <c r="D420" s="31" t="s">
        <v>570</v>
      </c>
      <c r="E420" s="31" t="s">
        <v>249</v>
      </c>
      <c r="F420" s="31" t="s">
        <v>250</v>
      </c>
      <c r="G420" s="31" t="s">
        <v>250</v>
      </c>
      <c r="H420" s="31" t="s">
        <v>251</v>
      </c>
      <c r="I420" s="31" t="b">
        <v>0</v>
      </c>
      <c r="J420" s="31">
        <v>4</v>
      </c>
      <c r="K420" s="31">
        <v>1713.6</v>
      </c>
      <c r="L420" s="32">
        <v>6186276</v>
      </c>
      <c r="M420" s="32">
        <v>1000000066876330</v>
      </c>
      <c r="N420" s="31" t="s">
        <v>573</v>
      </c>
      <c r="O420" s="31"/>
    </row>
    <row r="421" spans="1:15">
      <c r="A421" s="31"/>
      <c r="B421" s="31" t="s">
        <v>55</v>
      </c>
      <c r="C421" s="31" t="s">
        <v>415</v>
      </c>
      <c r="D421" s="31" t="s">
        <v>570</v>
      </c>
      <c r="E421" s="31" t="s">
        <v>80</v>
      </c>
      <c r="F421" s="31" t="s">
        <v>250</v>
      </c>
      <c r="G421" s="31" t="s">
        <v>429</v>
      </c>
      <c r="H421" s="31" t="s">
        <v>251</v>
      </c>
      <c r="I421" s="31" t="b">
        <v>0</v>
      </c>
      <c r="J421" s="31">
        <v>411</v>
      </c>
      <c r="K421" s="31">
        <v>121.7</v>
      </c>
      <c r="L421" s="32">
        <v>10509600</v>
      </c>
      <c r="M421" s="32">
        <v>1.7790926332850911E+18</v>
      </c>
      <c r="N421" s="31" t="s">
        <v>574</v>
      </c>
      <c r="O421" s="31"/>
    </row>
    <row r="422" spans="1:15">
      <c r="A422" s="31"/>
      <c r="B422" s="31" t="s">
        <v>65</v>
      </c>
      <c r="C422" s="31" t="s">
        <v>422</v>
      </c>
      <c r="D422" s="31" t="s">
        <v>570</v>
      </c>
      <c r="E422" s="31" t="s">
        <v>249</v>
      </c>
      <c r="F422" s="31" t="s">
        <v>250</v>
      </c>
      <c r="G422" s="31" t="s">
        <v>250</v>
      </c>
      <c r="H422" s="31" t="s">
        <v>251</v>
      </c>
      <c r="I422" s="31" t="b">
        <v>0</v>
      </c>
      <c r="J422" s="31">
        <v>10</v>
      </c>
      <c r="K422" s="31">
        <v>3214</v>
      </c>
      <c r="L422" s="32">
        <v>6654262</v>
      </c>
      <c r="M422" s="32">
        <v>1000000071638445</v>
      </c>
      <c r="N422" s="31" t="s">
        <v>575</v>
      </c>
      <c r="O422" s="31"/>
    </row>
    <row r="423" spans="1:15">
      <c r="A423" s="31"/>
      <c r="B423" s="31" t="s">
        <v>67</v>
      </c>
      <c r="C423" s="31" t="s">
        <v>576</v>
      </c>
      <c r="D423" s="31" t="s">
        <v>570</v>
      </c>
      <c r="E423" s="31" t="s">
        <v>249</v>
      </c>
      <c r="F423" s="31" t="s">
        <v>250</v>
      </c>
      <c r="G423" s="31" t="s">
        <v>250</v>
      </c>
      <c r="H423" s="31" t="s">
        <v>251</v>
      </c>
      <c r="I423" s="31" t="b">
        <v>0</v>
      </c>
      <c r="J423" s="31">
        <v>26</v>
      </c>
      <c r="K423" s="31">
        <v>1899.2</v>
      </c>
      <c r="L423" s="32">
        <v>609084122</v>
      </c>
      <c r="M423" s="32">
        <v>1300000096080231</v>
      </c>
      <c r="N423" s="31" t="s">
        <v>577</v>
      </c>
      <c r="O423" s="31"/>
    </row>
    <row r="424" spans="1:15">
      <c r="A424" s="31"/>
      <c r="B424" s="31" t="s">
        <v>364</v>
      </c>
      <c r="C424" s="31" t="s">
        <v>365</v>
      </c>
      <c r="D424" s="31" t="s">
        <v>463</v>
      </c>
      <c r="E424" s="31" t="s">
        <v>249</v>
      </c>
      <c r="F424" s="31" t="s">
        <v>250</v>
      </c>
      <c r="G424" s="31" t="s">
        <v>250</v>
      </c>
      <c r="H424" s="31" t="s">
        <v>300</v>
      </c>
      <c r="I424" s="31" t="b">
        <v>0</v>
      </c>
      <c r="J424" s="31">
        <v>10</v>
      </c>
      <c r="K424" s="31">
        <v>271.55</v>
      </c>
      <c r="L424" s="32">
        <v>3556965</v>
      </c>
      <c r="M424" s="32">
        <v>1000000039324729</v>
      </c>
      <c r="N424" s="31" t="s">
        <v>466</v>
      </c>
      <c r="O424" s="31"/>
    </row>
    <row r="425" spans="1:15">
      <c r="A425" s="31"/>
      <c r="B425" s="31" t="s">
        <v>364</v>
      </c>
      <c r="C425" s="31" t="s">
        <v>365</v>
      </c>
      <c r="D425" s="31" t="s">
        <v>463</v>
      </c>
      <c r="E425" s="31" t="s">
        <v>249</v>
      </c>
      <c r="F425" s="31" t="s">
        <v>250</v>
      </c>
      <c r="G425" s="31" t="s">
        <v>250</v>
      </c>
      <c r="H425" s="31" t="s">
        <v>300</v>
      </c>
      <c r="I425" s="31" t="b">
        <v>0</v>
      </c>
      <c r="J425" s="31">
        <v>10</v>
      </c>
      <c r="K425" s="31">
        <v>271.55</v>
      </c>
      <c r="L425" s="32">
        <v>3556967</v>
      </c>
      <c r="M425" s="32">
        <v>1000000039324729</v>
      </c>
      <c r="N425" s="31" t="s">
        <v>466</v>
      </c>
      <c r="O425" s="31"/>
    </row>
    <row r="426" spans="1:15">
      <c r="A426" s="31"/>
      <c r="B426" s="31" t="s">
        <v>364</v>
      </c>
      <c r="C426" s="31" t="s">
        <v>365</v>
      </c>
      <c r="D426" s="31" t="s">
        <v>463</v>
      </c>
      <c r="E426" s="31" t="s">
        <v>249</v>
      </c>
      <c r="F426" s="31" t="s">
        <v>250</v>
      </c>
      <c r="G426" s="31" t="s">
        <v>250</v>
      </c>
      <c r="H426" s="31" t="s">
        <v>300</v>
      </c>
      <c r="I426" s="31" t="b">
        <v>0</v>
      </c>
      <c r="J426" s="31">
        <v>70</v>
      </c>
      <c r="K426" s="31">
        <v>271.55</v>
      </c>
      <c r="L426" s="32">
        <v>3556966</v>
      </c>
      <c r="M426" s="32">
        <v>1000000039324729</v>
      </c>
      <c r="N426" s="31" t="s">
        <v>466</v>
      </c>
      <c r="O426" s="31"/>
    </row>
    <row r="427" spans="1:15">
      <c r="A427" s="31"/>
      <c r="B427" s="31" t="s">
        <v>134</v>
      </c>
      <c r="C427" s="31" t="s">
        <v>578</v>
      </c>
      <c r="D427" s="31" t="s">
        <v>579</v>
      </c>
      <c r="E427" s="31" t="s">
        <v>249</v>
      </c>
      <c r="F427" s="31" t="s">
        <v>250</v>
      </c>
      <c r="G427" s="31" t="s">
        <v>250</v>
      </c>
      <c r="H427" s="31" t="s">
        <v>251</v>
      </c>
      <c r="I427" s="31" t="b">
        <v>0</v>
      </c>
      <c r="J427" s="31">
        <v>16</v>
      </c>
      <c r="K427" s="31">
        <v>670.55</v>
      </c>
      <c r="L427" s="32">
        <v>610264981</v>
      </c>
      <c r="M427" s="32">
        <v>1300000103548770</v>
      </c>
      <c r="N427" s="31" t="s">
        <v>580</v>
      </c>
      <c r="O427" s="31"/>
    </row>
    <row r="428" spans="1:15">
      <c r="A428" s="31"/>
      <c r="B428" s="31" t="s">
        <v>134</v>
      </c>
      <c r="C428" s="31" t="s">
        <v>578</v>
      </c>
      <c r="D428" s="31" t="s">
        <v>579</v>
      </c>
      <c r="E428" s="31" t="s">
        <v>249</v>
      </c>
      <c r="F428" s="31" t="s">
        <v>250</v>
      </c>
      <c r="G428" s="31" t="s">
        <v>250</v>
      </c>
      <c r="H428" s="31" t="s">
        <v>251</v>
      </c>
      <c r="I428" s="31" t="b">
        <v>0</v>
      </c>
      <c r="J428" s="31">
        <v>59</v>
      </c>
      <c r="K428" s="31">
        <v>670.55</v>
      </c>
      <c r="L428" s="32">
        <v>610264982</v>
      </c>
      <c r="M428" s="32">
        <v>1300000103548770</v>
      </c>
      <c r="N428" s="31" t="s">
        <v>580</v>
      </c>
      <c r="O428" s="31"/>
    </row>
    <row r="429" spans="1:15">
      <c r="A429" s="31"/>
      <c r="B429" s="31" t="s">
        <v>273</v>
      </c>
      <c r="C429" s="31" t="s">
        <v>274</v>
      </c>
      <c r="D429" s="31" t="s">
        <v>581</v>
      </c>
      <c r="E429" s="31" t="s">
        <v>80</v>
      </c>
      <c r="F429" s="31" t="s">
        <v>250</v>
      </c>
      <c r="G429" s="31" t="s">
        <v>306</v>
      </c>
      <c r="H429" s="31" t="s">
        <v>300</v>
      </c>
      <c r="I429" s="31" t="b">
        <v>0</v>
      </c>
      <c r="J429" s="31">
        <v>17</v>
      </c>
      <c r="K429" s="31">
        <v>633.6</v>
      </c>
      <c r="L429" s="32">
        <v>5746000</v>
      </c>
      <c r="M429" s="32">
        <v>1.7792507871813509E+18</v>
      </c>
      <c r="N429" s="31" t="s">
        <v>582</v>
      </c>
      <c r="O429" s="31"/>
    </row>
    <row r="430" spans="1:15">
      <c r="A430" s="31"/>
      <c r="B430" s="31" t="s">
        <v>273</v>
      </c>
      <c r="C430" s="31" t="s">
        <v>274</v>
      </c>
      <c r="D430" s="31" t="s">
        <v>581</v>
      </c>
      <c r="E430" s="31" t="s">
        <v>80</v>
      </c>
      <c r="F430" s="31" t="s">
        <v>250</v>
      </c>
      <c r="G430" s="31" t="s">
        <v>306</v>
      </c>
      <c r="H430" s="31" t="s">
        <v>300</v>
      </c>
      <c r="I430" s="31" t="b">
        <v>0</v>
      </c>
      <c r="J430" s="31">
        <v>24</v>
      </c>
      <c r="K430" s="31">
        <v>633.54999999999995</v>
      </c>
      <c r="L430" s="32">
        <v>5746200</v>
      </c>
      <c r="M430" s="32">
        <v>1.7792507871813509E+18</v>
      </c>
      <c r="N430" s="31" t="s">
        <v>582</v>
      </c>
      <c r="O430" s="31"/>
    </row>
    <row r="431" spans="1:15">
      <c r="A431" s="31"/>
      <c r="B431" s="31" t="s">
        <v>440</v>
      </c>
      <c r="C431" s="31" t="s">
        <v>441</v>
      </c>
      <c r="D431" s="31" t="s">
        <v>581</v>
      </c>
      <c r="E431" s="31" t="s">
        <v>80</v>
      </c>
      <c r="F431" s="31" t="s">
        <v>250</v>
      </c>
      <c r="G431" s="31" t="s">
        <v>306</v>
      </c>
      <c r="H431" s="31" t="s">
        <v>300</v>
      </c>
      <c r="I431" s="31" t="b">
        <v>0</v>
      </c>
      <c r="J431" s="31">
        <v>720</v>
      </c>
      <c r="K431" s="31">
        <v>77.709999999999994</v>
      </c>
      <c r="L431" s="32">
        <v>8419700</v>
      </c>
      <c r="M431" s="32">
        <v>1.779251488030295E+18</v>
      </c>
      <c r="N431" s="31" t="s">
        <v>583</v>
      </c>
      <c r="O431" s="31"/>
    </row>
    <row r="432" spans="1:15">
      <c r="A432" s="31"/>
      <c r="B432" s="31" t="s">
        <v>507</v>
      </c>
      <c r="C432" s="31" t="s">
        <v>508</v>
      </c>
      <c r="D432" s="31" t="s">
        <v>581</v>
      </c>
      <c r="E432" s="31" t="s">
        <v>249</v>
      </c>
      <c r="F432" s="31" t="s">
        <v>250</v>
      </c>
      <c r="G432" s="31" t="s">
        <v>250</v>
      </c>
      <c r="H432" s="31" t="s">
        <v>300</v>
      </c>
      <c r="I432" s="31" t="b">
        <v>0</v>
      </c>
      <c r="J432" s="31">
        <v>92</v>
      </c>
      <c r="K432" s="31">
        <v>266.3</v>
      </c>
      <c r="L432" s="32">
        <v>402043589</v>
      </c>
      <c r="M432" s="32">
        <v>1200000022573549</v>
      </c>
      <c r="N432" s="31" t="s">
        <v>584</v>
      </c>
      <c r="O432" s="31"/>
    </row>
    <row r="433" spans="1:15">
      <c r="A433" s="31"/>
      <c r="B433" s="31" t="s">
        <v>56</v>
      </c>
      <c r="C433" s="31" t="s">
        <v>537</v>
      </c>
      <c r="D433" s="31" t="s">
        <v>585</v>
      </c>
      <c r="E433" s="31" t="s">
        <v>249</v>
      </c>
      <c r="F433" s="31" t="s">
        <v>250</v>
      </c>
      <c r="G433" s="31" t="s">
        <v>250</v>
      </c>
      <c r="H433" s="31" t="s">
        <v>251</v>
      </c>
      <c r="I433" s="31" t="b">
        <v>0</v>
      </c>
      <c r="J433" s="31">
        <v>141</v>
      </c>
      <c r="K433" s="31">
        <v>355.5</v>
      </c>
      <c r="L433" s="32">
        <v>5129327</v>
      </c>
      <c r="M433" s="32">
        <v>1000000063206223</v>
      </c>
      <c r="N433" s="31" t="s">
        <v>586</v>
      </c>
      <c r="O433" s="31"/>
    </row>
    <row r="434" spans="1:15">
      <c r="A434" s="31"/>
      <c r="B434" s="31" t="s">
        <v>57</v>
      </c>
      <c r="C434" s="31" t="s">
        <v>572</v>
      </c>
      <c r="D434" s="31" t="s">
        <v>585</v>
      </c>
      <c r="E434" s="31" t="s">
        <v>249</v>
      </c>
      <c r="F434" s="31" t="s">
        <v>250</v>
      </c>
      <c r="G434" s="31" t="s">
        <v>250</v>
      </c>
      <c r="H434" s="31" t="s">
        <v>251</v>
      </c>
      <c r="I434" s="31" t="b">
        <v>0</v>
      </c>
      <c r="J434" s="31">
        <v>1</v>
      </c>
      <c r="K434" s="31">
        <v>1814.3</v>
      </c>
      <c r="L434" s="32">
        <v>5140759</v>
      </c>
      <c r="M434" s="32">
        <v>1000000063330323</v>
      </c>
      <c r="N434" s="31" t="s">
        <v>587</v>
      </c>
      <c r="O434" s="31"/>
    </row>
    <row r="435" spans="1:15">
      <c r="A435" s="31"/>
      <c r="B435" s="31" t="s">
        <v>57</v>
      </c>
      <c r="C435" s="31" t="s">
        <v>572</v>
      </c>
      <c r="D435" s="31" t="s">
        <v>585</v>
      </c>
      <c r="E435" s="31" t="s">
        <v>249</v>
      </c>
      <c r="F435" s="31" t="s">
        <v>250</v>
      </c>
      <c r="G435" s="31" t="s">
        <v>250</v>
      </c>
      <c r="H435" s="31" t="s">
        <v>251</v>
      </c>
      <c r="I435" s="31" t="b">
        <v>0</v>
      </c>
      <c r="J435" s="31">
        <v>2</v>
      </c>
      <c r="K435" s="31">
        <v>1814.5</v>
      </c>
      <c r="L435" s="32">
        <v>5140760</v>
      </c>
      <c r="M435" s="32">
        <v>1000000063330323</v>
      </c>
      <c r="N435" s="31" t="s">
        <v>587</v>
      </c>
      <c r="O435" s="31"/>
    </row>
    <row r="436" spans="1:15">
      <c r="A436" s="31"/>
      <c r="B436" s="31" t="s">
        <v>57</v>
      </c>
      <c r="C436" s="31" t="s">
        <v>572</v>
      </c>
      <c r="D436" s="31" t="s">
        <v>585</v>
      </c>
      <c r="E436" s="31" t="s">
        <v>249</v>
      </c>
      <c r="F436" s="31" t="s">
        <v>250</v>
      </c>
      <c r="G436" s="31" t="s">
        <v>250</v>
      </c>
      <c r="H436" s="31" t="s">
        <v>251</v>
      </c>
      <c r="I436" s="31" t="b">
        <v>0</v>
      </c>
      <c r="J436" s="31">
        <v>2</v>
      </c>
      <c r="K436" s="31">
        <v>1815</v>
      </c>
      <c r="L436" s="32">
        <v>5140764</v>
      </c>
      <c r="M436" s="32">
        <v>1000000063330323</v>
      </c>
      <c r="N436" s="31" t="s">
        <v>587</v>
      </c>
      <c r="O436" s="31"/>
    </row>
    <row r="437" spans="1:15">
      <c r="A437" s="31"/>
      <c r="B437" s="31" t="s">
        <v>57</v>
      </c>
      <c r="C437" s="31" t="s">
        <v>572</v>
      </c>
      <c r="D437" s="31" t="s">
        <v>585</v>
      </c>
      <c r="E437" s="31" t="s">
        <v>249</v>
      </c>
      <c r="F437" s="31" t="s">
        <v>250</v>
      </c>
      <c r="G437" s="31" t="s">
        <v>250</v>
      </c>
      <c r="H437" s="31" t="s">
        <v>251</v>
      </c>
      <c r="I437" s="31" t="b">
        <v>0</v>
      </c>
      <c r="J437" s="31">
        <v>5</v>
      </c>
      <c r="K437" s="31">
        <v>1814.9</v>
      </c>
      <c r="L437" s="32">
        <v>5140762</v>
      </c>
      <c r="M437" s="32">
        <v>1000000063330323</v>
      </c>
      <c r="N437" s="31" t="s">
        <v>587</v>
      </c>
      <c r="O437" s="31"/>
    </row>
    <row r="438" spans="1:15">
      <c r="A438" s="31"/>
      <c r="B438" s="31" t="s">
        <v>57</v>
      </c>
      <c r="C438" s="31" t="s">
        <v>572</v>
      </c>
      <c r="D438" s="31" t="s">
        <v>585</v>
      </c>
      <c r="E438" s="31" t="s">
        <v>249</v>
      </c>
      <c r="F438" s="31" t="s">
        <v>250</v>
      </c>
      <c r="G438" s="31" t="s">
        <v>250</v>
      </c>
      <c r="H438" s="31" t="s">
        <v>251</v>
      </c>
      <c r="I438" s="31" t="b">
        <v>0</v>
      </c>
      <c r="J438" s="31">
        <v>8</v>
      </c>
      <c r="K438" s="31">
        <v>1814.9</v>
      </c>
      <c r="L438" s="32">
        <v>5140763</v>
      </c>
      <c r="M438" s="32">
        <v>1000000063330323</v>
      </c>
      <c r="N438" s="31" t="s">
        <v>587</v>
      </c>
      <c r="O438" s="31"/>
    </row>
    <row r="439" spans="1:15">
      <c r="A439" s="31"/>
      <c r="B439" s="31" t="s">
        <v>57</v>
      </c>
      <c r="C439" s="31" t="s">
        <v>572</v>
      </c>
      <c r="D439" s="31" t="s">
        <v>585</v>
      </c>
      <c r="E439" s="31" t="s">
        <v>249</v>
      </c>
      <c r="F439" s="31" t="s">
        <v>250</v>
      </c>
      <c r="G439" s="31" t="s">
        <v>250</v>
      </c>
      <c r="H439" s="31" t="s">
        <v>251</v>
      </c>
      <c r="I439" s="31" t="b">
        <v>0</v>
      </c>
      <c r="J439" s="31">
        <v>9</v>
      </c>
      <c r="K439" s="31">
        <v>1814.6</v>
      </c>
      <c r="L439" s="32">
        <v>5140761</v>
      </c>
      <c r="M439" s="32">
        <v>1000000063330323</v>
      </c>
      <c r="N439" s="31" t="s">
        <v>587</v>
      </c>
      <c r="O439" s="31"/>
    </row>
    <row r="440" spans="1:15">
      <c r="A440" s="31"/>
      <c r="B440" s="31" t="s">
        <v>95</v>
      </c>
      <c r="C440" s="31" t="s">
        <v>588</v>
      </c>
      <c r="D440" s="31" t="s">
        <v>585</v>
      </c>
      <c r="E440" s="31" t="s">
        <v>80</v>
      </c>
      <c r="F440" s="31" t="s">
        <v>250</v>
      </c>
      <c r="G440" s="31" t="s">
        <v>306</v>
      </c>
      <c r="H440" s="31" t="s">
        <v>251</v>
      </c>
      <c r="I440" s="31" t="b">
        <v>0</v>
      </c>
      <c r="J440" s="31">
        <v>40</v>
      </c>
      <c r="K440" s="31">
        <v>639.20000000000005</v>
      </c>
      <c r="L440" s="32">
        <v>15380500</v>
      </c>
      <c r="M440" s="32">
        <v>1.7794414214461381E+18</v>
      </c>
      <c r="N440" s="31" t="s">
        <v>589</v>
      </c>
      <c r="O440" s="31"/>
    </row>
    <row r="441" spans="1:15">
      <c r="A441" s="31"/>
      <c r="B441" s="31" t="s">
        <v>80</v>
      </c>
      <c r="C441" s="31" t="s">
        <v>396</v>
      </c>
      <c r="D441" s="31" t="s">
        <v>585</v>
      </c>
      <c r="E441" s="31" t="s">
        <v>249</v>
      </c>
      <c r="F441" s="31" t="s">
        <v>250</v>
      </c>
      <c r="G441" s="31" t="s">
        <v>250</v>
      </c>
      <c r="H441" s="31" t="s">
        <v>251</v>
      </c>
      <c r="I441" s="31" t="b">
        <v>0</v>
      </c>
      <c r="J441" s="31">
        <v>11</v>
      </c>
      <c r="K441" s="31">
        <v>4195.1000999999997</v>
      </c>
      <c r="L441" s="32">
        <v>5529778</v>
      </c>
      <c r="M441" s="32">
        <v>1000000066683597</v>
      </c>
      <c r="N441" s="31" t="s">
        <v>590</v>
      </c>
      <c r="O441" s="31"/>
    </row>
    <row r="442" spans="1:15">
      <c r="A442" s="31"/>
      <c r="B442" s="31" t="s">
        <v>80</v>
      </c>
      <c r="C442" s="31" t="s">
        <v>396</v>
      </c>
      <c r="D442" s="31" t="s">
        <v>585</v>
      </c>
      <c r="E442" s="31" t="s">
        <v>249</v>
      </c>
      <c r="F442" s="31" t="s">
        <v>250</v>
      </c>
      <c r="G442" s="31" t="s">
        <v>250</v>
      </c>
      <c r="H442" s="31" t="s">
        <v>251</v>
      </c>
      <c r="I442" s="31" t="b">
        <v>0</v>
      </c>
      <c r="J442" s="31">
        <v>1</v>
      </c>
      <c r="K442" s="31">
        <v>4195.1000999999997</v>
      </c>
      <c r="L442" s="32">
        <v>5529777</v>
      </c>
      <c r="M442" s="32">
        <v>1000000066683597</v>
      </c>
      <c r="N442" s="31" t="s">
        <v>590</v>
      </c>
      <c r="O442" s="31"/>
    </row>
    <row r="443" spans="1:15">
      <c r="A443" s="31"/>
      <c r="B443" s="31" t="s">
        <v>59</v>
      </c>
      <c r="C443" s="31" t="s">
        <v>591</v>
      </c>
      <c r="D443" s="31" t="s">
        <v>585</v>
      </c>
      <c r="E443" s="31" t="s">
        <v>249</v>
      </c>
      <c r="F443" s="31" t="s">
        <v>250</v>
      </c>
      <c r="G443" s="31" t="s">
        <v>250</v>
      </c>
      <c r="H443" s="31" t="s">
        <v>251</v>
      </c>
      <c r="I443" s="31" t="b">
        <v>0</v>
      </c>
      <c r="J443" s="31">
        <v>67</v>
      </c>
      <c r="K443" s="31">
        <v>374</v>
      </c>
      <c r="L443" s="32">
        <v>407839702</v>
      </c>
      <c r="M443" s="32">
        <v>1200000094144267</v>
      </c>
      <c r="N443" s="31" t="s">
        <v>592</v>
      </c>
      <c r="O443" s="31"/>
    </row>
    <row r="444" spans="1:15">
      <c r="A444" s="31"/>
      <c r="B444" s="31" t="s">
        <v>59</v>
      </c>
      <c r="C444" s="31" t="s">
        <v>591</v>
      </c>
      <c r="D444" s="31" t="s">
        <v>593</v>
      </c>
      <c r="E444" s="31" t="s">
        <v>249</v>
      </c>
      <c r="F444" s="31" t="s">
        <v>250</v>
      </c>
      <c r="G444" s="31" t="s">
        <v>250</v>
      </c>
      <c r="H444" s="31" t="s">
        <v>251</v>
      </c>
      <c r="I444" s="31" t="b">
        <v>0</v>
      </c>
      <c r="J444" s="31">
        <v>66</v>
      </c>
      <c r="K444" s="31">
        <v>382</v>
      </c>
      <c r="L444" s="32">
        <v>406411588</v>
      </c>
      <c r="M444" s="32">
        <v>1200000073397345</v>
      </c>
      <c r="N444" s="31" t="s">
        <v>594</v>
      </c>
      <c r="O444" s="31"/>
    </row>
    <row r="445" spans="1:15">
      <c r="A445" s="31"/>
      <c r="B445" s="31" t="s">
        <v>55</v>
      </c>
      <c r="C445" s="31" t="s">
        <v>415</v>
      </c>
      <c r="D445" s="31" t="s">
        <v>595</v>
      </c>
      <c r="E445" s="31" t="s">
        <v>249</v>
      </c>
      <c r="F445" s="31" t="s">
        <v>250</v>
      </c>
      <c r="G445" s="31" t="s">
        <v>250</v>
      </c>
      <c r="H445" s="31" t="s">
        <v>251</v>
      </c>
      <c r="I445" s="31" t="b">
        <v>0</v>
      </c>
      <c r="J445" s="31">
        <v>389</v>
      </c>
      <c r="K445" s="31">
        <v>128.84</v>
      </c>
      <c r="L445" s="32">
        <v>2098313</v>
      </c>
      <c r="M445" s="32">
        <v>1000000020034216</v>
      </c>
      <c r="N445" s="31" t="s">
        <v>596</v>
      </c>
      <c r="O445" s="31"/>
    </row>
    <row r="446" spans="1:15">
      <c r="A446" s="31"/>
      <c r="B446" s="31" t="s">
        <v>58</v>
      </c>
      <c r="C446" s="31" t="s">
        <v>282</v>
      </c>
      <c r="D446" s="31" t="s">
        <v>597</v>
      </c>
      <c r="E446" s="31" t="s">
        <v>80</v>
      </c>
      <c r="F446" s="31" t="s">
        <v>250</v>
      </c>
      <c r="G446" s="31" t="s">
        <v>306</v>
      </c>
      <c r="H446" s="31" t="s">
        <v>251</v>
      </c>
      <c r="I446" s="31" t="b">
        <v>0</v>
      </c>
      <c r="J446" s="31">
        <v>28</v>
      </c>
      <c r="K446" s="31">
        <v>918.55</v>
      </c>
      <c r="L446" s="32">
        <v>12609700</v>
      </c>
      <c r="M446" s="32">
        <v>1.7798603051409641E+18</v>
      </c>
      <c r="N446" s="31" t="s">
        <v>598</v>
      </c>
      <c r="O446" s="31"/>
    </row>
    <row r="447" spans="1:15">
      <c r="A447" s="31"/>
      <c r="B447" s="31" t="s">
        <v>185</v>
      </c>
      <c r="C447" s="31" t="s">
        <v>530</v>
      </c>
      <c r="D447" s="31" t="s">
        <v>599</v>
      </c>
      <c r="E447" s="31" t="s">
        <v>249</v>
      </c>
      <c r="F447" s="31" t="s">
        <v>250</v>
      </c>
      <c r="G447" s="31" t="s">
        <v>250</v>
      </c>
      <c r="H447" s="31" t="s">
        <v>251</v>
      </c>
      <c r="I447" s="31" t="b">
        <v>0</v>
      </c>
      <c r="J447" s="31">
        <v>16</v>
      </c>
      <c r="K447" s="31">
        <v>1403.6</v>
      </c>
      <c r="L447" s="32">
        <v>6199973</v>
      </c>
      <c r="M447" s="32">
        <v>1000000057926996</v>
      </c>
      <c r="N447" s="31" t="s">
        <v>600</v>
      </c>
      <c r="O447" s="31"/>
    </row>
    <row r="448" spans="1:15">
      <c r="A448" s="31"/>
      <c r="B448" s="31" t="s">
        <v>185</v>
      </c>
      <c r="C448" s="31" t="s">
        <v>530</v>
      </c>
      <c r="D448" s="31" t="s">
        <v>599</v>
      </c>
      <c r="E448" s="31" t="s">
        <v>249</v>
      </c>
      <c r="F448" s="31" t="s">
        <v>250</v>
      </c>
      <c r="G448" s="31" t="s">
        <v>250</v>
      </c>
      <c r="H448" s="31" t="s">
        <v>251</v>
      </c>
      <c r="I448" s="31" t="b">
        <v>0</v>
      </c>
      <c r="J448" s="31">
        <v>17</v>
      </c>
      <c r="K448" s="31">
        <v>1403.5</v>
      </c>
      <c r="L448" s="32">
        <v>6199972</v>
      </c>
      <c r="M448" s="32">
        <v>1000000057926996</v>
      </c>
      <c r="N448" s="31" t="s">
        <v>600</v>
      </c>
      <c r="O448" s="31"/>
    </row>
    <row r="449" spans="1:15">
      <c r="A449" s="31"/>
      <c r="B449" s="31" t="s">
        <v>185</v>
      </c>
      <c r="C449" s="31" t="s">
        <v>530</v>
      </c>
      <c r="D449" s="31" t="s">
        <v>599</v>
      </c>
      <c r="E449" s="31" t="s">
        <v>249</v>
      </c>
      <c r="F449" s="31" t="s">
        <v>250</v>
      </c>
      <c r="G449" s="31" t="s">
        <v>250</v>
      </c>
      <c r="H449" s="31" t="s">
        <v>251</v>
      </c>
      <c r="I449" s="31" t="b">
        <v>0</v>
      </c>
      <c r="J449" s="31">
        <v>3</v>
      </c>
      <c r="K449" s="31">
        <v>1403.7</v>
      </c>
      <c r="L449" s="32">
        <v>6199974</v>
      </c>
      <c r="M449" s="32">
        <v>1000000057926996</v>
      </c>
      <c r="N449" s="31" t="s">
        <v>600</v>
      </c>
      <c r="O449" s="31"/>
    </row>
    <row r="450" spans="1:15">
      <c r="A450" s="31"/>
      <c r="B450" s="31" t="s">
        <v>188</v>
      </c>
      <c r="C450" s="31" t="s">
        <v>562</v>
      </c>
      <c r="D450" s="31" t="s">
        <v>599</v>
      </c>
      <c r="E450" s="31" t="s">
        <v>249</v>
      </c>
      <c r="F450" s="31" t="s">
        <v>250</v>
      </c>
      <c r="G450" s="31" t="s">
        <v>250</v>
      </c>
      <c r="H450" s="31" t="s">
        <v>251</v>
      </c>
      <c r="I450" s="31" t="b">
        <v>0</v>
      </c>
      <c r="J450" s="31">
        <v>11</v>
      </c>
      <c r="K450" s="31">
        <v>2954.2</v>
      </c>
      <c r="L450" s="32">
        <v>6227790</v>
      </c>
      <c r="M450" s="32">
        <v>1000000058217452</v>
      </c>
      <c r="N450" s="31" t="s">
        <v>601</v>
      </c>
      <c r="O450" s="31"/>
    </row>
    <row r="451" spans="1:15">
      <c r="A451" s="31"/>
      <c r="B451" s="31" t="s">
        <v>188</v>
      </c>
      <c r="C451" s="31" t="s">
        <v>562</v>
      </c>
      <c r="D451" s="31" t="s">
        <v>599</v>
      </c>
      <c r="E451" s="31" t="s">
        <v>249</v>
      </c>
      <c r="F451" s="31" t="s">
        <v>250</v>
      </c>
      <c r="G451" s="31" t="s">
        <v>250</v>
      </c>
      <c r="H451" s="31" t="s">
        <v>251</v>
      </c>
      <c r="I451" s="31" t="b">
        <v>0</v>
      </c>
      <c r="J451" s="31">
        <v>6</v>
      </c>
      <c r="K451" s="31">
        <v>2954.3998999999999</v>
      </c>
      <c r="L451" s="32">
        <v>6227791</v>
      </c>
      <c r="M451" s="32">
        <v>1000000058217452</v>
      </c>
      <c r="N451" s="31" t="s">
        <v>601</v>
      </c>
      <c r="O451" s="31"/>
    </row>
    <row r="452" spans="1:15">
      <c r="A452" s="31"/>
      <c r="B452" s="31" t="s">
        <v>168</v>
      </c>
      <c r="C452" s="31" t="s">
        <v>535</v>
      </c>
      <c r="D452" s="31" t="s">
        <v>599</v>
      </c>
      <c r="E452" s="31" t="s">
        <v>249</v>
      </c>
      <c r="F452" s="31" t="s">
        <v>250</v>
      </c>
      <c r="G452" s="31" t="s">
        <v>250</v>
      </c>
      <c r="H452" s="31" t="s">
        <v>300</v>
      </c>
      <c r="I452" s="31" t="b">
        <v>0</v>
      </c>
      <c r="J452" s="31">
        <v>5</v>
      </c>
      <c r="K452" s="31">
        <v>1292.8</v>
      </c>
      <c r="L452" s="32">
        <v>407699801</v>
      </c>
      <c r="M452" s="32">
        <v>1200000079624074</v>
      </c>
      <c r="N452" s="31" t="s">
        <v>602</v>
      </c>
      <c r="O452" s="31"/>
    </row>
    <row r="453" spans="1:15">
      <c r="A453" s="31"/>
      <c r="B453" s="31" t="s">
        <v>168</v>
      </c>
      <c r="C453" s="31" t="s">
        <v>535</v>
      </c>
      <c r="D453" s="31" t="s">
        <v>599</v>
      </c>
      <c r="E453" s="31" t="s">
        <v>249</v>
      </c>
      <c r="F453" s="31" t="s">
        <v>250</v>
      </c>
      <c r="G453" s="31" t="s">
        <v>250</v>
      </c>
      <c r="H453" s="31" t="s">
        <v>300</v>
      </c>
      <c r="I453" s="31" t="b">
        <v>0</v>
      </c>
      <c r="J453" s="31">
        <v>1</v>
      </c>
      <c r="K453" s="31">
        <v>1293.0999999999999</v>
      </c>
      <c r="L453" s="32">
        <v>407699795</v>
      </c>
      <c r="M453" s="32">
        <v>1200000079624074</v>
      </c>
      <c r="N453" s="31" t="s">
        <v>602</v>
      </c>
      <c r="O453" s="31"/>
    </row>
    <row r="454" spans="1:15">
      <c r="A454" s="31"/>
      <c r="B454" s="31" t="s">
        <v>168</v>
      </c>
      <c r="C454" s="31" t="s">
        <v>535</v>
      </c>
      <c r="D454" s="31" t="s">
        <v>599</v>
      </c>
      <c r="E454" s="31" t="s">
        <v>249</v>
      </c>
      <c r="F454" s="31" t="s">
        <v>250</v>
      </c>
      <c r="G454" s="31" t="s">
        <v>250</v>
      </c>
      <c r="H454" s="31" t="s">
        <v>300</v>
      </c>
      <c r="I454" s="31" t="b">
        <v>0</v>
      </c>
      <c r="J454" s="31">
        <v>13</v>
      </c>
      <c r="K454" s="31">
        <v>1293.2</v>
      </c>
      <c r="L454" s="32">
        <v>407699794</v>
      </c>
      <c r="M454" s="32">
        <v>1200000079624074</v>
      </c>
      <c r="N454" s="31" t="s">
        <v>602</v>
      </c>
      <c r="O454" s="31"/>
    </row>
    <row r="455" spans="1:15">
      <c r="A455" s="31"/>
      <c r="B455" s="31" t="s">
        <v>168</v>
      </c>
      <c r="C455" s="31" t="s">
        <v>535</v>
      </c>
      <c r="D455" s="31" t="s">
        <v>599</v>
      </c>
      <c r="E455" s="31" t="s">
        <v>249</v>
      </c>
      <c r="F455" s="31" t="s">
        <v>250</v>
      </c>
      <c r="G455" s="31" t="s">
        <v>250</v>
      </c>
      <c r="H455" s="31" t="s">
        <v>300</v>
      </c>
      <c r="I455" s="31" t="b">
        <v>0</v>
      </c>
      <c r="J455" s="31">
        <v>3</v>
      </c>
      <c r="K455" s="31">
        <v>1292.5</v>
      </c>
      <c r="L455" s="32">
        <v>407699804</v>
      </c>
      <c r="M455" s="32">
        <v>1200000079624074</v>
      </c>
      <c r="N455" s="31" t="s">
        <v>602</v>
      </c>
      <c r="O455" s="31"/>
    </row>
    <row r="456" spans="1:15">
      <c r="A456" s="31"/>
      <c r="B456" s="31" t="s">
        <v>168</v>
      </c>
      <c r="C456" s="31" t="s">
        <v>535</v>
      </c>
      <c r="D456" s="31" t="s">
        <v>599</v>
      </c>
      <c r="E456" s="31" t="s">
        <v>249</v>
      </c>
      <c r="F456" s="31" t="s">
        <v>250</v>
      </c>
      <c r="G456" s="31" t="s">
        <v>250</v>
      </c>
      <c r="H456" s="31" t="s">
        <v>300</v>
      </c>
      <c r="I456" s="31" t="b">
        <v>0</v>
      </c>
      <c r="J456" s="31">
        <v>3</v>
      </c>
      <c r="K456" s="31">
        <v>1292.5</v>
      </c>
      <c r="L456" s="32">
        <v>407699805</v>
      </c>
      <c r="M456" s="32">
        <v>1200000079624074</v>
      </c>
      <c r="N456" s="31" t="s">
        <v>602</v>
      </c>
      <c r="O456" s="31"/>
    </row>
    <row r="457" spans="1:15">
      <c r="A457" s="31"/>
      <c r="B457" s="31" t="s">
        <v>168</v>
      </c>
      <c r="C457" s="31" t="s">
        <v>535</v>
      </c>
      <c r="D457" s="31" t="s">
        <v>599</v>
      </c>
      <c r="E457" s="31" t="s">
        <v>249</v>
      </c>
      <c r="F457" s="31" t="s">
        <v>250</v>
      </c>
      <c r="G457" s="31" t="s">
        <v>250</v>
      </c>
      <c r="H457" s="31" t="s">
        <v>300</v>
      </c>
      <c r="I457" s="31" t="b">
        <v>0</v>
      </c>
      <c r="J457" s="31">
        <v>4</v>
      </c>
      <c r="K457" s="31">
        <v>1292.7</v>
      </c>
      <c r="L457" s="32">
        <v>407699802</v>
      </c>
      <c r="M457" s="32">
        <v>1200000079624074</v>
      </c>
      <c r="N457" s="31" t="s">
        <v>602</v>
      </c>
      <c r="O457" s="31"/>
    </row>
    <row r="458" spans="1:15">
      <c r="A458" s="31"/>
      <c r="B458" s="31" t="s">
        <v>168</v>
      </c>
      <c r="C458" s="31" t="s">
        <v>535</v>
      </c>
      <c r="D458" s="31" t="s">
        <v>599</v>
      </c>
      <c r="E458" s="31" t="s">
        <v>249</v>
      </c>
      <c r="F458" s="31" t="s">
        <v>250</v>
      </c>
      <c r="G458" s="31" t="s">
        <v>250</v>
      </c>
      <c r="H458" s="31" t="s">
        <v>300</v>
      </c>
      <c r="I458" s="31" t="b">
        <v>0</v>
      </c>
      <c r="J458" s="31">
        <v>4</v>
      </c>
      <c r="K458" s="31">
        <v>1292.8</v>
      </c>
      <c r="L458" s="32">
        <v>407699799</v>
      </c>
      <c r="M458" s="32">
        <v>1200000079624074</v>
      </c>
      <c r="N458" s="31" t="s">
        <v>602</v>
      </c>
      <c r="O458" s="31"/>
    </row>
    <row r="459" spans="1:15">
      <c r="A459" s="31"/>
      <c r="B459" s="31" t="s">
        <v>168</v>
      </c>
      <c r="C459" s="31" t="s">
        <v>535</v>
      </c>
      <c r="D459" s="31" t="s">
        <v>599</v>
      </c>
      <c r="E459" s="31" t="s">
        <v>249</v>
      </c>
      <c r="F459" s="31" t="s">
        <v>250</v>
      </c>
      <c r="G459" s="31" t="s">
        <v>250</v>
      </c>
      <c r="H459" s="31" t="s">
        <v>300</v>
      </c>
      <c r="I459" s="31" t="b">
        <v>0</v>
      </c>
      <c r="J459" s="31">
        <v>4</v>
      </c>
      <c r="K459" s="31">
        <v>1292.8</v>
      </c>
      <c r="L459" s="32">
        <v>407699800</v>
      </c>
      <c r="M459" s="32">
        <v>1200000079624074</v>
      </c>
      <c r="N459" s="31" t="s">
        <v>602</v>
      </c>
      <c r="O459" s="31"/>
    </row>
    <row r="460" spans="1:15">
      <c r="A460" s="31"/>
      <c r="B460" s="31" t="s">
        <v>168</v>
      </c>
      <c r="C460" s="31" t="s">
        <v>535</v>
      </c>
      <c r="D460" s="31" t="s">
        <v>599</v>
      </c>
      <c r="E460" s="31" t="s">
        <v>249</v>
      </c>
      <c r="F460" s="31" t="s">
        <v>250</v>
      </c>
      <c r="G460" s="31" t="s">
        <v>250</v>
      </c>
      <c r="H460" s="31" t="s">
        <v>300</v>
      </c>
      <c r="I460" s="31" t="b">
        <v>0</v>
      </c>
      <c r="J460" s="31">
        <v>4</v>
      </c>
      <c r="K460" s="31">
        <v>1293</v>
      </c>
      <c r="L460" s="32">
        <v>407699797</v>
      </c>
      <c r="M460" s="32">
        <v>1200000079624074</v>
      </c>
      <c r="N460" s="31" t="s">
        <v>602</v>
      </c>
      <c r="O460" s="31"/>
    </row>
    <row r="461" spans="1:15">
      <c r="A461" s="31"/>
      <c r="B461" s="31" t="s">
        <v>168</v>
      </c>
      <c r="C461" s="31" t="s">
        <v>535</v>
      </c>
      <c r="D461" s="31" t="s">
        <v>599</v>
      </c>
      <c r="E461" s="31" t="s">
        <v>249</v>
      </c>
      <c r="F461" s="31" t="s">
        <v>250</v>
      </c>
      <c r="G461" s="31" t="s">
        <v>250</v>
      </c>
      <c r="H461" s="31" t="s">
        <v>300</v>
      </c>
      <c r="I461" s="31" t="b">
        <v>0</v>
      </c>
      <c r="J461" s="31">
        <v>4</v>
      </c>
      <c r="K461" s="31">
        <v>1293.0999999999999</v>
      </c>
      <c r="L461" s="32">
        <v>407699796</v>
      </c>
      <c r="M461" s="32">
        <v>1200000079624074</v>
      </c>
      <c r="N461" s="31" t="s">
        <v>602</v>
      </c>
      <c r="O461" s="31"/>
    </row>
    <row r="462" spans="1:15">
      <c r="A462" s="31"/>
      <c r="B462" s="31" t="s">
        <v>168</v>
      </c>
      <c r="C462" s="31" t="s">
        <v>535</v>
      </c>
      <c r="D462" s="31" t="s">
        <v>599</v>
      </c>
      <c r="E462" s="31" t="s">
        <v>249</v>
      </c>
      <c r="F462" s="31" t="s">
        <v>250</v>
      </c>
      <c r="G462" s="31" t="s">
        <v>250</v>
      </c>
      <c r="H462" s="31" t="s">
        <v>300</v>
      </c>
      <c r="I462" s="31" t="b">
        <v>0</v>
      </c>
      <c r="J462" s="31">
        <v>4</v>
      </c>
      <c r="K462" s="31">
        <v>1293.3</v>
      </c>
      <c r="L462" s="32">
        <v>407699793</v>
      </c>
      <c r="M462" s="32">
        <v>1200000079624074</v>
      </c>
      <c r="N462" s="31" t="s">
        <v>602</v>
      </c>
      <c r="O462" s="31"/>
    </row>
    <row r="463" spans="1:15">
      <c r="A463" s="31"/>
      <c r="B463" s="31" t="s">
        <v>168</v>
      </c>
      <c r="C463" s="31" t="s">
        <v>535</v>
      </c>
      <c r="D463" s="31" t="s">
        <v>599</v>
      </c>
      <c r="E463" s="31" t="s">
        <v>249</v>
      </c>
      <c r="F463" s="31" t="s">
        <v>250</v>
      </c>
      <c r="G463" s="31" t="s">
        <v>250</v>
      </c>
      <c r="H463" s="31" t="s">
        <v>300</v>
      </c>
      <c r="I463" s="31" t="b">
        <v>0</v>
      </c>
      <c r="J463" s="31">
        <v>10</v>
      </c>
      <c r="K463" s="31">
        <v>1292.5999999999999</v>
      </c>
      <c r="L463" s="32">
        <v>407699803</v>
      </c>
      <c r="M463" s="32">
        <v>1200000079624074</v>
      </c>
      <c r="N463" s="31" t="s">
        <v>602</v>
      </c>
      <c r="O463" s="31"/>
    </row>
    <row r="464" spans="1:15">
      <c r="A464" s="31"/>
      <c r="B464" s="31" t="s">
        <v>168</v>
      </c>
      <c r="C464" s="31" t="s">
        <v>535</v>
      </c>
      <c r="D464" s="31" t="s">
        <v>599</v>
      </c>
      <c r="E464" s="31" t="s">
        <v>249</v>
      </c>
      <c r="F464" s="31" t="s">
        <v>250</v>
      </c>
      <c r="G464" s="31" t="s">
        <v>250</v>
      </c>
      <c r="H464" s="31" t="s">
        <v>300</v>
      </c>
      <c r="I464" s="31" t="b">
        <v>0</v>
      </c>
      <c r="J464" s="31">
        <v>5</v>
      </c>
      <c r="K464" s="31">
        <v>1293</v>
      </c>
      <c r="L464" s="32">
        <v>407699798</v>
      </c>
      <c r="M464" s="32">
        <v>1200000079624074</v>
      </c>
      <c r="N464" s="31" t="s">
        <v>602</v>
      </c>
      <c r="O464" s="31"/>
    </row>
    <row r="465" spans="1:15">
      <c r="A465" s="31"/>
      <c r="B465" s="31" t="s">
        <v>168</v>
      </c>
      <c r="C465" s="31" t="s">
        <v>535</v>
      </c>
      <c r="D465" s="31" t="s">
        <v>599</v>
      </c>
      <c r="E465" s="31" t="s">
        <v>249</v>
      </c>
      <c r="F465" s="31" t="s">
        <v>250</v>
      </c>
      <c r="G465" s="31" t="s">
        <v>250</v>
      </c>
      <c r="H465" s="31" t="s">
        <v>300</v>
      </c>
      <c r="I465" s="31" t="b">
        <v>0</v>
      </c>
      <c r="J465" s="31">
        <v>6</v>
      </c>
      <c r="K465" s="31">
        <v>1292.5</v>
      </c>
      <c r="L465" s="32">
        <v>407699806</v>
      </c>
      <c r="M465" s="32">
        <v>1200000079624074</v>
      </c>
      <c r="N465" s="31" t="s">
        <v>602</v>
      </c>
      <c r="O465" s="31"/>
    </row>
    <row r="466" spans="1:15">
      <c r="A466" s="31"/>
      <c r="B466" s="31" t="s">
        <v>136</v>
      </c>
      <c r="C466" s="31" t="s">
        <v>560</v>
      </c>
      <c r="D466" s="31" t="s">
        <v>599</v>
      </c>
      <c r="E466" s="31" t="s">
        <v>249</v>
      </c>
      <c r="F466" s="31" t="s">
        <v>250</v>
      </c>
      <c r="G466" s="31" t="s">
        <v>250</v>
      </c>
      <c r="H466" s="31" t="s">
        <v>251</v>
      </c>
      <c r="I466" s="31" t="b">
        <v>0</v>
      </c>
      <c r="J466" s="31">
        <v>11</v>
      </c>
      <c r="K466" s="31">
        <v>1376</v>
      </c>
      <c r="L466" s="32">
        <v>408238914</v>
      </c>
      <c r="M466" s="32">
        <v>1200000084934801</v>
      </c>
      <c r="N466" s="31" t="s">
        <v>603</v>
      </c>
      <c r="O466" s="31"/>
    </row>
    <row r="467" spans="1:15">
      <c r="A467" s="31"/>
      <c r="B467" s="31" t="s">
        <v>136</v>
      </c>
      <c r="C467" s="31" t="s">
        <v>560</v>
      </c>
      <c r="D467" s="31" t="s">
        <v>599</v>
      </c>
      <c r="E467" s="31" t="s">
        <v>249</v>
      </c>
      <c r="F467" s="31" t="s">
        <v>250</v>
      </c>
      <c r="G467" s="31" t="s">
        <v>250</v>
      </c>
      <c r="H467" s="31" t="s">
        <v>251</v>
      </c>
      <c r="I467" s="31" t="b">
        <v>0</v>
      </c>
      <c r="J467" s="31">
        <v>13</v>
      </c>
      <c r="K467" s="31">
        <v>1376</v>
      </c>
      <c r="L467" s="32">
        <v>408238918</v>
      </c>
      <c r="M467" s="32">
        <v>1200000084934801</v>
      </c>
      <c r="N467" s="31" t="s">
        <v>603</v>
      </c>
      <c r="O467" s="31"/>
    </row>
    <row r="468" spans="1:15">
      <c r="A468" s="31"/>
      <c r="B468" s="31" t="s">
        <v>136</v>
      </c>
      <c r="C468" s="31" t="s">
        <v>560</v>
      </c>
      <c r="D468" s="31" t="s">
        <v>599</v>
      </c>
      <c r="E468" s="31" t="s">
        <v>249</v>
      </c>
      <c r="F468" s="31" t="s">
        <v>250</v>
      </c>
      <c r="G468" s="31" t="s">
        <v>250</v>
      </c>
      <c r="H468" s="31" t="s">
        <v>251</v>
      </c>
      <c r="I468" s="31" t="b">
        <v>0</v>
      </c>
      <c r="J468" s="31">
        <v>4</v>
      </c>
      <c r="K468" s="31">
        <v>1376</v>
      </c>
      <c r="L468" s="32">
        <v>408238915</v>
      </c>
      <c r="M468" s="32">
        <v>1200000084934801</v>
      </c>
      <c r="N468" s="31" t="s">
        <v>603</v>
      </c>
      <c r="O468" s="31"/>
    </row>
    <row r="469" spans="1:15">
      <c r="A469" s="31"/>
      <c r="B469" s="31" t="s">
        <v>136</v>
      </c>
      <c r="C469" s="31" t="s">
        <v>560</v>
      </c>
      <c r="D469" s="31" t="s">
        <v>599</v>
      </c>
      <c r="E469" s="31" t="s">
        <v>249</v>
      </c>
      <c r="F469" s="31" t="s">
        <v>250</v>
      </c>
      <c r="G469" s="31" t="s">
        <v>250</v>
      </c>
      <c r="H469" s="31" t="s">
        <v>251</v>
      </c>
      <c r="I469" s="31" t="b">
        <v>0</v>
      </c>
      <c r="J469" s="31">
        <v>4</v>
      </c>
      <c r="K469" s="31">
        <v>1376</v>
      </c>
      <c r="L469" s="32">
        <v>408238916</v>
      </c>
      <c r="M469" s="32">
        <v>1200000084934801</v>
      </c>
      <c r="N469" s="31" t="s">
        <v>603</v>
      </c>
      <c r="O469" s="31"/>
    </row>
    <row r="470" spans="1:15">
      <c r="A470" s="31"/>
      <c r="B470" s="31" t="s">
        <v>136</v>
      </c>
      <c r="C470" s="31" t="s">
        <v>560</v>
      </c>
      <c r="D470" s="31" t="s">
        <v>599</v>
      </c>
      <c r="E470" s="31" t="s">
        <v>249</v>
      </c>
      <c r="F470" s="31" t="s">
        <v>250</v>
      </c>
      <c r="G470" s="31" t="s">
        <v>250</v>
      </c>
      <c r="H470" s="31" t="s">
        <v>251</v>
      </c>
      <c r="I470" s="31" t="b">
        <v>0</v>
      </c>
      <c r="J470" s="31">
        <v>5</v>
      </c>
      <c r="K470" s="31">
        <v>1376</v>
      </c>
      <c r="L470" s="32">
        <v>408238917</v>
      </c>
      <c r="M470" s="32">
        <v>1200000084934801</v>
      </c>
      <c r="N470" s="31" t="s">
        <v>603</v>
      </c>
      <c r="O470" s="31"/>
    </row>
    <row r="471" spans="1:15">
      <c r="A471" s="31"/>
      <c r="B471" s="31" t="s">
        <v>58</v>
      </c>
      <c r="C471" s="31" t="s">
        <v>282</v>
      </c>
      <c r="D471" s="31" t="s">
        <v>599</v>
      </c>
      <c r="E471" s="31" t="s">
        <v>80</v>
      </c>
      <c r="F471" s="31" t="s">
        <v>250</v>
      </c>
      <c r="G471" s="31" t="s">
        <v>306</v>
      </c>
      <c r="H471" s="31" t="s">
        <v>251</v>
      </c>
      <c r="I471" s="31" t="b">
        <v>0</v>
      </c>
      <c r="J471" s="31">
        <v>107</v>
      </c>
      <c r="K471" s="31">
        <v>925</v>
      </c>
      <c r="L471" s="32">
        <v>11520400</v>
      </c>
      <c r="M471" s="32">
        <v>1.7800445661825029E+18</v>
      </c>
      <c r="N471" s="31" t="s">
        <v>604</v>
      </c>
      <c r="O471" s="31"/>
    </row>
    <row r="472" spans="1:15">
      <c r="A472" s="31"/>
      <c r="B472" s="31" t="s">
        <v>58</v>
      </c>
      <c r="C472" s="31" t="s">
        <v>282</v>
      </c>
      <c r="D472" s="31" t="s">
        <v>599</v>
      </c>
      <c r="E472" s="31" t="s">
        <v>80</v>
      </c>
      <c r="F472" s="31" t="s">
        <v>250</v>
      </c>
      <c r="G472" s="31" t="s">
        <v>306</v>
      </c>
      <c r="H472" s="31" t="s">
        <v>251</v>
      </c>
      <c r="I472" s="31" t="b">
        <v>0</v>
      </c>
      <c r="J472" s="31">
        <v>1</v>
      </c>
      <c r="K472" s="31">
        <v>924.95</v>
      </c>
      <c r="L472" s="32">
        <v>11520200</v>
      </c>
      <c r="M472" s="32">
        <v>1.7800445661825029E+18</v>
      </c>
      <c r="N472" s="31" t="s">
        <v>604</v>
      </c>
      <c r="O472" s="31"/>
    </row>
    <row r="473" spans="1:15">
      <c r="A473" s="31"/>
      <c r="B473" s="31" t="s">
        <v>134</v>
      </c>
      <c r="C473" s="31" t="s">
        <v>578</v>
      </c>
      <c r="D473" s="31" t="s">
        <v>599</v>
      </c>
      <c r="E473" s="31" t="s">
        <v>249</v>
      </c>
      <c r="F473" s="31" t="s">
        <v>250</v>
      </c>
      <c r="G473" s="31" t="s">
        <v>250</v>
      </c>
      <c r="H473" s="31" t="s">
        <v>251</v>
      </c>
      <c r="I473" s="31" t="b">
        <v>0</v>
      </c>
      <c r="J473" s="31">
        <v>70</v>
      </c>
      <c r="K473" s="31">
        <v>713</v>
      </c>
      <c r="L473" s="32">
        <v>608879648</v>
      </c>
      <c r="M473" s="32">
        <v>1300000087920019</v>
      </c>
      <c r="N473" s="31" t="s">
        <v>605</v>
      </c>
      <c r="O473" s="31"/>
    </row>
    <row r="474" spans="1:15">
      <c r="A474" s="31"/>
      <c r="B474" s="31" t="s">
        <v>56</v>
      </c>
      <c r="C474" s="31" t="s">
        <v>537</v>
      </c>
      <c r="D474" s="31" t="s">
        <v>599</v>
      </c>
      <c r="E474" s="31" t="s">
        <v>249</v>
      </c>
      <c r="F474" s="31" t="s">
        <v>250</v>
      </c>
      <c r="G474" s="31" t="s">
        <v>250</v>
      </c>
      <c r="H474" s="31" t="s">
        <v>251</v>
      </c>
      <c r="I474" s="31" t="b">
        <v>0</v>
      </c>
      <c r="J474" s="31">
        <v>244</v>
      </c>
      <c r="K474" s="31">
        <v>409.9</v>
      </c>
      <c r="L474" s="32">
        <v>8090330</v>
      </c>
      <c r="M474" s="32">
        <v>1000000076792736</v>
      </c>
      <c r="N474" s="31" t="s">
        <v>606</v>
      </c>
      <c r="O474" s="31"/>
    </row>
    <row r="475" spans="1:15">
      <c r="A475" s="31"/>
      <c r="B475" s="31" t="s">
        <v>52</v>
      </c>
      <c r="C475" s="31" t="s">
        <v>315</v>
      </c>
      <c r="D475" s="31" t="s">
        <v>599</v>
      </c>
      <c r="E475" s="31" t="s">
        <v>249</v>
      </c>
      <c r="F475" s="31" t="s">
        <v>250</v>
      </c>
      <c r="G475" s="31" t="s">
        <v>250</v>
      </c>
      <c r="H475" s="31" t="s">
        <v>251</v>
      </c>
      <c r="I475" s="31" t="b">
        <v>0</v>
      </c>
      <c r="J475" s="31">
        <v>87</v>
      </c>
      <c r="K475" s="31">
        <v>1144.5</v>
      </c>
      <c r="L475" s="32">
        <v>211244603</v>
      </c>
      <c r="M475" s="32">
        <v>1100000100105170</v>
      </c>
      <c r="N475" s="31" t="s">
        <v>607</v>
      </c>
      <c r="O475" s="31"/>
    </row>
    <row r="476" spans="1:15">
      <c r="A476" s="31"/>
      <c r="B476" s="31" t="s">
        <v>175</v>
      </c>
      <c r="C476" s="31" t="s">
        <v>411</v>
      </c>
      <c r="D476" s="31" t="s">
        <v>599</v>
      </c>
      <c r="E476" s="31" t="s">
        <v>249</v>
      </c>
      <c r="F476" s="31" t="s">
        <v>250</v>
      </c>
      <c r="G476" s="31" t="s">
        <v>250</v>
      </c>
      <c r="H476" s="31" t="s">
        <v>300</v>
      </c>
      <c r="I476" s="31" t="b">
        <v>0</v>
      </c>
      <c r="J476" s="31">
        <v>295</v>
      </c>
      <c r="K476" s="31">
        <v>87.52</v>
      </c>
      <c r="L476" s="32">
        <v>410292681</v>
      </c>
      <c r="M476" s="32">
        <v>1200000097490574</v>
      </c>
      <c r="N476" s="31" t="s">
        <v>608</v>
      </c>
      <c r="O476" s="31"/>
    </row>
    <row r="477" spans="1:15">
      <c r="A477" s="31"/>
      <c r="B477" s="31" t="s">
        <v>175</v>
      </c>
      <c r="C477" s="31" t="s">
        <v>411</v>
      </c>
      <c r="D477" s="31" t="s">
        <v>599</v>
      </c>
      <c r="E477" s="31" t="s">
        <v>249</v>
      </c>
      <c r="F477" s="31" t="s">
        <v>250</v>
      </c>
      <c r="G477" s="31" t="s">
        <v>250</v>
      </c>
      <c r="H477" s="31" t="s">
        <v>300</v>
      </c>
      <c r="I477" s="31" t="b">
        <v>0</v>
      </c>
      <c r="J477" s="31">
        <v>5</v>
      </c>
      <c r="K477" s="31">
        <v>87.52</v>
      </c>
      <c r="L477" s="32">
        <v>410292680</v>
      </c>
      <c r="M477" s="32">
        <v>1200000097490574</v>
      </c>
      <c r="N477" s="31" t="s">
        <v>608</v>
      </c>
      <c r="O477" s="31"/>
    </row>
    <row r="478" spans="1:15">
      <c r="A478" s="31"/>
      <c r="B478" s="31" t="s">
        <v>61</v>
      </c>
      <c r="C478" s="31" t="s">
        <v>609</v>
      </c>
      <c r="D478" s="31" t="s">
        <v>599</v>
      </c>
      <c r="E478" s="31" t="s">
        <v>249</v>
      </c>
      <c r="F478" s="31" t="s">
        <v>250</v>
      </c>
      <c r="G478" s="31" t="s">
        <v>250</v>
      </c>
      <c r="H478" s="31" t="s">
        <v>251</v>
      </c>
      <c r="I478" s="31" t="b">
        <v>0</v>
      </c>
      <c r="J478" s="31">
        <v>4</v>
      </c>
      <c r="K478" s="31">
        <v>4949.7997999999998</v>
      </c>
      <c r="L478" s="32">
        <v>610983964</v>
      </c>
      <c r="M478" s="32">
        <v>1300000098406459</v>
      </c>
      <c r="N478" s="31" t="s">
        <v>610</v>
      </c>
      <c r="O478" s="31"/>
    </row>
    <row r="479" spans="1:15">
      <c r="A479" s="31"/>
      <c r="B479" s="31" t="s">
        <v>61</v>
      </c>
      <c r="C479" s="31" t="s">
        <v>609</v>
      </c>
      <c r="D479" s="31" t="s">
        <v>599</v>
      </c>
      <c r="E479" s="31" t="s">
        <v>249</v>
      </c>
      <c r="F479" s="31" t="s">
        <v>250</v>
      </c>
      <c r="G479" s="31" t="s">
        <v>250</v>
      </c>
      <c r="H479" s="31" t="s">
        <v>251</v>
      </c>
      <c r="I479" s="31" t="b">
        <v>0</v>
      </c>
      <c r="J479" s="31">
        <v>4</v>
      </c>
      <c r="K479" s="31">
        <v>4949.7997999999998</v>
      </c>
      <c r="L479" s="32">
        <v>610983965</v>
      </c>
      <c r="M479" s="32">
        <v>1300000098406459</v>
      </c>
      <c r="N479" s="31" t="s">
        <v>610</v>
      </c>
      <c r="O479" s="31"/>
    </row>
    <row r="480" spans="1:15">
      <c r="A480" s="31"/>
      <c r="B480" s="31" t="s">
        <v>61</v>
      </c>
      <c r="C480" s="31" t="s">
        <v>609</v>
      </c>
      <c r="D480" s="31" t="s">
        <v>611</v>
      </c>
      <c r="E480" s="31" t="s">
        <v>249</v>
      </c>
      <c r="F480" s="31" t="s">
        <v>250</v>
      </c>
      <c r="G480" s="31" t="s">
        <v>250</v>
      </c>
      <c r="H480" s="31" t="s">
        <v>251</v>
      </c>
      <c r="I480" s="31" t="b">
        <v>0</v>
      </c>
      <c r="J480" s="31">
        <v>3</v>
      </c>
      <c r="K480" s="31">
        <v>4997.3999000000003</v>
      </c>
      <c r="L480" s="32">
        <v>608407266</v>
      </c>
      <c r="M480" s="32">
        <v>1300000084210335</v>
      </c>
      <c r="N480" s="31" t="s">
        <v>612</v>
      </c>
      <c r="O480" s="31"/>
    </row>
    <row r="481" spans="1:15">
      <c r="A481" s="31"/>
      <c r="B481" s="31" t="s">
        <v>137</v>
      </c>
      <c r="C481" s="31" t="s">
        <v>613</v>
      </c>
      <c r="D481" s="31" t="s">
        <v>611</v>
      </c>
      <c r="E481" s="31" t="s">
        <v>249</v>
      </c>
      <c r="F481" s="31" t="s">
        <v>250</v>
      </c>
      <c r="G481" s="31" t="s">
        <v>250</v>
      </c>
      <c r="H481" s="31" t="s">
        <v>251</v>
      </c>
      <c r="I481" s="31" t="b">
        <v>0</v>
      </c>
      <c r="J481" s="31">
        <v>15</v>
      </c>
      <c r="K481" s="31">
        <v>547</v>
      </c>
      <c r="L481" s="32">
        <v>608423928</v>
      </c>
      <c r="M481" s="32">
        <v>1300000084371531</v>
      </c>
      <c r="N481" s="31" t="s">
        <v>614</v>
      </c>
      <c r="O481" s="31"/>
    </row>
    <row r="482" spans="1:15">
      <c r="A482" s="31"/>
      <c r="B482" s="31" t="s">
        <v>137</v>
      </c>
      <c r="C482" s="31" t="s">
        <v>613</v>
      </c>
      <c r="D482" s="31" t="s">
        <v>611</v>
      </c>
      <c r="E482" s="31" t="s">
        <v>249</v>
      </c>
      <c r="F482" s="31" t="s">
        <v>250</v>
      </c>
      <c r="G482" s="31" t="s">
        <v>250</v>
      </c>
      <c r="H482" s="31" t="s">
        <v>251</v>
      </c>
      <c r="I482" s="31" t="b">
        <v>0</v>
      </c>
      <c r="J482" s="31">
        <v>77</v>
      </c>
      <c r="K482" s="31">
        <v>547</v>
      </c>
      <c r="L482" s="32">
        <v>608423927</v>
      </c>
      <c r="M482" s="32">
        <v>1300000084371531</v>
      </c>
      <c r="N482" s="31" t="s">
        <v>614</v>
      </c>
      <c r="O482" s="31"/>
    </row>
    <row r="483" spans="1:15">
      <c r="A483" s="31"/>
      <c r="B483" s="31" t="s">
        <v>135</v>
      </c>
      <c r="C483" s="31" t="s">
        <v>615</v>
      </c>
      <c r="D483" s="31" t="s">
        <v>611</v>
      </c>
      <c r="E483" s="31" t="s">
        <v>249</v>
      </c>
      <c r="F483" s="31" t="s">
        <v>250</v>
      </c>
      <c r="G483" s="31" t="s">
        <v>250</v>
      </c>
      <c r="H483" s="31" t="s">
        <v>251</v>
      </c>
      <c r="I483" s="31" t="b">
        <v>0</v>
      </c>
      <c r="J483" s="31">
        <v>2</v>
      </c>
      <c r="K483" s="31">
        <v>4599</v>
      </c>
      <c r="L483" s="32">
        <v>407166647</v>
      </c>
      <c r="M483" s="32">
        <v>1200000080958672</v>
      </c>
      <c r="N483" s="31" t="s">
        <v>616</v>
      </c>
      <c r="O483" s="31"/>
    </row>
    <row r="484" spans="1:15">
      <c r="A484" s="31"/>
      <c r="B484" s="31" t="s">
        <v>135</v>
      </c>
      <c r="C484" s="31" t="s">
        <v>615</v>
      </c>
      <c r="D484" s="31" t="s">
        <v>611</v>
      </c>
      <c r="E484" s="31" t="s">
        <v>249</v>
      </c>
      <c r="F484" s="31" t="s">
        <v>250</v>
      </c>
      <c r="G484" s="31" t="s">
        <v>250</v>
      </c>
      <c r="H484" s="31" t="s">
        <v>251</v>
      </c>
      <c r="I484" s="31" t="b">
        <v>0</v>
      </c>
      <c r="J484" s="31">
        <v>4</v>
      </c>
      <c r="K484" s="31">
        <v>4599.2002000000002</v>
      </c>
      <c r="L484" s="32">
        <v>407166649</v>
      </c>
      <c r="M484" s="32">
        <v>1200000080958672</v>
      </c>
      <c r="N484" s="31" t="s">
        <v>616</v>
      </c>
      <c r="O484" s="31"/>
    </row>
    <row r="485" spans="1:15">
      <c r="A485" s="31"/>
      <c r="B485" s="31" t="s">
        <v>135</v>
      </c>
      <c r="C485" s="31" t="s">
        <v>615</v>
      </c>
      <c r="D485" s="31" t="s">
        <v>611</v>
      </c>
      <c r="E485" s="31" t="s">
        <v>249</v>
      </c>
      <c r="F485" s="31" t="s">
        <v>250</v>
      </c>
      <c r="G485" s="31" t="s">
        <v>250</v>
      </c>
      <c r="H485" s="31" t="s">
        <v>251</v>
      </c>
      <c r="I485" s="31" t="b">
        <v>0</v>
      </c>
      <c r="J485" s="31">
        <v>5</v>
      </c>
      <c r="K485" s="31">
        <v>4599.1000999999997</v>
      </c>
      <c r="L485" s="32">
        <v>407166648</v>
      </c>
      <c r="M485" s="32">
        <v>1200000080958672</v>
      </c>
      <c r="N485" s="31" t="s">
        <v>616</v>
      </c>
      <c r="O485" s="31"/>
    </row>
    <row r="486" spans="1:15">
      <c r="A486" s="31"/>
      <c r="B486" s="31" t="s">
        <v>97</v>
      </c>
      <c r="C486" s="31" t="s">
        <v>617</v>
      </c>
      <c r="D486" s="31" t="s">
        <v>611</v>
      </c>
      <c r="E486" s="31" t="s">
        <v>249</v>
      </c>
      <c r="F486" s="31" t="s">
        <v>250</v>
      </c>
      <c r="G486" s="31" t="s">
        <v>250</v>
      </c>
      <c r="H486" s="31" t="s">
        <v>251</v>
      </c>
      <c r="I486" s="31" t="b">
        <v>0</v>
      </c>
      <c r="J486" s="31">
        <v>11</v>
      </c>
      <c r="K486" s="31">
        <v>1092.4000000000001</v>
      </c>
      <c r="L486" s="32">
        <v>608538891</v>
      </c>
      <c r="M486" s="32">
        <v>1300000085516858</v>
      </c>
      <c r="N486" s="31" t="s">
        <v>618</v>
      </c>
      <c r="O486" s="31"/>
    </row>
    <row r="487" spans="1:15">
      <c r="A487" s="31"/>
      <c r="B487" s="31" t="s">
        <v>97</v>
      </c>
      <c r="C487" s="31" t="s">
        <v>617</v>
      </c>
      <c r="D487" s="31" t="s">
        <v>611</v>
      </c>
      <c r="E487" s="31" t="s">
        <v>249</v>
      </c>
      <c r="F487" s="31" t="s">
        <v>250</v>
      </c>
      <c r="G487" s="31" t="s">
        <v>250</v>
      </c>
      <c r="H487" s="31" t="s">
        <v>251</v>
      </c>
      <c r="I487" s="31" t="b">
        <v>0</v>
      </c>
      <c r="J487" s="31">
        <v>35</v>
      </c>
      <c r="K487" s="31">
        <v>1092.4000000000001</v>
      </c>
      <c r="L487" s="32">
        <v>608538892</v>
      </c>
      <c r="M487" s="32">
        <v>1300000085516858</v>
      </c>
      <c r="N487" s="31" t="s">
        <v>618</v>
      </c>
      <c r="O487" s="31"/>
    </row>
    <row r="488" spans="1:15">
      <c r="A488" s="31"/>
      <c r="B488" s="31" t="s">
        <v>232</v>
      </c>
      <c r="C488" s="31" t="s">
        <v>619</v>
      </c>
      <c r="D488" s="31" t="s">
        <v>611</v>
      </c>
      <c r="E488" s="31" t="s">
        <v>249</v>
      </c>
      <c r="F488" s="31" t="s">
        <v>250</v>
      </c>
      <c r="G488" s="31" t="s">
        <v>250</v>
      </c>
      <c r="H488" s="31" t="s">
        <v>251</v>
      </c>
      <c r="I488" s="31" t="b">
        <v>0</v>
      </c>
      <c r="J488" s="31">
        <v>1</v>
      </c>
      <c r="K488" s="31">
        <v>697.1</v>
      </c>
      <c r="L488" s="32">
        <v>608626693</v>
      </c>
      <c r="M488" s="32">
        <v>1300000086413096</v>
      </c>
      <c r="N488" s="31" t="s">
        <v>620</v>
      </c>
      <c r="O488" s="31"/>
    </row>
    <row r="489" spans="1:15">
      <c r="A489" s="31"/>
      <c r="B489" s="31" t="s">
        <v>232</v>
      </c>
      <c r="C489" s="31" t="s">
        <v>619</v>
      </c>
      <c r="D489" s="31" t="s">
        <v>611</v>
      </c>
      <c r="E489" s="31" t="s">
        <v>249</v>
      </c>
      <c r="F489" s="31" t="s">
        <v>250</v>
      </c>
      <c r="G489" s="31" t="s">
        <v>250</v>
      </c>
      <c r="H489" s="31" t="s">
        <v>251</v>
      </c>
      <c r="I489" s="31" t="b">
        <v>0</v>
      </c>
      <c r="J489" s="31">
        <v>22</v>
      </c>
      <c r="K489" s="31">
        <v>697.1</v>
      </c>
      <c r="L489" s="32">
        <v>608626692</v>
      </c>
      <c r="M489" s="32">
        <v>1300000086413096</v>
      </c>
      <c r="N489" s="31" t="s">
        <v>620</v>
      </c>
      <c r="O489" s="31"/>
    </row>
    <row r="490" spans="1:15">
      <c r="A490" s="31"/>
      <c r="B490" s="31" t="s">
        <v>232</v>
      </c>
      <c r="C490" s="31" t="s">
        <v>619</v>
      </c>
      <c r="D490" s="31" t="s">
        <v>611</v>
      </c>
      <c r="E490" s="31" t="s">
        <v>249</v>
      </c>
      <c r="F490" s="31" t="s">
        <v>250</v>
      </c>
      <c r="G490" s="31" t="s">
        <v>250</v>
      </c>
      <c r="H490" s="31" t="s">
        <v>251</v>
      </c>
      <c r="I490" s="31" t="b">
        <v>0</v>
      </c>
      <c r="J490" s="31">
        <v>3</v>
      </c>
      <c r="K490" s="31">
        <v>697.1</v>
      </c>
      <c r="L490" s="32">
        <v>608626694</v>
      </c>
      <c r="M490" s="32">
        <v>1300000086413096</v>
      </c>
      <c r="N490" s="31" t="s">
        <v>620</v>
      </c>
      <c r="O490" s="31"/>
    </row>
    <row r="491" spans="1:15">
      <c r="A491" s="31"/>
      <c r="B491" s="31" t="s">
        <v>232</v>
      </c>
      <c r="C491" s="31" t="s">
        <v>619</v>
      </c>
      <c r="D491" s="31" t="s">
        <v>611</v>
      </c>
      <c r="E491" s="31" t="s">
        <v>249</v>
      </c>
      <c r="F491" s="31" t="s">
        <v>250</v>
      </c>
      <c r="G491" s="31" t="s">
        <v>250</v>
      </c>
      <c r="H491" s="31" t="s">
        <v>251</v>
      </c>
      <c r="I491" s="31" t="b">
        <v>0</v>
      </c>
      <c r="J491" s="31">
        <v>37</v>
      </c>
      <c r="K491" s="31">
        <v>697.1</v>
      </c>
      <c r="L491" s="32">
        <v>608626695</v>
      </c>
      <c r="M491" s="32">
        <v>1300000086413096</v>
      </c>
      <c r="N491" s="31" t="s">
        <v>620</v>
      </c>
      <c r="O491" s="31"/>
    </row>
    <row r="492" spans="1:15">
      <c r="A492" s="31"/>
      <c r="B492" s="31" t="s">
        <v>232</v>
      </c>
      <c r="C492" s="31" t="s">
        <v>619</v>
      </c>
      <c r="D492" s="31" t="s">
        <v>611</v>
      </c>
      <c r="E492" s="31" t="s">
        <v>249</v>
      </c>
      <c r="F492" s="31" t="s">
        <v>250</v>
      </c>
      <c r="G492" s="31" t="s">
        <v>250</v>
      </c>
      <c r="H492" s="31" t="s">
        <v>251</v>
      </c>
      <c r="I492" s="31" t="b">
        <v>0</v>
      </c>
      <c r="J492" s="31">
        <v>9</v>
      </c>
      <c r="K492" s="31">
        <v>697.1</v>
      </c>
      <c r="L492" s="32">
        <v>608626696</v>
      </c>
      <c r="M492" s="32">
        <v>1300000086413096</v>
      </c>
      <c r="N492" s="31" t="s">
        <v>620</v>
      </c>
      <c r="O492" s="31"/>
    </row>
    <row r="493" spans="1:15">
      <c r="A493" s="31"/>
      <c r="B493" s="31" t="s">
        <v>138</v>
      </c>
      <c r="C493" s="31" t="s">
        <v>621</v>
      </c>
      <c r="D493" s="31" t="s">
        <v>611</v>
      </c>
      <c r="E493" s="31" t="s">
        <v>249</v>
      </c>
      <c r="F493" s="31" t="s">
        <v>250</v>
      </c>
      <c r="G493" s="31" t="s">
        <v>250</v>
      </c>
      <c r="H493" s="31" t="s">
        <v>251</v>
      </c>
      <c r="I493" s="31" t="b">
        <v>0</v>
      </c>
      <c r="J493" s="31">
        <v>111</v>
      </c>
      <c r="K493" s="31">
        <v>389.65</v>
      </c>
      <c r="L493" s="32">
        <v>208620145</v>
      </c>
      <c r="M493" s="32">
        <v>1100000080505821</v>
      </c>
      <c r="N493" s="31" t="s">
        <v>622</v>
      </c>
      <c r="O493" s="31"/>
    </row>
    <row r="494" spans="1:15">
      <c r="A494" s="31"/>
      <c r="B494" s="31" t="s">
        <v>138</v>
      </c>
      <c r="C494" s="31" t="s">
        <v>621</v>
      </c>
      <c r="D494" s="31" t="s">
        <v>611</v>
      </c>
      <c r="E494" s="31" t="s">
        <v>249</v>
      </c>
      <c r="F494" s="31" t="s">
        <v>250</v>
      </c>
      <c r="G494" s="31" t="s">
        <v>250</v>
      </c>
      <c r="H494" s="31" t="s">
        <v>251</v>
      </c>
      <c r="I494" s="31" t="b">
        <v>0</v>
      </c>
      <c r="J494" s="31">
        <v>13</v>
      </c>
      <c r="K494" s="31">
        <v>389.65</v>
      </c>
      <c r="L494" s="32">
        <v>208620146</v>
      </c>
      <c r="M494" s="32">
        <v>1100000080505821</v>
      </c>
      <c r="N494" s="31" t="s">
        <v>622</v>
      </c>
      <c r="O494" s="31"/>
    </row>
    <row r="495" spans="1:15">
      <c r="A495" s="31"/>
      <c r="B495" s="31" t="s">
        <v>138</v>
      </c>
      <c r="C495" s="31" t="s">
        <v>621</v>
      </c>
      <c r="D495" s="31" t="s">
        <v>611</v>
      </c>
      <c r="E495" s="31" t="s">
        <v>249</v>
      </c>
      <c r="F495" s="31" t="s">
        <v>250</v>
      </c>
      <c r="G495" s="31" t="s">
        <v>250</v>
      </c>
      <c r="H495" s="31" t="s">
        <v>251</v>
      </c>
      <c r="I495" s="31" t="b">
        <v>0</v>
      </c>
      <c r="J495" s="31">
        <v>5</v>
      </c>
      <c r="K495" s="31">
        <v>389.65</v>
      </c>
      <c r="L495" s="32">
        <v>208620144</v>
      </c>
      <c r="M495" s="32">
        <v>1100000080505821</v>
      </c>
      <c r="N495" s="31" t="s">
        <v>622</v>
      </c>
      <c r="O495" s="31"/>
    </row>
    <row r="496" spans="1:15">
      <c r="A496" s="31"/>
      <c r="B496" s="31" t="s">
        <v>623</v>
      </c>
      <c r="C496" s="31" t="s">
        <v>624</v>
      </c>
      <c r="D496" s="31" t="s">
        <v>625</v>
      </c>
      <c r="E496" s="31" t="s">
        <v>249</v>
      </c>
      <c r="F496" s="31" t="s">
        <v>250</v>
      </c>
      <c r="G496" s="31" t="s">
        <v>250</v>
      </c>
      <c r="H496" s="31" t="s">
        <v>251</v>
      </c>
      <c r="I496" s="31" t="b">
        <v>0</v>
      </c>
      <c r="J496" s="31">
        <v>27</v>
      </c>
      <c r="K496" s="31">
        <v>1101.3</v>
      </c>
      <c r="L496" s="32">
        <v>3959605</v>
      </c>
      <c r="M496" s="32">
        <v>1000000041112468</v>
      </c>
      <c r="N496" s="31" t="s">
        <v>626</v>
      </c>
      <c r="O496" s="31"/>
    </row>
    <row r="497" spans="1:15">
      <c r="A497" s="31"/>
      <c r="B497" s="31" t="s">
        <v>84</v>
      </c>
      <c r="C497" s="31" t="s">
        <v>256</v>
      </c>
      <c r="D497" s="31" t="s">
        <v>625</v>
      </c>
      <c r="E497" s="31" t="s">
        <v>249</v>
      </c>
      <c r="F497" s="31" t="s">
        <v>250</v>
      </c>
      <c r="G497" s="31" t="s">
        <v>250</v>
      </c>
      <c r="H497" s="31" t="s">
        <v>251</v>
      </c>
      <c r="I497" s="31" t="b">
        <v>0</v>
      </c>
      <c r="J497" s="31">
        <v>24</v>
      </c>
      <c r="K497" s="31">
        <v>787.95</v>
      </c>
      <c r="L497" s="32">
        <v>205609098</v>
      </c>
      <c r="M497" s="32">
        <v>1100000054514308</v>
      </c>
      <c r="N497" s="31" t="s">
        <v>627</v>
      </c>
      <c r="O497" s="31"/>
    </row>
    <row r="498" spans="1:15">
      <c r="A498" s="31"/>
      <c r="B498" s="31" t="s">
        <v>84</v>
      </c>
      <c r="C498" s="31" t="s">
        <v>256</v>
      </c>
      <c r="D498" s="31" t="s">
        <v>625</v>
      </c>
      <c r="E498" s="31" t="s">
        <v>249</v>
      </c>
      <c r="F498" s="31" t="s">
        <v>250</v>
      </c>
      <c r="G498" s="31" t="s">
        <v>250</v>
      </c>
      <c r="H498" s="31" t="s">
        <v>251</v>
      </c>
      <c r="I498" s="31" t="b">
        <v>0</v>
      </c>
      <c r="J498" s="31">
        <v>5</v>
      </c>
      <c r="K498" s="31">
        <v>788</v>
      </c>
      <c r="L498" s="32">
        <v>205609100</v>
      </c>
      <c r="M498" s="32">
        <v>1100000054514308</v>
      </c>
      <c r="N498" s="31" t="s">
        <v>627</v>
      </c>
      <c r="O498" s="31"/>
    </row>
    <row r="499" spans="1:15">
      <c r="A499" s="31"/>
      <c r="B499" s="31" t="s">
        <v>84</v>
      </c>
      <c r="C499" s="31" t="s">
        <v>256</v>
      </c>
      <c r="D499" s="31" t="s">
        <v>625</v>
      </c>
      <c r="E499" s="31" t="s">
        <v>249</v>
      </c>
      <c r="F499" s="31" t="s">
        <v>250</v>
      </c>
      <c r="G499" s="31" t="s">
        <v>250</v>
      </c>
      <c r="H499" s="31" t="s">
        <v>251</v>
      </c>
      <c r="I499" s="31" t="b">
        <v>0</v>
      </c>
      <c r="J499" s="31">
        <v>8</v>
      </c>
      <c r="K499" s="31">
        <v>787.95</v>
      </c>
      <c r="L499" s="32">
        <v>205609099</v>
      </c>
      <c r="M499" s="32">
        <v>1100000054514308</v>
      </c>
      <c r="N499" s="31" t="s">
        <v>627</v>
      </c>
      <c r="O499" s="31"/>
    </row>
    <row r="500" spans="1:15">
      <c r="A500" s="31"/>
      <c r="B500" s="31" t="s">
        <v>628</v>
      </c>
      <c r="C500" s="31" t="s">
        <v>629</v>
      </c>
      <c r="D500" s="31" t="s">
        <v>625</v>
      </c>
      <c r="E500" s="31" t="s">
        <v>249</v>
      </c>
      <c r="F500" s="31" t="s">
        <v>250</v>
      </c>
      <c r="G500" s="31" t="s">
        <v>250</v>
      </c>
      <c r="H500" s="31" t="s">
        <v>251</v>
      </c>
      <c r="I500" s="31" t="b">
        <v>0</v>
      </c>
      <c r="J500" s="31">
        <v>1</v>
      </c>
      <c r="K500" s="31">
        <v>35105</v>
      </c>
      <c r="L500" s="32">
        <v>404510111</v>
      </c>
      <c r="M500" s="32">
        <v>1200000049482545</v>
      </c>
      <c r="N500" s="31" t="s">
        <v>630</v>
      </c>
      <c r="O500" s="31"/>
    </row>
    <row r="501" spans="1:15">
      <c r="A501" s="31"/>
      <c r="B501" s="31" t="s">
        <v>631</v>
      </c>
      <c r="C501" s="31" t="s">
        <v>632</v>
      </c>
      <c r="D501" s="31" t="s">
        <v>625</v>
      </c>
      <c r="E501" s="31" t="s">
        <v>249</v>
      </c>
      <c r="F501" s="31" t="s">
        <v>250</v>
      </c>
      <c r="G501" s="31" t="s">
        <v>250</v>
      </c>
      <c r="H501" s="31" t="s">
        <v>251</v>
      </c>
      <c r="I501" s="31" t="b">
        <v>0</v>
      </c>
      <c r="J501" s="31">
        <v>26</v>
      </c>
      <c r="K501" s="31">
        <v>1152.9000000000001</v>
      </c>
      <c r="L501" s="32">
        <v>605253704</v>
      </c>
      <c r="M501" s="32">
        <v>1300000053059876</v>
      </c>
      <c r="N501" s="31" t="s">
        <v>633</v>
      </c>
      <c r="O501" s="31"/>
    </row>
    <row r="502" spans="1:15">
      <c r="A502" s="31"/>
      <c r="B502" s="31" t="s">
        <v>634</v>
      </c>
      <c r="C502" s="31" t="s">
        <v>635</v>
      </c>
      <c r="D502" s="31" t="s">
        <v>625</v>
      </c>
      <c r="E502" s="31" t="s">
        <v>249</v>
      </c>
      <c r="F502" s="31" t="s">
        <v>250</v>
      </c>
      <c r="G502" s="31" t="s">
        <v>250</v>
      </c>
      <c r="H502" s="31" t="s">
        <v>251</v>
      </c>
      <c r="I502" s="31" t="b">
        <v>0</v>
      </c>
      <c r="J502" s="31">
        <v>55</v>
      </c>
      <c r="K502" s="31">
        <v>533.75</v>
      </c>
      <c r="L502" s="32">
        <v>605258299</v>
      </c>
      <c r="M502" s="32">
        <v>1300000053106392</v>
      </c>
      <c r="N502" s="31" t="s">
        <v>636</v>
      </c>
      <c r="O502" s="31"/>
    </row>
    <row r="503" spans="1:15">
      <c r="A503" s="31"/>
      <c r="B503" s="31" t="s">
        <v>637</v>
      </c>
      <c r="C503" s="31" t="s">
        <v>638</v>
      </c>
      <c r="D503" s="31" t="s">
        <v>625</v>
      </c>
      <c r="E503" s="31" t="s">
        <v>249</v>
      </c>
      <c r="F503" s="31" t="s">
        <v>250</v>
      </c>
      <c r="G503" s="31" t="s">
        <v>250</v>
      </c>
      <c r="H503" s="31" t="s">
        <v>251</v>
      </c>
      <c r="I503" s="31" t="b">
        <v>0</v>
      </c>
      <c r="J503" s="31">
        <v>1</v>
      </c>
      <c r="K503" s="31">
        <v>10344</v>
      </c>
      <c r="L503" s="32">
        <v>3997785</v>
      </c>
      <c r="M503" s="32">
        <v>1000000041482231</v>
      </c>
      <c r="N503" s="31" t="s">
        <v>639</v>
      </c>
      <c r="O503" s="31"/>
    </row>
    <row r="504" spans="1:15">
      <c r="A504" s="31"/>
      <c r="B504" s="31" t="s">
        <v>637</v>
      </c>
      <c r="C504" s="31" t="s">
        <v>638</v>
      </c>
      <c r="D504" s="31" t="s">
        <v>625</v>
      </c>
      <c r="E504" s="31" t="s">
        <v>249</v>
      </c>
      <c r="F504" s="31" t="s">
        <v>250</v>
      </c>
      <c r="G504" s="31" t="s">
        <v>250</v>
      </c>
      <c r="H504" s="31" t="s">
        <v>251</v>
      </c>
      <c r="I504" s="31" t="b">
        <v>0</v>
      </c>
      <c r="J504" s="31">
        <v>2</v>
      </c>
      <c r="K504" s="31">
        <v>10344</v>
      </c>
      <c r="L504" s="32">
        <v>3997784</v>
      </c>
      <c r="M504" s="32">
        <v>1000000041482231</v>
      </c>
      <c r="N504" s="31" t="s">
        <v>639</v>
      </c>
      <c r="O504" s="31"/>
    </row>
    <row r="505" spans="1:15">
      <c r="A505" s="31"/>
      <c r="B505" s="31" t="s">
        <v>640</v>
      </c>
      <c r="C505" s="31" t="s">
        <v>641</v>
      </c>
      <c r="D505" s="31" t="s">
        <v>625</v>
      </c>
      <c r="E505" s="31" t="s">
        <v>249</v>
      </c>
      <c r="F505" s="31" t="s">
        <v>250</v>
      </c>
      <c r="G505" s="31" t="s">
        <v>250</v>
      </c>
      <c r="H505" s="31" t="s">
        <v>251</v>
      </c>
      <c r="I505" s="31" t="b">
        <v>0</v>
      </c>
      <c r="J505" s="31">
        <v>10</v>
      </c>
      <c r="K505" s="31">
        <v>663.75</v>
      </c>
      <c r="L505" s="32">
        <v>605268935</v>
      </c>
      <c r="M505" s="32">
        <v>1300000053228277</v>
      </c>
      <c r="N505" s="31" t="s">
        <v>642</v>
      </c>
      <c r="O505" s="31"/>
    </row>
    <row r="506" spans="1:15">
      <c r="A506" s="31"/>
      <c r="B506" s="31" t="s">
        <v>640</v>
      </c>
      <c r="C506" s="31" t="s">
        <v>641</v>
      </c>
      <c r="D506" s="31" t="s">
        <v>625</v>
      </c>
      <c r="E506" s="31" t="s">
        <v>249</v>
      </c>
      <c r="F506" s="31" t="s">
        <v>250</v>
      </c>
      <c r="G506" s="31" t="s">
        <v>250</v>
      </c>
      <c r="H506" s="31" t="s">
        <v>251</v>
      </c>
      <c r="I506" s="31" t="b">
        <v>0</v>
      </c>
      <c r="J506" s="31">
        <v>18</v>
      </c>
      <c r="K506" s="31">
        <v>663.75</v>
      </c>
      <c r="L506" s="32">
        <v>605375461</v>
      </c>
      <c r="M506" s="32">
        <v>1300000053228277</v>
      </c>
      <c r="N506" s="31" t="s">
        <v>642</v>
      </c>
      <c r="O506" s="31"/>
    </row>
    <row r="507" spans="1:15">
      <c r="A507" s="31"/>
      <c r="B507" s="31" t="s">
        <v>640</v>
      </c>
      <c r="C507" s="31" t="s">
        <v>641</v>
      </c>
      <c r="D507" s="31" t="s">
        <v>625</v>
      </c>
      <c r="E507" s="31" t="s">
        <v>249</v>
      </c>
      <c r="F507" s="31" t="s">
        <v>250</v>
      </c>
      <c r="G507" s="31" t="s">
        <v>250</v>
      </c>
      <c r="H507" s="31" t="s">
        <v>251</v>
      </c>
      <c r="I507" s="31" t="b">
        <v>0</v>
      </c>
      <c r="J507" s="31">
        <v>6</v>
      </c>
      <c r="K507" s="31">
        <v>663.75</v>
      </c>
      <c r="L507" s="32">
        <v>605375462</v>
      </c>
      <c r="M507" s="32">
        <v>1300000053228277</v>
      </c>
      <c r="N507" s="31" t="s">
        <v>642</v>
      </c>
      <c r="O507" s="31"/>
    </row>
    <row r="508" spans="1:15">
      <c r="A508" s="31"/>
      <c r="B508" s="31" t="s">
        <v>640</v>
      </c>
      <c r="C508" s="31" t="s">
        <v>641</v>
      </c>
      <c r="D508" s="31" t="s">
        <v>625</v>
      </c>
      <c r="E508" s="31" t="s">
        <v>249</v>
      </c>
      <c r="F508" s="31" t="s">
        <v>250</v>
      </c>
      <c r="G508" s="31" t="s">
        <v>250</v>
      </c>
      <c r="H508" s="31" t="s">
        <v>251</v>
      </c>
      <c r="I508" s="31" t="b">
        <v>0</v>
      </c>
      <c r="J508" s="31">
        <v>9</v>
      </c>
      <c r="K508" s="31">
        <v>663.75</v>
      </c>
      <c r="L508" s="32">
        <v>605267641</v>
      </c>
      <c r="M508" s="32">
        <v>1300000053228277</v>
      </c>
      <c r="N508" s="31" t="s">
        <v>642</v>
      </c>
      <c r="O508" s="31"/>
    </row>
    <row r="509" spans="1:15">
      <c r="A509" s="31"/>
      <c r="B509" s="31" t="s">
        <v>643</v>
      </c>
      <c r="C509" s="31" t="s">
        <v>644</v>
      </c>
      <c r="D509" s="31" t="s">
        <v>625</v>
      </c>
      <c r="E509" s="31" t="s">
        <v>249</v>
      </c>
      <c r="F509" s="31" t="s">
        <v>250</v>
      </c>
      <c r="G509" s="31" t="s">
        <v>250</v>
      </c>
      <c r="H509" s="31" t="s">
        <v>251</v>
      </c>
      <c r="I509" s="31" t="b">
        <v>0</v>
      </c>
      <c r="J509" s="31">
        <v>1</v>
      </c>
      <c r="K509" s="31">
        <v>4554.1000999999997</v>
      </c>
      <c r="L509" s="32">
        <v>4007894</v>
      </c>
      <c r="M509" s="32">
        <v>1000000041572631</v>
      </c>
      <c r="N509" s="31" t="s">
        <v>645</v>
      </c>
      <c r="O509" s="31"/>
    </row>
    <row r="510" spans="1:15">
      <c r="A510" s="31"/>
      <c r="B510" s="31" t="s">
        <v>643</v>
      </c>
      <c r="C510" s="31" t="s">
        <v>644</v>
      </c>
      <c r="D510" s="31" t="s">
        <v>625</v>
      </c>
      <c r="E510" s="31" t="s">
        <v>249</v>
      </c>
      <c r="F510" s="31" t="s">
        <v>250</v>
      </c>
      <c r="G510" s="31" t="s">
        <v>250</v>
      </c>
      <c r="H510" s="31" t="s">
        <v>251</v>
      </c>
      <c r="I510" s="31" t="b">
        <v>0</v>
      </c>
      <c r="J510" s="31">
        <v>1</v>
      </c>
      <c r="K510" s="31">
        <v>4554.1000999999997</v>
      </c>
      <c r="L510" s="32">
        <v>4010433</v>
      </c>
      <c r="M510" s="32">
        <v>1000000041572631</v>
      </c>
      <c r="N510" s="31" t="s">
        <v>645</v>
      </c>
      <c r="O510" s="31"/>
    </row>
    <row r="511" spans="1:15">
      <c r="A511" s="31"/>
      <c r="B511" s="31" t="s">
        <v>643</v>
      </c>
      <c r="C511" s="31" t="s">
        <v>644</v>
      </c>
      <c r="D511" s="31" t="s">
        <v>625</v>
      </c>
      <c r="E511" s="31" t="s">
        <v>249</v>
      </c>
      <c r="F511" s="31" t="s">
        <v>250</v>
      </c>
      <c r="G511" s="31" t="s">
        <v>250</v>
      </c>
      <c r="H511" s="31" t="s">
        <v>251</v>
      </c>
      <c r="I511" s="31" t="b">
        <v>0</v>
      </c>
      <c r="J511" s="31">
        <v>4</v>
      </c>
      <c r="K511" s="31">
        <v>4554.1000999999997</v>
      </c>
      <c r="L511" s="32">
        <v>4010405</v>
      </c>
      <c r="M511" s="32">
        <v>1000000041572631</v>
      </c>
      <c r="N511" s="31" t="s">
        <v>645</v>
      </c>
      <c r="O511" s="31"/>
    </row>
    <row r="512" spans="1:15">
      <c r="A512" s="31"/>
      <c r="B512" s="31" t="s">
        <v>564</v>
      </c>
      <c r="C512" s="31" t="s">
        <v>565</v>
      </c>
      <c r="D512" s="31" t="s">
        <v>625</v>
      </c>
      <c r="E512" s="31" t="s">
        <v>249</v>
      </c>
      <c r="F512" s="31" t="s">
        <v>250</v>
      </c>
      <c r="G512" s="31" t="s">
        <v>250</v>
      </c>
      <c r="H512" s="31" t="s">
        <v>251</v>
      </c>
      <c r="I512" s="31" t="b">
        <v>0</v>
      </c>
      <c r="J512" s="31">
        <v>10</v>
      </c>
      <c r="K512" s="31">
        <v>2933.7</v>
      </c>
      <c r="L512" s="32">
        <v>4029420</v>
      </c>
      <c r="M512" s="32">
        <v>1000000041615757</v>
      </c>
      <c r="N512" s="31" t="s">
        <v>646</v>
      </c>
      <c r="O512" s="31"/>
    </row>
    <row r="513" spans="1:15">
      <c r="A513" s="31"/>
      <c r="B513" s="31" t="s">
        <v>647</v>
      </c>
      <c r="C513" s="31" t="s">
        <v>648</v>
      </c>
      <c r="D513" s="31" t="s">
        <v>625</v>
      </c>
      <c r="E513" s="31" t="s">
        <v>249</v>
      </c>
      <c r="F513" s="31" t="s">
        <v>250</v>
      </c>
      <c r="G513" s="31" t="s">
        <v>250</v>
      </c>
      <c r="H513" s="31" t="s">
        <v>251</v>
      </c>
      <c r="I513" s="31" t="b">
        <v>0</v>
      </c>
      <c r="J513" s="31">
        <v>3</v>
      </c>
      <c r="K513" s="31">
        <v>10301</v>
      </c>
      <c r="L513" s="32">
        <v>404552455</v>
      </c>
      <c r="M513" s="32">
        <v>1200000049833318</v>
      </c>
      <c r="N513" s="31" t="s">
        <v>649</v>
      </c>
      <c r="O513" s="31"/>
    </row>
    <row r="514" spans="1:15">
      <c r="A514" s="31"/>
      <c r="B514" s="31" t="s">
        <v>650</v>
      </c>
      <c r="C514" s="31" t="s">
        <v>651</v>
      </c>
      <c r="D514" s="31" t="s">
        <v>625</v>
      </c>
      <c r="E514" s="31" t="s">
        <v>249</v>
      </c>
      <c r="F514" s="31" t="s">
        <v>250</v>
      </c>
      <c r="G514" s="31" t="s">
        <v>250</v>
      </c>
      <c r="H514" s="31" t="s">
        <v>251</v>
      </c>
      <c r="I514" s="31" t="b">
        <v>0</v>
      </c>
      <c r="J514" s="31">
        <v>2</v>
      </c>
      <c r="K514" s="31">
        <v>12833</v>
      </c>
      <c r="L514" s="32">
        <v>4017841</v>
      </c>
      <c r="M514" s="32">
        <v>1000000041692955</v>
      </c>
      <c r="N514" s="31" t="s">
        <v>652</v>
      </c>
      <c r="O514" s="31"/>
    </row>
    <row r="515" spans="1:15">
      <c r="A515" s="31"/>
      <c r="B515" s="31" t="s">
        <v>653</v>
      </c>
      <c r="C515" s="31" t="s">
        <v>654</v>
      </c>
      <c r="D515" s="31" t="s">
        <v>625</v>
      </c>
      <c r="E515" s="31" t="s">
        <v>249</v>
      </c>
      <c r="F515" s="31" t="s">
        <v>250</v>
      </c>
      <c r="G515" s="31" t="s">
        <v>250</v>
      </c>
      <c r="H515" s="31" t="s">
        <v>251</v>
      </c>
      <c r="I515" s="31" t="b">
        <v>0</v>
      </c>
      <c r="J515" s="31">
        <v>3</v>
      </c>
      <c r="K515" s="31">
        <v>8960</v>
      </c>
      <c r="L515" s="32">
        <v>4021119</v>
      </c>
      <c r="M515" s="32">
        <v>1000000041718540</v>
      </c>
      <c r="N515" s="31" t="s">
        <v>655</v>
      </c>
      <c r="O515" s="31"/>
    </row>
    <row r="516" spans="1:15">
      <c r="A516" s="31"/>
      <c r="B516" s="31" t="s">
        <v>650</v>
      </c>
      <c r="C516" s="31" t="s">
        <v>651</v>
      </c>
      <c r="D516" s="31" t="s">
        <v>625</v>
      </c>
      <c r="E516" s="31" t="s">
        <v>249</v>
      </c>
      <c r="F516" s="31" t="s">
        <v>250</v>
      </c>
      <c r="G516" s="31" t="s">
        <v>250</v>
      </c>
      <c r="H516" s="31" t="s">
        <v>251</v>
      </c>
      <c r="I516" s="31" t="b">
        <v>0</v>
      </c>
      <c r="J516" s="31">
        <v>2</v>
      </c>
      <c r="K516" s="31">
        <v>12825</v>
      </c>
      <c r="L516" s="32">
        <v>4050848</v>
      </c>
      <c r="M516" s="32">
        <v>1000000041864076</v>
      </c>
      <c r="N516" s="31" t="s">
        <v>656</v>
      </c>
      <c r="O516" s="31"/>
    </row>
    <row r="517" spans="1:15">
      <c r="A517" s="31"/>
      <c r="B517" s="31" t="s">
        <v>653</v>
      </c>
      <c r="C517" s="31" t="s">
        <v>654</v>
      </c>
      <c r="D517" s="31" t="s">
        <v>625</v>
      </c>
      <c r="E517" s="31" t="s">
        <v>249</v>
      </c>
      <c r="F517" s="31" t="s">
        <v>250</v>
      </c>
      <c r="G517" s="31" t="s">
        <v>250</v>
      </c>
      <c r="H517" s="31" t="s">
        <v>251</v>
      </c>
      <c r="I517" s="31" t="b">
        <v>0</v>
      </c>
      <c r="J517" s="31">
        <v>3</v>
      </c>
      <c r="K517" s="31">
        <v>8956</v>
      </c>
      <c r="L517" s="32">
        <v>4038511</v>
      </c>
      <c r="M517" s="32">
        <v>1000000041888686</v>
      </c>
      <c r="N517" s="31" t="s">
        <v>657</v>
      </c>
      <c r="O517" s="31"/>
    </row>
    <row r="518" spans="1:15">
      <c r="A518" s="31"/>
      <c r="B518" s="31" t="s">
        <v>73</v>
      </c>
      <c r="C518" s="31" t="s">
        <v>247</v>
      </c>
      <c r="D518" s="31" t="s">
        <v>625</v>
      </c>
      <c r="E518" s="31" t="s">
        <v>249</v>
      </c>
      <c r="F518" s="31" t="s">
        <v>250</v>
      </c>
      <c r="G518" s="31" t="s">
        <v>250</v>
      </c>
      <c r="H518" s="31" t="s">
        <v>251</v>
      </c>
      <c r="I518" s="31" t="b">
        <v>0</v>
      </c>
      <c r="J518" s="31">
        <v>3</v>
      </c>
      <c r="K518" s="31">
        <v>9432</v>
      </c>
      <c r="L518" s="32">
        <v>404581280</v>
      </c>
      <c r="M518" s="32">
        <v>1200000050391703</v>
      </c>
      <c r="N518" s="31" t="s">
        <v>658</v>
      </c>
      <c r="O518" s="31"/>
    </row>
    <row r="519" spans="1:15">
      <c r="A519" s="31"/>
      <c r="B519" s="31" t="s">
        <v>659</v>
      </c>
      <c r="C519" s="31" t="s">
        <v>660</v>
      </c>
      <c r="D519" s="31" t="s">
        <v>625</v>
      </c>
      <c r="E519" s="31" t="s">
        <v>249</v>
      </c>
      <c r="F519" s="31" t="s">
        <v>250</v>
      </c>
      <c r="G519" s="31" t="s">
        <v>250</v>
      </c>
      <c r="H519" s="31" t="s">
        <v>251</v>
      </c>
      <c r="I519" s="31" t="b">
        <v>0</v>
      </c>
      <c r="J519" s="31">
        <v>13</v>
      </c>
      <c r="K519" s="31">
        <v>1562.2</v>
      </c>
      <c r="L519" s="32">
        <v>404841096</v>
      </c>
      <c r="M519" s="32">
        <v>1200000050546610</v>
      </c>
      <c r="N519" s="31" t="s">
        <v>661</v>
      </c>
      <c r="O519" s="31"/>
    </row>
    <row r="520" spans="1:15">
      <c r="A520" s="31"/>
      <c r="B520" s="31" t="s">
        <v>659</v>
      </c>
      <c r="C520" s="31" t="s">
        <v>660</v>
      </c>
      <c r="D520" s="31" t="s">
        <v>625</v>
      </c>
      <c r="E520" s="31" t="s">
        <v>249</v>
      </c>
      <c r="F520" s="31" t="s">
        <v>250</v>
      </c>
      <c r="G520" s="31" t="s">
        <v>250</v>
      </c>
      <c r="H520" s="31" t="s">
        <v>251</v>
      </c>
      <c r="I520" s="31" t="b">
        <v>0</v>
      </c>
      <c r="J520" s="31">
        <v>5</v>
      </c>
      <c r="K520" s="31">
        <v>1562.2</v>
      </c>
      <c r="L520" s="32">
        <v>404841462</v>
      </c>
      <c r="M520" s="32">
        <v>1200000050546610</v>
      </c>
      <c r="N520" s="31" t="s">
        <v>661</v>
      </c>
      <c r="O520" s="31"/>
    </row>
    <row r="521" spans="1:15">
      <c r="A521" s="31"/>
      <c r="B521" s="31" t="s">
        <v>82</v>
      </c>
      <c r="C521" s="31" t="s">
        <v>662</v>
      </c>
      <c r="D521" s="31" t="s">
        <v>625</v>
      </c>
      <c r="E521" s="31" t="s">
        <v>249</v>
      </c>
      <c r="F521" s="31" t="s">
        <v>250</v>
      </c>
      <c r="G521" s="31" t="s">
        <v>250</v>
      </c>
      <c r="H521" s="31" t="s">
        <v>251</v>
      </c>
      <c r="I521" s="31" t="b">
        <v>0</v>
      </c>
      <c r="J521" s="31">
        <v>193</v>
      </c>
      <c r="K521" s="31">
        <v>42.36</v>
      </c>
      <c r="L521" s="32">
        <v>205762436</v>
      </c>
      <c r="M521" s="32">
        <v>1100000056101469</v>
      </c>
      <c r="N521" s="31" t="s">
        <v>663</v>
      </c>
      <c r="O521" s="31"/>
    </row>
    <row r="522" spans="1:15">
      <c r="A522" s="31"/>
      <c r="B522" s="31" t="s">
        <v>82</v>
      </c>
      <c r="C522" s="31" t="s">
        <v>662</v>
      </c>
      <c r="D522" s="31" t="s">
        <v>625</v>
      </c>
      <c r="E522" s="31" t="s">
        <v>249</v>
      </c>
      <c r="F522" s="31" t="s">
        <v>250</v>
      </c>
      <c r="G522" s="31" t="s">
        <v>250</v>
      </c>
      <c r="H522" s="31" t="s">
        <v>251</v>
      </c>
      <c r="I522" s="31" t="b">
        <v>0</v>
      </c>
      <c r="J522" s="31">
        <v>492</v>
      </c>
      <c r="K522" s="31">
        <v>42.36</v>
      </c>
      <c r="L522" s="32">
        <v>205763965</v>
      </c>
      <c r="M522" s="32">
        <v>1100000056101469</v>
      </c>
      <c r="N522" s="31" t="s">
        <v>663</v>
      </c>
      <c r="O522" s="31"/>
    </row>
    <row r="523" spans="1:15">
      <c r="A523" s="31"/>
      <c r="B523" s="31" t="s">
        <v>664</v>
      </c>
      <c r="C523" s="31" t="s">
        <v>665</v>
      </c>
      <c r="D523" s="31" t="s">
        <v>625</v>
      </c>
      <c r="E523" s="31" t="s">
        <v>249</v>
      </c>
      <c r="F523" s="31" t="s">
        <v>250</v>
      </c>
      <c r="G523" s="31" t="s">
        <v>250</v>
      </c>
      <c r="H523" s="31" t="s">
        <v>251</v>
      </c>
      <c r="I523" s="31" t="b">
        <v>0</v>
      </c>
      <c r="J523" s="31">
        <v>6</v>
      </c>
      <c r="K523" s="31">
        <v>5189</v>
      </c>
      <c r="L523" s="32">
        <v>404707026</v>
      </c>
      <c r="M523" s="32">
        <v>1200000050865497</v>
      </c>
      <c r="N523" s="31" t="s">
        <v>666</v>
      </c>
      <c r="O523" s="31"/>
    </row>
    <row r="524" spans="1:15">
      <c r="A524" s="31"/>
      <c r="B524" s="31" t="s">
        <v>667</v>
      </c>
      <c r="C524" s="31" t="s">
        <v>668</v>
      </c>
      <c r="D524" s="31" t="s">
        <v>625</v>
      </c>
      <c r="E524" s="31" t="s">
        <v>249</v>
      </c>
      <c r="F524" s="31" t="s">
        <v>250</v>
      </c>
      <c r="G524" s="31" t="s">
        <v>250</v>
      </c>
      <c r="H524" s="31" t="s">
        <v>251</v>
      </c>
      <c r="I524" s="31" t="b">
        <v>0</v>
      </c>
      <c r="J524" s="31">
        <v>43</v>
      </c>
      <c r="K524" s="31">
        <v>679.8</v>
      </c>
      <c r="L524" s="32">
        <v>404634917</v>
      </c>
      <c r="M524" s="32">
        <v>1200000051003460</v>
      </c>
      <c r="N524" s="31" t="s">
        <v>669</v>
      </c>
      <c r="O524" s="31"/>
    </row>
    <row r="525" spans="1:15">
      <c r="A525" s="31"/>
      <c r="B525" s="31" t="s">
        <v>670</v>
      </c>
      <c r="C525" s="31" t="s">
        <v>671</v>
      </c>
      <c r="D525" s="31" t="s">
        <v>625</v>
      </c>
      <c r="E525" s="31" t="s">
        <v>249</v>
      </c>
      <c r="F525" s="31" t="s">
        <v>250</v>
      </c>
      <c r="G525" s="31" t="s">
        <v>250</v>
      </c>
      <c r="H525" s="31" t="s">
        <v>251</v>
      </c>
      <c r="I525" s="31" t="b">
        <v>0</v>
      </c>
      <c r="J525" s="31">
        <v>7</v>
      </c>
      <c r="K525" s="31">
        <v>1910.7</v>
      </c>
      <c r="L525" s="32">
        <v>404643573</v>
      </c>
      <c r="M525" s="32">
        <v>1200000051102640</v>
      </c>
      <c r="N525" s="31" t="s">
        <v>672</v>
      </c>
      <c r="O525" s="31"/>
    </row>
    <row r="526" spans="1:15">
      <c r="A526" s="31"/>
      <c r="B526" s="31" t="s">
        <v>670</v>
      </c>
      <c r="C526" s="31" t="s">
        <v>671</v>
      </c>
      <c r="D526" s="31" t="s">
        <v>625</v>
      </c>
      <c r="E526" s="31" t="s">
        <v>249</v>
      </c>
      <c r="F526" s="31" t="s">
        <v>250</v>
      </c>
      <c r="G526" s="31" t="s">
        <v>250</v>
      </c>
      <c r="H526" s="31" t="s">
        <v>251</v>
      </c>
      <c r="I526" s="31" t="b">
        <v>0</v>
      </c>
      <c r="J526" s="31">
        <v>8</v>
      </c>
      <c r="K526" s="31">
        <v>1910.6</v>
      </c>
      <c r="L526" s="32">
        <v>404643572</v>
      </c>
      <c r="M526" s="32">
        <v>1200000051102640</v>
      </c>
      <c r="N526" s="31" t="s">
        <v>672</v>
      </c>
      <c r="O526" s="31"/>
    </row>
    <row r="527" spans="1:15">
      <c r="A527" s="31"/>
      <c r="B527" s="31" t="s">
        <v>673</v>
      </c>
      <c r="C527" s="31" t="s">
        <v>674</v>
      </c>
      <c r="D527" s="31" t="s">
        <v>625</v>
      </c>
      <c r="E527" s="31" t="s">
        <v>249</v>
      </c>
      <c r="F527" s="31" t="s">
        <v>250</v>
      </c>
      <c r="G527" s="31" t="s">
        <v>250</v>
      </c>
      <c r="H527" s="31" t="s">
        <v>251</v>
      </c>
      <c r="I527" s="31" t="b">
        <v>0</v>
      </c>
      <c r="J527" s="31">
        <v>35</v>
      </c>
      <c r="K527" s="31">
        <v>838.6</v>
      </c>
      <c r="L527" s="32">
        <v>404726581</v>
      </c>
      <c r="M527" s="32">
        <v>1200000051201940</v>
      </c>
      <c r="N527" s="31" t="s">
        <v>675</v>
      </c>
      <c r="O527" s="31"/>
    </row>
    <row r="528" spans="1:15">
      <c r="A528" s="31"/>
      <c r="B528" s="31" t="s">
        <v>676</v>
      </c>
      <c r="C528" s="31" t="s">
        <v>677</v>
      </c>
      <c r="D528" s="31" t="s">
        <v>625</v>
      </c>
      <c r="E528" s="31" t="s">
        <v>249</v>
      </c>
      <c r="F528" s="31" t="s">
        <v>250</v>
      </c>
      <c r="G528" s="31" t="s">
        <v>250</v>
      </c>
      <c r="H528" s="31" t="s">
        <v>251</v>
      </c>
      <c r="I528" s="31" t="b">
        <v>0</v>
      </c>
      <c r="J528" s="31">
        <v>21</v>
      </c>
      <c r="K528" s="31">
        <v>1330.9</v>
      </c>
      <c r="L528" s="32">
        <v>605406236</v>
      </c>
      <c r="M528" s="32">
        <v>1300000054838729</v>
      </c>
      <c r="N528" s="31" t="s">
        <v>678</v>
      </c>
      <c r="O528" s="31"/>
    </row>
    <row r="529" spans="1:15">
      <c r="A529" s="31"/>
      <c r="B529" s="31" t="s">
        <v>679</v>
      </c>
      <c r="C529" s="31" t="s">
        <v>680</v>
      </c>
      <c r="D529" s="31" t="s">
        <v>625</v>
      </c>
      <c r="E529" s="31" t="s">
        <v>249</v>
      </c>
      <c r="F529" s="31" t="s">
        <v>250</v>
      </c>
      <c r="G529" s="31" t="s">
        <v>250</v>
      </c>
      <c r="H529" s="31" t="s">
        <v>251</v>
      </c>
      <c r="I529" s="31" t="b">
        <v>0</v>
      </c>
      <c r="J529" s="31">
        <v>1</v>
      </c>
      <c r="K529" s="31">
        <v>729.65</v>
      </c>
      <c r="L529" s="32">
        <v>605412195</v>
      </c>
      <c r="M529" s="32">
        <v>1300000054905712</v>
      </c>
      <c r="N529" s="31" t="s">
        <v>681</v>
      </c>
      <c r="O529" s="31"/>
    </row>
    <row r="530" spans="1:15">
      <c r="A530" s="31"/>
      <c r="B530" s="31" t="s">
        <v>679</v>
      </c>
      <c r="C530" s="31" t="s">
        <v>680</v>
      </c>
      <c r="D530" s="31" t="s">
        <v>625</v>
      </c>
      <c r="E530" s="31" t="s">
        <v>249</v>
      </c>
      <c r="F530" s="31" t="s">
        <v>250</v>
      </c>
      <c r="G530" s="31" t="s">
        <v>250</v>
      </c>
      <c r="H530" s="31" t="s">
        <v>251</v>
      </c>
      <c r="I530" s="31" t="b">
        <v>0</v>
      </c>
      <c r="J530" s="31">
        <v>1</v>
      </c>
      <c r="K530" s="31">
        <v>729.7</v>
      </c>
      <c r="L530" s="32">
        <v>605447869</v>
      </c>
      <c r="M530" s="32">
        <v>1300000054905712</v>
      </c>
      <c r="N530" s="31" t="s">
        <v>681</v>
      </c>
      <c r="O530" s="31"/>
    </row>
    <row r="531" spans="1:15">
      <c r="A531" s="31"/>
      <c r="B531" s="31" t="s">
        <v>679</v>
      </c>
      <c r="C531" s="31" t="s">
        <v>680</v>
      </c>
      <c r="D531" s="31" t="s">
        <v>625</v>
      </c>
      <c r="E531" s="31" t="s">
        <v>249</v>
      </c>
      <c r="F531" s="31" t="s">
        <v>250</v>
      </c>
      <c r="G531" s="31" t="s">
        <v>250</v>
      </c>
      <c r="H531" s="31" t="s">
        <v>251</v>
      </c>
      <c r="I531" s="31" t="b">
        <v>0</v>
      </c>
      <c r="J531" s="31">
        <v>13</v>
      </c>
      <c r="K531" s="31">
        <v>729.65</v>
      </c>
      <c r="L531" s="32">
        <v>605412196</v>
      </c>
      <c r="M531" s="32">
        <v>1300000054905712</v>
      </c>
      <c r="N531" s="31" t="s">
        <v>681</v>
      </c>
      <c r="O531" s="31"/>
    </row>
    <row r="532" spans="1:15">
      <c r="A532" s="31"/>
      <c r="B532" s="31" t="s">
        <v>679</v>
      </c>
      <c r="C532" s="31" t="s">
        <v>680</v>
      </c>
      <c r="D532" s="31" t="s">
        <v>625</v>
      </c>
      <c r="E532" s="31" t="s">
        <v>249</v>
      </c>
      <c r="F532" s="31" t="s">
        <v>250</v>
      </c>
      <c r="G532" s="31" t="s">
        <v>250</v>
      </c>
      <c r="H532" s="31" t="s">
        <v>251</v>
      </c>
      <c r="I532" s="31" t="b">
        <v>0</v>
      </c>
      <c r="J532" s="31">
        <v>25</v>
      </c>
      <c r="K532" s="31">
        <v>729.7</v>
      </c>
      <c r="L532" s="32">
        <v>605412197</v>
      </c>
      <c r="M532" s="32">
        <v>1300000054905712</v>
      </c>
      <c r="N532" s="31" t="s">
        <v>681</v>
      </c>
      <c r="O532" s="31"/>
    </row>
    <row r="533" spans="1:15">
      <c r="A533" s="31"/>
      <c r="B533" s="31" t="s">
        <v>682</v>
      </c>
      <c r="C533" s="31" t="s">
        <v>683</v>
      </c>
      <c r="D533" s="31" t="s">
        <v>625</v>
      </c>
      <c r="E533" s="31" t="s">
        <v>249</v>
      </c>
      <c r="F533" s="31" t="s">
        <v>250</v>
      </c>
      <c r="G533" s="31" t="s">
        <v>250</v>
      </c>
      <c r="H533" s="31" t="s">
        <v>251</v>
      </c>
      <c r="I533" s="31" t="b">
        <v>0</v>
      </c>
      <c r="J533" s="31">
        <v>8</v>
      </c>
      <c r="K533" s="31">
        <v>3520.1001000000001</v>
      </c>
      <c r="L533" s="32">
        <v>605673718</v>
      </c>
      <c r="M533" s="32">
        <v>1300000054976082</v>
      </c>
      <c r="N533" s="31" t="s">
        <v>684</v>
      </c>
      <c r="O533" s="31"/>
    </row>
    <row r="534" spans="1:15">
      <c r="A534" s="31"/>
      <c r="B534" s="31" t="s">
        <v>522</v>
      </c>
      <c r="C534" s="31" t="s">
        <v>523</v>
      </c>
      <c r="D534" s="31" t="s">
        <v>625</v>
      </c>
      <c r="E534" s="31" t="s">
        <v>249</v>
      </c>
      <c r="F534" s="31" t="s">
        <v>250</v>
      </c>
      <c r="G534" s="31" t="s">
        <v>250</v>
      </c>
      <c r="H534" s="31" t="s">
        <v>251</v>
      </c>
      <c r="I534" s="31" t="b">
        <v>0</v>
      </c>
      <c r="J534" s="31">
        <v>1</v>
      </c>
      <c r="K534" s="31">
        <v>18259</v>
      </c>
      <c r="L534" s="32">
        <v>605565848</v>
      </c>
      <c r="M534" s="32">
        <v>1300000055031483</v>
      </c>
      <c r="N534" s="31" t="s">
        <v>685</v>
      </c>
      <c r="O534" s="31"/>
    </row>
    <row r="535" spans="1:15">
      <c r="A535" s="31"/>
      <c r="B535" s="31" t="s">
        <v>522</v>
      </c>
      <c r="C535" s="31" t="s">
        <v>523</v>
      </c>
      <c r="D535" s="31" t="s">
        <v>625</v>
      </c>
      <c r="E535" s="31" t="s">
        <v>249</v>
      </c>
      <c r="F535" s="31" t="s">
        <v>250</v>
      </c>
      <c r="G535" s="31" t="s">
        <v>250</v>
      </c>
      <c r="H535" s="31" t="s">
        <v>251</v>
      </c>
      <c r="I535" s="31" t="b">
        <v>0</v>
      </c>
      <c r="J535" s="31">
        <v>1</v>
      </c>
      <c r="K535" s="31">
        <v>18259</v>
      </c>
      <c r="L535" s="32">
        <v>605567434</v>
      </c>
      <c r="M535" s="32">
        <v>1300000055031483</v>
      </c>
      <c r="N535" s="31" t="s">
        <v>685</v>
      </c>
      <c r="O535" s="31"/>
    </row>
    <row r="536" spans="1:15">
      <c r="A536" s="31"/>
      <c r="B536" s="31" t="s">
        <v>112</v>
      </c>
      <c r="C536" s="31" t="s">
        <v>267</v>
      </c>
      <c r="D536" s="31" t="s">
        <v>625</v>
      </c>
      <c r="E536" s="31" t="s">
        <v>249</v>
      </c>
      <c r="F536" s="31" t="s">
        <v>250</v>
      </c>
      <c r="G536" s="31" t="s">
        <v>250</v>
      </c>
      <c r="H536" s="31" t="s">
        <v>251</v>
      </c>
      <c r="I536" s="31" t="b">
        <v>0</v>
      </c>
      <c r="J536" s="31">
        <v>20</v>
      </c>
      <c r="K536" s="31">
        <v>549.45000000000005</v>
      </c>
      <c r="L536" s="32">
        <v>404678893</v>
      </c>
      <c r="M536" s="32">
        <v>1200000051548098</v>
      </c>
      <c r="N536" s="31" t="s">
        <v>686</v>
      </c>
      <c r="O536" s="31"/>
    </row>
    <row r="537" spans="1:15">
      <c r="A537" s="31"/>
      <c r="B537" s="31" t="s">
        <v>112</v>
      </c>
      <c r="C537" s="31" t="s">
        <v>267</v>
      </c>
      <c r="D537" s="31" t="s">
        <v>625</v>
      </c>
      <c r="E537" s="31" t="s">
        <v>249</v>
      </c>
      <c r="F537" s="31" t="s">
        <v>250</v>
      </c>
      <c r="G537" s="31" t="s">
        <v>250</v>
      </c>
      <c r="H537" s="31" t="s">
        <v>251</v>
      </c>
      <c r="I537" s="31" t="b">
        <v>0</v>
      </c>
      <c r="J537" s="31">
        <v>34</v>
      </c>
      <c r="K537" s="31">
        <v>549.5</v>
      </c>
      <c r="L537" s="32">
        <v>404678894</v>
      </c>
      <c r="M537" s="32">
        <v>1200000051548098</v>
      </c>
      <c r="N537" s="31" t="s">
        <v>686</v>
      </c>
      <c r="O537" s="31"/>
    </row>
    <row r="538" spans="1:15">
      <c r="A538" s="31"/>
      <c r="B538" s="31" t="s">
        <v>687</v>
      </c>
      <c r="C538" s="31" t="s">
        <v>688</v>
      </c>
      <c r="D538" s="31" t="s">
        <v>625</v>
      </c>
      <c r="E538" s="31" t="s">
        <v>249</v>
      </c>
      <c r="F538" s="31" t="s">
        <v>250</v>
      </c>
      <c r="G538" s="31" t="s">
        <v>250</v>
      </c>
      <c r="H538" s="31" t="s">
        <v>251</v>
      </c>
      <c r="I538" s="31" t="b">
        <v>0</v>
      </c>
      <c r="J538" s="31">
        <v>4</v>
      </c>
      <c r="K538" s="31">
        <v>7050</v>
      </c>
      <c r="L538" s="32">
        <v>404784825</v>
      </c>
      <c r="M538" s="32">
        <v>1200000051664559</v>
      </c>
      <c r="N538" s="31" t="s">
        <v>689</v>
      </c>
      <c r="O538" s="31"/>
    </row>
    <row r="539" spans="1:15">
      <c r="A539" s="31"/>
      <c r="B539" s="31" t="s">
        <v>81</v>
      </c>
      <c r="C539" s="31" t="s">
        <v>690</v>
      </c>
      <c r="D539" s="31" t="s">
        <v>625</v>
      </c>
      <c r="E539" s="31" t="s">
        <v>249</v>
      </c>
      <c r="F539" s="31" t="s">
        <v>250</v>
      </c>
      <c r="G539" s="31" t="s">
        <v>250</v>
      </c>
      <c r="H539" s="31" t="s">
        <v>251</v>
      </c>
      <c r="I539" s="31" t="b">
        <v>0</v>
      </c>
      <c r="J539" s="31">
        <v>11</v>
      </c>
      <c r="K539" s="31">
        <v>2660</v>
      </c>
      <c r="L539" s="32">
        <v>404696234</v>
      </c>
      <c r="M539" s="32">
        <v>1200000051727442</v>
      </c>
      <c r="N539" s="31" t="s">
        <v>691</v>
      </c>
      <c r="O539" s="31"/>
    </row>
    <row r="540" spans="1:15">
      <c r="A540" s="31"/>
      <c r="B540" s="31" t="s">
        <v>692</v>
      </c>
      <c r="C540" s="31" t="s">
        <v>693</v>
      </c>
      <c r="D540" s="31" t="s">
        <v>625</v>
      </c>
      <c r="E540" s="31" t="s">
        <v>249</v>
      </c>
      <c r="F540" s="31" t="s">
        <v>250</v>
      </c>
      <c r="G540" s="31" t="s">
        <v>250</v>
      </c>
      <c r="H540" s="31" t="s">
        <v>251</v>
      </c>
      <c r="I540" s="31" t="b">
        <v>0</v>
      </c>
      <c r="J540" s="31">
        <v>4</v>
      </c>
      <c r="K540" s="31">
        <v>1972.4</v>
      </c>
      <c r="L540" s="32">
        <v>4178070</v>
      </c>
      <c r="M540" s="32">
        <v>1000000043294854</v>
      </c>
      <c r="N540" s="31" t="s">
        <v>694</v>
      </c>
      <c r="O540" s="31"/>
    </row>
    <row r="541" spans="1:15">
      <c r="A541" s="31"/>
      <c r="B541" s="31" t="s">
        <v>692</v>
      </c>
      <c r="C541" s="31" t="s">
        <v>693</v>
      </c>
      <c r="D541" s="31" t="s">
        <v>625</v>
      </c>
      <c r="E541" s="31" t="s">
        <v>249</v>
      </c>
      <c r="F541" s="31" t="s">
        <v>250</v>
      </c>
      <c r="G541" s="31" t="s">
        <v>250</v>
      </c>
      <c r="H541" s="31" t="s">
        <v>251</v>
      </c>
      <c r="I541" s="31" t="b">
        <v>0</v>
      </c>
      <c r="J541" s="31">
        <v>5</v>
      </c>
      <c r="K541" s="31">
        <v>1972.4</v>
      </c>
      <c r="L541" s="32">
        <v>4178071</v>
      </c>
      <c r="M541" s="32">
        <v>1000000043294854</v>
      </c>
      <c r="N541" s="31" t="s">
        <v>694</v>
      </c>
      <c r="O541" s="31"/>
    </row>
    <row r="542" spans="1:15">
      <c r="A542" s="31"/>
      <c r="B542" s="31" t="s">
        <v>692</v>
      </c>
      <c r="C542" s="31" t="s">
        <v>693</v>
      </c>
      <c r="D542" s="31" t="s">
        <v>625</v>
      </c>
      <c r="E542" s="31" t="s">
        <v>249</v>
      </c>
      <c r="F542" s="31" t="s">
        <v>250</v>
      </c>
      <c r="G542" s="31" t="s">
        <v>250</v>
      </c>
      <c r="H542" s="31" t="s">
        <v>251</v>
      </c>
      <c r="I542" s="31" t="b">
        <v>0</v>
      </c>
      <c r="J542" s="31">
        <v>6</v>
      </c>
      <c r="K542" s="31">
        <v>1972.4</v>
      </c>
      <c r="L542" s="32">
        <v>4178072</v>
      </c>
      <c r="M542" s="32">
        <v>1000000043294854</v>
      </c>
      <c r="N542" s="31" t="s">
        <v>694</v>
      </c>
      <c r="O542" s="31"/>
    </row>
    <row r="543" spans="1:15">
      <c r="A543" s="31"/>
      <c r="B543" s="31" t="s">
        <v>232</v>
      </c>
      <c r="C543" s="31" t="s">
        <v>619</v>
      </c>
      <c r="D543" s="31" t="s">
        <v>625</v>
      </c>
      <c r="E543" s="31" t="s">
        <v>249</v>
      </c>
      <c r="F543" s="31" t="s">
        <v>250</v>
      </c>
      <c r="G543" s="31" t="s">
        <v>250</v>
      </c>
      <c r="H543" s="31" t="s">
        <v>251</v>
      </c>
      <c r="I543" s="31" t="b">
        <v>0</v>
      </c>
      <c r="J543" s="31">
        <v>42</v>
      </c>
      <c r="K543" s="31">
        <v>678.75</v>
      </c>
      <c r="L543" s="32">
        <v>605560802</v>
      </c>
      <c r="M543" s="32">
        <v>1300000055439875</v>
      </c>
      <c r="N543" s="31" t="s">
        <v>695</v>
      </c>
      <c r="O543" s="31"/>
    </row>
    <row r="544" spans="1:15">
      <c r="A544" s="31"/>
      <c r="B544" s="31" t="s">
        <v>72</v>
      </c>
      <c r="C544" s="31" t="s">
        <v>476</v>
      </c>
      <c r="D544" s="31" t="s">
        <v>625</v>
      </c>
      <c r="E544" s="31" t="s">
        <v>249</v>
      </c>
      <c r="F544" s="31" t="s">
        <v>250</v>
      </c>
      <c r="G544" s="31" t="s">
        <v>250</v>
      </c>
      <c r="H544" s="31" t="s">
        <v>251</v>
      </c>
      <c r="I544" s="31" t="b">
        <v>0</v>
      </c>
      <c r="J544" s="31">
        <v>11</v>
      </c>
      <c r="K544" s="31">
        <v>1209.4000000000001</v>
      </c>
      <c r="L544" s="32">
        <v>605501073</v>
      </c>
      <c r="M544" s="32">
        <v>1300000055549447</v>
      </c>
      <c r="N544" s="31" t="s">
        <v>696</v>
      </c>
      <c r="O544" s="31"/>
    </row>
    <row r="545" spans="1:15">
      <c r="A545" s="31"/>
      <c r="B545" s="31" t="s">
        <v>72</v>
      </c>
      <c r="C545" s="31" t="s">
        <v>476</v>
      </c>
      <c r="D545" s="31" t="s">
        <v>625</v>
      </c>
      <c r="E545" s="31" t="s">
        <v>249</v>
      </c>
      <c r="F545" s="31" t="s">
        <v>250</v>
      </c>
      <c r="G545" s="31" t="s">
        <v>250</v>
      </c>
      <c r="H545" s="31" t="s">
        <v>251</v>
      </c>
      <c r="I545" s="31" t="b">
        <v>0</v>
      </c>
      <c r="J545" s="31">
        <v>14</v>
      </c>
      <c r="K545" s="31">
        <v>1209.4000000000001</v>
      </c>
      <c r="L545" s="32">
        <v>605500697</v>
      </c>
      <c r="M545" s="32">
        <v>1300000055549447</v>
      </c>
      <c r="N545" s="31" t="s">
        <v>696</v>
      </c>
      <c r="O545" s="31"/>
    </row>
    <row r="546" spans="1:15">
      <c r="A546" s="31"/>
      <c r="B546" s="31" t="s">
        <v>79</v>
      </c>
      <c r="C546" s="31" t="s">
        <v>513</v>
      </c>
      <c r="D546" s="31" t="s">
        <v>625</v>
      </c>
      <c r="E546" s="31" t="s">
        <v>249</v>
      </c>
      <c r="F546" s="31" t="s">
        <v>250</v>
      </c>
      <c r="G546" s="31" t="s">
        <v>250</v>
      </c>
      <c r="H546" s="31" t="s">
        <v>251</v>
      </c>
      <c r="I546" s="31" t="b">
        <v>0</v>
      </c>
      <c r="J546" s="31">
        <v>6</v>
      </c>
      <c r="K546" s="31">
        <v>4708</v>
      </c>
      <c r="L546" s="32">
        <v>205876850</v>
      </c>
      <c r="M546" s="32">
        <v>1100000057427734</v>
      </c>
      <c r="N546" s="31" t="s">
        <v>697</v>
      </c>
      <c r="O546" s="31"/>
    </row>
    <row r="547" spans="1:15">
      <c r="A547" s="31"/>
      <c r="B547" s="31" t="s">
        <v>79</v>
      </c>
      <c r="C547" s="31" t="s">
        <v>513</v>
      </c>
      <c r="D547" s="31" t="s">
        <v>1097</v>
      </c>
      <c r="E547" s="31" t="s">
        <v>249</v>
      </c>
      <c r="F547" s="31" t="s">
        <v>250</v>
      </c>
      <c r="G547" s="31" t="s">
        <v>250</v>
      </c>
      <c r="H547" s="31" t="s">
        <v>251</v>
      </c>
      <c r="I547" s="31" t="b">
        <v>0</v>
      </c>
      <c r="J547" s="31">
        <v>14</v>
      </c>
      <c r="K547" s="31">
        <v>5100</v>
      </c>
      <c r="L547" s="32">
        <v>205454282</v>
      </c>
      <c r="M547" s="32">
        <v>1100000050186797</v>
      </c>
      <c r="N547" s="31" t="s">
        <v>1098</v>
      </c>
      <c r="O547" s="31"/>
    </row>
    <row r="548" spans="1:15">
      <c r="A548" s="31"/>
      <c r="B548" s="31" t="s">
        <v>72</v>
      </c>
      <c r="C548" s="31" t="s">
        <v>476</v>
      </c>
      <c r="D548" s="31" t="s">
        <v>1097</v>
      </c>
      <c r="E548" s="31" t="s">
        <v>80</v>
      </c>
      <c r="F548" s="31" t="s">
        <v>250</v>
      </c>
      <c r="G548" s="31" t="s">
        <v>306</v>
      </c>
      <c r="H548" s="31" t="s">
        <v>251</v>
      </c>
      <c r="I548" s="31" t="b">
        <v>0</v>
      </c>
      <c r="J548" s="31">
        <v>18</v>
      </c>
      <c r="K548" s="31">
        <v>1350.75</v>
      </c>
      <c r="L548" s="32">
        <v>5961700</v>
      </c>
      <c r="M548" s="32">
        <v>1.7805504821586051E+18</v>
      </c>
      <c r="N548" s="31" t="s">
        <v>1099</v>
      </c>
      <c r="O548" s="31"/>
    </row>
    <row r="549" spans="1:15">
      <c r="A549" s="31"/>
      <c r="B549" s="31" t="s">
        <v>72</v>
      </c>
      <c r="C549" s="31" t="s">
        <v>476</v>
      </c>
      <c r="D549" s="31" t="s">
        <v>1097</v>
      </c>
      <c r="E549" s="31" t="s">
        <v>80</v>
      </c>
      <c r="F549" s="31" t="s">
        <v>250</v>
      </c>
      <c r="G549" s="31" t="s">
        <v>306</v>
      </c>
      <c r="H549" s="31" t="s">
        <v>251</v>
      </c>
      <c r="I549" s="31" t="b">
        <v>0</v>
      </c>
      <c r="J549" s="31">
        <v>3</v>
      </c>
      <c r="K549" s="31">
        <v>1351</v>
      </c>
      <c r="L549" s="32">
        <v>5962300</v>
      </c>
      <c r="M549" s="32">
        <v>1.7805504821586051E+18</v>
      </c>
      <c r="N549" s="31" t="s">
        <v>1099</v>
      </c>
      <c r="O549" s="31"/>
    </row>
    <row r="550" spans="1:15">
      <c r="A550" s="31"/>
      <c r="B550" s="31" t="s">
        <v>72</v>
      </c>
      <c r="C550" s="31" t="s">
        <v>476</v>
      </c>
      <c r="D550" s="31" t="s">
        <v>1097</v>
      </c>
      <c r="E550" s="31" t="s">
        <v>80</v>
      </c>
      <c r="F550" s="31" t="s">
        <v>250</v>
      </c>
      <c r="G550" s="31" t="s">
        <v>306</v>
      </c>
      <c r="H550" s="31" t="s">
        <v>251</v>
      </c>
      <c r="I550" s="31" t="b">
        <v>0</v>
      </c>
      <c r="J550" s="31">
        <v>40</v>
      </c>
      <c r="K550" s="31">
        <v>1350.85</v>
      </c>
      <c r="L550" s="32">
        <v>5962100</v>
      </c>
      <c r="M550" s="32">
        <v>1.7805504821586051E+18</v>
      </c>
      <c r="N550" s="31" t="s">
        <v>1099</v>
      </c>
      <c r="O550" s="31"/>
    </row>
    <row r="551" spans="1:15">
      <c r="A551" s="31"/>
      <c r="B551" s="31" t="s">
        <v>72</v>
      </c>
      <c r="C551" s="31" t="s">
        <v>476</v>
      </c>
      <c r="D551" s="31" t="s">
        <v>1097</v>
      </c>
      <c r="E551" s="31" t="s">
        <v>80</v>
      </c>
      <c r="F551" s="31" t="s">
        <v>250</v>
      </c>
      <c r="G551" s="31" t="s">
        <v>306</v>
      </c>
      <c r="H551" s="31" t="s">
        <v>251</v>
      </c>
      <c r="I551" s="31" t="b">
        <v>0</v>
      </c>
      <c r="J551" s="31">
        <v>5</v>
      </c>
      <c r="K551" s="31">
        <v>1350.8</v>
      </c>
      <c r="L551" s="32">
        <v>5961900</v>
      </c>
      <c r="M551" s="32">
        <v>1.7805504821586051E+18</v>
      </c>
      <c r="N551" s="31" t="s">
        <v>1099</v>
      </c>
      <c r="O551" s="31"/>
    </row>
    <row r="552" spans="1:15">
      <c r="A552" s="31"/>
      <c r="B552" s="31" t="s">
        <v>72</v>
      </c>
      <c r="C552" s="31" t="s">
        <v>476</v>
      </c>
      <c r="D552" s="31" t="s">
        <v>1097</v>
      </c>
      <c r="E552" s="31" t="s">
        <v>80</v>
      </c>
      <c r="F552" s="31" t="s">
        <v>250</v>
      </c>
      <c r="G552" s="31" t="s">
        <v>306</v>
      </c>
      <c r="H552" s="31" t="s">
        <v>251</v>
      </c>
      <c r="I552" s="31" t="b">
        <v>0</v>
      </c>
      <c r="J552" s="31">
        <v>5</v>
      </c>
      <c r="K552" s="31">
        <v>1351.1</v>
      </c>
      <c r="L552" s="32">
        <v>5962500</v>
      </c>
      <c r="M552" s="32">
        <v>1.7805504821586051E+18</v>
      </c>
      <c r="N552" s="31" t="s">
        <v>1099</v>
      </c>
      <c r="O552" s="31"/>
    </row>
    <row r="553" spans="1:15">
      <c r="A553" s="31"/>
      <c r="B553" s="31" t="s">
        <v>522</v>
      </c>
      <c r="C553" s="31" t="s">
        <v>523</v>
      </c>
      <c r="D553" s="31" t="s">
        <v>1097</v>
      </c>
      <c r="E553" s="31" t="s">
        <v>249</v>
      </c>
      <c r="F553" s="31" t="s">
        <v>250</v>
      </c>
      <c r="G553" s="31" t="s">
        <v>250</v>
      </c>
      <c r="H553" s="31" t="s">
        <v>251</v>
      </c>
      <c r="I553" s="31" t="b">
        <v>0</v>
      </c>
      <c r="J553" s="31">
        <v>2</v>
      </c>
      <c r="K553" s="31">
        <v>18502</v>
      </c>
      <c r="L553" s="32">
        <v>604868027</v>
      </c>
      <c r="M553" s="32">
        <v>1300000047270644</v>
      </c>
      <c r="N553" s="31" t="s">
        <v>1100</v>
      </c>
      <c r="O553" s="31"/>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3"/>
  <sheetViews>
    <sheetView workbookViewId="0">
      <pane ySplit="1" topLeftCell="A199" activePane="bottomLeft" state="frozen"/>
      <selection pane="bottomLeft" activeCell="F180" sqref="F180:F186"/>
    </sheetView>
  </sheetViews>
  <sheetFormatPr defaultRowHeight="15"/>
  <cols>
    <col min="1" max="3" width="12" customWidth="1"/>
    <col min="4" max="4" width="16" customWidth="1"/>
    <col min="5" max="5" width="15" customWidth="1"/>
    <col min="6" max="7" width="16" customWidth="1"/>
    <col min="8" max="8" width="17.28515625" customWidth="1"/>
  </cols>
  <sheetData>
    <row r="1" spans="1:7">
      <c r="A1" s="51" t="s">
        <v>236</v>
      </c>
      <c r="B1" s="51" t="s">
        <v>47</v>
      </c>
      <c r="C1" s="51" t="s">
        <v>240</v>
      </c>
      <c r="D1" s="51" t="s">
        <v>698</v>
      </c>
      <c r="E1" s="51" t="s">
        <v>699</v>
      </c>
      <c r="F1" s="51" t="s">
        <v>700</v>
      </c>
      <c r="G1" s="51" t="s">
        <v>701</v>
      </c>
    </row>
    <row r="2" spans="1:7">
      <c r="A2" s="31" t="s">
        <v>248</v>
      </c>
      <c r="B2" s="31" t="s">
        <v>84</v>
      </c>
      <c r="C2" s="31" t="s">
        <v>251</v>
      </c>
      <c r="D2" s="31">
        <v>116</v>
      </c>
      <c r="E2" s="33">
        <v>844.15</v>
      </c>
      <c r="F2" s="33">
        <v>97921.4</v>
      </c>
      <c r="G2" s="31" t="s">
        <v>103</v>
      </c>
    </row>
    <row r="3" spans="1:7">
      <c r="A3" s="31" t="s">
        <v>248</v>
      </c>
      <c r="B3" s="31" t="s">
        <v>258</v>
      </c>
      <c r="C3" s="31" t="s">
        <v>251</v>
      </c>
      <c r="D3" s="31">
        <v>20</v>
      </c>
      <c r="E3" s="33">
        <v>4509</v>
      </c>
      <c r="F3" s="33">
        <v>90180</v>
      </c>
      <c r="G3" s="31" t="s">
        <v>103</v>
      </c>
    </row>
    <row r="4" spans="1:7">
      <c r="A4" s="31" t="s">
        <v>248</v>
      </c>
      <c r="B4" s="31" t="s">
        <v>112</v>
      </c>
      <c r="C4" s="31" t="s">
        <v>251</v>
      </c>
      <c r="D4" s="31">
        <v>168</v>
      </c>
      <c r="E4" s="33">
        <v>543</v>
      </c>
      <c r="F4" s="33">
        <v>91224</v>
      </c>
      <c r="G4" s="31" t="s">
        <v>103</v>
      </c>
    </row>
    <row r="5" spans="1:7">
      <c r="A5" s="31" t="s">
        <v>248</v>
      </c>
      <c r="B5" s="31" t="s">
        <v>264</v>
      </c>
      <c r="C5" s="31" t="s">
        <v>251</v>
      </c>
      <c r="D5" s="31">
        <v>19</v>
      </c>
      <c r="E5" s="33">
        <v>4724.03</v>
      </c>
      <c r="F5" s="33">
        <v>89756.6</v>
      </c>
      <c r="G5" s="31" t="s">
        <v>103</v>
      </c>
    </row>
    <row r="6" spans="1:7">
      <c r="A6" s="31" t="s">
        <v>248</v>
      </c>
      <c r="B6" s="31" t="s">
        <v>73</v>
      </c>
      <c r="C6" s="31" t="s">
        <v>251</v>
      </c>
      <c r="D6" s="31">
        <v>13</v>
      </c>
      <c r="E6" s="33">
        <v>7343</v>
      </c>
      <c r="F6" s="33">
        <v>95459</v>
      </c>
      <c r="G6" s="31" t="s">
        <v>103</v>
      </c>
    </row>
    <row r="7" spans="1:7">
      <c r="A7" s="31" t="s">
        <v>248</v>
      </c>
      <c r="B7" s="31" t="s">
        <v>261</v>
      </c>
      <c r="C7" s="31" t="s">
        <v>251</v>
      </c>
      <c r="D7" s="31">
        <v>25</v>
      </c>
      <c r="E7" s="33">
        <v>3662.7</v>
      </c>
      <c r="F7" s="33">
        <v>91567.5</v>
      </c>
      <c r="G7" s="31" t="s">
        <v>103</v>
      </c>
    </row>
    <row r="8" spans="1:7">
      <c r="A8" s="31" t="s">
        <v>248</v>
      </c>
      <c r="B8" s="31" t="s">
        <v>253</v>
      </c>
      <c r="C8" s="31" t="s">
        <v>251</v>
      </c>
      <c r="D8" s="31">
        <v>64</v>
      </c>
      <c r="E8" s="33">
        <v>1548.9</v>
      </c>
      <c r="F8" s="33">
        <v>99129.600000000006</v>
      </c>
      <c r="G8" s="31" t="s">
        <v>103</v>
      </c>
    </row>
    <row r="9" spans="1:7">
      <c r="A9" s="31" t="s">
        <v>271</v>
      </c>
      <c r="B9" s="31" t="s">
        <v>279</v>
      </c>
      <c r="C9" s="31" t="s">
        <v>251</v>
      </c>
      <c r="D9" s="31">
        <v>60</v>
      </c>
      <c r="E9" s="33">
        <v>1562.4</v>
      </c>
      <c r="F9" s="33">
        <v>93744</v>
      </c>
      <c r="G9" s="31" t="s">
        <v>103</v>
      </c>
    </row>
    <row r="10" spans="1:7">
      <c r="A10" s="31" t="s">
        <v>271</v>
      </c>
      <c r="B10" s="31" t="s">
        <v>269</v>
      </c>
      <c r="C10" s="31" t="s">
        <v>251</v>
      </c>
      <c r="D10" s="31">
        <v>140</v>
      </c>
      <c r="E10" s="33">
        <v>175.36</v>
      </c>
      <c r="F10" s="33">
        <v>24550.400000000001</v>
      </c>
      <c r="G10" s="31" t="s">
        <v>100</v>
      </c>
    </row>
    <row r="11" spans="1:7">
      <c r="A11" s="31" t="s">
        <v>271</v>
      </c>
      <c r="B11" s="31" t="s">
        <v>276</v>
      </c>
      <c r="C11" s="31" t="s">
        <v>251</v>
      </c>
      <c r="D11" s="31">
        <v>37</v>
      </c>
      <c r="E11" s="33">
        <v>1289.2</v>
      </c>
      <c r="F11" s="33">
        <v>47700.4</v>
      </c>
      <c r="G11" s="31" t="s">
        <v>100</v>
      </c>
    </row>
    <row r="12" spans="1:7">
      <c r="A12" s="31" t="s">
        <v>271</v>
      </c>
      <c r="B12" s="31" t="s">
        <v>273</v>
      </c>
      <c r="C12" s="31" t="s">
        <v>251</v>
      </c>
      <c r="D12" s="31">
        <v>48</v>
      </c>
      <c r="E12" s="33">
        <v>517.1</v>
      </c>
      <c r="F12" s="33">
        <v>24820.799999999999</v>
      </c>
      <c r="G12" s="31" t="s">
        <v>100</v>
      </c>
    </row>
    <row r="13" spans="1:7">
      <c r="A13" s="31" t="s">
        <v>283</v>
      </c>
      <c r="B13" s="31" t="s">
        <v>58</v>
      </c>
      <c r="C13" s="31" t="s">
        <v>251</v>
      </c>
      <c r="D13" s="31">
        <v>33</v>
      </c>
      <c r="E13" s="33">
        <v>785.35</v>
      </c>
      <c r="F13" s="33">
        <v>25916.55</v>
      </c>
      <c r="G13" s="31" t="s">
        <v>100</v>
      </c>
    </row>
    <row r="14" spans="1:7">
      <c r="A14" s="31" t="s">
        <v>287</v>
      </c>
      <c r="B14" s="31" t="s">
        <v>285</v>
      </c>
      <c r="C14" s="31" t="s">
        <v>251</v>
      </c>
      <c r="D14" s="31">
        <v>35</v>
      </c>
      <c r="E14" s="33">
        <v>716.85</v>
      </c>
      <c r="F14" s="33">
        <v>25089.75</v>
      </c>
      <c r="G14" s="31" t="s">
        <v>100</v>
      </c>
    </row>
    <row r="15" spans="1:7">
      <c r="A15" s="31" t="s">
        <v>291</v>
      </c>
      <c r="B15" s="31" t="s">
        <v>273</v>
      </c>
      <c r="C15" s="31" t="s">
        <v>251</v>
      </c>
      <c r="D15" s="31">
        <v>87</v>
      </c>
      <c r="E15" s="33">
        <v>577.82000000000005</v>
      </c>
      <c r="F15" s="33">
        <v>50270.25</v>
      </c>
      <c r="G15" s="31" t="s">
        <v>101</v>
      </c>
    </row>
    <row r="16" spans="1:7">
      <c r="A16" s="31" t="s">
        <v>291</v>
      </c>
      <c r="B16" s="31" t="s">
        <v>289</v>
      </c>
      <c r="C16" s="31" t="s">
        <v>251</v>
      </c>
      <c r="D16" s="31">
        <v>220</v>
      </c>
      <c r="E16" s="33">
        <v>119.3</v>
      </c>
      <c r="F16" s="33">
        <v>26246</v>
      </c>
      <c r="G16" s="31" t="s">
        <v>100</v>
      </c>
    </row>
    <row r="17" spans="1:7">
      <c r="A17" s="31" t="s">
        <v>291</v>
      </c>
      <c r="B17" s="31" t="s">
        <v>269</v>
      </c>
      <c r="C17" s="31" t="s">
        <v>251</v>
      </c>
      <c r="D17" s="31">
        <v>131</v>
      </c>
      <c r="E17" s="33">
        <v>188.99</v>
      </c>
      <c r="F17" s="33">
        <v>24757.54</v>
      </c>
      <c r="G17" s="31" t="s">
        <v>101</v>
      </c>
    </row>
    <row r="18" spans="1:7">
      <c r="A18" s="31" t="s">
        <v>297</v>
      </c>
      <c r="B18" s="31" t="s">
        <v>295</v>
      </c>
      <c r="C18" s="31" t="s">
        <v>251</v>
      </c>
      <c r="D18" s="31">
        <v>57</v>
      </c>
      <c r="E18" s="33">
        <v>880</v>
      </c>
      <c r="F18" s="33">
        <v>50160</v>
      </c>
      <c r="G18" s="31" t="s">
        <v>100</v>
      </c>
    </row>
    <row r="19" spans="1:7">
      <c r="A19" s="31" t="s">
        <v>299</v>
      </c>
      <c r="B19" s="31" t="s">
        <v>279</v>
      </c>
      <c r="C19" s="31" t="s">
        <v>300</v>
      </c>
      <c r="D19" s="31">
        <v>60</v>
      </c>
      <c r="E19" s="33">
        <v>1477.02</v>
      </c>
      <c r="F19" s="33">
        <v>88621.5</v>
      </c>
      <c r="G19" s="31" t="s">
        <v>702</v>
      </c>
    </row>
    <row r="20" spans="1:7">
      <c r="A20" s="31" t="s">
        <v>299</v>
      </c>
      <c r="B20" s="31" t="s">
        <v>258</v>
      </c>
      <c r="C20" s="31" t="s">
        <v>300</v>
      </c>
      <c r="D20" s="31">
        <v>20</v>
      </c>
      <c r="E20" s="33">
        <v>4180.1499999999996</v>
      </c>
      <c r="F20" s="33">
        <v>83602.899999999994</v>
      </c>
      <c r="G20" s="31" t="s">
        <v>702</v>
      </c>
    </row>
    <row r="21" spans="1:7">
      <c r="A21" s="31" t="s">
        <v>299</v>
      </c>
      <c r="B21" s="31" t="s">
        <v>261</v>
      </c>
      <c r="C21" s="31" t="s">
        <v>300</v>
      </c>
      <c r="D21" s="31">
        <v>25</v>
      </c>
      <c r="E21" s="33">
        <v>3390.5</v>
      </c>
      <c r="F21" s="33">
        <v>84762.5</v>
      </c>
      <c r="G21" s="31" t="s">
        <v>702</v>
      </c>
    </row>
    <row r="22" spans="1:7">
      <c r="A22" s="31" t="s">
        <v>304</v>
      </c>
      <c r="B22" s="31" t="s">
        <v>308</v>
      </c>
      <c r="C22" s="31" t="s">
        <v>251</v>
      </c>
      <c r="D22" s="31">
        <v>188</v>
      </c>
      <c r="E22" s="33">
        <v>531.34</v>
      </c>
      <c r="F22" s="33">
        <v>99892.65</v>
      </c>
      <c r="G22" s="31" t="s">
        <v>103</v>
      </c>
    </row>
    <row r="23" spans="1:7">
      <c r="A23" s="31" t="s">
        <v>304</v>
      </c>
      <c r="B23" s="31" t="s">
        <v>273</v>
      </c>
      <c r="C23" s="31" t="s">
        <v>251</v>
      </c>
      <c r="D23" s="31">
        <v>163</v>
      </c>
      <c r="E23" s="33">
        <v>612.20000000000005</v>
      </c>
      <c r="F23" s="33">
        <v>99788.6</v>
      </c>
      <c r="G23" s="31" t="s">
        <v>103</v>
      </c>
    </row>
    <row r="24" spans="1:7">
      <c r="A24" s="31" t="s">
        <v>304</v>
      </c>
      <c r="B24" s="31" t="s">
        <v>311</v>
      </c>
      <c r="C24" s="31" t="s">
        <v>251</v>
      </c>
      <c r="D24" s="31">
        <v>104</v>
      </c>
      <c r="E24" s="33">
        <v>210.49</v>
      </c>
      <c r="F24" s="33">
        <v>21890.69</v>
      </c>
      <c r="G24" s="31" t="s">
        <v>100</v>
      </c>
    </row>
    <row r="25" spans="1:7">
      <c r="A25" s="31" t="s">
        <v>304</v>
      </c>
      <c r="B25" s="31" t="s">
        <v>289</v>
      </c>
      <c r="C25" s="31" t="s">
        <v>251</v>
      </c>
      <c r="D25" s="31">
        <v>734</v>
      </c>
      <c r="E25" s="33">
        <v>126.7</v>
      </c>
      <c r="F25" s="33">
        <v>92995.86</v>
      </c>
      <c r="G25" s="31" t="s">
        <v>103</v>
      </c>
    </row>
    <row r="26" spans="1:7">
      <c r="A26" s="31" t="s">
        <v>304</v>
      </c>
      <c r="B26" s="31" t="s">
        <v>52</v>
      </c>
      <c r="C26" s="31" t="s">
        <v>251</v>
      </c>
      <c r="D26" s="31">
        <v>129</v>
      </c>
      <c r="E26" s="33">
        <v>775.7</v>
      </c>
      <c r="F26" s="33">
        <v>100065.3</v>
      </c>
      <c r="G26" s="31" t="s">
        <v>103</v>
      </c>
    </row>
    <row r="27" spans="1:7">
      <c r="A27" s="31" t="s">
        <v>304</v>
      </c>
      <c r="B27" s="31" t="s">
        <v>269</v>
      </c>
      <c r="C27" s="31" t="s">
        <v>251</v>
      </c>
      <c r="D27" s="31">
        <v>250</v>
      </c>
      <c r="E27" s="33">
        <v>207</v>
      </c>
      <c r="F27" s="33">
        <v>51750</v>
      </c>
      <c r="G27" s="31" t="s">
        <v>103</v>
      </c>
    </row>
    <row r="28" spans="1:7">
      <c r="A28" s="31" t="s">
        <v>317</v>
      </c>
      <c r="B28" s="31" t="s">
        <v>295</v>
      </c>
      <c r="C28" s="31" t="s">
        <v>300</v>
      </c>
      <c r="D28" s="31">
        <v>57</v>
      </c>
      <c r="E28" s="33">
        <v>786.85</v>
      </c>
      <c r="F28" s="33">
        <v>44850.6</v>
      </c>
      <c r="G28" s="31" t="s">
        <v>702</v>
      </c>
    </row>
    <row r="29" spans="1:7">
      <c r="A29" s="31" t="s">
        <v>319</v>
      </c>
      <c r="B29" s="31" t="s">
        <v>73</v>
      </c>
      <c r="C29" s="31" t="s">
        <v>251</v>
      </c>
      <c r="D29" s="31">
        <v>13</v>
      </c>
      <c r="E29" s="33">
        <v>7609</v>
      </c>
      <c r="F29" s="33">
        <v>98917</v>
      </c>
      <c r="G29" s="31" t="s">
        <v>105</v>
      </c>
    </row>
    <row r="30" spans="1:7">
      <c r="A30" s="31" t="s">
        <v>321</v>
      </c>
      <c r="B30" s="31" t="s">
        <v>269</v>
      </c>
      <c r="C30" s="31" t="s">
        <v>251</v>
      </c>
      <c r="D30" s="31">
        <v>150</v>
      </c>
      <c r="E30" s="33">
        <v>190.91</v>
      </c>
      <c r="F30" s="33">
        <v>28635.84</v>
      </c>
      <c r="G30" s="31" t="s">
        <v>100</v>
      </c>
    </row>
    <row r="31" spans="1:7">
      <c r="A31" s="31" t="s">
        <v>321</v>
      </c>
      <c r="B31" s="31" t="s">
        <v>289</v>
      </c>
      <c r="C31" s="31" t="s">
        <v>251</v>
      </c>
      <c r="D31" s="31">
        <v>784</v>
      </c>
      <c r="E31" s="33">
        <v>127.5</v>
      </c>
      <c r="F31" s="33">
        <v>99956.44</v>
      </c>
      <c r="G31" s="31" t="s">
        <v>105</v>
      </c>
    </row>
    <row r="32" spans="1:7">
      <c r="A32" s="31" t="s">
        <v>326</v>
      </c>
      <c r="B32" s="31" t="s">
        <v>324</v>
      </c>
      <c r="C32" s="31" t="s">
        <v>251</v>
      </c>
      <c r="D32" s="31">
        <v>94</v>
      </c>
      <c r="E32" s="33">
        <v>1064.5999999999999</v>
      </c>
      <c r="F32" s="33">
        <v>100072.4</v>
      </c>
      <c r="G32" s="31" t="s">
        <v>103</v>
      </c>
    </row>
    <row r="33" spans="1:7">
      <c r="A33" s="31" t="s">
        <v>326</v>
      </c>
      <c r="B33" s="31" t="s">
        <v>84</v>
      </c>
      <c r="C33" s="31" t="s">
        <v>251</v>
      </c>
      <c r="D33" s="31">
        <v>110</v>
      </c>
      <c r="E33" s="33">
        <v>914.55</v>
      </c>
      <c r="F33" s="33">
        <v>100600.5</v>
      </c>
      <c r="G33" s="31" t="s">
        <v>105</v>
      </c>
    </row>
    <row r="34" spans="1:7">
      <c r="A34" s="31" t="s">
        <v>329</v>
      </c>
      <c r="B34" s="31" t="s">
        <v>285</v>
      </c>
      <c r="C34" s="31" t="s">
        <v>300</v>
      </c>
      <c r="D34" s="31">
        <v>35</v>
      </c>
      <c r="E34" s="33">
        <v>647.19000000000005</v>
      </c>
      <c r="F34" s="33">
        <v>22651.75</v>
      </c>
      <c r="G34" s="31" t="s">
        <v>702</v>
      </c>
    </row>
    <row r="35" spans="1:7">
      <c r="A35" s="31" t="s">
        <v>329</v>
      </c>
      <c r="B35" s="31" t="s">
        <v>58</v>
      </c>
      <c r="C35" s="31" t="s">
        <v>300</v>
      </c>
      <c r="D35" s="31">
        <v>33</v>
      </c>
      <c r="E35" s="33">
        <v>757.6</v>
      </c>
      <c r="F35" s="33">
        <v>25000.799999999999</v>
      </c>
      <c r="G35" s="31" t="s">
        <v>702</v>
      </c>
    </row>
    <row r="36" spans="1:7">
      <c r="A36" s="31" t="s">
        <v>332</v>
      </c>
      <c r="B36" s="31" t="s">
        <v>269</v>
      </c>
      <c r="C36" s="31" t="s">
        <v>300</v>
      </c>
      <c r="D36" s="31">
        <v>671</v>
      </c>
      <c r="E36" s="33">
        <v>179.34</v>
      </c>
      <c r="F36" s="33">
        <v>120337.14</v>
      </c>
      <c r="G36" s="31" t="s">
        <v>702</v>
      </c>
    </row>
    <row r="37" spans="1:7">
      <c r="A37" s="31" t="s">
        <v>336</v>
      </c>
      <c r="B37" s="31" t="s">
        <v>334</v>
      </c>
      <c r="C37" s="31" t="s">
        <v>251</v>
      </c>
      <c r="D37" s="31">
        <v>75</v>
      </c>
      <c r="E37" s="33">
        <v>339.2</v>
      </c>
      <c r="F37" s="33">
        <v>25440</v>
      </c>
      <c r="G37" s="31" t="s">
        <v>100</v>
      </c>
    </row>
    <row r="38" spans="1:7">
      <c r="A38" s="31" t="s">
        <v>336</v>
      </c>
      <c r="B38" s="31" t="s">
        <v>289</v>
      </c>
      <c r="C38" s="31" t="s">
        <v>300</v>
      </c>
      <c r="D38" s="31">
        <v>1754</v>
      </c>
      <c r="E38" s="33">
        <v>126.6</v>
      </c>
      <c r="F38" s="33">
        <v>222056.4</v>
      </c>
      <c r="G38" s="31" t="s">
        <v>702</v>
      </c>
    </row>
    <row r="39" spans="1:7">
      <c r="A39" s="31" t="s">
        <v>339</v>
      </c>
      <c r="B39" s="31" t="s">
        <v>273</v>
      </c>
      <c r="C39" s="31" t="s">
        <v>300</v>
      </c>
      <c r="D39" s="31">
        <v>298</v>
      </c>
      <c r="E39" s="33">
        <v>589.95000000000005</v>
      </c>
      <c r="F39" s="33">
        <v>175804.15</v>
      </c>
      <c r="G39" s="31" t="s">
        <v>702</v>
      </c>
    </row>
    <row r="40" spans="1:7">
      <c r="A40" s="31" t="s">
        <v>341</v>
      </c>
      <c r="B40" s="31" t="s">
        <v>308</v>
      </c>
      <c r="C40" s="31" t="s">
        <v>300</v>
      </c>
      <c r="D40" s="31">
        <v>188</v>
      </c>
      <c r="E40" s="33">
        <v>482.02</v>
      </c>
      <c r="F40" s="33">
        <v>90619.1</v>
      </c>
      <c r="G40" s="31" t="s">
        <v>702</v>
      </c>
    </row>
    <row r="41" spans="1:7">
      <c r="A41" s="31" t="s">
        <v>341</v>
      </c>
      <c r="B41" s="31" t="s">
        <v>52</v>
      </c>
      <c r="C41" s="31" t="s">
        <v>251</v>
      </c>
      <c r="D41" s="31">
        <v>119</v>
      </c>
      <c r="E41" s="33">
        <v>841.1</v>
      </c>
      <c r="F41" s="33">
        <v>100090.9</v>
      </c>
      <c r="G41" s="31" t="s">
        <v>105</v>
      </c>
    </row>
    <row r="42" spans="1:7">
      <c r="A42" s="31" t="s">
        <v>341</v>
      </c>
      <c r="B42" s="31" t="s">
        <v>124</v>
      </c>
      <c r="C42" s="31" t="s">
        <v>251</v>
      </c>
      <c r="D42" s="31">
        <v>100</v>
      </c>
      <c r="E42" s="33">
        <v>269.68</v>
      </c>
      <c r="F42" s="33">
        <v>26968.49</v>
      </c>
      <c r="G42" s="31" t="s">
        <v>100</v>
      </c>
    </row>
    <row r="43" spans="1:7">
      <c r="A43" s="31" t="s">
        <v>346</v>
      </c>
      <c r="B43" s="31" t="s">
        <v>124</v>
      </c>
      <c r="C43" s="31" t="s">
        <v>251</v>
      </c>
      <c r="D43" s="31">
        <v>176</v>
      </c>
      <c r="E43" s="33">
        <v>283.89</v>
      </c>
      <c r="F43" s="33">
        <v>49964.04</v>
      </c>
      <c r="G43" s="31" t="s">
        <v>101</v>
      </c>
    </row>
    <row r="44" spans="1:7">
      <c r="A44" s="31" t="s">
        <v>350</v>
      </c>
      <c r="B44" s="31" t="s">
        <v>352</v>
      </c>
      <c r="C44" s="31" t="s">
        <v>251</v>
      </c>
      <c r="D44" s="31">
        <v>42</v>
      </c>
      <c r="E44" s="33">
        <v>955.88</v>
      </c>
      <c r="F44" s="33">
        <v>40147.050000000003</v>
      </c>
      <c r="G44" s="31" t="s">
        <v>100</v>
      </c>
    </row>
    <row r="45" spans="1:7">
      <c r="A45" s="31" t="s">
        <v>350</v>
      </c>
      <c r="B45" s="31" t="s">
        <v>358</v>
      </c>
      <c r="C45" s="31" t="s">
        <v>251</v>
      </c>
      <c r="D45" s="31">
        <v>120</v>
      </c>
      <c r="E45" s="33">
        <v>167.82</v>
      </c>
      <c r="F45" s="33">
        <v>20138.400000000001</v>
      </c>
      <c r="G45" s="31" t="s">
        <v>100</v>
      </c>
    </row>
    <row r="46" spans="1:7">
      <c r="A46" s="31" t="s">
        <v>350</v>
      </c>
      <c r="B46" s="31" t="s">
        <v>75</v>
      </c>
      <c r="C46" s="31" t="s">
        <v>251</v>
      </c>
      <c r="D46" s="31">
        <v>210</v>
      </c>
      <c r="E46" s="33">
        <v>238.41</v>
      </c>
      <c r="F46" s="33">
        <v>50066.1</v>
      </c>
      <c r="G46" s="31" t="s">
        <v>100</v>
      </c>
    </row>
    <row r="47" spans="1:7">
      <c r="A47" s="31" t="s">
        <v>350</v>
      </c>
      <c r="B47" s="31" t="s">
        <v>355</v>
      </c>
      <c r="C47" s="31" t="s">
        <v>251</v>
      </c>
      <c r="D47" s="31">
        <v>82</v>
      </c>
      <c r="E47" s="33">
        <v>367.7</v>
      </c>
      <c r="F47" s="33">
        <v>30151.4</v>
      </c>
      <c r="G47" s="31" t="s">
        <v>100</v>
      </c>
    </row>
    <row r="48" spans="1:7">
      <c r="A48" s="31" t="s">
        <v>350</v>
      </c>
      <c r="B48" s="31" t="s">
        <v>348</v>
      </c>
      <c r="C48" s="31" t="s">
        <v>251</v>
      </c>
      <c r="D48" s="31">
        <v>205</v>
      </c>
      <c r="E48" s="33">
        <v>483.35</v>
      </c>
      <c r="F48" s="33">
        <v>99086.75</v>
      </c>
      <c r="G48" s="31" t="s">
        <v>103</v>
      </c>
    </row>
    <row r="49" spans="1:7">
      <c r="A49" s="31" t="s">
        <v>350</v>
      </c>
      <c r="B49" s="31" t="s">
        <v>364</v>
      </c>
      <c r="C49" s="31" t="s">
        <v>251</v>
      </c>
      <c r="D49" s="31">
        <v>260</v>
      </c>
      <c r="E49" s="33">
        <v>292.10000000000002</v>
      </c>
      <c r="F49" s="33">
        <v>75946</v>
      </c>
      <c r="G49" s="31" t="s">
        <v>103</v>
      </c>
    </row>
    <row r="50" spans="1:7">
      <c r="A50" s="31" t="s">
        <v>350</v>
      </c>
      <c r="B50" s="31" t="s">
        <v>361</v>
      </c>
      <c r="C50" s="31" t="s">
        <v>251</v>
      </c>
      <c r="D50" s="31">
        <v>9</v>
      </c>
      <c r="E50" s="33">
        <v>950.5</v>
      </c>
      <c r="F50" s="33">
        <v>8554.5</v>
      </c>
      <c r="G50" s="31" t="s">
        <v>100</v>
      </c>
    </row>
    <row r="51" spans="1:7">
      <c r="A51" s="31" t="s">
        <v>369</v>
      </c>
      <c r="B51" s="31" t="s">
        <v>334</v>
      </c>
      <c r="C51" s="31" t="s">
        <v>300</v>
      </c>
      <c r="D51" s="31">
        <v>75</v>
      </c>
      <c r="E51" s="33">
        <v>304.75</v>
      </c>
      <c r="F51" s="33">
        <v>22856.25</v>
      </c>
      <c r="G51" s="31" t="s">
        <v>702</v>
      </c>
    </row>
    <row r="52" spans="1:7">
      <c r="A52" s="31" t="s">
        <v>371</v>
      </c>
      <c r="B52" s="31" t="s">
        <v>264</v>
      </c>
      <c r="C52" s="31" t="s">
        <v>300</v>
      </c>
      <c r="D52" s="31">
        <v>19</v>
      </c>
      <c r="E52" s="33">
        <v>4056.8</v>
      </c>
      <c r="F52" s="33">
        <v>77079.199999999997</v>
      </c>
      <c r="G52" s="31" t="s">
        <v>702</v>
      </c>
    </row>
    <row r="53" spans="1:7">
      <c r="A53" s="31" t="s">
        <v>371</v>
      </c>
      <c r="B53" s="31" t="s">
        <v>112</v>
      </c>
      <c r="C53" s="31" t="s">
        <v>300</v>
      </c>
      <c r="D53" s="31">
        <v>168</v>
      </c>
      <c r="E53" s="33">
        <v>482.75</v>
      </c>
      <c r="F53" s="33">
        <v>81102.5</v>
      </c>
      <c r="G53" s="31" t="s">
        <v>702</v>
      </c>
    </row>
    <row r="54" spans="1:7">
      <c r="A54" s="31" t="s">
        <v>374</v>
      </c>
      <c r="B54" s="31" t="s">
        <v>73</v>
      </c>
      <c r="C54" s="31" t="s">
        <v>251</v>
      </c>
      <c r="D54" s="31">
        <v>12</v>
      </c>
      <c r="E54" s="33">
        <v>7775.42</v>
      </c>
      <c r="F54" s="33">
        <v>93305</v>
      </c>
      <c r="G54" s="31" t="s">
        <v>108</v>
      </c>
    </row>
    <row r="55" spans="1:7">
      <c r="A55" s="31" t="s">
        <v>376</v>
      </c>
      <c r="B55" s="31" t="s">
        <v>311</v>
      </c>
      <c r="C55" s="31" t="s">
        <v>251</v>
      </c>
      <c r="D55" s="31">
        <v>100</v>
      </c>
      <c r="E55" s="33">
        <v>268.67</v>
      </c>
      <c r="F55" s="33">
        <v>26867</v>
      </c>
      <c r="G55" s="31" t="s">
        <v>101</v>
      </c>
    </row>
    <row r="56" spans="1:7">
      <c r="A56" s="31" t="s">
        <v>379</v>
      </c>
      <c r="B56" s="31" t="s">
        <v>378</v>
      </c>
      <c r="C56" s="31" t="s">
        <v>251</v>
      </c>
      <c r="D56" s="31">
        <v>36</v>
      </c>
      <c r="E56" s="33">
        <v>1393.8</v>
      </c>
      <c r="F56" s="33">
        <v>50176.800000000003</v>
      </c>
      <c r="G56" s="31" t="s">
        <v>100</v>
      </c>
    </row>
    <row r="57" spans="1:7">
      <c r="A57" s="31" t="s">
        <v>379</v>
      </c>
      <c r="B57" s="31" t="s">
        <v>381</v>
      </c>
      <c r="C57" s="31" t="s">
        <v>251</v>
      </c>
      <c r="D57" s="31">
        <v>11</v>
      </c>
      <c r="E57" s="33">
        <v>4513.75</v>
      </c>
      <c r="F57" s="33">
        <v>49651.199999999997</v>
      </c>
      <c r="G57" s="31" t="s">
        <v>100</v>
      </c>
    </row>
    <row r="58" spans="1:7">
      <c r="A58" s="31" t="s">
        <v>384</v>
      </c>
      <c r="B58" s="31" t="s">
        <v>75</v>
      </c>
      <c r="C58" s="31" t="s">
        <v>251</v>
      </c>
      <c r="D58" s="31">
        <v>204</v>
      </c>
      <c r="E58" s="33">
        <v>246.27</v>
      </c>
      <c r="F58" s="33">
        <v>50240.04</v>
      </c>
      <c r="G58" s="31" t="s">
        <v>103</v>
      </c>
    </row>
    <row r="59" spans="1:7">
      <c r="A59" s="31" t="s">
        <v>384</v>
      </c>
      <c r="B59" s="31" t="s">
        <v>381</v>
      </c>
      <c r="C59" s="31" t="s">
        <v>251</v>
      </c>
      <c r="D59" s="31">
        <v>11</v>
      </c>
      <c r="E59" s="33">
        <v>4712.03</v>
      </c>
      <c r="F59" s="33">
        <v>51832.3</v>
      </c>
      <c r="G59" s="31" t="s">
        <v>103</v>
      </c>
    </row>
    <row r="60" spans="1:7">
      <c r="A60" s="31" t="s">
        <v>387</v>
      </c>
      <c r="B60" s="31" t="s">
        <v>389</v>
      </c>
      <c r="C60" s="31" t="s">
        <v>251</v>
      </c>
      <c r="D60" s="31">
        <v>920</v>
      </c>
      <c r="E60" s="33">
        <v>108.48</v>
      </c>
      <c r="F60" s="33">
        <v>99801.600000000006</v>
      </c>
      <c r="G60" s="31" t="s">
        <v>103</v>
      </c>
    </row>
    <row r="61" spans="1:7">
      <c r="A61" s="31" t="s">
        <v>387</v>
      </c>
      <c r="B61" s="31" t="s">
        <v>75</v>
      </c>
      <c r="C61" s="31" t="s">
        <v>251</v>
      </c>
      <c r="D61" s="31">
        <v>388</v>
      </c>
      <c r="E61" s="33">
        <v>257.7</v>
      </c>
      <c r="F61" s="33">
        <v>99987.74</v>
      </c>
      <c r="G61" s="31" t="s">
        <v>105</v>
      </c>
    </row>
    <row r="62" spans="1:7">
      <c r="A62" s="31" t="s">
        <v>394</v>
      </c>
      <c r="B62" s="31" t="s">
        <v>392</v>
      </c>
      <c r="C62" s="31" t="s">
        <v>251</v>
      </c>
      <c r="D62" s="31">
        <v>117</v>
      </c>
      <c r="E62" s="33">
        <v>426.6</v>
      </c>
      <c r="F62" s="33">
        <v>49912.2</v>
      </c>
      <c r="G62" s="31" t="s">
        <v>100</v>
      </c>
    </row>
    <row r="63" spans="1:7">
      <c r="A63" s="31" t="s">
        <v>394</v>
      </c>
      <c r="B63" s="31" t="s">
        <v>80</v>
      </c>
      <c r="C63" s="31" t="s">
        <v>251</v>
      </c>
      <c r="D63" s="31">
        <v>18</v>
      </c>
      <c r="E63" s="33">
        <v>2801.6</v>
      </c>
      <c r="F63" s="33">
        <v>50428.800000000003</v>
      </c>
      <c r="G63" s="31" t="s">
        <v>100</v>
      </c>
    </row>
    <row r="64" spans="1:7">
      <c r="A64" s="31" t="s">
        <v>400</v>
      </c>
      <c r="B64" s="31" t="s">
        <v>398</v>
      </c>
      <c r="C64" s="31" t="s">
        <v>251</v>
      </c>
      <c r="D64" s="31">
        <v>103</v>
      </c>
      <c r="E64" s="33">
        <v>485.05</v>
      </c>
      <c r="F64" s="33">
        <v>49960.15</v>
      </c>
      <c r="G64" s="31" t="s">
        <v>100</v>
      </c>
    </row>
    <row r="65" spans="1:7">
      <c r="A65" s="31" t="s">
        <v>400</v>
      </c>
      <c r="B65" s="31" t="s">
        <v>392</v>
      </c>
      <c r="C65" s="31" t="s">
        <v>251</v>
      </c>
      <c r="D65" s="31">
        <v>111</v>
      </c>
      <c r="E65" s="33">
        <v>450.45</v>
      </c>
      <c r="F65" s="33">
        <v>49999.95</v>
      </c>
      <c r="G65" s="31" t="s">
        <v>103</v>
      </c>
    </row>
    <row r="66" spans="1:7">
      <c r="A66" s="31" t="s">
        <v>405</v>
      </c>
      <c r="B66" s="31" t="s">
        <v>403</v>
      </c>
      <c r="C66" s="31" t="s">
        <v>251</v>
      </c>
      <c r="D66" s="31">
        <v>19</v>
      </c>
      <c r="E66" s="33">
        <v>1314.6</v>
      </c>
      <c r="F66" s="33">
        <v>24977.4</v>
      </c>
      <c r="G66" s="31" t="s">
        <v>100</v>
      </c>
    </row>
    <row r="67" spans="1:7">
      <c r="A67" s="31" t="s">
        <v>407</v>
      </c>
      <c r="B67" s="31" t="s">
        <v>311</v>
      </c>
      <c r="C67" s="31" t="s">
        <v>300</v>
      </c>
      <c r="D67" s="31">
        <v>220</v>
      </c>
      <c r="E67" s="33">
        <v>245.9</v>
      </c>
      <c r="F67" s="33">
        <v>54098</v>
      </c>
      <c r="G67" s="31" t="s">
        <v>702</v>
      </c>
    </row>
    <row r="68" spans="1:7">
      <c r="A68" s="31" t="s">
        <v>409</v>
      </c>
      <c r="B68" s="31" t="s">
        <v>175</v>
      </c>
      <c r="C68" s="31" t="s">
        <v>251</v>
      </c>
      <c r="D68" s="31">
        <v>300</v>
      </c>
      <c r="E68" s="33">
        <v>84.49</v>
      </c>
      <c r="F68" s="33">
        <v>25347</v>
      </c>
      <c r="G68" s="31" t="s">
        <v>100</v>
      </c>
    </row>
    <row r="69" spans="1:7">
      <c r="A69" s="31" t="s">
        <v>409</v>
      </c>
      <c r="B69" s="31" t="s">
        <v>52</v>
      </c>
      <c r="C69" s="31" t="s">
        <v>251</v>
      </c>
      <c r="D69" s="31">
        <v>108</v>
      </c>
      <c r="E69" s="33">
        <v>926.51</v>
      </c>
      <c r="F69" s="33">
        <v>100063.1</v>
      </c>
      <c r="G69" s="31" t="s">
        <v>108</v>
      </c>
    </row>
    <row r="70" spans="1:7">
      <c r="A70" s="31" t="s">
        <v>409</v>
      </c>
      <c r="B70" s="31" t="s">
        <v>126</v>
      </c>
      <c r="C70" s="31" t="s">
        <v>251</v>
      </c>
      <c r="D70" s="31">
        <v>182</v>
      </c>
      <c r="E70" s="33">
        <v>137.25</v>
      </c>
      <c r="F70" s="33">
        <v>24979.5</v>
      </c>
      <c r="G70" s="31" t="s">
        <v>100</v>
      </c>
    </row>
    <row r="71" spans="1:7">
      <c r="A71" s="31" t="s">
        <v>416</v>
      </c>
      <c r="B71" s="31" t="s">
        <v>289</v>
      </c>
      <c r="C71" s="31" t="s">
        <v>251</v>
      </c>
      <c r="D71" s="31">
        <v>324</v>
      </c>
      <c r="E71" s="33">
        <v>154.59</v>
      </c>
      <c r="F71" s="33">
        <v>50087.6</v>
      </c>
      <c r="G71" s="31" t="s">
        <v>100</v>
      </c>
    </row>
    <row r="72" spans="1:7">
      <c r="A72" s="31" t="s">
        <v>416</v>
      </c>
      <c r="B72" s="31" t="s">
        <v>273</v>
      </c>
      <c r="C72" s="31" t="s">
        <v>251</v>
      </c>
      <c r="D72" s="31">
        <v>41</v>
      </c>
      <c r="E72" s="33">
        <v>612</v>
      </c>
      <c r="F72" s="33">
        <v>25092</v>
      </c>
      <c r="G72" s="31" t="s">
        <v>100</v>
      </c>
    </row>
    <row r="73" spans="1:7">
      <c r="A73" s="31" t="s">
        <v>416</v>
      </c>
      <c r="B73" s="31" t="s">
        <v>352</v>
      </c>
      <c r="C73" s="31" t="s">
        <v>300</v>
      </c>
      <c r="D73" s="31">
        <v>52</v>
      </c>
      <c r="E73" s="33">
        <v>814.95</v>
      </c>
      <c r="F73" s="33">
        <v>42377.3</v>
      </c>
      <c r="G73" s="31" t="s">
        <v>702</v>
      </c>
    </row>
    <row r="74" spans="1:7">
      <c r="A74" s="31" t="s">
        <v>416</v>
      </c>
      <c r="B74" s="31" t="s">
        <v>55</v>
      </c>
      <c r="C74" s="31" t="s">
        <v>300</v>
      </c>
      <c r="D74" s="31">
        <v>665</v>
      </c>
      <c r="E74" s="33">
        <v>72.98</v>
      </c>
      <c r="F74" s="33">
        <v>48531.7</v>
      </c>
      <c r="G74" s="31" t="s">
        <v>702</v>
      </c>
    </row>
    <row r="75" spans="1:7">
      <c r="A75" s="31" t="s">
        <v>416</v>
      </c>
      <c r="B75" s="31" t="s">
        <v>55</v>
      </c>
      <c r="C75" s="31" t="s">
        <v>251</v>
      </c>
      <c r="D75" s="31">
        <v>665</v>
      </c>
      <c r="E75" s="33">
        <v>75.5</v>
      </c>
      <c r="F75" s="33">
        <v>50207.5</v>
      </c>
      <c r="G75" s="31" t="s">
        <v>100</v>
      </c>
    </row>
    <row r="76" spans="1:7">
      <c r="A76" s="31" t="s">
        <v>416</v>
      </c>
      <c r="B76" s="31" t="s">
        <v>65</v>
      </c>
      <c r="C76" s="31" t="s">
        <v>251</v>
      </c>
      <c r="D76" s="31">
        <v>4</v>
      </c>
      <c r="E76" s="33">
        <v>2936.3</v>
      </c>
      <c r="F76" s="33">
        <v>11745.2</v>
      </c>
      <c r="G76" s="31" t="s">
        <v>100</v>
      </c>
    </row>
    <row r="77" spans="1:7">
      <c r="A77" s="31" t="s">
        <v>424</v>
      </c>
      <c r="B77" s="31" t="s">
        <v>55</v>
      </c>
      <c r="C77" s="31" t="s">
        <v>251</v>
      </c>
      <c r="D77" s="31">
        <v>500</v>
      </c>
      <c r="E77" s="33">
        <v>84.92</v>
      </c>
      <c r="F77" s="33">
        <v>42460</v>
      </c>
      <c r="G77" s="31" t="s">
        <v>100</v>
      </c>
    </row>
    <row r="78" spans="1:7">
      <c r="A78" s="31" t="s">
        <v>426</v>
      </c>
      <c r="B78" s="31" t="s">
        <v>75</v>
      </c>
      <c r="C78" s="31" t="s">
        <v>251</v>
      </c>
      <c r="D78" s="31">
        <v>370</v>
      </c>
      <c r="E78" s="33">
        <v>270.25</v>
      </c>
      <c r="F78" s="33">
        <v>99991.4</v>
      </c>
      <c r="G78" s="31" t="s">
        <v>108</v>
      </c>
    </row>
    <row r="79" spans="1:7">
      <c r="A79" s="31" t="s">
        <v>426</v>
      </c>
      <c r="B79" s="31" t="s">
        <v>126</v>
      </c>
      <c r="C79" s="31" t="s">
        <v>251</v>
      </c>
      <c r="D79" s="31">
        <v>180</v>
      </c>
      <c r="E79" s="33">
        <v>140.28</v>
      </c>
      <c r="F79" s="33">
        <v>25249.79</v>
      </c>
      <c r="G79" s="31" t="s">
        <v>101</v>
      </c>
    </row>
    <row r="80" spans="1:7">
      <c r="A80" s="31" t="s">
        <v>426</v>
      </c>
      <c r="B80" s="31" t="s">
        <v>361</v>
      </c>
      <c r="C80" s="31" t="s">
        <v>251</v>
      </c>
      <c r="D80" s="31">
        <v>24</v>
      </c>
      <c r="E80" s="33">
        <v>1043.0999999999999</v>
      </c>
      <c r="F80" s="33">
        <v>25034.400000000001</v>
      </c>
      <c r="G80" s="31" t="s">
        <v>101</v>
      </c>
    </row>
    <row r="81" spans="1:7">
      <c r="A81" s="31" t="s">
        <v>426</v>
      </c>
      <c r="B81" s="31" t="s">
        <v>440</v>
      </c>
      <c r="C81" s="31" t="s">
        <v>251</v>
      </c>
      <c r="D81" s="31">
        <v>20</v>
      </c>
      <c r="E81" s="33">
        <v>66.849999999999994</v>
      </c>
      <c r="F81" s="33">
        <v>1337</v>
      </c>
      <c r="G81" s="31" t="s">
        <v>100</v>
      </c>
    </row>
    <row r="82" spans="1:7">
      <c r="A82" s="31" t="s">
        <v>426</v>
      </c>
      <c r="B82" s="31" t="s">
        <v>431</v>
      </c>
      <c r="C82" s="31" t="s">
        <v>251</v>
      </c>
      <c r="D82" s="31">
        <v>600</v>
      </c>
      <c r="E82" s="33">
        <v>44.47</v>
      </c>
      <c r="F82" s="33">
        <v>26682</v>
      </c>
      <c r="G82" s="31" t="s">
        <v>100</v>
      </c>
    </row>
    <row r="83" spans="1:7">
      <c r="A83" s="31" t="s">
        <v>426</v>
      </c>
      <c r="B83" s="31" t="s">
        <v>434</v>
      </c>
      <c r="C83" s="31" t="s">
        <v>251</v>
      </c>
      <c r="D83" s="31">
        <v>10</v>
      </c>
      <c r="E83" s="33">
        <v>131.88999999999999</v>
      </c>
      <c r="F83" s="33">
        <v>1318.9</v>
      </c>
      <c r="G83" s="31" t="s">
        <v>100</v>
      </c>
    </row>
    <row r="84" spans="1:7">
      <c r="A84" s="31" t="s">
        <v>426</v>
      </c>
      <c r="B84" s="31" t="s">
        <v>381</v>
      </c>
      <c r="C84" s="31" t="s">
        <v>300</v>
      </c>
      <c r="D84" s="31">
        <v>22</v>
      </c>
      <c r="E84" s="33">
        <v>4030.42</v>
      </c>
      <c r="F84" s="33">
        <v>88669.2</v>
      </c>
      <c r="G84" s="31" t="s">
        <v>702</v>
      </c>
    </row>
    <row r="85" spans="1:7">
      <c r="A85" s="31" t="s">
        <v>426</v>
      </c>
      <c r="B85" s="31" t="s">
        <v>437</v>
      </c>
      <c r="C85" s="31" t="s">
        <v>251</v>
      </c>
      <c r="D85" s="31">
        <v>160</v>
      </c>
      <c r="E85" s="33">
        <v>157.27000000000001</v>
      </c>
      <c r="F85" s="33">
        <v>25162.48</v>
      </c>
      <c r="G85" s="31" t="s">
        <v>100</v>
      </c>
    </row>
    <row r="86" spans="1:7">
      <c r="A86" s="31" t="s">
        <v>426</v>
      </c>
      <c r="B86" s="31" t="s">
        <v>55</v>
      </c>
      <c r="C86" s="31" t="s">
        <v>251</v>
      </c>
      <c r="D86" s="31">
        <v>525</v>
      </c>
      <c r="E86" s="33">
        <v>96.34</v>
      </c>
      <c r="F86" s="33">
        <v>50578.5</v>
      </c>
      <c r="G86" s="31" t="s">
        <v>103</v>
      </c>
    </row>
    <row r="87" spans="1:7">
      <c r="A87" s="31" t="s">
        <v>446</v>
      </c>
      <c r="B87" s="31" t="s">
        <v>434</v>
      </c>
      <c r="C87" s="31" t="s">
        <v>251</v>
      </c>
      <c r="D87" s="31">
        <v>190</v>
      </c>
      <c r="E87" s="33">
        <v>127.48</v>
      </c>
      <c r="F87" s="33">
        <v>24221.200000000001</v>
      </c>
      <c r="G87" s="31" t="s">
        <v>101</v>
      </c>
    </row>
    <row r="88" spans="1:7">
      <c r="A88" s="31" t="s">
        <v>446</v>
      </c>
      <c r="B88" s="31" t="s">
        <v>403</v>
      </c>
      <c r="C88" s="31" t="s">
        <v>300</v>
      </c>
      <c r="D88" s="31">
        <v>19</v>
      </c>
      <c r="E88" s="33">
        <v>1130.3</v>
      </c>
      <c r="F88" s="33">
        <v>21475.7</v>
      </c>
      <c r="G88" s="31" t="s">
        <v>702</v>
      </c>
    </row>
    <row r="89" spans="1:7">
      <c r="A89" s="31" t="s">
        <v>446</v>
      </c>
      <c r="B89" s="31" t="s">
        <v>440</v>
      </c>
      <c r="C89" s="31" t="s">
        <v>251</v>
      </c>
      <c r="D89" s="31">
        <v>360</v>
      </c>
      <c r="E89" s="33">
        <v>66.84</v>
      </c>
      <c r="F89" s="33">
        <v>24062.69</v>
      </c>
      <c r="G89" s="31" t="s">
        <v>101</v>
      </c>
    </row>
    <row r="90" spans="1:7">
      <c r="A90" s="31" t="s">
        <v>450</v>
      </c>
      <c r="B90" s="31" t="s">
        <v>389</v>
      </c>
      <c r="C90" s="31" t="s">
        <v>300</v>
      </c>
      <c r="D90" s="31">
        <v>920</v>
      </c>
      <c r="E90" s="33">
        <v>89.75</v>
      </c>
      <c r="F90" s="33">
        <v>82570</v>
      </c>
      <c r="G90" s="31" t="s">
        <v>702</v>
      </c>
    </row>
    <row r="91" spans="1:7">
      <c r="A91" s="31" t="s">
        <v>450</v>
      </c>
      <c r="B91" s="31" t="s">
        <v>392</v>
      </c>
      <c r="C91" s="31" t="s">
        <v>300</v>
      </c>
      <c r="D91" s="31">
        <v>228</v>
      </c>
      <c r="E91" s="33">
        <v>395.42</v>
      </c>
      <c r="F91" s="33">
        <v>90155.4</v>
      </c>
      <c r="G91" s="31" t="s">
        <v>702</v>
      </c>
    </row>
    <row r="92" spans="1:7">
      <c r="A92" s="31" t="s">
        <v>453</v>
      </c>
      <c r="B92" s="31" t="s">
        <v>52</v>
      </c>
      <c r="C92" s="31" t="s">
        <v>300</v>
      </c>
      <c r="D92" s="31">
        <v>103</v>
      </c>
      <c r="E92" s="33">
        <v>968.1</v>
      </c>
      <c r="F92" s="33">
        <v>99714.35</v>
      </c>
      <c r="G92" s="31" t="s">
        <v>702</v>
      </c>
    </row>
    <row r="93" spans="1:7">
      <c r="A93" s="31" t="s">
        <v>453</v>
      </c>
      <c r="B93" s="31" t="s">
        <v>431</v>
      </c>
      <c r="C93" s="31" t="s">
        <v>300</v>
      </c>
      <c r="D93" s="31">
        <v>600</v>
      </c>
      <c r="E93" s="33">
        <v>37.549999999999997</v>
      </c>
      <c r="F93" s="33">
        <v>22532.01</v>
      </c>
      <c r="G93" s="31" t="s">
        <v>702</v>
      </c>
    </row>
    <row r="94" spans="1:7">
      <c r="A94" s="31" t="s">
        <v>453</v>
      </c>
      <c r="B94" s="31" t="s">
        <v>361</v>
      </c>
      <c r="C94" s="31" t="s">
        <v>251</v>
      </c>
      <c r="D94" s="31">
        <v>93</v>
      </c>
      <c r="E94" s="33">
        <v>1078</v>
      </c>
      <c r="F94" s="33">
        <v>100254</v>
      </c>
      <c r="G94" s="31" t="s">
        <v>103</v>
      </c>
    </row>
    <row r="95" spans="1:7">
      <c r="A95" s="31" t="s">
        <v>453</v>
      </c>
      <c r="B95" s="31" t="s">
        <v>129</v>
      </c>
      <c r="C95" s="31" t="s">
        <v>251</v>
      </c>
      <c r="D95" s="31">
        <v>10</v>
      </c>
      <c r="E95" s="33">
        <v>1282.3599999999999</v>
      </c>
      <c r="F95" s="33">
        <v>12823.6</v>
      </c>
      <c r="G95" s="31" t="s">
        <v>100</v>
      </c>
    </row>
    <row r="96" spans="1:7">
      <c r="A96" s="31" t="s">
        <v>453</v>
      </c>
      <c r="B96" s="31" t="s">
        <v>456</v>
      </c>
      <c r="C96" s="31" t="s">
        <v>251</v>
      </c>
      <c r="D96" s="31">
        <v>168</v>
      </c>
      <c r="E96" s="33">
        <v>449.35</v>
      </c>
      <c r="F96" s="33">
        <v>75490.05</v>
      </c>
      <c r="G96" s="31" t="s">
        <v>103</v>
      </c>
    </row>
    <row r="97" spans="1:7">
      <c r="A97" s="31" t="s">
        <v>463</v>
      </c>
      <c r="B97" s="31" t="s">
        <v>434</v>
      </c>
      <c r="C97" s="31" t="s">
        <v>300</v>
      </c>
      <c r="D97" s="31">
        <v>200</v>
      </c>
      <c r="E97" s="33">
        <v>119.56</v>
      </c>
      <c r="F97" s="33">
        <v>23912</v>
      </c>
      <c r="G97" s="31" t="s">
        <v>702</v>
      </c>
    </row>
    <row r="98" spans="1:7">
      <c r="A98" s="31" t="s">
        <v>463</v>
      </c>
      <c r="B98" s="31" t="s">
        <v>324</v>
      </c>
      <c r="C98" s="31" t="s">
        <v>300</v>
      </c>
      <c r="D98" s="31">
        <v>94</v>
      </c>
      <c r="E98" s="33">
        <v>898.15</v>
      </c>
      <c r="F98" s="33">
        <v>84426.1</v>
      </c>
      <c r="G98" s="31" t="s">
        <v>702</v>
      </c>
    </row>
    <row r="99" spans="1:7">
      <c r="A99" s="31" t="s">
        <v>463</v>
      </c>
      <c r="B99" s="31" t="s">
        <v>364</v>
      </c>
      <c r="C99" s="31" t="s">
        <v>300</v>
      </c>
      <c r="D99" s="31">
        <v>260</v>
      </c>
      <c r="E99" s="33">
        <v>271.56</v>
      </c>
      <c r="F99" s="33">
        <v>70604.55</v>
      </c>
      <c r="G99" s="31" t="s">
        <v>702</v>
      </c>
    </row>
    <row r="100" spans="1:7">
      <c r="A100" s="31" t="s">
        <v>463</v>
      </c>
      <c r="B100" s="31" t="s">
        <v>253</v>
      </c>
      <c r="C100" s="31" t="s">
        <v>300</v>
      </c>
      <c r="D100" s="31">
        <v>64</v>
      </c>
      <c r="E100" s="33">
        <v>1299.4000000000001</v>
      </c>
      <c r="F100" s="33">
        <v>83161.600000000006</v>
      </c>
      <c r="G100" s="31" t="s">
        <v>702</v>
      </c>
    </row>
    <row r="101" spans="1:7">
      <c r="A101" s="31" t="s">
        <v>463</v>
      </c>
      <c r="B101" s="31" t="s">
        <v>378</v>
      </c>
      <c r="C101" s="31" t="s">
        <v>300</v>
      </c>
      <c r="D101" s="31">
        <v>36</v>
      </c>
      <c r="E101" s="33">
        <v>1416.6</v>
      </c>
      <c r="F101" s="33">
        <v>50997.599999999999</v>
      </c>
      <c r="G101" s="31" t="s">
        <v>702</v>
      </c>
    </row>
    <row r="102" spans="1:7">
      <c r="A102" s="31" t="s">
        <v>463</v>
      </c>
      <c r="B102" s="31" t="s">
        <v>289</v>
      </c>
      <c r="C102" s="31" t="s">
        <v>300</v>
      </c>
      <c r="D102" s="31">
        <v>324</v>
      </c>
      <c r="E102" s="33">
        <v>140.33000000000001</v>
      </c>
      <c r="F102" s="33">
        <v>45468</v>
      </c>
      <c r="G102" s="31" t="s">
        <v>702</v>
      </c>
    </row>
    <row r="103" spans="1:7">
      <c r="A103" s="31" t="s">
        <v>471</v>
      </c>
      <c r="B103" s="31" t="s">
        <v>437</v>
      </c>
      <c r="C103" s="31" t="s">
        <v>251</v>
      </c>
      <c r="D103" s="31">
        <v>305</v>
      </c>
      <c r="E103" s="33">
        <v>163.99</v>
      </c>
      <c r="F103" s="33">
        <v>50016.95</v>
      </c>
      <c r="G103" s="31" t="s">
        <v>101</v>
      </c>
    </row>
    <row r="104" spans="1:7">
      <c r="A104" s="31" t="s">
        <v>474</v>
      </c>
      <c r="B104" s="31" t="s">
        <v>85</v>
      </c>
      <c r="C104" s="31" t="s">
        <v>251</v>
      </c>
      <c r="D104" s="31">
        <v>45</v>
      </c>
      <c r="E104" s="33">
        <v>2237.6</v>
      </c>
      <c r="F104" s="33">
        <v>100692</v>
      </c>
      <c r="G104" s="31" t="s">
        <v>103</v>
      </c>
    </row>
    <row r="105" spans="1:7">
      <c r="A105" s="31" t="s">
        <v>477</v>
      </c>
      <c r="B105" s="31" t="s">
        <v>58</v>
      </c>
      <c r="C105" s="31" t="s">
        <v>251</v>
      </c>
      <c r="D105" s="31">
        <v>10</v>
      </c>
      <c r="E105" s="33">
        <v>684</v>
      </c>
      <c r="F105" s="33">
        <v>6840</v>
      </c>
      <c r="G105" s="31" t="s">
        <v>100</v>
      </c>
    </row>
    <row r="106" spans="1:7">
      <c r="A106" s="31" t="s">
        <v>477</v>
      </c>
      <c r="B106" s="31" t="s">
        <v>480</v>
      </c>
      <c r="C106" s="31" t="s">
        <v>251</v>
      </c>
      <c r="D106" s="31">
        <v>10</v>
      </c>
      <c r="E106" s="33">
        <v>483.55</v>
      </c>
      <c r="F106" s="33">
        <v>4835.5</v>
      </c>
      <c r="G106" s="31" t="s">
        <v>100</v>
      </c>
    </row>
    <row r="107" spans="1:7">
      <c r="A107" s="31" t="s">
        <v>477</v>
      </c>
      <c r="B107" s="31" t="s">
        <v>72</v>
      </c>
      <c r="C107" s="31" t="s">
        <v>251</v>
      </c>
      <c r="D107" s="31">
        <v>10</v>
      </c>
      <c r="E107" s="33">
        <v>853.85</v>
      </c>
      <c r="F107" s="33">
        <v>8538.5</v>
      </c>
      <c r="G107" s="31" t="s">
        <v>100</v>
      </c>
    </row>
    <row r="108" spans="1:7">
      <c r="A108" s="31" t="s">
        <v>477</v>
      </c>
      <c r="B108" s="31" t="s">
        <v>129</v>
      </c>
      <c r="C108" s="31" t="s">
        <v>251</v>
      </c>
      <c r="D108" s="31">
        <v>10</v>
      </c>
      <c r="E108" s="33">
        <v>1368</v>
      </c>
      <c r="F108" s="33">
        <v>13680</v>
      </c>
      <c r="G108" s="31" t="s">
        <v>101</v>
      </c>
    </row>
    <row r="109" spans="1:7">
      <c r="A109" s="31" t="s">
        <v>484</v>
      </c>
      <c r="B109" s="31" t="s">
        <v>129</v>
      </c>
      <c r="C109" s="31" t="s">
        <v>251</v>
      </c>
      <c r="D109" s="31">
        <v>14</v>
      </c>
      <c r="E109" s="33">
        <v>1380.66</v>
      </c>
      <c r="F109" s="33">
        <v>19329.3</v>
      </c>
      <c r="G109" s="31" t="s">
        <v>182</v>
      </c>
    </row>
    <row r="110" spans="1:7">
      <c r="A110" s="31" t="s">
        <v>486</v>
      </c>
      <c r="B110" s="31" t="s">
        <v>58</v>
      </c>
      <c r="C110" s="31" t="s">
        <v>251</v>
      </c>
      <c r="D110" s="31">
        <v>27</v>
      </c>
      <c r="E110" s="33">
        <v>714.9</v>
      </c>
      <c r="F110" s="33">
        <v>19302.3</v>
      </c>
      <c r="G110" s="31" t="s">
        <v>101</v>
      </c>
    </row>
    <row r="111" spans="1:7">
      <c r="A111" s="31" t="s">
        <v>486</v>
      </c>
      <c r="B111" s="31" t="s">
        <v>361</v>
      </c>
      <c r="C111" s="31" t="s">
        <v>251</v>
      </c>
      <c r="D111" s="31">
        <v>82</v>
      </c>
      <c r="E111" s="33">
        <v>1213.74</v>
      </c>
      <c r="F111" s="33">
        <v>99527</v>
      </c>
      <c r="G111" s="31" t="s">
        <v>105</v>
      </c>
    </row>
    <row r="112" spans="1:7">
      <c r="A112" s="31" t="s">
        <v>486</v>
      </c>
      <c r="B112" s="31" t="s">
        <v>398</v>
      </c>
      <c r="C112" s="31" t="s">
        <v>251</v>
      </c>
      <c r="D112" s="31">
        <v>93</v>
      </c>
      <c r="E112" s="33">
        <v>538.91999999999996</v>
      </c>
      <c r="F112" s="33">
        <v>50119.35</v>
      </c>
      <c r="G112" s="31" t="s">
        <v>103</v>
      </c>
    </row>
    <row r="113" spans="1:7">
      <c r="A113" s="31" t="s">
        <v>486</v>
      </c>
      <c r="B113" s="31" t="s">
        <v>490</v>
      </c>
      <c r="C113" s="31" t="s">
        <v>251</v>
      </c>
      <c r="D113" s="31">
        <v>80</v>
      </c>
      <c r="E113" s="33">
        <v>314.7</v>
      </c>
      <c r="F113" s="33">
        <v>25175.98</v>
      </c>
      <c r="G113" s="31" t="s">
        <v>100</v>
      </c>
    </row>
    <row r="114" spans="1:7">
      <c r="A114" s="31" t="s">
        <v>493</v>
      </c>
      <c r="B114" s="31" t="s">
        <v>480</v>
      </c>
      <c r="C114" s="31" t="s">
        <v>300</v>
      </c>
      <c r="D114" s="31">
        <v>10</v>
      </c>
      <c r="E114" s="33">
        <v>419.3</v>
      </c>
      <c r="F114" s="33">
        <v>4193</v>
      </c>
      <c r="G114" s="31" t="s">
        <v>702</v>
      </c>
    </row>
    <row r="115" spans="1:7">
      <c r="A115" s="31" t="s">
        <v>493</v>
      </c>
      <c r="B115" s="31" t="s">
        <v>440</v>
      </c>
      <c r="C115" s="31" t="s">
        <v>251</v>
      </c>
      <c r="D115" s="31">
        <v>340</v>
      </c>
      <c r="E115" s="33">
        <v>75</v>
      </c>
      <c r="F115" s="33">
        <v>25500</v>
      </c>
      <c r="G115" s="31" t="s">
        <v>182</v>
      </c>
    </row>
    <row r="116" spans="1:7">
      <c r="A116" s="31" t="s">
        <v>493</v>
      </c>
      <c r="B116" s="31" t="s">
        <v>358</v>
      </c>
      <c r="C116" s="31" t="s">
        <v>251</v>
      </c>
      <c r="D116" s="31">
        <v>266</v>
      </c>
      <c r="E116" s="33">
        <v>188.15</v>
      </c>
      <c r="F116" s="33">
        <v>50047.9</v>
      </c>
      <c r="G116" s="31" t="s">
        <v>101</v>
      </c>
    </row>
    <row r="117" spans="1:7">
      <c r="A117" s="31" t="s">
        <v>493</v>
      </c>
      <c r="B117" s="31" t="s">
        <v>72</v>
      </c>
      <c r="C117" s="31" t="s">
        <v>251</v>
      </c>
      <c r="D117" s="31">
        <v>45</v>
      </c>
      <c r="E117" s="33">
        <v>908</v>
      </c>
      <c r="F117" s="33">
        <v>40860</v>
      </c>
      <c r="G117" s="31" t="s">
        <v>101</v>
      </c>
    </row>
    <row r="118" spans="1:7">
      <c r="A118" s="31" t="s">
        <v>498</v>
      </c>
      <c r="B118" s="31" t="s">
        <v>398</v>
      </c>
      <c r="C118" s="31" t="s">
        <v>300</v>
      </c>
      <c r="D118" s="31">
        <v>196</v>
      </c>
      <c r="E118" s="33">
        <v>420.4</v>
      </c>
      <c r="F118" s="33">
        <v>82398.399999999994</v>
      </c>
      <c r="G118" s="31" t="s">
        <v>702</v>
      </c>
    </row>
    <row r="119" spans="1:7">
      <c r="A119" s="31" t="s">
        <v>500</v>
      </c>
      <c r="B119" s="31" t="s">
        <v>502</v>
      </c>
      <c r="C119" s="31" t="s">
        <v>251</v>
      </c>
      <c r="D119" s="31">
        <v>121</v>
      </c>
      <c r="E119" s="33">
        <v>206.6</v>
      </c>
      <c r="F119" s="33">
        <v>24998.6</v>
      </c>
      <c r="G119" s="31" t="s">
        <v>100</v>
      </c>
    </row>
    <row r="120" spans="1:7">
      <c r="A120" s="31" t="s">
        <v>500</v>
      </c>
      <c r="B120" s="31" t="s">
        <v>456</v>
      </c>
      <c r="C120" s="31" t="s">
        <v>251</v>
      </c>
      <c r="D120" s="31">
        <v>54</v>
      </c>
      <c r="E120" s="33">
        <v>468.3</v>
      </c>
      <c r="F120" s="33">
        <v>25288.2</v>
      </c>
      <c r="G120" s="31" t="s">
        <v>100</v>
      </c>
    </row>
    <row r="121" spans="1:7">
      <c r="A121" s="31" t="s">
        <v>505</v>
      </c>
      <c r="B121" s="31" t="s">
        <v>79</v>
      </c>
      <c r="C121" s="31" t="s">
        <v>251</v>
      </c>
      <c r="D121" s="31">
        <v>13</v>
      </c>
      <c r="E121" s="33">
        <v>3775.7</v>
      </c>
      <c r="F121" s="33">
        <v>49084.1</v>
      </c>
      <c r="G121" s="31" t="s">
        <v>100</v>
      </c>
    </row>
    <row r="122" spans="1:7">
      <c r="A122" s="31" t="s">
        <v>505</v>
      </c>
      <c r="B122" s="31" t="s">
        <v>73</v>
      </c>
      <c r="C122" s="31" t="s">
        <v>251</v>
      </c>
      <c r="D122" s="31">
        <v>12</v>
      </c>
      <c r="E122" s="33">
        <v>8230.5</v>
      </c>
      <c r="F122" s="33">
        <v>98766</v>
      </c>
      <c r="G122" s="31" t="s">
        <v>111</v>
      </c>
    </row>
    <row r="123" spans="1:7">
      <c r="A123" s="31" t="s">
        <v>505</v>
      </c>
      <c r="B123" s="31" t="s">
        <v>130</v>
      </c>
      <c r="C123" s="31" t="s">
        <v>251</v>
      </c>
      <c r="D123" s="31">
        <v>49</v>
      </c>
      <c r="E123" s="33">
        <v>1033.1600000000001</v>
      </c>
      <c r="F123" s="33">
        <v>50624.6</v>
      </c>
      <c r="G123" s="31" t="s">
        <v>100</v>
      </c>
    </row>
    <row r="124" spans="1:7">
      <c r="A124" s="31" t="s">
        <v>505</v>
      </c>
      <c r="B124" s="31" t="s">
        <v>507</v>
      </c>
      <c r="C124" s="31" t="s">
        <v>251</v>
      </c>
      <c r="D124" s="31">
        <v>92</v>
      </c>
      <c r="E124" s="33">
        <v>272.58999999999997</v>
      </c>
      <c r="F124" s="33">
        <v>25078.28</v>
      </c>
      <c r="G124" s="31" t="s">
        <v>100</v>
      </c>
    </row>
    <row r="125" spans="1:7">
      <c r="A125" s="31" t="s">
        <v>505</v>
      </c>
      <c r="B125" s="31" t="s">
        <v>72</v>
      </c>
      <c r="C125" s="31" t="s">
        <v>251</v>
      </c>
      <c r="D125" s="31">
        <v>118</v>
      </c>
      <c r="E125" s="33">
        <v>846.96</v>
      </c>
      <c r="F125" s="33">
        <v>99941</v>
      </c>
      <c r="G125" s="31" t="s">
        <v>103</v>
      </c>
    </row>
    <row r="126" spans="1:7">
      <c r="A126" s="31" t="s">
        <v>515</v>
      </c>
      <c r="B126" s="31" t="s">
        <v>437</v>
      </c>
      <c r="C126" s="31" t="s">
        <v>300</v>
      </c>
      <c r="D126" s="31">
        <v>465</v>
      </c>
      <c r="E126" s="33">
        <v>152.81</v>
      </c>
      <c r="F126" s="33">
        <v>71056.850000000006</v>
      </c>
      <c r="G126" s="31" t="s">
        <v>702</v>
      </c>
    </row>
    <row r="127" spans="1:7">
      <c r="A127" s="31" t="s">
        <v>517</v>
      </c>
      <c r="B127" s="31" t="s">
        <v>129</v>
      </c>
      <c r="C127" s="31" t="s">
        <v>251</v>
      </c>
      <c r="D127" s="31">
        <v>8</v>
      </c>
      <c r="E127" s="33">
        <v>1378.7</v>
      </c>
      <c r="F127" s="33">
        <v>11029.6</v>
      </c>
      <c r="G127" s="31" t="s">
        <v>102</v>
      </c>
    </row>
    <row r="128" spans="1:7">
      <c r="A128" s="31" t="s">
        <v>517</v>
      </c>
      <c r="B128" s="31" t="s">
        <v>84</v>
      </c>
      <c r="C128" s="31" t="s">
        <v>300</v>
      </c>
      <c r="D128" s="31">
        <v>226</v>
      </c>
      <c r="E128" s="33">
        <v>661.78</v>
      </c>
      <c r="F128" s="33">
        <v>149562.45000000001</v>
      </c>
      <c r="G128" s="31" t="s">
        <v>702</v>
      </c>
    </row>
    <row r="129" spans="1:7">
      <c r="A129" s="31" t="s">
        <v>517</v>
      </c>
      <c r="B129" s="31" t="s">
        <v>72</v>
      </c>
      <c r="C129" s="31" t="s">
        <v>251</v>
      </c>
      <c r="D129" s="31">
        <v>58</v>
      </c>
      <c r="E129" s="33">
        <v>862.95</v>
      </c>
      <c r="F129" s="33">
        <v>50051.1</v>
      </c>
      <c r="G129" s="31" t="s">
        <v>105</v>
      </c>
    </row>
    <row r="130" spans="1:7">
      <c r="A130" s="31" t="s">
        <v>517</v>
      </c>
      <c r="B130" s="31" t="s">
        <v>522</v>
      </c>
      <c r="C130" s="31" t="s">
        <v>251</v>
      </c>
      <c r="D130" s="31">
        <v>2</v>
      </c>
      <c r="E130" s="33">
        <v>13021</v>
      </c>
      <c r="F130" s="33">
        <v>26042</v>
      </c>
      <c r="G130" s="31" t="s">
        <v>100</v>
      </c>
    </row>
    <row r="131" spans="1:7">
      <c r="A131" s="31" t="s">
        <v>517</v>
      </c>
      <c r="B131" s="31" t="s">
        <v>79</v>
      </c>
      <c r="C131" s="31" t="s">
        <v>251</v>
      </c>
      <c r="D131" s="31">
        <v>14</v>
      </c>
      <c r="E131" s="33">
        <v>3676.8</v>
      </c>
      <c r="F131" s="33">
        <v>51475.199999999997</v>
      </c>
      <c r="G131" s="31" t="s">
        <v>103</v>
      </c>
    </row>
    <row r="132" spans="1:7">
      <c r="A132" s="31" t="s">
        <v>517</v>
      </c>
      <c r="B132" s="31" t="s">
        <v>85</v>
      </c>
      <c r="C132" s="31" t="s">
        <v>251</v>
      </c>
      <c r="D132" s="31">
        <v>51</v>
      </c>
      <c r="E132" s="33">
        <v>1980.1</v>
      </c>
      <c r="F132" s="33">
        <v>100985.1</v>
      </c>
      <c r="G132" s="31" t="s">
        <v>105</v>
      </c>
    </row>
    <row r="133" spans="1:7">
      <c r="A133" s="31" t="s">
        <v>528</v>
      </c>
      <c r="B133" s="31" t="s">
        <v>185</v>
      </c>
      <c r="C133" s="31" t="s">
        <v>251</v>
      </c>
      <c r="D133" s="31">
        <v>44</v>
      </c>
      <c r="E133" s="33">
        <v>1141.55</v>
      </c>
      <c r="F133" s="33">
        <v>50228.2</v>
      </c>
      <c r="G133" s="31" t="s">
        <v>100</v>
      </c>
    </row>
    <row r="134" spans="1:7">
      <c r="A134" s="31" t="s">
        <v>528</v>
      </c>
      <c r="B134" s="31" t="s">
        <v>526</v>
      </c>
      <c r="C134" s="31" t="s">
        <v>251</v>
      </c>
      <c r="D134" s="31">
        <v>19</v>
      </c>
      <c r="E134" s="33">
        <v>2683</v>
      </c>
      <c r="F134" s="33">
        <v>50977</v>
      </c>
      <c r="G134" s="31" t="s">
        <v>100</v>
      </c>
    </row>
    <row r="135" spans="1:7">
      <c r="A135" s="31" t="s">
        <v>532</v>
      </c>
      <c r="B135" s="31" t="s">
        <v>56</v>
      </c>
      <c r="C135" s="31" t="s">
        <v>251</v>
      </c>
      <c r="D135" s="31">
        <v>171</v>
      </c>
      <c r="E135" s="33">
        <v>293.85000000000002</v>
      </c>
      <c r="F135" s="33">
        <v>50248.35</v>
      </c>
      <c r="G135" s="31" t="s">
        <v>100</v>
      </c>
    </row>
    <row r="136" spans="1:7">
      <c r="A136" s="31" t="s">
        <v>532</v>
      </c>
      <c r="B136" s="31" t="s">
        <v>502</v>
      </c>
      <c r="C136" s="31" t="s">
        <v>300</v>
      </c>
      <c r="D136" s="31">
        <v>121</v>
      </c>
      <c r="E136" s="33">
        <v>159.46</v>
      </c>
      <c r="F136" s="33">
        <v>19294.599999999999</v>
      </c>
      <c r="G136" s="31" t="s">
        <v>702</v>
      </c>
    </row>
    <row r="137" spans="1:7">
      <c r="A137" s="31" t="s">
        <v>532</v>
      </c>
      <c r="B137" s="31" t="s">
        <v>168</v>
      </c>
      <c r="C137" s="31" t="s">
        <v>251</v>
      </c>
      <c r="D137" s="31">
        <v>54</v>
      </c>
      <c r="E137" s="33">
        <v>1375</v>
      </c>
      <c r="F137" s="33">
        <v>74250</v>
      </c>
      <c r="G137" s="31" t="s">
        <v>100</v>
      </c>
    </row>
    <row r="138" spans="1:7">
      <c r="A138" s="31" t="s">
        <v>532</v>
      </c>
      <c r="B138" s="31" t="s">
        <v>355</v>
      </c>
      <c r="C138" s="31" t="s">
        <v>300</v>
      </c>
      <c r="D138" s="31">
        <v>82</v>
      </c>
      <c r="E138" s="33">
        <v>301.64999999999998</v>
      </c>
      <c r="F138" s="33">
        <v>24735.3</v>
      </c>
      <c r="G138" s="31" t="s">
        <v>702</v>
      </c>
    </row>
    <row r="139" spans="1:7">
      <c r="A139" s="31" t="s">
        <v>541</v>
      </c>
      <c r="B139" s="31" t="s">
        <v>539</v>
      </c>
      <c r="C139" s="31" t="s">
        <v>251</v>
      </c>
      <c r="D139" s="31">
        <v>10</v>
      </c>
      <c r="E139" s="33">
        <v>10033</v>
      </c>
      <c r="F139" s="33">
        <v>100330</v>
      </c>
      <c r="G139" s="31" t="s">
        <v>103</v>
      </c>
    </row>
    <row r="140" spans="1:7">
      <c r="A140" s="31" t="s">
        <v>543</v>
      </c>
      <c r="B140" s="31" t="s">
        <v>79</v>
      </c>
      <c r="C140" s="31" t="s">
        <v>251</v>
      </c>
      <c r="D140" s="31">
        <v>22</v>
      </c>
      <c r="E140" s="33">
        <v>4534.75</v>
      </c>
      <c r="F140" s="33">
        <v>99764.5</v>
      </c>
      <c r="G140" s="31" t="s">
        <v>105</v>
      </c>
    </row>
    <row r="141" spans="1:7">
      <c r="A141" s="31" t="s">
        <v>543</v>
      </c>
      <c r="B141" s="31" t="s">
        <v>539</v>
      </c>
      <c r="C141" s="31" t="s">
        <v>300</v>
      </c>
      <c r="D141" s="31">
        <v>10</v>
      </c>
      <c r="E141" s="33">
        <v>9901</v>
      </c>
      <c r="F141" s="33">
        <v>99010</v>
      </c>
      <c r="G141" s="31" t="s">
        <v>702</v>
      </c>
    </row>
    <row r="142" spans="1:7">
      <c r="A142" s="31" t="s">
        <v>543</v>
      </c>
      <c r="B142" s="31" t="s">
        <v>72</v>
      </c>
      <c r="C142" s="31" t="s">
        <v>251</v>
      </c>
      <c r="D142" s="31">
        <v>65</v>
      </c>
      <c r="E142" s="33">
        <v>1159.76</v>
      </c>
      <c r="F142" s="33">
        <v>75384.149999999994</v>
      </c>
      <c r="G142" s="31" t="s">
        <v>108</v>
      </c>
    </row>
    <row r="143" spans="1:7">
      <c r="A143" s="31" t="s">
        <v>543</v>
      </c>
      <c r="B143" s="31" t="s">
        <v>276</v>
      </c>
      <c r="C143" s="31" t="s">
        <v>300</v>
      </c>
      <c r="D143" s="31">
        <v>71</v>
      </c>
      <c r="E143" s="33">
        <v>1091.8</v>
      </c>
      <c r="F143" s="33">
        <v>77517.8</v>
      </c>
      <c r="G143" s="31" t="s">
        <v>702</v>
      </c>
    </row>
    <row r="144" spans="1:7">
      <c r="A144" s="31" t="s">
        <v>547</v>
      </c>
      <c r="B144" s="31" t="s">
        <v>440</v>
      </c>
      <c r="C144" s="31" t="s">
        <v>300</v>
      </c>
      <c r="D144" s="31">
        <v>595</v>
      </c>
      <c r="E144" s="33">
        <v>83.95</v>
      </c>
      <c r="F144" s="33">
        <v>49950.85</v>
      </c>
      <c r="G144" s="31" t="s">
        <v>702</v>
      </c>
    </row>
    <row r="145" spans="1:7">
      <c r="A145" s="31" t="s">
        <v>547</v>
      </c>
      <c r="B145" s="31" t="s">
        <v>58</v>
      </c>
      <c r="C145" s="31" t="s">
        <v>251</v>
      </c>
      <c r="D145" s="31">
        <v>57</v>
      </c>
      <c r="E145" s="33">
        <v>870.95</v>
      </c>
      <c r="F145" s="33">
        <v>49644.15</v>
      </c>
      <c r="G145" s="31" t="s">
        <v>182</v>
      </c>
    </row>
    <row r="146" spans="1:7">
      <c r="A146" s="31" t="s">
        <v>547</v>
      </c>
      <c r="B146" s="31" t="s">
        <v>440</v>
      </c>
      <c r="C146" s="31" t="s">
        <v>251</v>
      </c>
      <c r="D146" s="31">
        <v>595</v>
      </c>
      <c r="E146" s="33">
        <v>84.05</v>
      </c>
      <c r="F146" s="33">
        <v>50007.71</v>
      </c>
      <c r="G146" s="31" t="s">
        <v>103</v>
      </c>
    </row>
    <row r="147" spans="1:7">
      <c r="A147" s="31" t="s">
        <v>552</v>
      </c>
      <c r="B147" s="31" t="s">
        <v>490</v>
      </c>
      <c r="C147" s="31" t="s">
        <v>300</v>
      </c>
      <c r="D147" s="31">
        <v>80</v>
      </c>
      <c r="E147" s="33">
        <v>304.10000000000002</v>
      </c>
      <c r="F147" s="33">
        <v>24328</v>
      </c>
      <c r="G147" s="31" t="s">
        <v>702</v>
      </c>
    </row>
    <row r="148" spans="1:7">
      <c r="A148" s="31" t="s">
        <v>552</v>
      </c>
      <c r="B148" s="31" t="s">
        <v>361</v>
      </c>
      <c r="C148" s="31" t="s">
        <v>300</v>
      </c>
      <c r="D148" s="31">
        <v>278</v>
      </c>
      <c r="E148" s="33">
        <v>970.3</v>
      </c>
      <c r="F148" s="33">
        <v>269743.40000000002</v>
      </c>
      <c r="G148" s="31" t="s">
        <v>702</v>
      </c>
    </row>
    <row r="149" spans="1:7">
      <c r="A149" s="31" t="s">
        <v>552</v>
      </c>
      <c r="B149" s="31" t="s">
        <v>168</v>
      </c>
      <c r="C149" s="31" t="s">
        <v>251</v>
      </c>
      <c r="D149" s="31">
        <v>16</v>
      </c>
      <c r="E149" s="33">
        <v>1583.29</v>
      </c>
      <c r="F149" s="33">
        <v>25332.6</v>
      </c>
      <c r="G149" s="31" t="s">
        <v>103</v>
      </c>
    </row>
    <row r="150" spans="1:7">
      <c r="A150" s="31" t="s">
        <v>552</v>
      </c>
      <c r="B150" s="31" t="s">
        <v>564</v>
      </c>
      <c r="C150" s="31" t="s">
        <v>251</v>
      </c>
      <c r="D150" s="31">
        <v>18</v>
      </c>
      <c r="E150" s="33">
        <v>2730</v>
      </c>
      <c r="F150" s="33">
        <v>49140</v>
      </c>
      <c r="G150" s="31" t="s">
        <v>100</v>
      </c>
    </row>
    <row r="151" spans="1:7">
      <c r="A151" s="31" t="s">
        <v>552</v>
      </c>
      <c r="B151" s="31" t="s">
        <v>358</v>
      </c>
      <c r="C151" s="31" t="s">
        <v>300</v>
      </c>
      <c r="D151" s="31">
        <v>386</v>
      </c>
      <c r="E151" s="33">
        <v>136.25</v>
      </c>
      <c r="F151" s="33">
        <v>52592.5</v>
      </c>
      <c r="G151" s="31" t="s">
        <v>702</v>
      </c>
    </row>
    <row r="152" spans="1:7">
      <c r="A152" s="31" t="s">
        <v>552</v>
      </c>
      <c r="B152" s="31" t="s">
        <v>136</v>
      </c>
      <c r="C152" s="31" t="s">
        <v>251</v>
      </c>
      <c r="D152" s="31">
        <v>38</v>
      </c>
      <c r="E152" s="33">
        <v>1325.5</v>
      </c>
      <c r="F152" s="33">
        <v>50369</v>
      </c>
      <c r="G152" s="31" t="s">
        <v>100</v>
      </c>
    </row>
    <row r="153" spans="1:7">
      <c r="A153" s="31" t="s">
        <v>552</v>
      </c>
      <c r="B153" s="31" t="s">
        <v>348</v>
      </c>
      <c r="C153" s="31" t="s">
        <v>300</v>
      </c>
      <c r="D153" s="31">
        <v>205</v>
      </c>
      <c r="E153" s="33">
        <v>367</v>
      </c>
      <c r="F153" s="33">
        <v>75235</v>
      </c>
      <c r="G153" s="31" t="s">
        <v>702</v>
      </c>
    </row>
    <row r="154" spans="1:7">
      <c r="A154" s="31" t="s">
        <v>552</v>
      </c>
      <c r="B154" s="31" t="s">
        <v>83</v>
      </c>
      <c r="C154" s="31" t="s">
        <v>251</v>
      </c>
      <c r="D154" s="31">
        <v>16</v>
      </c>
      <c r="E154" s="33">
        <v>3127</v>
      </c>
      <c r="F154" s="33">
        <v>50032</v>
      </c>
      <c r="G154" s="31" t="s">
        <v>100</v>
      </c>
    </row>
    <row r="155" spans="1:7">
      <c r="A155" s="31" t="s">
        <v>552</v>
      </c>
      <c r="B155" s="31" t="s">
        <v>188</v>
      </c>
      <c r="C155" s="31" t="s">
        <v>251</v>
      </c>
      <c r="D155" s="31">
        <v>19</v>
      </c>
      <c r="E155" s="33">
        <v>2727.2</v>
      </c>
      <c r="F155" s="33">
        <v>51816.800000000003</v>
      </c>
      <c r="G155" s="31" t="s">
        <v>100</v>
      </c>
    </row>
    <row r="156" spans="1:7">
      <c r="A156" s="31" t="s">
        <v>552</v>
      </c>
      <c r="B156" s="31" t="s">
        <v>526</v>
      </c>
      <c r="C156" s="31" t="s">
        <v>300</v>
      </c>
      <c r="D156" s="31">
        <v>19</v>
      </c>
      <c r="E156" s="33">
        <v>2505.9</v>
      </c>
      <c r="F156" s="33">
        <v>47612.05</v>
      </c>
      <c r="G156" s="31" t="s">
        <v>702</v>
      </c>
    </row>
    <row r="157" spans="1:7">
      <c r="A157" s="31" t="s">
        <v>552</v>
      </c>
      <c r="B157" s="31" t="s">
        <v>456</v>
      </c>
      <c r="C157" s="31" t="s">
        <v>300</v>
      </c>
      <c r="D157" s="31">
        <v>222</v>
      </c>
      <c r="E157" s="33">
        <v>425.25</v>
      </c>
      <c r="F157" s="33">
        <v>94405.5</v>
      </c>
      <c r="G157" s="31" t="s">
        <v>702</v>
      </c>
    </row>
    <row r="158" spans="1:7">
      <c r="A158" s="31" t="s">
        <v>570</v>
      </c>
      <c r="B158" s="31" t="s">
        <v>55</v>
      </c>
      <c r="C158" s="31" t="s">
        <v>251</v>
      </c>
      <c r="D158" s="31">
        <v>411</v>
      </c>
      <c r="E158" s="33">
        <v>121.7</v>
      </c>
      <c r="F158" s="33">
        <v>50018.7</v>
      </c>
      <c r="G158" s="31" t="s">
        <v>100</v>
      </c>
    </row>
    <row r="159" spans="1:7">
      <c r="A159" s="31" t="s">
        <v>570</v>
      </c>
      <c r="B159" s="31" t="s">
        <v>57</v>
      </c>
      <c r="C159" s="31" t="s">
        <v>251</v>
      </c>
      <c r="D159" s="31">
        <v>29</v>
      </c>
      <c r="E159" s="33">
        <v>1713.42</v>
      </c>
      <c r="F159" s="33">
        <v>49689.3</v>
      </c>
      <c r="G159" s="31" t="s">
        <v>100</v>
      </c>
    </row>
    <row r="160" spans="1:7">
      <c r="A160" s="31" t="s">
        <v>570</v>
      </c>
      <c r="B160" s="31" t="s">
        <v>63</v>
      </c>
      <c r="C160" s="31" t="s">
        <v>251</v>
      </c>
      <c r="D160" s="31">
        <v>33</v>
      </c>
      <c r="E160" s="33">
        <v>1505.6</v>
      </c>
      <c r="F160" s="33">
        <v>49684.800000000003</v>
      </c>
      <c r="G160" s="31" t="s">
        <v>100</v>
      </c>
    </row>
    <row r="161" spans="1:7">
      <c r="A161" s="31" t="s">
        <v>570</v>
      </c>
      <c r="B161" s="31" t="s">
        <v>65</v>
      </c>
      <c r="C161" s="31" t="s">
        <v>251</v>
      </c>
      <c r="D161" s="31">
        <v>10</v>
      </c>
      <c r="E161" s="33">
        <v>3214</v>
      </c>
      <c r="F161" s="33">
        <v>32140</v>
      </c>
      <c r="G161" s="31" t="s">
        <v>101</v>
      </c>
    </row>
    <row r="162" spans="1:7">
      <c r="A162" s="31" t="s">
        <v>570</v>
      </c>
      <c r="B162" s="31" t="s">
        <v>67</v>
      </c>
      <c r="C162" s="31" t="s">
        <v>251</v>
      </c>
      <c r="D162" s="31">
        <v>26</v>
      </c>
      <c r="E162" s="33">
        <v>1899.2</v>
      </c>
      <c r="F162" s="33">
        <v>49379.199999999997</v>
      </c>
      <c r="G162" s="31" t="s">
        <v>100</v>
      </c>
    </row>
    <row r="163" spans="1:7">
      <c r="A163" s="31" t="s">
        <v>579</v>
      </c>
      <c r="B163" s="31" t="s">
        <v>134</v>
      </c>
      <c r="C163" s="31" t="s">
        <v>251</v>
      </c>
      <c r="D163" s="31">
        <v>75</v>
      </c>
      <c r="E163" s="33">
        <v>670.55</v>
      </c>
      <c r="F163" s="33">
        <v>50291.25</v>
      </c>
      <c r="G163" s="31" t="s">
        <v>100</v>
      </c>
    </row>
    <row r="164" spans="1:7">
      <c r="A164" s="31" t="s">
        <v>581</v>
      </c>
      <c r="B164" s="31" t="s">
        <v>273</v>
      </c>
      <c r="C164" s="31" t="s">
        <v>300</v>
      </c>
      <c r="D164" s="31">
        <v>41</v>
      </c>
      <c r="E164" s="33">
        <v>633.57000000000005</v>
      </c>
      <c r="F164" s="33">
        <v>25976.400000000001</v>
      </c>
      <c r="G164" s="31" t="s">
        <v>702</v>
      </c>
    </row>
    <row r="165" spans="1:7">
      <c r="A165" s="31" t="s">
        <v>581</v>
      </c>
      <c r="B165" s="31" t="s">
        <v>440</v>
      </c>
      <c r="C165" s="31" t="s">
        <v>300</v>
      </c>
      <c r="D165" s="31">
        <v>720</v>
      </c>
      <c r="E165" s="33">
        <v>77.709999999999994</v>
      </c>
      <c r="F165" s="33">
        <v>55951.199999999997</v>
      </c>
      <c r="G165" s="31" t="s">
        <v>702</v>
      </c>
    </row>
    <row r="166" spans="1:7">
      <c r="A166" s="31" t="s">
        <v>581</v>
      </c>
      <c r="B166" s="31" t="s">
        <v>507</v>
      </c>
      <c r="C166" s="31" t="s">
        <v>300</v>
      </c>
      <c r="D166" s="31">
        <v>92</v>
      </c>
      <c r="E166" s="33">
        <v>266.3</v>
      </c>
      <c r="F166" s="33">
        <v>24499.599999999999</v>
      </c>
      <c r="G166" s="31" t="s">
        <v>702</v>
      </c>
    </row>
    <row r="167" spans="1:7">
      <c r="A167" s="31" t="s">
        <v>585</v>
      </c>
      <c r="B167" s="31" t="s">
        <v>95</v>
      </c>
      <c r="C167" s="31" t="s">
        <v>251</v>
      </c>
      <c r="D167" s="31">
        <v>40</v>
      </c>
      <c r="E167" s="33">
        <v>639.20000000000005</v>
      </c>
      <c r="F167" s="33">
        <v>25568</v>
      </c>
      <c r="G167" s="31" t="s">
        <v>100</v>
      </c>
    </row>
    <row r="168" spans="1:7">
      <c r="A168" s="31" t="s">
        <v>585</v>
      </c>
      <c r="B168" s="31" t="s">
        <v>59</v>
      </c>
      <c r="C168" s="31" t="s">
        <v>251</v>
      </c>
      <c r="D168" s="31">
        <v>67</v>
      </c>
      <c r="E168" s="33">
        <v>374</v>
      </c>
      <c r="F168" s="33">
        <v>25058</v>
      </c>
      <c r="G168" s="31" t="s">
        <v>100</v>
      </c>
    </row>
    <row r="169" spans="1:7">
      <c r="A169" s="31" t="s">
        <v>585</v>
      </c>
      <c r="B169" s="31" t="s">
        <v>57</v>
      </c>
      <c r="C169" s="31" t="s">
        <v>251</v>
      </c>
      <c r="D169" s="31">
        <v>27</v>
      </c>
      <c r="E169" s="33">
        <v>1814.76</v>
      </c>
      <c r="F169" s="33">
        <v>48998.400000000001</v>
      </c>
      <c r="G169" s="31" t="s">
        <v>103</v>
      </c>
    </row>
    <row r="170" spans="1:7">
      <c r="A170" s="31" t="s">
        <v>585</v>
      </c>
      <c r="B170" s="31" t="s">
        <v>80</v>
      </c>
      <c r="C170" s="31" t="s">
        <v>251</v>
      </c>
      <c r="D170" s="31">
        <v>12</v>
      </c>
      <c r="E170" s="33">
        <v>4195.1000000000004</v>
      </c>
      <c r="F170" s="33">
        <v>50341.2</v>
      </c>
      <c r="G170" s="31" t="s">
        <v>103</v>
      </c>
    </row>
    <row r="171" spans="1:7">
      <c r="A171" s="31" t="s">
        <v>585</v>
      </c>
      <c r="B171" s="31" t="s">
        <v>56</v>
      </c>
      <c r="C171" s="31" t="s">
        <v>251</v>
      </c>
      <c r="D171" s="31">
        <v>141</v>
      </c>
      <c r="E171" s="33">
        <v>355.5</v>
      </c>
      <c r="F171" s="33">
        <v>50125.5</v>
      </c>
      <c r="G171" s="31" t="s">
        <v>103</v>
      </c>
    </row>
    <row r="172" spans="1:7">
      <c r="A172" s="31" t="s">
        <v>593</v>
      </c>
      <c r="B172" s="31" t="s">
        <v>59</v>
      </c>
      <c r="C172" s="31" t="s">
        <v>251</v>
      </c>
      <c r="D172" s="31">
        <v>66</v>
      </c>
      <c r="E172" s="33">
        <v>382</v>
      </c>
      <c r="F172" s="33">
        <v>25212</v>
      </c>
      <c r="G172" s="31" t="s">
        <v>101</v>
      </c>
    </row>
    <row r="173" spans="1:7">
      <c r="A173" s="31" t="s">
        <v>595</v>
      </c>
      <c r="B173" s="31" t="s">
        <v>55</v>
      </c>
      <c r="C173" s="31" t="s">
        <v>251</v>
      </c>
      <c r="D173" s="31">
        <v>389</v>
      </c>
      <c r="E173" s="33">
        <v>128.84</v>
      </c>
      <c r="F173" s="33">
        <v>50118.76</v>
      </c>
      <c r="G173" s="31" t="s">
        <v>105</v>
      </c>
    </row>
    <row r="174" spans="1:7">
      <c r="A174" s="31" t="s">
        <v>597</v>
      </c>
      <c r="B174" s="31" t="s">
        <v>58</v>
      </c>
      <c r="C174" s="31" t="s">
        <v>251</v>
      </c>
      <c r="D174" s="31">
        <v>28</v>
      </c>
      <c r="E174" s="33">
        <v>918.55</v>
      </c>
      <c r="F174" s="33">
        <v>25719.4</v>
      </c>
      <c r="G174" s="31" t="s">
        <v>103</v>
      </c>
    </row>
    <row r="175" spans="1:7">
      <c r="A175" s="31" t="s">
        <v>599</v>
      </c>
      <c r="B175" s="31" t="s">
        <v>134</v>
      </c>
      <c r="C175" s="31" t="s">
        <v>251</v>
      </c>
      <c r="D175" s="31">
        <v>70</v>
      </c>
      <c r="E175" s="33">
        <v>713</v>
      </c>
      <c r="F175" s="33">
        <v>49910</v>
      </c>
      <c r="G175" s="31" t="s">
        <v>103</v>
      </c>
    </row>
    <row r="176" spans="1:7">
      <c r="A176" s="31" t="s">
        <v>599</v>
      </c>
      <c r="B176" s="31" t="s">
        <v>136</v>
      </c>
      <c r="C176" s="31" t="s">
        <v>251</v>
      </c>
      <c r="D176" s="31">
        <v>37</v>
      </c>
      <c r="E176" s="33">
        <v>1376</v>
      </c>
      <c r="F176" s="33">
        <v>50912</v>
      </c>
      <c r="G176" s="31" t="s">
        <v>103</v>
      </c>
    </row>
    <row r="177" spans="1:7">
      <c r="A177" s="31" t="s">
        <v>599</v>
      </c>
      <c r="B177" s="31" t="s">
        <v>52</v>
      </c>
      <c r="C177" s="31" t="s">
        <v>251</v>
      </c>
      <c r="D177" s="31">
        <v>87</v>
      </c>
      <c r="E177" s="33">
        <v>1144.5</v>
      </c>
      <c r="F177" s="33">
        <v>99571.5</v>
      </c>
      <c r="G177" s="31" t="s">
        <v>111</v>
      </c>
    </row>
    <row r="178" spans="1:7">
      <c r="A178" s="31" t="s">
        <v>599</v>
      </c>
      <c r="B178" s="31" t="s">
        <v>56</v>
      </c>
      <c r="C178" s="31" t="s">
        <v>251</v>
      </c>
      <c r="D178" s="31">
        <v>244</v>
      </c>
      <c r="E178" s="33">
        <v>409.9</v>
      </c>
      <c r="F178" s="33">
        <v>100015.6</v>
      </c>
      <c r="G178" s="31" t="s">
        <v>105</v>
      </c>
    </row>
    <row r="179" spans="1:7">
      <c r="A179" s="31" t="s">
        <v>599</v>
      </c>
      <c r="B179" s="31" t="s">
        <v>188</v>
      </c>
      <c r="C179" s="31" t="s">
        <v>251</v>
      </c>
      <c r="D179" s="31">
        <v>17</v>
      </c>
      <c r="E179" s="33">
        <v>2954.27</v>
      </c>
      <c r="F179" s="33">
        <v>50222.6</v>
      </c>
      <c r="G179" s="31" t="s">
        <v>103</v>
      </c>
    </row>
    <row r="180" spans="1:7">
      <c r="A180" s="31" t="s">
        <v>599</v>
      </c>
      <c r="B180" s="31" t="s">
        <v>168</v>
      </c>
      <c r="C180" s="31" t="s">
        <v>300</v>
      </c>
      <c r="D180" s="31">
        <v>70</v>
      </c>
      <c r="E180" s="33">
        <v>1292.8599999999999</v>
      </c>
      <c r="F180" s="33">
        <v>90500.5</v>
      </c>
      <c r="G180" s="31" t="s">
        <v>702</v>
      </c>
    </row>
    <row r="181" spans="1:7">
      <c r="A181" s="31" t="s">
        <v>599</v>
      </c>
      <c r="B181" s="31" t="s">
        <v>175</v>
      </c>
      <c r="C181" s="31" t="s">
        <v>300</v>
      </c>
      <c r="D181" s="31">
        <v>300</v>
      </c>
      <c r="E181" s="33">
        <v>87.52</v>
      </c>
      <c r="F181" s="33">
        <v>26256</v>
      </c>
      <c r="G181" s="31" t="s">
        <v>702</v>
      </c>
    </row>
    <row r="182" spans="1:7">
      <c r="A182" s="31" t="s">
        <v>599</v>
      </c>
      <c r="B182" s="31" t="s">
        <v>58</v>
      </c>
      <c r="C182" s="31" t="s">
        <v>251</v>
      </c>
      <c r="D182" s="31">
        <v>108</v>
      </c>
      <c r="E182" s="33">
        <v>925</v>
      </c>
      <c r="F182" s="33">
        <v>99899.95</v>
      </c>
      <c r="G182" s="31" t="s">
        <v>105</v>
      </c>
    </row>
    <row r="183" spans="1:7">
      <c r="A183" s="31" t="s">
        <v>599</v>
      </c>
      <c r="B183" s="31" t="s">
        <v>185</v>
      </c>
      <c r="C183" s="31" t="s">
        <v>251</v>
      </c>
      <c r="D183" s="31">
        <v>36</v>
      </c>
      <c r="E183" s="33">
        <v>1403.56</v>
      </c>
      <c r="F183" s="33">
        <v>50528.2</v>
      </c>
      <c r="G183" s="31" t="s">
        <v>103</v>
      </c>
    </row>
    <row r="184" spans="1:7">
      <c r="A184" s="31" t="s">
        <v>599</v>
      </c>
      <c r="B184" s="31" t="s">
        <v>61</v>
      </c>
      <c r="C184" s="31" t="s">
        <v>251</v>
      </c>
      <c r="D184" s="31">
        <v>8</v>
      </c>
      <c r="E184" s="33">
        <v>4949.8</v>
      </c>
      <c r="F184" s="33">
        <v>39598.400000000001</v>
      </c>
      <c r="G184" s="31" t="s">
        <v>100</v>
      </c>
    </row>
    <row r="185" spans="1:7">
      <c r="A185" s="31" t="s">
        <v>611</v>
      </c>
      <c r="B185" s="31" t="s">
        <v>61</v>
      </c>
      <c r="C185" s="31" t="s">
        <v>251</v>
      </c>
      <c r="D185" s="31">
        <v>3</v>
      </c>
      <c r="E185" s="33">
        <v>4997.3999999999996</v>
      </c>
      <c r="F185" s="33">
        <v>14992.2</v>
      </c>
      <c r="G185" s="31" t="s">
        <v>101</v>
      </c>
    </row>
    <row r="186" spans="1:7">
      <c r="A186" s="31" t="s">
        <v>611</v>
      </c>
      <c r="B186" s="31" t="s">
        <v>232</v>
      </c>
      <c r="C186" s="31" t="s">
        <v>251</v>
      </c>
      <c r="D186" s="31">
        <v>72</v>
      </c>
      <c r="E186" s="33">
        <v>697.1</v>
      </c>
      <c r="F186" s="33">
        <v>50191.199999999997</v>
      </c>
      <c r="G186" s="31" t="s">
        <v>100</v>
      </c>
    </row>
    <row r="187" spans="1:7">
      <c r="A187" s="31" t="s">
        <v>611</v>
      </c>
      <c r="B187" s="31" t="s">
        <v>97</v>
      </c>
      <c r="C187" s="31" t="s">
        <v>251</v>
      </c>
      <c r="D187" s="31">
        <v>46</v>
      </c>
      <c r="E187" s="33">
        <v>1092.4000000000001</v>
      </c>
      <c r="F187" s="33">
        <v>50250.400000000001</v>
      </c>
      <c r="G187" s="31" t="s">
        <v>100</v>
      </c>
    </row>
    <row r="188" spans="1:7">
      <c r="A188" s="31" t="s">
        <v>611</v>
      </c>
      <c r="B188" s="31" t="s">
        <v>135</v>
      </c>
      <c r="C188" s="31" t="s">
        <v>251</v>
      </c>
      <c r="D188" s="31">
        <v>11</v>
      </c>
      <c r="E188" s="33">
        <v>4599.12</v>
      </c>
      <c r="F188" s="33">
        <v>50590.3</v>
      </c>
      <c r="G188" s="31" t="s">
        <v>100</v>
      </c>
    </row>
    <row r="189" spans="1:7">
      <c r="A189" s="31" t="s">
        <v>611</v>
      </c>
      <c r="B189" s="31" t="s">
        <v>137</v>
      </c>
      <c r="C189" s="31" t="s">
        <v>251</v>
      </c>
      <c r="D189" s="31">
        <v>92</v>
      </c>
      <c r="E189" s="33">
        <v>547</v>
      </c>
      <c r="F189" s="33">
        <v>50324</v>
      </c>
      <c r="G189" s="31" t="s">
        <v>100</v>
      </c>
    </row>
    <row r="190" spans="1:7">
      <c r="A190" s="31" t="s">
        <v>611</v>
      </c>
      <c r="B190" s="31" t="s">
        <v>138</v>
      </c>
      <c r="C190" s="31" t="s">
        <v>251</v>
      </c>
      <c r="D190" s="31">
        <v>129</v>
      </c>
      <c r="E190" s="33">
        <v>389.65</v>
      </c>
      <c r="F190" s="33">
        <v>50264.85</v>
      </c>
      <c r="G190" s="31" t="s">
        <v>100</v>
      </c>
    </row>
    <row r="191" spans="1:7">
      <c r="A191" s="31" t="s">
        <v>625</v>
      </c>
      <c r="B191" s="31" t="s">
        <v>682</v>
      </c>
      <c r="C191" s="31" t="s">
        <v>251</v>
      </c>
      <c r="D191" s="31">
        <v>8</v>
      </c>
      <c r="E191" s="33">
        <v>3520.1</v>
      </c>
      <c r="F191" s="33">
        <v>28160.799999999999</v>
      </c>
      <c r="G191" s="31" t="s">
        <v>100</v>
      </c>
    </row>
    <row r="192" spans="1:7">
      <c r="A192" s="31" t="s">
        <v>625</v>
      </c>
      <c r="B192" s="31" t="s">
        <v>640</v>
      </c>
      <c r="C192" s="31" t="s">
        <v>251</v>
      </c>
      <c r="D192" s="31">
        <v>43</v>
      </c>
      <c r="E192" s="33">
        <v>663.75</v>
      </c>
      <c r="F192" s="33">
        <v>28541.25</v>
      </c>
      <c r="G192" s="31" t="s">
        <v>100</v>
      </c>
    </row>
    <row r="193" spans="1:7">
      <c r="A193" s="31" t="s">
        <v>625</v>
      </c>
      <c r="B193" s="31" t="s">
        <v>73</v>
      </c>
      <c r="C193" s="31" t="s">
        <v>251</v>
      </c>
      <c r="D193" s="31">
        <v>3</v>
      </c>
      <c r="E193" s="33">
        <v>9432</v>
      </c>
      <c r="F193" s="33">
        <v>28296</v>
      </c>
      <c r="G193" s="31" t="s">
        <v>100</v>
      </c>
    </row>
    <row r="194" spans="1:7">
      <c r="A194" s="31" t="s">
        <v>625</v>
      </c>
      <c r="B194" s="31" t="s">
        <v>112</v>
      </c>
      <c r="C194" s="31" t="s">
        <v>251</v>
      </c>
      <c r="D194" s="31">
        <v>54</v>
      </c>
      <c r="E194" s="33">
        <v>549.48</v>
      </c>
      <c r="F194" s="33">
        <v>29672</v>
      </c>
      <c r="G194" s="31" t="s">
        <v>100</v>
      </c>
    </row>
    <row r="195" spans="1:7">
      <c r="A195" s="31" t="s">
        <v>625</v>
      </c>
      <c r="B195" s="31" t="s">
        <v>687</v>
      </c>
      <c r="C195" s="31" t="s">
        <v>251</v>
      </c>
      <c r="D195" s="31">
        <v>4</v>
      </c>
      <c r="E195" s="33">
        <v>7050</v>
      </c>
      <c r="F195" s="33">
        <v>28200</v>
      </c>
      <c r="G195" s="31" t="s">
        <v>100</v>
      </c>
    </row>
    <row r="196" spans="1:7">
      <c r="A196" s="31" t="s">
        <v>625</v>
      </c>
      <c r="B196" s="31" t="s">
        <v>232</v>
      </c>
      <c r="C196" s="31" t="s">
        <v>251</v>
      </c>
      <c r="D196" s="31">
        <v>42</v>
      </c>
      <c r="E196" s="33">
        <v>678.75</v>
      </c>
      <c r="F196" s="33">
        <v>28507.5</v>
      </c>
      <c r="G196" s="31" t="s">
        <v>101</v>
      </c>
    </row>
    <row r="197" spans="1:7">
      <c r="A197" s="31" t="s">
        <v>625</v>
      </c>
      <c r="B197" s="31" t="s">
        <v>522</v>
      </c>
      <c r="C197" s="31" t="s">
        <v>251</v>
      </c>
      <c r="D197" s="31">
        <v>2</v>
      </c>
      <c r="E197" s="33">
        <v>18259</v>
      </c>
      <c r="F197" s="33">
        <v>36518</v>
      </c>
      <c r="G197" s="31" t="s">
        <v>101</v>
      </c>
    </row>
    <row r="198" spans="1:7">
      <c r="A198" s="31" t="s">
        <v>625</v>
      </c>
      <c r="B198" s="31" t="s">
        <v>628</v>
      </c>
      <c r="C198" s="31" t="s">
        <v>251</v>
      </c>
      <c r="D198" s="31">
        <v>1</v>
      </c>
      <c r="E198" s="33">
        <v>35105</v>
      </c>
      <c r="F198" s="33">
        <v>35105</v>
      </c>
      <c r="G198" s="31" t="s">
        <v>100</v>
      </c>
    </row>
    <row r="199" spans="1:7">
      <c r="A199" s="31" t="s">
        <v>625</v>
      </c>
      <c r="B199" s="31" t="s">
        <v>643</v>
      </c>
      <c r="C199" s="31" t="s">
        <v>251</v>
      </c>
      <c r="D199" s="31">
        <v>6</v>
      </c>
      <c r="E199" s="33">
        <v>4554.1000000000004</v>
      </c>
      <c r="F199" s="33">
        <v>27324.6</v>
      </c>
      <c r="G199" s="31" t="s">
        <v>100</v>
      </c>
    </row>
    <row r="200" spans="1:7">
      <c r="A200" s="31" t="s">
        <v>625</v>
      </c>
      <c r="B200" s="31" t="s">
        <v>81</v>
      </c>
      <c r="C200" s="31" t="s">
        <v>251</v>
      </c>
      <c r="D200" s="31">
        <v>11</v>
      </c>
      <c r="E200" s="33">
        <v>2660</v>
      </c>
      <c r="F200" s="33">
        <v>29260</v>
      </c>
      <c r="G200" s="31" t="s">
        <v>100</v>
      </c>
    </row>
    <row r="201" spans="1:7">
      <c r="A201" s="31" t="s">
        <v>625</v>
      </c>
      <c r="B201" s="31" t="s">
        <v>670</v>
      </c>
      <c r="C201" s="31" t="s">
        <v>251</v>
      </c>
      <c r="D201" s="31">
        <v>15</v>
      </c>
      <c r="E201" s="33">
        <v>1910.65</v>
      </c>
      <c r="F201" s="33">
        <v>28659.7</v>
      </c>
      <c r="G201" s="31" t="s">
        <v>100</v>
      </c>
    </row>
    <row r="202" spans="1:7">
      <c r="A202" s="31" t="s">
        <v>625</v>
      </c>
      <c r="B202" s="31" t="s">
        <v>634</v>
      </c>
      <c r="C202" s="31" t="s">
        <v>251</v>
      </c>
      <c r="D202" s="31">
        <v>55</v>
      </c>
      <c r="E202" s="33">
        <v>533.75</v>
      </c>
      <c r="F202" s="33">
        <v>29356.25</v>
      </c>
      <c r="G202" s="31" t="s">
        <v>100</v>
      </c>
    </row>
    <row r="203" spans="1:7">
      <c r="A203" s="31" t="s">
        <v>625</v>
      </c>
      <c r="B203" s="31" t="s">
        <v>564</v>
      </c>
      <c r="C203" s="31" t="s">
        <v>251</v>
      </c>
      <c r="D203" s="31">
        <v>10</v>
      </c>
      <c r="E203" s="33">
        <v>2933.7</v>
      </c>
      <c r="F203" s="33">
        <v>29337</v>
      </c>
      <c r="G203" s="31" t="s">
        <v>101</v>
      </c>
    </row>
    <row r="204" spans="1:7">
      <c r="A204" s="31" t="s">
        <v>625</v>
      </c>
      <c r="B204" s="31" t="s">
        <v>650</v>
      </c>
      <c r="C204" s="31" t="s">
        <v>251</v>
      </c>
      <c r="D204" s="31">
        <v>4</v>
      </c>
      <c r="E204" s="33">
        <v>12829</v>
      </c>
      <c r="F204" s="33">
        <v>51316</v>
      </c>
      <c r="G204" s="31" t="s">
        <v>100</v>
      </c>
    </row>
    <row r="205" spans="1:7">
      <c r="A205" s="31" t="s">
        <v>625</v>
      </c>
      <c r="B205" s="31" t="s">
        <v>673</v>
      </c>
      <c r="C205" s="31" t="s">
        <v>251</v>
      </c>
      <c r="D205" s="31">
        <v>35</v>
      </c>
      <c r="E205" s="33">
        <v>838.6</v>
      </c>
      <c r="F205" s="33">
        <v>29351</v>
      </c>
      <c r="G205" s="31" t="s">
        <v>100</v>
      </c>
    </row>
    <row r="206" spans="1:7">
      <c r="A206" s="31" t="s">
        <v>625</v>
      </c>
      <c r="B206" s="31" t="s">
        <v>72</v>
      </c>
      <c r="C206" s="31" t="s">
        <v>251</v>
      </c>
      <c r="D206" s="31">
        <v>25</v>
      </c>
      <c r="E206" s="33">
        <v>1209.4000000000001</v>
      </c>
      <c r="F206" s="33">
        <v>30235</v>
      </c>
      <c r="G206" s="31" t="s">
        <v>100</v>
      </c>
    </row>
    <row r="207" spans="1:7">
      <c r="A207" s="31" t="s">
        <v>625</v>
      </c>
      <c r="B207" s="31" t="s">
        <v>647</v>
      </c>
      <c r="C207" s="31" t="s">
        <v>251</v>
      </c>
      <c r="D207" s="31">
        <v>3</v>
      </c>
      <c r="E207" s="33">
        <v>10301</v>
      </c>
      <c r="F207" s="33">
        <v>30903</v>
      </c>
      <c r="G207" s="31" t="s">
        <v>100</v>
      </c>
    </row>
    <row r="208" spans="1:7">
      <c r="A208" s="31" t="s">
        <v>625</v>
      </c>
      <c r="B208" s="31" t="s">
        <v>676</v>
      </c>
      <c r="C208" s="31" t="s">
        <v>251</v>
      </c>
      <c r="D208" s="31">
        <v>21</v>
      </c>
      <c r="E208" s="33">
        <v>1330.9</v>
      </c>
      <c r="F208" s="33">
        <v>27948.9</v>
      </c>
      <c r="G208" s="31" t="s">
        <v>100</v>
      </c>
    </row>
    <row r="209" spans="1:7">
      <c r="A209" s="31" t="s">
        <v>625</v>
      </c>
      <c r="B209" s="31" t="s">
        <v>659</v>
      </c>
      <c r="C209" s="31" t="s">
        <v>251</v>
      </c>
      <c r="D209" s="31">
        <v>18</v>
      </c>
      <c r="E209" s="33">
        <v>1562.2</v>
      </c>
      <c r="F209" s="33">
        <v>28119.599999999999</v>
      </c>
      <c r="G209" s="31" t="s">
        <v>100</v>
      </c>
    </row>
    <row r="210" spans="1:7">
      <c r="A210" s="31" t="s">
        <v>625</v>
      </c>
      <c r="B210" s="31" t="s">
        <v>637</v>
      </c>
      <c r="C210" s="31" t="s">
        <v>251</v>
      </c>
      <c r="D210" s="31">
        <v>3</v>
      </c>
      <c r="E210" s="33">
        <v>10344</v>
      </c>
      <c r="F210" s="33">
        <v>31032</v>
      </c>
      <c r="G210" s="31" t="s">
        <v>100</v>
      </c>
    </row>
    <row r="211" spans="1:7">
      <c r="A211" s="31" t="s">
        <v>625</v>
      </c>
      <c r="B211" s="31" t="s">
        <v>667</v>
      </c>
      <c r="C211" s="31" t="s">
        <v>251</v>
      </c>
      <c r="D211" s="31">
        <v>43</v>
      </c>
      <c r="E211" s="33">
        <v>679.8</v>
      </c>
      <c r="F211" s="33">
        <v>29231.4</v>
      </c>
      <c r="G211" s="31" t="s">
        <v>100</v>
      </c>
    </row>
    <row r="212" spans="1:7">
      <c r="A212" s="31" t="s">
        <v>625</v>
      </c>
      <c r="B212" s="31" t="s">
        <v>679</v>
      </c>
      <c r="C212" s="31" t="s">
        <v>251</v>
      </c>
      <c r="D212" s="31">
        <v>40</v>
      </c>
      <c r="E212" s="33">
        <v>729.68</v>
      </c>
      <c r="F212" s="33">
        <v>29187.3</v>
      </c>
      <c r="G212" s="31" t="s">
        <v>100</v>
      </c>
    </row>
    <row r="213" spans="1:7">
      <c r="A213" s="31" t="s">
        <v>625</v>
      </c>
      <c r="B213" s="31" t="s">
        <v>664</v>
      </c>
      <c r="C213" s="31" t="s">
        <v>251</v>
      </c>
      <c r="D213" s="31">
        <v>6</v>
      </c>
      <c r="E213" s="33">
        <v>5189</v>
      </c>
      <c r="F213" s="33">
        <v>31134</v>
      </c>
      <c r="G213" s="31" t="s">
        <v>100</v>
      </c>
    </row>
    <row r="214" spans="1:7">
      <c r="A214" s="31" t="s">
        <v>625</v>
      </c>
      <c r="B214" s="31" t="s">
        <v>84</v>
      </c>
      <c r="C214" s="31" t="s">
        <v>251</v>
      </c>
      <c r="D214" s="31">
        <v>37</v>
      </c>
      <c r="E214" s="33">
        <v>787.96</v>
      </c>
      <c r="F214" s="33">
        <v>29154.400000000001</v>
      </c>
      <c r="G214" s="31" t="s">
        <v>100</v>
      </c>
    </row>
    <row r="215" spans="1:7">
      <c r="A215" s="31" t="s">
        <v>625</v>
      </c>
      <c r="B215" s="31" t="s">
        <v>653</v>
      </c>
      <c r="C215" s="31" t="s">
        <v>251</v>
      </c>
      <c r="D215" s="31">
        <v>6</v>
      </c>
      <c r="E215" s="33">
        <v>8958</v>
      </c>
      <c r="F215" s="33">
        <v>53748</v>
      </c>
      <c r="G215" s="31" t="s">
        <v>100</v>
      </c>
    </row>
    <row r="216" spans="1:7">
      <c r="A216" s="31" t="s">
        <v>625</v>
      </c>
      <c r="B216" s="31" t="s">
        <v>79</v>
      </c>
      <c r="C216" s="31" t="s">
        <v>251</v>
      </c>
      <c r="D216" s="31">
        <v>6</v>
      </c>
      <c r="E216" s="33">
        <v>4708</v>
      </c>
      <c r="F216" s="33">
        <v>28248</v>
      </c>
      <c r="G216" s="31" t="s">
        <v>100</v>
      </c>
    </row>
    <row r="217" spans="1:7">
      <c r="A217" s="31" t="s">
        <v>625</v>
      </c>
      <c r="B217" s="31" t="s">
        <v>631</v>
      </c>
      <c r="C217" s="31" t="s">
        <v>251</v>
      </c>
      <c r="D217" s="31">
        <v>26</v>
      </c>
      <c r="E217" s="33">
        <v>1152.9000000000001</v>
      </c>
      <c r="F217" s="33">
        <v>29975.4</v>
      </c>
      <c r="G217" s="31" t="s">
        <v>100</v>
      </c>
    </row>
    <row r="218" spans="1:7">
      <c r="A218" s="31" t="s">
        <v>625</v>
      </c>
      <c r="B218" s="31" t="s">
        <v>692</v>
      </c>
      <c r="C218" s="31" t="s">
        <v>251</v>
      </c>
      <c r="D218" s="31">
        <v>15</v>
      </c>
      <c r="E218" s="33">
        <v>1972.4</v>
      </c>
      <c r="F218" s="33">
        <v>29586</v>
      </c>
      <c r="G218" s="31" t="s">
        <v>100</v>
      </c>
    </row>
    <row r="219" spans="1:7">
      <c r="A219" s="31" t="s">
        <v>625</v>
      </c>
      <c r="B219" s="31" t="s">
        <v>623</v>
      </c>
      <c r="C219" s="31" t="s">
        <v>251</v>
      </c>
      <c r="D219" s="31">
        <v>27</v>
      </c>
      <c r="E219" s="33">
        <v>1101.3</v>
      </c>
      <c r="F219" s="33">
        <v>29735.1</v>
      </c>
      <c r="G219" s="31" t="s">
        <v>100</v>
      </c>
    </row>
    <row r="220" spans="1:7">
      <c r="A220" s="31" t="s">
        <v>625</v>
      </c>
      <c r="B220" s="31" t="s">
        <v>82</v>
      </c>
      <c r="C220" s="31" t="s">
        <v>251</v>
      </c>
      <c r="D220" s="31">
        <v>685</v>
      </c>
      <c r="E220" s="33">
        <v>42.36</v>
      </c>
      <c r="F220" s="33">
        <v>29016.6</v>
      </c>
      <c r="G220" s="31" t="s">
        <v>100</v>
      </c>
    </row>
    <row r="221" spans="1:7">
      <c r="A221" s="31" t="s">
        <v>1097</v>
      </c>
      <c r="B221" s="31" t="s">
        <v>79</v>
      </c>
      <c r="C221" s="31" t="s">
        <v>251</v>
      </c>
      <c r="D221" s="31">
        <v>14</v>
      </c>
      <c r="E221" s="33">
        <v>5100</v>
      </c>
      <c r="F221" s="33">
        <v>71400</v>
      </c>
      <c r="G221" s="31" t="s">
        <v>108</v>
      </c>
    </row>
    <row r="222" spans="1:7">
      <c r="A222" s="31" t="s">
        <v>1097</v>
      </c>
      <c r="B222" s="31" t="s">
        <v>72</v>
      </c>
      <c r="C222" s="31" t="s">
        <v>251</v>
      </c>
      <c r="D222" s="31">
        <v>71</v>
      </c>
      <c r="E222" s="33">
        <v>1350.85</v>
      </c>
      <c r="F222" s="33">
        <v>95910</v>
      </c>
      <c r="G222" s="31" t="s">
        <v>111</v>
      </c>
    </row>
    <row r="223" spans="1:7">
      <c r="A223" s="31" t="s">
        <v>1097</v>
      </c>
      <c r="B223" s="31" t="s">
        <v>522</v>
      </c>
      <c r="C223" s="31" t="s">
        <v>251</v>
      </c>
      <c r="D223" s="31">
        <v>2</v>
      </c>
      <c r="E223" s="33">
        <v>18502</v>
      </c>
      <c r="F223" s="33">
        <v>37004</v>
      </c>
      <c r="G223" s="31" t="s">
        <v>103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58"/>
  <sheetViews>
    <sheetView workbookViewId="0">
      <pane ySplit="1" topLeftCell="A35" activePane="bottomLeft" state="frozen"/>
      <selection pane="bottomLeft" sqref="A1:A58"/>
    </sheetView>
  </sheetViews>
  <sheetFormatPr defaultRowHeight="15"/>
  <cols>
    <col min="1" max="1" width="23.42578125" customWidth="1"/>
    <col min="2" max="2" width="11" customWidth="1"/>
    <col min="3" max="3" width="24" customWidth="1"/>
    <col min="4" max="4" width="19" customWidth="1"/>
    <col min="5" max="5" width="16" customWidth="1"/>
    <col min="6" max="6" width="18" customWidth="1"/>
    <col min="7" max="7" width="19" customWidth="1"/>
    <col min="8" max="8" width="40" customWidth="1"/>
    <col min="9" max="9" width="14" customWidth="1"/>
    <col min="10" max="10" width="15" customWidth="1"/>
    <col min="11" max="11" width="35" customWidth="1"/>
    <col min="12" max="12" width="16" customWidth="1"/>
    <col min="13" max="13" width="13" customWidth="1"/>
    <col min="14" max="14" width="20" customWidth="1"/>
    <col min="15" max="15" width="17" customWidth="1"/>
    <col min="16" max="20" width="15" customWidth="1"/>
    <col min="21" max="21" width="16" customWidth="1"/>
    <col min="22" max="22" width="29" customWidth="1"/>
    <col min="23" max="23" width="27" customWidth="1"/>
    <col min="24" max="24" width="16" customWidth="1"/>
    <col min="25" max="25" width="25" customWidth="1"/>
    <col min="26" max="26" width="14" customWidth="1"/>
    <col min="27" max="27" width="10.7109375" bestFit="1" customWidth="1"/>
  </cols>
  <sheetData>
    <row r="1" spans="1:27" ht="30" customHeight="1">
      <c r="A1" s="51" t="s">
        <v>47</v>
      </c>
      <c r="B1" s="51" t="s">
        <v>88</v>
      </c>
      <c r="C1" s="51" t="s">
        <v>703</v>
      </c>
      <c r="D1" s="51" t="s">
        <v>152</v>
      </c>
      <c r="E1" s="51" t="s">
        <v>704</v>
      </c>
      <c r="F1" s="51" t="s">
        <v>705</v>
      </c>
      <c r="G1" s="51" t="s">
        <v>706</v>
      </c>
      <c r="H1" s="51" t="s">
        <v>707</v>
      </c>
      <c r="I1" s="51" t="s">
        <v>91</v>
      </c>
      <c r="J1" s="51" t="s">
        <v>708</v>
      </c>
      <c r="K1" s="51" t="s">
        <v>709</v>
      </c>
      <c r="L1" s="51" t="s">
        <v>710</v>
      </c>
      <c r="M1" s="51" t="s">
        <v>90</v>
      </c>
      <c r="N1" s="51" t="s">
        <v>711</v>
      </c>
      <c r="O1" s="51" t="s">
        <v>712</v>
      </c>
      <c r="P1" s="51" t="s">
        <v>713</v>
      </c>
      <c r="Q1" s="51" t="s">
        <v>714</v>
      </c>
      <c r="R1" s="51" t="s">
        <v>715</v>
      </c>
      <c r="S1" s="51" t="s">
        <v>716</v>
      </c>
      <c r="T1" s="51" t="s">
        <v>717</v>
      </c>
      <c r="U1" s="51" t="s">
        <v>718</v>
      </c>
      <c r="V1" s="51" t="s">
        <v>719</v>
      </c>
      <c r="W1" s="51" t="s">
        <v>122</v>
      </c>
      <c r="X1" s="51" t="s">
        <v>720</v>
      </c>
      <c r="Y1" s="51" t="s">
        <v>721</v>
      </c>
      <c r="Z1" s="51" t="s">
        <v>722</v>
      </c>
      <c r="AA1" s="51" t="s">
        <v>723</v>
      </c>
    </row>
    <row r="2" spans="1:27">
      <c r="A2" s="34" t="s">
        <v>564</v>
      </c>
      <c r="B2" s="31" t="s">
        <v>32</v>
      </c>
      <c r="C2" s="31" t="s">
        <v>68</v>
      </c>
      <c r="D2" s="31" t="s">
        <v>54</v>
      </c>
      <c r="E2" s="31" t="s">
        <v>101</v>
      </c>
      <c r="F2" s="31">
        <v>28</v>
      </c>
      <c r="G2" s="33">
        <v>2802.75</v>
      </c>
      <c r="H2" s="35" t="str">
        <f t="shared" ref="H2:H58" ca="1" si="0">IF(M2&gt;N2, "▲", IF(M2&lt;N2, "▼", "─"))</f>
        <v>▲</v>
      </c>
      <c r="I2" s="33">
        <v>2522.4699999999998</v>
      </c>
      <c r="J2" s="33">
        <f t="shared" ref="J2:J58" ca="1" si="1">M2-I2</f>
        <v>805.83000000000038</v>
      </c>
      <c r="K2" s="36">
        <f t="shared" ref="K2:K58" ca="1" si="2">IF(M2&gt;0, (M2-I2)/M2, 0)</f>
        <v>0.24211459303548369</v>
      </c>
      <c r="L2" s="33">
        <v>78477</v>
      </c>
      <c r="M2" s="33">
        <f ca="1">IFERROR(INDEX(Price_Update!$F:$F, MATCH(A2, Price_Update!$A:$A, 0)), 3328.3)</f>
        <v>3328.3</v>
      </c>
      <c r="N2" s="33">
        <f ca="1">IFERROR(INDEX(Price_Update!$I:$I, MATCH(A2, Price_Update!$A:$A, 0)), 3164.7)</f>
        <v>3164.7</v>
      </c>
      <c r="O2" s="33">
        <v>3132.5</v>
      </c>
      <c r="P2" s="33">
        <v>3107.04</v>
      </c>
      <c r="Q2" s="33">
        <v>3092.72</v>
      </c>
      <c r="R2" s="33">
        <v>3078.93</v>
      </c>
      <c r="S2" s="33">
        <v>2958.2</v>
      </c>
      <c r="T2" s="33">
        <f t="shared" ref="T2:T58" ca="1" si="3">F2*M2</f>
        <v>93192.400000000009</v>
      </c>
      <c r="U2" s="33">
        <f t="shared" ref="U2:U58" ca="1" si="4">T2-L2</f>
        <v>14715.400000000009</v>
      </c>
      <c r="V2" s="36">
        <f t="shared" ref="V2:V58" ca="1" si="5">IF(L2&gt;0, U2/L2, 0)</f>
        <v>0.18751226473998761</v>
      </c>
      <c r="W2" s="36">
        <v>70.208460589271269</v>
      </c>
      <c r="X2" s="31">
        <v>21</v>
      </c>
      <c r="Y2" s="31"/>
      <c r="Z2" s="31" t="s">
        <v>110</v>
      </c>
      <c r="AA2" s="33">
        <v>3132.5</v>
      </c>
    </row>
    <row r="3" spans="1:27">
      <c r="A3" s="34" t="s">
        <v>643</v>
      </c>
      <c r="B3" s="31" t="s">
        <v>39</v>
      </c>
      <c r="C3" s="31" t="s">
        <v>64</v>
      </c>
      <c r="D3" s="31" t="s">
        <v>54</v>
      </c>
      <c r="E3" s="31" t="s">
        <v>100</v>
      </c>
      <c r="F3" s="31">
        <v>6</v>
      </c>
      <c r="G3" s="33">
        <v>4554.1000000000004</v>
      </c>
      <c r="H3" s="35" t="str">
        <f t="shared" ca="1" si="0"/>
        <v>▲</v>
      </c>
      <c r="I3" s="33">
        <v>4098.6899999999996</v>
      </c>
      <c r="J3" s="33">
        <f t="shared" ca="1" si="1"/>
        <v>532.01000000000022</v>
      </c>
      <c r="K3" s="36">
        <f t="shared" ca="1" si="2"/>
        <v>0.11488759798734538</v>
      </c>
      <c r="L3" s="33">
        <v>27324.6</v>
      </c>
      <c r="M3" s="33">
        <f ca="1">IFERROR(INDEX(Price_Update!$F:$F, MATCH(A3, Price_Update!$A:$A, 0)), 4630.7)</f>
        <v>4630.7</v>
      </c>
      <c r="N3" s="33">
        <f ca="1">IFERROR(INDEX(Price_Update!$I:$I, MATCH(A3, Price_Update!$A:$A, 0)), 4596.5)</f>
        <v>4596.5</v>
      </c>
      <c r="O3" s="33">
        <v>4503.6000000000004</v>
      </c>
      <c r="P3" s="33">
        <v>4459.0200000000004</v>
      </c>
      <c r="Q3" s="33">
        <v>4436.79</v>
      </c>
      <c r="R3" s="33">
        <v>4415.6400000000003</v>
      </c>
      <c r="S3" s="33">
        <v>4258.8500000000004</v>
      </c>
      <c r="T3" s="33">
        <f t="shared" ca="1" si="3"/>
        <v>27784.199999999997</v>
      </c>
      <c r="U3" s="33">
        <f t="shared" ca="1" si="4"/>
        <v>459.59999999999854</v>
      </c>
      <c r="V3" s="36">
        <f t="shared" ca="1" si="5"/>
        <v>1.6820008344129413E-2</v>
      </c>
      <c r="W3" s="36">
        <v>6.6096086189833576</v>
      </c>
      <c r="X3" s="31">
        <v>3</v>
      </c>
      <c r="Y3" s="31"/>
      <c r="Z3" s="31" t="s">
        <v>110</v>
      </c>
      <c r="AA3" s="33">
        <v>4503.6000000000004</v>
      </c>
    </row>
    <row r="4" spans="1:27">
      <c r="A4" s="34" t="s">
        <v>650</v>
      </c>
      <c r="B4" s="31" t="s">
        <v>39</v>
      </c>
      <c r="C4" s="31" t="s">
        <v>64</v>
      </c>
      <c r="D4" s="31" t="s">
        <v>54</v>
      </c>
      <c r="E4" s="31" t="s">
        <v>100</v>
      </c>
      <c r="F4" s="31">
        <v>4</v>
      </c>
      <c r="G4" s="33">
        <v>12829</v>
      </c>
      <c r="H4" s="35" t="str">
        <f t="shared" ca="1" si="0"/>
        <v>▲</v>
      </c>
      <c r="I4" s="33">
        <v>11546.1</v>
      </c>
      <c r="J4" s="33">
        <f t="shared" ca="1" si="1"/>
        <v>2331.8999999999996</v>
      </c>
      <c r="K4" s="36">
        <f t="shared" ca="1" si="2"/>
        <v>0.16802853437094681</v>
      </c>
      <c r="L4" s="33">
        <v>51316</v>
      </c>
      <c r="M4" s="33">
        <f ca="1">IFERROR(INDEX(Price_Update!$F:$F, MATCH(A4, Price_Update!$A:$A, 0)), 13878)</f>
        <v>13878</v>
      </c>
      <c r="N4" s="33">
        <f ca="1">IFERROR(INDEX(Price_Update!$I:$I, MATCH(A4, Price_Update!$A:$A, 0)), 13709)</f>
        <v>13709</v>
      </c>
      <c r="O4" s="33">
        <v>13118</v>
      </c>
      <c r="P4" s="33">
        <v>13345.95</v>
      </c>
      <c r="Q4" s="33">
        <v>13304.57</v>
      </c>
      <c r="R4" s="33">
        <v>13265.79</v>
      </c>
      <c r="S4" s="33">
        <v>12937</v>
      </c>
      <c r="T4" s="33">
        <f t="shared" ca="1" si="3"/>
        <v>55512</v>
      </c>
      <c r="U4" s="33">
        <f t="shared" ca="1" si="4"/>
        <v>4196</v>
      </c>
      <c r="V4" s="36">
        <f t="shared" ca="1" si="5"/>
        <v>8.176786967027827E-2</v>
      </c>
      <c r="W4" s="36">
        <v>14221.616254392889</v>
      </c>
      <c r="X4" s="31">
        <v>3</v>
      </c>
      <c r="Y4" s="31"/>
      <c r="Z4" s="31" t="s">
        <v>110</v>
      </c>
      <c r="AA4" s="33">
        <v>13118</v>
      </c>
    </row>
    <row r="5" spans="1:27">
      <c r="A5" s="37" t="s">
        <v>85</v>
      </c>
      <c r="B5" s="31" t="s">
        <v>39</v>
      </c>
      <c r="C5" s="31" t="s">
        <v>64</v>
      </c>
      <c r="D5" s="31" t="s">
        <v>54</v>
      </c>
      <c r="E5" s="31" t="s">
        <v>105</v>
      </c>
      <c r="F5" s="31">
        <v>96</v>
      </c>
      <c r="G5" s="33">
        <v>2100.8000000000002</v>
      </c>
      <c r="H5" s="35" t="str">
        <f t="shared" ca="1" si="0"/>
        <v>▲</v>
      </c>
      <c r="I5" s="33">
        <v>2237.6</v>
      </c>
      <c r="J5" s="33">
        <f t="shared" ca="1" si="1"/>
        <v>-415</v>
      </c>
      <c r="K5" s="36">
        <f t="shared" ca="1" si="2"/>
        <v>-0.22769669702622627</v>
      </c>
      <c r="L5" s="33">
        <v>201676.79999999999</v>
      </c>
      <c r="M5" s="33">
        <f ca="1">IFERROR(INDEX(Price_Update!$F:$F, MATCH(A5, Price_Update!$A:$A, 0)), 1822.6)</f>
        <v>1822.6</v>
      </c>
      <c r="N5" s="33">
        <f ca="1">IFERROR(INDEX(Price_Update!$I:$I, MATCH(A5, Price_Update!$A:$A, 0)), 1808.4)</f>
        <v>1808.4</v>
      </c>
      <c r="O5" s="33">
        <v>1831.1</v>
      </c>
      <c r="P5" s="33">
        <v>1824.86</v>
      </c>
      <c r="Q5" s="33">
        <v>1827.89</v>
      </c>
      <c r="R5" s="33">
        <v>1830.94</v>
      </c>
      <c r="S5" s="33">
        <v>1859.96</v>
      </c>
      <c r="T5" s="33">
        <f t="shared" ca="1" si="3"/>
        <v>174969.59999999998</v>
      </c>
      <c r="U5" s="33">
        <f t="shared" ca="1" si="4"/>
        <v>-26707.200000000012</v>
      </c>
      <c r="V5" s="36">
        <f t="shared" ca="1" si="5"/>
        <v>-0.13242574257425749</v>
      </c>
      <c r="W5" s="36">
        <v>-0.41668940263701609</v>
      </c>
      <c r="X5" s="31">
        <v>116</v>
      </c>
      <c r="Y5" s="31"/>
      <c r="Z5" s="31" t="s">
        <v>110</v>
      </c>
      <c r="AA5" s="33">
        <v>1831.1</v>
      </c>
    </row>
    <row r="6" spans="1:27">
      <c r="A6" s="34" t="s">
        <v>637</v>
      </c>
      <c r="B6" s="31" t="s">
        <v>36</v>
      </c>
      <c r="C6" s="31" t="s">
        <v>66</v>
      </c>
      <c r="D6" s="31" t="s">
        <v>54</v>
      </c>
      <c r="E6" s="31" t="s">
        <v>100</v>
      </c>
      <c r="F6" s="31">
        <v>3</v>
      </c>
      <c r="G6" s="33">
        <v>10344</v>
      </c>
      <c r="H6" s="35" t="str">
        <f t="shared" ca="1" si="0"/>
        <v>▼</v>
      </c>
      <c r="I6" s="33">
        <v>9309.6</v>
      </c>
      <c r="J6" s="33">
        <f t="shared" ca="1" si="1"/>
        <v>1032.3999999999996</v>
      </c>
      <c r="K6" s="36">
        <f t="shared" ca="1" si="2"/>
        <v>9.9825952426996684E-2</v>
      </c>
      <c r="L6" s="33">
        <v>31032</v>
      </c>
      <c r="M6" s="33">
        <f ca="1">IFERROR(INDEX(Price_Update!$F:$F, MATCH(A6, Price_Update!$A:$A, 0)), 10342)</f>
        <v>10342</v>
      </c>
      <c r="N6" s="33">
        <f ca="1">IFERROR(INDEX(Price_Update!$I:$I, MATCH(A6, Price_Update!$A:$A, 0)), 10362)</f>
        <v>10362</v>
      </c>
      <c r="O6" s="33">
        <v>10460</v>
      </c>
      <c r="P6" s="33">
        <v>10365.59</v>
      </c>
      <c r="Q6" s="33">
        <v>10364.280000000001</v>
      </c>
      <c r="R6" s="33">
        <v>10361.379999999999</v>
      </c>
      <c r="S6" s="33">
        <v>10277.719999999999</v>
      </c>
      <c r="T6" s="33">
        <f t="shared" ca="1" si="3"/>
        <v>31026</v>
      </c>
      <c r="U6" s="33">
        <f t="shared" ca="1" si="4"/>
        <v>-6</v>
      </c>
      <c r="V6" s="36">
        <f t="shared" ca="1" si="5"/>
        <v>-1.9334880123743234E-4</v>
      </c>
      <c r="W6" s="36">
        <v>-2.3251790943177461E-2</v>
      </c>
      <c r="X6" s="31">
        <v>3</v>
      </c>
      <c r="Y6" s="31"/>
      <c r="Z6" s="31" t="s">
        <v>110</v>
      </c>
      <c r="AA6" s="33">
        <v>10460</v>
      </c>
    </row>
    <row r="7" spans="1:27">
      <c r="A7" s="38" t="s">
        <v>80</v>
      </c>
      <c r="B7" s="31" t="s">
        <v>36</v>
      </c>
      <c r="C7" s="31" t="s">
        <v>69</v>
      </c>
      <c r="D7" s="31" t="s">
        <v>54</v>
      </c>
      <c r="E7" s="31" t="s">
        <v>103</v>
      </c>
      <c r="F7" s="31">
        <v>30</v>
      </c>
      <c r="G7" s="33">
        <v>3359</v>
      </c>
      <c r="H7" s="35" t="str">
        <f t="shared" ca="1" si="0"/>
        <v>▼</v>
      </c>
      <c r="I7" s="33">
        <v>3023.1</v>
      </c>
      <c r="J7" s="33">
        <f t="shared" ca="1" si="1"/>
        <v>856.90000000000009</v>
      </c>
      <c r="K7" s="36">
        <f t="shared" ca="1" si="2"/>
        <v>0.22085051546391754</v>
      </c>
      <c r="L7" s="33">
        <v>100770</v>
      </c>
      <c r="M7" s="33">
        <f ca="1">IFERROR(INDEX(Price_Update!$F:$F, MATCH(A7, Price_Update!$A:$A, 0)), 3880)</f>
        <v>3880</v>
      </c>
      <c r="N7" s="33">
        <f ca="1">IFERROR(INDEX(Price_Update!$I:$I, MATCH(A7, Price_Update!$A:$A, 0)), 4033.4)</f>
        <v>4033.4</v>
      </c>
      <c r="O7" s="33">
        <v>4146.1000000000004</v>
      </c>
      <c r="P7" s="33">
        <v>4039.56</v>
      </c>
      <c r="Q7" s="33">
        <v>4045.26</v>
      </c>
      <c r="R7" s="33">
        <v>4048.68</v>
      </c>
      <c r="S7" s="33">
        <v>4006.19</v>
      </c>
      <c r="T7" s="33">
        <f t="shared" ca="1" si="3"/>
        <v>116400</v>
      </c>
      <c r="U7" s="33">
        <f t="shared" ca="1" si="4"/>
        <v>15630</v>
      </c>
      <c r="V7" s="36">
        <f t="shared" ca="1" si="5"/>
        <v>0.15510568621613574</v>
      </c>
      <c r="W7" s="36">
        <v>0.68040624457444054</v>
      </c>
      <c r="X7" s="31">
        <v>179</v>
      </c>
      <c r="Y7" s="31"/>
      <c r="Z7" s="31" t="s">
        <v>110</v>
      </c>
      <c r="AA7" s="33">
        <v>4146.1000000000004</v>
      </c>
    </row>
    <row r="8" spans="1:27">
      <c r="A8" s="34" t="s">
        <v>692</v>
      </c>
      <c r="B8" s="31" t="s">
        <v>32</v>
      </c>
      <c r="C8" s="31" t="s">
        <v>68</v>
      </c>
      <c r="D8" s="31" t="s">
        <v>54</v>
      </c>
      <c r="E8" s="31" t="s">
        <v>100</v>
      </c>
      <c r="F8" s="31">
        <v>15</v>
      </c>
      <c r="G8" s="33">
        <v>1972.4</v>
      </c>
      <c r="H8" s="35" t="str">
        <f t="shared" ca="1" si="0"/>
        <v>▲</v>
      </c>
      <c r="I8" s="33">
        <v>1775.16</v>
      </c>
      <c r="J8" s="33">
        <f t="shared" ca="1" si="1"/>
        <v>257.93999999999983</v>
      </c>
      <c r="K8" s="36">
        <f t="shared" ca="1" si="2"/>
        <v>0.12687029659141205</v>
      </c>
      <c r="L8" s="33">
        <v>29586</v>
      </c>
      <c r="M8" s="33">
        <f ca="1">IFERROR(INDEX(Price_Update!$F:$F, MATCH(A8, Price_Update!$A:$A, 0)), 2033.1)</f>
        <v>2033.1</v>
      </c>
      <c r="N8" s="33">
        <f ca="1">IFERROR(INDEX(Price_Update!$I:$I, MATCH(A8, Price_Update!$A:$A, 0)), 2019.7)</f>
        <v>2019.7</v>
      </c>
      <c r="O8" s="33">
        <v>2024.5</v>
      </c>
      <c r="P8" s="33">
        <v>2008.56</v>
      </c>
      <c r="Q8" s="33">
        <v>2006.48</v>
      </c>
      <c r="R8" s="33">
        <v>2003.97</v>
      </c>
      <c r="S8" s="33">
        <v>1965.7</v>
      </c>
      <c r="T8" s="33">
        <f t="shared" ca="1" si="3"/>
        <v>30496.5</v>
      </c>
      <c r="U8" s="33">
        <f t="shared" ca="1" si="4"/>
        <v>910.5</v>
      </c>
      <c r="V8" s="36">
        <f t="shared" ca="1" si="5"/>
        <v>3.0774690732103021E-2</v>
      </c>
      <c r="W8" s="36">
        <v>38.956658106917253</v>
      </c>
      <c r="X8" s="31">
        <v>3</v>
      </c>
      <c r="Y8" s="31"/>
      <c r="Z8" s="31" t="s">
        <v>110</v>
      </c>
      <c r="AA8" s="33">
        <v>2024.5</v>
      </c>
    </row>
    <row r="9" spans="1:27">
      <c r="A9" s="34" t="s">
        <v>623</v>
      </c>
      <c r="B9" s="31" t="s">
        <v>32</v>
      </c>
      <c r="C9" s="31" t="s">
        <v>66</v>
      </c>
      <c r="D9" s="31" t="s">
        <v>54</v>
      </c>
      <c r="E9" s="31" t="s">
        <v>100</v>
      </c>
      <c r="F9" s="31">
        <v>27</v>
      </c>
      <c r="G9" s="33">
        <v>1101.3</v>
      </c>
      <c r="H9" s="35" t="str">
        <f t="shared" ca="1" si="0"/>
        <v>▲</v>
      </c>
      <c r="I9" s="33">
        <v>991.17</v>
      </c>
      <c r="J9" s="33">
        <f t="shared" ca="1" si="1"/>
        <v>110.83000000000004</v>
      </c>
      <c r="K9" s="36">
        <f t="shared" ca="1" si="2"/>
        <v>0.10057168784029041</v>
      </c>
      <c r="L9" s="33">
        <v>29735.1</v>
      </c>
      <c r="M9" s="33">
        <f ca="1">IFERROR(INDEX(Price_Update!$F:$F, MATCH(A9, Price_Update!$A:$A, 0)), 1102)</f>
        <v>1102</v>
      </c>
      <c r="N9" s="33">
        <f ca="1">IFERROR(INDEX(Price_Update!$I:$I, MATCH(A9, Price_Update!$A:$A, 0)), 1095.2)</f>
        <v>1095.2</v>
      </c>
      <c r="O9" s="33">
        <v>1077.55</v>
      </c>
      <c r="P9" s="33">
        <v>1088.56</v>
      </c>
      <c r="Q9" s="33">
        <v>1084.45</v>
      </c>
      <c r="R9" s="33">
        <v>1080.19</v>
      </c>
      <c r="S9" s="33">
        <v>1038.94</v>
      </c>
      <c r="T9" s="33">
        <f t="shared" ca="1" si="3"/>
        <v>29754</v>
      </c>
      <c r="U9" s="33">
        <f t="shared" ca="1" si="4"/>
        <v>18.900000000001455</v>
      </c>
      <c r="V9" s="36">
        <f t="shared" ca="1" si="5"/>
        <v>6.3561245800422583E-4</v>
      </c>
      <c r="W9" s="36">
        <v>8.037508590564206E-2</v>
      </c>
      <c r="X9" s="31">
        <v>3</v>
      </c>
      <c r="Y9" s="31"/>
      <c r="Z9" s="31" t="s">
        <v>110</v>
      </c>
      <c r="AA9" s="33">
        <v>1077.55</v>
      </c>
    </row>
    <row r="10" spans="1:27">
      <c r="A10" s="37" t="s">
        <v>130</v>
      </c>
      <c r="B10" s="31" t="s">
        <v>32</v>
      </c>
      <c r="C10" s="31" t="s">
        <v>66</v>
      </c>
      <c r="D10" s="31" t="s">
        <v>54</v>
      </c>
      <c r="E10" s="31" t="s">
        <v>100</v>
      </c>
      <c r="F10" s="31">
        <v>49</v>
      </c>
      <c r="G10" s="33">
        <v>1033.1600000000001</v>
      </c>
      <c r="H10" s="35" t="str">
        <f t="shared" ca="1" si="0"/>
        <v>▲</v>
      </c>
      <c r="I10" s="33">
        <v>929.84</v>
      </c>
      <c r="J10" s="33">
        <f t="shared" ca="1" si="1"/>
        <v>149.25999999999988</v>
      </c>
      <c r="K10" s="36">
        <f t="shared" ca="1" si="2"/>
        <v>0.13831896951162995</v>
      </c>
      <c r="L10" s="33">
        <v>50624.84</v>
      </c>
      <c r="M10" s="33">
        <f ca="1">IFERROR(INDEX(Price_Update!$F:$F, MATCH(A10, Price_Update!$A:$A, 0)), 1079.1)</f>
        <v>1079.0999999999999</v>
      </c>
      <c r="N10" s="33">
        <f ca="1">IFERROR(INDEX(Price_Update!$I:$I, MATCH(A10, Price_Update!$A:$A, 0)), 1067.7)</f>
        <v>1067.7</v>
      </c>
      <c r="O10" s="33">
        <v>1053.8</v>
      </c>
      <c r="P10" s="33">
        <v>1073.8599999999999</v>
      </c>
      <c r="Q10" s="33">
        <v>1074.6500000000001</v>
      </c>
      <c r="R10" s="33">
        <v>1075.55</v>
      </c>
      <c r="S10" s="33">
        <v>1084.3499999999999</v>
      </c>
      <c r="T10" s="33">
        <f t="shared" ca="1" si="3"/>
        <v>52875.899999999994</v>
      </c>
      <c r="U10" s="33">
        <f t="shared" ca="1" si="4"/>
        <v>2251.0599999999977</v>
      </c>
      <c r="V10" s="36">
        <f t="shared" ca="1" si="5"/>
        <v>4.4465523249061091E-2</v>
      </c>
      <c r="W10" s="36">
        <v>0.19777749978952899</v>
      </c>
      <c r="X10" s="31">
        <v>88</v>
      </c>
      <c r="Y10" s="31"/>
      <c r="Z10" s="31" t="s">
        <v>110</v>
      </c>
      <c r="AA10" s="33">
        <v>1053.8</v>
      </c>
    </row>
    <row r="11" spans="1:27">
      <c r="A11" s="34" t="s">
        <v>653</v>
      </c>
      <c r="B11" s="31" t="s">
        <v>32</v>
      </c>
      <c r="C11" s="31" t="s">
        <v>64</v>
      </c>
      <c r="D11" s="31" t="s">
        <v>54</v>
      </c>
      <c r="E11" s="31" t="s">
        <v>100</v>
      </c>
      <c r="F11" s="31">
        <v>6</v>
      </c>
      <c r="G11" s="33">
        <v>8958</v>
      </c>
      <c r="H11" s="35" t="str">
        <f t="shared" ca="1" si="0"/>
        <v>▼</v>
      </c>
      <c r="I11" s="33">
        <v>8062.2</v>
      </c>
      <c r="J11" s="33">
        <f t="shared" ca="1" si="1"/>
        <v>1002.8000000000002</v>
      </c>
      <c r="K11" s="36">
        <f t="shared" ca="1" si="2"/>
        <v>0.11062327633756207</v>
      </c>
      <c r="L11" s="33">
        <v>53748</v>
      </c>
      <c r="M11" s="33">
        <f ca="1">IFERROR(INDEX(Price_Update!$F:$F, MATCH(A11, Price_Update!$A:$A, 0)), 9065)</f>
        <v>9065</v>
      </c>
      <c r="N11" s="33">
        <f ca="1">IFERROR(INDEX(Price_Update!$I:$I, MATCH(A11, Price_Update!$A:$A, 0)), 9174)</f>
        <v>9174</v>
      </c>
      <c r="O11" s="33">
        <v>9074</v>
      </c>
      <c r="P11" s="33">
        <v>8912.59</v>
      </c>
      <c r="Q11" s="33">
        <v>8891.59</v>
      </c>
      <c r="R11" s="33">
        <v>8870.76</v>
      </c>
      <c r="S11" s="33">
        <v>8662.7900000000009</v>
      </c>
      <c r="T11" s="33">
        <f t="shared" ca="1" si="3"/>
        <v>54390</v>
      </c>
      <c r="U11" s="33">
        <f t="shared" ca="1" si="4"/>
        <v>642</v>
      </c>
      <c r="V11" s="36">
        <f t="shared" ca="1" si="5"/>
        <v>1.1944630497878991E-2</v>
      </c>
      <c r="W11" s="36">
        <v>3.240378488042182</v>
      </c>
      <c r="X11" s="31">
        <v>3</v>
      </c>
      <c r="Y11" s="31"/>
      <c r="Z11" s="31" t="s">
        <v>110</v>
      </c>
      <c r="AA11" s="33">
        <v>9074</v>
      </c>
    </row>
    <row r="12" spans="1:27">
      <c r="A12" s="34" t="s">
        <v>82</v>
      </c>
      <c r="B12" s="31" t="s">
        <v>32</v>
      </c>
      <c r="C12" s="31" t="s">
        <v>68</v>
      </c>
      <c r="D12" s="31" t="s">
        <v>54</v>
      </c>
      <c r="E12" s="31" t="s">
        <v>100</v>
      </c>
      <c r="F12" s="31">
        <v>685</v>
      </c>
      <c r="G12" s="33">
        <v>42.36</v>
      </c>
      <c r="H12" s="35" t="str">
        <f t="shared" ca="1" si="0"/>
        <v>▼</v>
      </c>
      <c r="I12" s="33">
        <v>38.119999999999997</v>
      </c>
      <c r="J12" s="33">
        <f t="shared" ca="1" si="1"/>
        <v>2.6099999999999994</v>
      </c>
      <c r="K12" s="36">
        <f t="shared" ca="1" si="2"/>
        <v>6.4080530321630233E-2</v>
      </c>
      <c r="L12" s="33">
        <v>29016.6</v>
      </c>
      <c r="M12" s="33">
        <f ca="1">IFERROR(INDEX(Price_Update!$F:$F, MATCH(A12, Price_Update!$A:$A, 0)), 40.73)</f>
        <v>40.729999999999997</v>
      </c>
      <c r="N12" s="33">
        <f ca="1">IFERROR(INDEX(Price_Update!$I:$I, MATCH(A12, Price_Update!$A:$A, 0)), 41.03)</f>
        <v>41.03</v>
      </c>
      <c r="O12" s="33">
        <v>39.99</v>
      </c>
      <c r="P12" s="33">
        <v>39.880000000000003</v>
      </c>
      <c r="Q12" s="33">
        <v>39.51</v>
      </c>
      <c r="R12" s="33">
        <v>39.14</v>
      </c>
      <c r="S12" s="33">
        <v>35.75</v>
      </c>
      <c r="T12" s="33">
        <f t="shared" ca="1" si="3"/>
        <v>27900.05</v>
      </c>
      <c r="U12" s="33">
        <f t="shared" ca="1" si="4"/>
        <v>-1116.5499999999993</v>
      </c>
      <c r="V12" s="36">
        <f t="shared" ca="1" si="5"/>
        <v>-3.8479697828139731E-2</v>
      </c>
      <c r="W12" s="36">
        <v>9.9999993449449534</v>
      </c>
      <c r="X12" s="31">
        <v>3</v>
      </c>
      <c r="Y12" s="31"/>
      <c r="Z12" s="31" t="s">
        <v>110</v>
      </c>
      <c r="AA12" s="33">
        <v>39.99</v>
      </c>
    </row>
    <row r="13" spans="1:27">
      <c r="A13" s="37" t="s">
        <v>75</v>
      </c>
      <c r="B13" s="31" t="s">
        <v>39</v>
      </c>
      <c r="C13" s="31" t="s">
        <v>69</v>
      </c>
      <c r="D13" s="31" t="s">
        <v>54</v>
      </c>
      <c r="E13" s="31" t="s">
        <v>108</v>
      </c>
      <c r="F13" s="31">
        <v>1172</v>
      </c>
      <c r="G13" s="33">
        <v>256.22000000000003</v>
      </c>
      <c r="H13" s="35" t="str">
        <f t="shared" ca="1" si="0"/>
        <v>▲</v>
      </c>
      <c r="I13" s="33">
        <v>260.10000000000002</v>
      </c>
      <c r="J13" s="33">
        <f t="shared" ca="1" si="1"/>
        <v>44.049999999999955</v>
      </c>
      <c r="K13" s="36">
        <f t="shared" ca="1" si="2"/>
        <v>0.14482985369061305</v>
      </c>
      <c r="L13" s="33">
        <v>300289.84000000003</v>
      </c>
      <c r="M13" s="33">
        <f ca="1">IFERROR(INDEX(Price_Update!$F:$F, MATCH(A13, Price_Update!$A:$A, 0)), 304.15)</f>
        <v>304.14999999999998</v>
      </c>
      <c r="N13" s="33">
        <f ca="1">IFERROR(INDEX(Price_Update!$I:$I, MATCH(A13, Price_Update!$A:$A, 0)), 300.1)</f>
        <v>300.10000000000002</v>
      </c>
      <c r="O13" s="33">
        <v>288.95</v>
      </c>
      <c r="P13" s="33">
        <v>295.44</v>
      </c>
      <c r="Q13" s="33">
        <v>294.89999999999998</v>
      </c>
      <c r="R13" s="33">
        <v>294.42</v>
      </c>
      <c r="S13" s="33">
        <v>291.62</v>
      </c>
      <c r="T13" s="33">
        <f t="shared" ca="1" si="3"/>
        <v>356463.8</v>
      </c>
      <c r="U13" s="33">
        <f t="shared" ca="1" si="4"/>
        <v>56173.959999999963</v>
      </c>
      <c r="V13" s="36">
        <f t="shared" ca="1" si="5"/>
        <v>0.18706580282569651</v>
      </c>
      <c r="W13" s="36">
        <v>0.42031481653994551</v>
      </c>
      <c r="X13" s="31">
        <v>214</v>
      </c>
      <c r="Y13" s="31"/>
      <c r="Z13" s="31" t="s">
        <v>110</v>
      </c>
      <c r="AA13" s="33">
        <v>288.95</v>
      </c>
    </row>
    <row r="14" spans="1:27">
      <c r="A14" s="34" t="s">
        <v>79</v>
      </c>
      <c r="B14" s="31" t="s">
        <v>36</v>
      </c>
      <c r="C14" s="31" t="s">
        <v>66</v>
      </c>
      <c r="D14" s="31" t="s">
        <v>54</v>
      </c>
      <c r="E14" s="31" t="s">
        <v>108</v>
      </c>
      <c r="F14" s="31">
        <v>69</v>
      </c>
      <c r="G14" s="33">
        <v>4347.42</v>
      </c>
      <c r="H14" s="35" t="str">
        <f t="shared" ca="1" si="0"/>
        <v>▼</v>
      </c>
      <c r="I14" s="33">
        <v>4452.79</v>
      </c>
      <c r="J14" s="33">
        <f t="shared" ca="1" si="1"/>
        <v>614.21</v>
      </c>
      <c r="K14" s="36">
        <f t="shared" ca="1" si="2"/>
        <v>0.12121768304716796</v>
      </c>
      <c r="L14" s="33">
        <v>299971.98</v>
      </c>
      <c r="M14" s="33">
        <f ca="1">IFERROR(INDEX(Price_Update!$F:$F, MATCH(A14, Price_Update!$A:$A, 0)), 5067)</f>
        <v>5067</v>
      </c>
      <c r="N14" s="33">
        <f ca="1">IFERROR(INDEX(Price_Update!$I:$I, MATCH(A14, Price_Update!$A:$A, 0)), 5086.5)</f>
        <v>5086.5</v>
      </c>
      <c r="O14" s="33">
        <v>5148.6000000000004</v>
      </c>
      <c r="P14" s="33">
        <v>4944.4399999999996</v>
      </c>
      <c r="Q14" s="33">
        <v>4930</v>
      </c>
      <c r="R14" s="33">
        <v>4915.59</v>
      </c>
      <c r="S14" s="33">
        <v>4779.59</v>
      </c>
      <c r="T14" s="33">
        <f t="shared" ca="1" si="3"/>
        <v>349623</v>
      </c>
      <c r="U14" s="33">
        <f t="shared" ca="1" si="4"/>
        <v>49651.020000000019</v>
      </c>
      <c r="V14" s="36">
        <f t="shared" ca="1" si="5"/>
        <v>0.16551885946147377</v>
      </c>
      <c r="W14" s="36">
        <v>3.004845997301627</v>
      </c>
      <c r="X14" s="31">
        <v>88</v>
      </c>
      <c r="Y14" s="31"/>
      <c r="Z14" s="31" t="s">
        <v>110</v>
      </c>
      <c r="AA14" s="33">
        <v>5148.6000000000004</v>
      </c>
    </row>
    <row r="15" spans="1:27">
      <c r="A15" s="34" t="s">
        <v>84</v>
      </c>
      <c r="B15" s="31" t="s">
        <v>32</v>
      </c>
      <c r="C15" s="31" t="s">
        <v>64</v>
      </c>
      <c r="D15" s="31" t="s">
        <v>54</v>
      </c>
      <c r="E15" s="31" t="s">
        <v>100</v>
      </c>
      <c r="F15" s="31">
        <v>37</v>
      </c>
      <c r="G15" s="33">
        <v>865.69</v>
      </c>
      <c r="H15" s="35" t="str">
        <f t="shared" ca="1" si="0"/>
        <v>▼</v>
      </c>
      <c r="I15" s="33">
        <v>844.15</v>
      </c>
      <c r="J15" s="33">
        <f t="shared" ca="1" si="1"/>
        <v>-49.199999999999932</v>
      </c>
      <c r="K15" s="36">
        <f t="shared" ca="1" si="2"/>
        <v>-6.1890684948738825E-2</v>
      </c>
      <c r="L15" s="33">
        <v>32030.53</v>
      </c>
      <c r="M15" s="33">
        <f ca="1">IFERROR(INDEX(Price_Update!$F:$F, MATCH(A15, Price_Update!$A:$A, 0)), 794.95)</f>
        <v>794.95</v>
      </c>
      <c r="N15" s="33">
        <f ca="1">IFERROR(INDEX(Price_Update!$I:$I, MATCH(A15, Price_Update!$A:$A, 0)), 796.65)</f>
        <v>796.65</v>
      </c>
      <c r="O15" s="33">
        <v>822.6</v>
      </c>
      <c r="P15" s="33">
        <v>796.49</v>
      </c>
      <c r="Q15" s="33">
        <v>796.25</v>
      </c>
      <c r="R15" s="33">
        <v>796</v>
      </c>
      <c r="S15" s="33">
        <v>792.56</v>
      </c>
      <c r="T15" s="33">
        <f t="shared" ca="1" si="3"/>
        <v>29413.15</v>
      </c>
      <c r="U15" s="33">
        <f t="shared" ca="1" si="4"/>
        <v>-2617.3799999999974</v>
      </c>
      <c r="V15" s="36">
        <f t="shared" ca="1" si="5"/>
        <v>-8.1715163626702322E-2</v>
      </c>
      <c r="W15" s="36">
        <v>-0.44542639881629748</v>
      </c>
      <c r="X15" s="31">
        <v>3</v>
      </c>
      <c r="Y15" s="31"/>
      <c r="Z15" s="31" t="s">
        <v>110</v>
      </c>
      <c r="AA15" s="33">
        <v>822.6</v>
      </c>
    </row>
    <row r="16" spans="1:27">
      <c r="A16" s="34" t="s">
        <v>664</v>
      </c>
      <c r="B16" s="31" t="s">
        <v>39</v>
      </c>
      <c r="C16" s="31" t="s">
        <v>66</v>
      </c>
      <c r="D16" s="31" t="s">
        <v>54</v>
      </c>
      <c r="E16" s="31" t="s">
        <v>100</v>
      </c>
      <c r="F16" s="31">
        <v>6</v>
      </c>
      <c r="G16" s="33">
        <v>5189</v>
      </c>
      <c r="H16" s="35" t="str">
        <f t="shared" ca="1" si="0"/>
        <v>▲</v>
      </c>
      <c r="I16" s="33">
        <v>4670.1000000000004</v>
      </c>
      <c r="J16" s="33">
        <f t="shared" ca="1" si="1"/>
        <v>665.39999999999964</v>
      </c>
      <c r="K16" s="36">
        <f t="shared" ca="1" si="2"/>
        <v>0.1247118358166994</v>
      </c>
      <c r="L16" s="33">
        <v>31134</v>
      </c>
      <c r="M16" s="33">
        <f ca="1">IFERROR(INDEX(Price_Update!$F:$F, MATCH(A16, Price_Update!$A:$A, 0)), 5335.5)</f>
        <v>5335.5</v>
      </c>
      <c r="N16" s="33">
        <f ca="1">IFERROR(INDEX(Price_Update!$I:$I, MATCH(A16, Price_Update!$A:$A, 0)), 5296)</f>
        <v>5296</v>
      </c>
      <c r="O16" s="33">
        <v>5267.5</v>
      </c>
      <c r="P16" s="33">
        <v>5276.1</v>
      </c>
      <c r="Q16" s="33">
        <v>5271.1</v>
      </c>
      <c r="R16" s="33">
        <v>5265.55</v>
      </c>
      <c r="S16" s="33">
        <v>5190.8</v>
      </c>
      <c r="T16" s="33">
        <f t="shared" ca="1" si="3"/>
        <v>32013</v>
      </c>
      <c r="U16" s="33">
        <f t="shared" ca="1" si="4"/>
        <v>879</v>
      </c>
      <c r="V16" s="36">
        <f t="shared" ca="1" si="5"/>
        <v>2.8232800154172288E-2</v>
      </c>
      <c r="W16" s="36">
        <v>28.588765651326</v>
      </c>
      <c r="X16" s="31">
        <v>3</v>
      </c>
      <c r="Y16" s="31"/>
      <c r="Z16" s="31" t="s">
        <v>110</v>
      </c>
      <c r="AA16" s="33">
        <v>5267.5</v>
      </c>
    </row>
    <row r="17" spans="1:27">
      <c r="A17" s="34" t="s">
        <v>667</v>
      </c>
      <c r="B17" s="31" t="s">
        <v>32</v>
      </c>
      <c r="C17" s="31" t="s">
        <v>68</v>
      </c>
      <c r="D17" s="31" t="s">
        <v>54</v>
      </c>
      <c r="E17" s="31" t="s">
        <v>100</v>
      </c>
      <c r="F17" s="31">
        <v>43</v>
      </c>
      <c r="G17" s="33">
        <v>679.8</v>
      </c>
      <c r="H17" s="35" t="str">
        <f t="shared" ca="1" si="0"/>
        <v>▼</v>
      </c>
      <c r="I17" s="33">
        <v>611.82000000000005</v>
      </c>
      <c r="J17" s="33">
        <f t="shared" ca="1" si="1"/>
        <v>54.879999999999995</v>
      </c>
      <c r="K17" s="36">
        <f t="shared" ca="1" si="2"/>
        <v>8.2315884205789697E-2</v>
      </c>
      <c r="L17" s="33">
        <v>29231.4</v>
      </c>
      <c r="M17" s="33">
        <f ca="1">IFERROR(INDEX(Price_Update!$F:$F, MATCH(A17, Price_Update!$A:$A, 0)), 666.7)</f>
        <v>666.7</v>
      </c>
      <c r="N17" s="33">
        <f ca="1">IFERROR(INDEX(Price_Update!$I:$I, MATCH(A17, Price_Update!$A:$A, 0)), 684.55)</f>
        <v>684.55</v>
      </c>
      <c r="O17" s="33">
        <v>668.1</v>
      </c>
      <c r="P17" s="33">
        <v>677.48</v>
      </c>
      <c r="Q17" s="33">
        <v>677.34</v>
      </c>
      <c r="R17" s="33">
        <v>677.11</v>
      </c>
      <c r="S17" s="33">
        <v>670.1</v>
      </c>
      <c r="T17" s="33">
        <f t="shared" ca="1" si="3"/>
        <v>28668.100000000002</v>
      </c>
      <c r="U17" s="33">
        <f t="shared" ca="1" si="4"/>
        <v>-563.29999999999927</v>
      </c>
      <c r="V17" s="36">
        <f t="shared" ca="1" si="5"/>
        <v>-1.9270373639305654E-2</v>
      </c>
      <c r="W17" s="36">
        <v>-0.906280302772969</v>
      </c>
      <c r="X17" s="31">
        <v>3</v>
      </c>
      <c r="Y17" s="31"/>
      <c r="Z17" s="31" t="s">
        <v>110</v>
      </c>
      <c r="AA17" s="33">
        <v>668.1</v>
      </c>
    </row>
    <row r="18" spans="1:27">
      <c r="A18" s="34" t="s">
        <v>659</v>
      </c>
      <c r="B18" s="31" t="s">
        <v>32</v>
      </c>
      <c r="C18" s="31" t="s">
        <v>68</v>
      </c>
      <c r="D18" s="31" t="s">
        <v>54</v>
      </c>
      <c r="E18" s="31" t="s">
        <v>100</v>
      </c>
      <c r="F18" s="31">
        <v>18</v>
      </c>
      <c r="G18" s="33">
        <v>1562.2</v>
      </c>
      <c r="H18" s="35" t="str">
        <f t="shared" ca="1" si="0"/>
        <v>▼</v>
      </c>
      <c r="I18" s="33">
        <v>1405.98</v>
      </c>
      <c r="J18" s="33">
        <f t="shared" ca="1" si="1"/>
        <v>130.92000000000007</v>
      </c>
      <c r="K18" s="36">
        <f t="shared" ca="1" si="2"/>
        <v>8.5184462229162636E-2</v>
      </c>
      <c r="L18" s="33">
        <v>28119.599999999999</v>
      </c>
      <c r="M18" s="33">
        <f ca="1">IFERROR(INDEX(Price_Update!$F:$F, MATCH(A18, Price_Update!$A:$A, 0)), 1536.9)</f>
        <v>1536.9</v>
      </c>
      <c r="N18" s="33">
        <f ca="1">IFERROR(INDEX(Price_Update!$I:$I, MATCH(A18, Price_Update!$A:$A, 0)), 1561.2)</f>
        <v>1561.2</v>
      </c>
      <c r="O18" s="33">
        <v>1607.4</v>
      </c>
      <c r="P18" s="33">
        <v>1577.77</v>
      </c>
      <c r="Q18" s="33">
        <v>1580.05</v>
      </c>
      <c r="R18" s="33">
        <v>1581.75</v>
      </c>
      <c r="S18" s="33">
        <v>1577.32</v>
      </c>
      <c r="T18" s="33">
        <f t="shared" ca="1" si="3"/>
        <v>27664.2</v>
      </c>
      <c r="U18" s="33">
        <f t="shared" ca="1" si="4"/>
        <v>-455.39999999999782</v>
      </c>
      <c r="V18" s="36">
        <f t="shared" ca="1" si="5"/>
        <v>-1.619510946101644E-2</v>
      </c>
      <c r="W18" s="36">
        <v>-0.86283008051851173</v>
      </c>
      <c r="X18" s="31">
        <v>3</v>
      </c>
      <c r="Y18" s="31"/>
      <c r="Z18" s="31" t="s">
        <v>110</v>
      </c>
      <c r="AA18" s="33">
        <v>1607.4</v>
      </c>
    </row>
    <row r="19" spans="1:27">
      <c r="A19" s="37" t="s">
        <v>83</v>
      </c>
      <c r="B19" s="31" t="s">
        <v>36</v>
      </c>
      <c r="C19" s="31" t="s">
        <v>64</v>
      </c>
      <c r="D19" s="31" t="s">
        <v>54</v>
      </c>
      <c r="E19" s="31" t="s">
        <v>100</v>
      </c>
      <c r="F19" s="31">
        <v>16</v>
      </c>
      <c r="G19" s="33">
        <v>3127</v>
      </c>
      <c r="H19" s="35" t="str">
        <f t="shared" ca="1" si="0"/>
        <v>▲</v>
      </c>
      <c r="I19" s="33">
        <v>2814.3</v>
      </c>
      <c r="J19" s="33">
        <f t="shared" ca="1" si="1"/>
        <v>226.19999999999982</v>
      </c>
      <c r="K19" s="36">
        <f t="shared" ca="1" si="2"/>
        <v>7.439565860878139E-2</v>
      </c>
      <c r="L19" s="33">
        <v>50032</v>
      </c>
      <c r="M19" s="33">
        <f ca="1">IFERROR(INDEX(Price_Update!$F:$F, MATCH(A19, Price_Update!$A:$A, 0)), 3040.5)</f>
        <v>3040.5</v>
      </c>
      <c r="N19" s="33">
        <f ca="1">IFERROR(INDEX(Price_Update!$I:$I, MATCH(A19, Price_Update!$A:$A, 0)), 3016.1)</f>
        <v>3016.1</v>
      </c>
      <c r="O19" s="33">
        <v>3045.6</v>
      </c>
      <c r="P19" s="33">
        <v>3044.53</v>
      </c>
      <c r="Q19" s="33">
        <v>3048.77</v>
      </c>
      <c r="R19" s="33">
        <v>3052.91</v>
      </c>
      <c r="S19" s="33">
        <v>3084.84</v>
      </c>
      <c r="T19" s="33">
        <f t="shared" ca="1" si="3"/>
        <v>48648</v>
      </c>
      <c r="U19" s="33">
        <f t="shared" ca="1" si="4"/>
        <v>-1384</v>
      </c>
      <c r="V19" s="36">
        <f t="shared" ca="1" si="5"/>
        <v>-2.7662296130476494E-2</v>
      </c>
      <c r="W19" s="36">
        <v>-0.38588450422131459</v>
      </c>
      <c r="X19" s="31">
        <v>21</v>
      </c>
      <c r="Y19" s="31"/>
      <c r="Z19" s="31" t="s">
        <v>110</v>
      </c>
      <c r="AA19" s="33">
        <v>3045.6</v>
      </c>
    </row>
    <row r="20" spans="1:27">
      <c r="A20" s="34" t="s">
        <v>112</v>
      </c>
      <c r="B20" s="31" t="s">
        <v>32</v>
      </c>
      <c r="C20" s="31" t="s">
        <v>68</v>
      </c>
      <c r="D20" s="31" t="s">
        <v>54</v>
      </c>
      <c r="E20" s="31" t="s">
        <v>100</v>
      </c>
      <c r="F20" s="31">
        <v>54</v>
      </c>
      <c r="G20" s="33">
        <v>544.58000000000004</v>
      </c>
      <c r="H20" s="35" t="str">
        <f t="shared" ca="1" si="0"/>
        <v>▼</v>
      </c>
      <c r="I20" s="33">
        <v>490.12</v>
      </c>
      <c r="J20" s="33">
        <f t="shared" ca="1" si="1"/>
        <v>43.080000000000041</v>
      </c>
      <c r="K20" s="36">
        <f t="shared" ca="1" si="2"/>
        <v>8.0795198799699999E-2</v>
      </c>
      <c r="L20" s="33">
        <v>29407.32</v>
      </c>
      <c r="M20" s="33">
        <f ca="1">IFERROR(INDEX(Price_Update!$F:$F, MATCH(A20, Price_Update!$A:$A, 0)), 533.2)</f>
        <v>533.20000000000005</v>
      </c>
      <c r="N20" s="33">
        <f ca="1">IFERROR(INDEX(Price_Update!$I:$I, MATCH(A20, Price_Update!$A:$A, 0)), 544.15)</f>
        <v>544.15</v>
      </c>
      <c r="O20" s="33">
        <v>555.35</v>
      </c>
      <c r="P20" s="33">
        <v>537.29</v>
      </c>
      <c r="Q20" s="33">
        <v>536.78</v>
      </c>
      <c r="R20" s="33">
        <v>536.20000000000005</v>
      </c>
      <c r="S20" s="33">
        <v>528.22</v>
      </c>
      <c r="T20" s="33">
        <f t="shared" ca="1" si="3"/>
        <v>28792.800000000003</v>
      </c>
      <c r="U20" s="33">
        <f t="shared" ca="1" si="4"/>
        <v>-614.5199999999968</v>
      </c>
      <c r="V20" s="36">
        <f t="shared" ca="1" si="5"/>
        <v>-2.0896837930147894E-2</v>
      </c>
      <c r="W20" s="36">
        <v>-0.52572424361580683</v>
      </c>
      <c r="X20" s="31">
        <v>3</v>
      </c>
      <c r="Y20" s="31" t="s">
        <v>113</v>
      </c>
      <c r="Z20" s="31" t="s">
        <v>110</v>
      </c>
      <c r="AA20" s="33">
        <v>555.35</v>
      </c>
    </row>
    <row r="21" spans="1:27">
      <c r="A21" s="34" t="s">
        <v>687</v>
      </c>
      <c r="B21" s="31" t="s">
        <v>39</v>
      </c>
      <c r="C21" s="31" t="s">
        <v>68</v>
      </c>
      <c r="D21" s="31" t="s">
        <v>54</v>
      </c>
      <c r="E21" s="31" t="s">
        <v>100</v>
      </c>
      <c r="F21" s="31">
        <v>4</v>
      </c>
      <c r="G21" s="33">
        <v>7050</v>
      </c>
      <c r="H21" s="35" t="str">
        <f t="shared" ca="1" si="0"/>
        <v>▼</v>
      </c>
      <c r="I21" s="33">
        <v>6345</v>
      </c>
      <c r="J21" s="33">
        <f t="shared" ca="1" si="1"/>
        <v>687.5</v>
      </c>
      <c r="K21" s="36">
        <f t="shared" ca="1" si="2"/>
        <v>9.7760398151439748E-2</v>
      </c>
      <c r="L21" s="33">
        <v>28200</v>
      </c>
      <c r="M21" s="33">
        <f ca="1">IFERROR(INDEX(Price_Update!$F:$F, MATCH(A21, Price_Update!$A:$A, 0)), 7032.5)</f>
        <v>7032.5</v>
      </c>
      <c r="N21" s="33">
        <f ca="1">IFERROR(INDEX(Price_Update!$I:$I, MATCH(A21, Price_Update!$A:$A, 0)), 7090.5)</f>
        <v>7090.5</v>
      </c>
      <c r="O21" s="33">
        <v>7129</v>
      </c>
      <c r="P21" s="33">
        <v>7090.51</v>
      </c>
      <c r="Q21" s="33">
        <v>7091.64</v>
      </c>
      <c r="R21" s="33">
        <v>7091.25</v>
      </c>
      <c r="S21" s="33">
        <v>7034.89</v>
      </c>
      <c r="T21" s="33">
        <f t="shared" ca="1" si="3"/>
        <v>28130</v>
      </c>
      <c r="U21" s="33">
        <f t="shared" ca="1" si="4"/>
        <v>-70</v>
      </c>
      <c r="V21" s="36">
        <f t="shared" ca="1" si="5"/>
        <v>-2.4822695035460994E-3</v>
      </c>
      <c r="W21" s="36">
        <v>-0.26094646055007098</v>
      </c>
      <c r="X21" s="31">
        <v>3</v>
      </c>
      <c r="Y21" s="31"/>
      <c r="Z21" s="31" t="s">
        <v>110</v>
      </c>
      <c r="AA21" s="33">
        <v>7129</v>
      </c>
    </row>
    <row r="22" spans="1:27">
      <c r="A22" s="34" t="s">
        <v>81</v>
      </c>
      <c r="B22" s="31" t="s">
        <v>32</v>
      </c>
      <c r="C22" s="31" t="s">
        <v>68</v>
      </c>
      <c r="D22" s="31" t="s">
        <v>54</v>
      </c>
      <c r="E22" s="31" t="s">
        <v>100</v>
      </c>
      <c r="F22" s="31">
        <v>11</v>
      </c>
      <c r="G22" s="33">
        <v>2660</v>
      </c>
      <c r="H22" s="35" t="str">
        <f t="shared" ca="1" si="0"/>
        <v>▲</v>
      </c>
      <c r="I22" s="33">
        <v>2394</v>
      </c>
      <c r="J22" s="33">
        <f t="shared" ca="1" si="1"/>
        <v>348.59999999999991</v>
      </c>
      <c r="K22" s="36">
        <f t="shared" ca="1" si="2"/>
        <v>0.12710566615620211</v>
      </c>
      <c r="L22" s="33">
        <v>29260</v>
      </c>
      <c r="M22" s="33">
        <f ca="1">IFERROR(INDEX(Price_Update!$F:$F, MATCH(A22, Price_Update!$A:$A, 0)), 2742.6)</f>
        <v>2742.6</v>
      </c>
      <c r="N22" s="33">
        <f ca="1">IFERROR(INDEX(Price_Update!$I:$I, MATCH(A22, Price_Update!$A:$A, 0)), 2581.7)</f>
        <v>2581.6999999999998</v>
      </c>
      <c r="O22" s="33">
        <v>2785.1</v>
      </c>
      <c r="P22" s="33">
        <v>2665.9</v>
      </c>
      <c r="Q22" s="33">
        <v>2659.21</v>
      </c>
      <c r="R22" s="33">
        <v>2651.92</v>
      </c>
      <c r="S22" s="33">
        <v>2575.29</v>
      </c>
      <c r="T22" s="33">
        <f t="shared" ca="1" si="3"/>
        <v>30168.6</v>
      </c>
      <c r="U22" s="33">
        <f t="shared" ca="1" si="4"/>
        <v>908.59999999999854</v>
      </c>
      <c r="V22" s="36">
        <f t="shared" ca="1" si="5"/>
        <v>3.1052631578947318E-2</v>
      </c>
      <c r="W22" s="36">
        <v>40.289053763222412</v>
      </c>
      <c r="X22" s="31">
        <v>3</v>
      </c>
      <c r="Y22" s="31"/>
      <c r="Z22" s="31" t="s">
        <v>110</v>
      </c>
      <c r="AA22" s="33">
        <v>2785.1</v>
      </c>
    </row>
    <row r="23" spans="1:27">
      <c r="A23" s="34" t="s">
        <v>670</v>
      </c>
      <c r="B23" s="31" t="s">
        <v>39</v>
      </c>
      <c r="C23" s="31" t="s">
        <v>68</v>
      </c>
      <c r="D23" s="31" t="s">
        <v>54</v>
      </c>
      <c r="E23" s="31" t="s">
        <v>100</v>
      </c>
      <c r="F23" s="31">
        <v>15</v>
      </c>
      <c r="G23" s="33">
        <v>1910.65</v>
      </c>
      <c r="H23" s="35" t="str">
        <f t="shared" ca="1" si="0"/>
        <v>▲</v>
      </c>
      <c r="I23" s="33">
        <v>1719.59</v>
      </c>
      <c r="J23" s="33">
        <f t="shared" ca="1" si="1"/>
        <v>249.61000000000013</v>
      </c>
      <c r="K23" s="36">
        <f t="shared" ca="1" si="2"/>
        <v>0.1267570587040423</v>
      </c>
      <c r="L23" s="33">
        <v>28659.75</v>
      </c>
      <c r="M23" s="33">
        <f ca="1">IFERROR(INDEX(Price_Update!$F:$F, MATCH(A23, Price_Update!$A:$A, 0)), 1969.2)</f>
        <v>1969.2</v>
      </c>
      <c r="N23" s="33">
        <f ca="1">IFERROR(INDEX(Price_Update!$I:$I, MATCH(A23, Price_Update!$A:$A, 0)), 1949.2)</f>
        <v>1949.2</v>
      </c>
      <c r="O23" s="33">
        <v>1894</v>
      </c>
      <c r="P23" s="33">
        <v>1934.8</v>
      </c>
      <c r="Q23" s="33">
        <v>1931.31</v>
      </c>
      <c r="R23" s="33">
        <v>1927.9</v>
      </c>
      <c r="S23" s="33">
        <v>1897.24</v>
      </c>
      <c r="T23" s="33">
        <f t="shared" ca="1" si="3"/>
        <v>29538</v>
      </c>
      <c r="U23" s="33">
        <f t="shared" ca="1" si="4"/>
        <v>878.25</v>
      </c>
      <c r="V23" s="36">
        <f t="shared" ca="1" si="5"/>
        <v>3.0644021668018738E-2</v>
      </c>
      <c r="W23" s="36">
        <v>38.353431822043071</v>
      </c>
      <c r="X23" s="31">
        <v>3</v>
      </c>
      <c r="Y23" s="31"/>
      <c r="Z23" s="31" t="s">
        <v>110</v>
      </c>
      <c r="AA23" s="33">
        <v>1894</v>
      </c>
    </row>
    <row r="24" spans="1:27">
      <c r="A24" s="34" t="s">
        <v>647</v>
      </c>
      <c r="B24" s="31" t="s">
        <v>39</v>
      </c>
      <c r="C24" s="31" t="s">
        <v>70</v>
      </c>
      <c r="D24" s="31" t="s">
        <v>54</v>
      </c>
      <c r="E24" s="31" t="s">
        <v>100</v>
      </c>
      <c r="F24" s="31">
        <v>3</v>
      </c>
      <c r="G24" s="33">
        <v>10301</v>
      </c>
      <c r="H24" s="35" t="str">
        <f t="shared" ca="1" si="0"/>
        <v>▼</v>
      </c>
      <c r="I24" s="33">
        <v>9270.9</v>
      </c>
      <c r="J24" s="33">
        <f t="shared" ca="1" si="1"/>
        <v>665.60000000000036</v>
      </c>
      <c r="K24" s="36">
        <f t="shared" ca="1" si="2"/>
        <v>6.698535701705835E-2</v>
      </c>
      <c r="L24" s="33">
        <v>30903</v>
      </c>
      <c r="M24" s="33">
        <f ca="1">IFERROR(INDEX(Price_Update!$F:$F, MATCH(A24, Price_Update!$A:$A, 0)), 9936.5)</f>
        <v>9936.5</v>
      </c>
      <c r="N24" s="33">
        <f ca="1">IFERROR(INDEX(Price_Update!$I:$I, MATCH(A24, Price_Update!$A:$A, 0)), 10098)</f>
        <v>10098</v>
      </c>
      <c r="O24" s="33">
        <v>9964</v>
      </c>
      <c r="P24" s="33">
        <v>10007.27</v>
      </c>
      <c r="Q24" s="33">
        <v>9988.06</v>
      </c>
      <c r="R24" s="33">
        <v>9966.9500000000007</v>
      </c>
      <c r="S24" s="33">
        <v>9698.66</v>
      </c>
      <c r="T24" s="33">
        <f t="shared" ca="1" si="3"/>
        <v>29809.5</v>
      </c>
      <c r="U24" s="33">
        <f t="shared" ca="1" si="4"/>
        <v>-1093.5</v>
      </c>
      <c r="V24" s="36">
        <f t="shared" ca="1" si="5"/>
        <v>-3.538491408601107E-2</v>
      </c>
      <c r="W24" s="36">
        <v>-0.9875140661001206</v>
      </c>
      <c r="X24" s="31">
        <v>3</v>
      </c>
      <c r="Y24" s="31"/>
      <c r="Z24" s="31" t="s">
        <v>110</v>
      </c>
      <c r="AA24" s="33">
        <v>9964</v>
      </c>
    </row>
    <row r="25" spans="1:27">
      <c r="A25" s="34" t="s">
        <v>73</v>
      </c>
      <c r="B25" s="31" t="s">
        <v>36</v>
      </c>
      <c r="C25" s="31" t="s">
        <v>66</v>
      </c>
      <c r="D25" s="31" t="s">
        <v>54</v>
      </c>
      <c r="E25" s="31" t="s">
        <v>111</v>
      </c>
      <c r="F25" s="31">
        <v>53</v>
      </c>
      <c r="G25" s="33">
        <v>7825.34</v>
      </c>
      <c r="H25" s="35" t="str">
        <f t="shared" ca="1" si="0"/>
        <v>▼</v>
      </c>
      <c r="I25" s="33">
        <v>9279.51</v>
      </c>
      <c r="J25" s="33">
        <f t="shared" ca="1" si="1"/>
        <v>419.48999999999978</v>
      </c>
      <c r="K25" s="36">
        <f t="shared" ca="1" si="2"/>
        <v>4.3250850603154943E-2</v>
      </c>
      <c r="L25" s="33">
        <v>414743.02</v>
      </c>
      <c r="M25" s="33">
        <f ca="1">IFERROR(INDEX(Price_Update!$F:$F, MATCH(A25, Price_Update!$A:$A, 0)), 9699)</f>
        <v>9699</v>
      </c>
      <c r="N25" s="33">
        <f ca="1">IFERROR(INDEX(Price_Update!$I:$I, MATCH(A25, Price_Update!$A:$A, 0)), 9717.5)</f>
        <v>9717.5</v>
      </c>
      <c r="O25" s="33">
        <v>9477.5</v>
      </c>
      <c r="P25" s="33">
        <v>9558.06</v>
      </c>
      <c r="Q25" s="33">
        <v>9538.01</v>
      </c>
      <c r="R25" s="33">
        <v>9517.02</v>
      </c>
      <c r="S25" s="33">
        <v>9279.51</v>
      </c>
      <c r="T25" s="33">
        <f t="shared" ca="1" si="3"/>
        <v>514047</v>
      </c>
      <c r="U25" s="33">
        <f t="shared" ca="1" si="4"/>
        <v>99303.979999999981</v>
      </c>
      <c r="V25" s="36">
        <f t="shared" ca="1" si="5"/>
        <v>0.23943496384821614</v>
      </c>
      <c r="W25" s="36">
        <v>0.51032643760452856</v>
      </c>
      <c r="X25" s="31">
        <v>270</v>
      </c>
      <c r="Y25" s="31"/>
      <c r="Z25" s="31" t="s">
        <v>110</v>
      </c>
      <c r="AA25" s="33">
        <v>9477.5</v>
      </c>
    </row>
    <row r="26" spans="1:27">
      <c r="A26" s="34" t="s">
        <v>628</v>
      </c>
      <c r="B26" s="31" t="s">
        <v>36</v>
      </c>
      <c r="C26" s="31" t="s">
        <v>64</v>
      </c>
      <c r="D26" s="31" t="s">
        <v>54</v>
      </c>
      <c r="E26" s="31" t="s">
        <v>100</v>
      </c>
      <c r="F26" s="31">
        <v>1</v>
      </c>
      <c r="G26" s="33">
        <v>35105</v>
      </c>
      <c r="H26" s="35" t="str">
        <f t="shared" ca="1" si="0"/>
        <v>▲</v>
      </c>
      <c r="I26" s="33">
        <v>31594.5</v>
      </c>
      <c r="J26" s="33">
        <f t="shared" ca="1" si="1"/>
        <v>5275.5</v>
      </c>
      <c r="K26" s="36">
        <f t="shared" ca="1" si="2"/>
        <v>0.14308380797396258</v>
      </c>
      <c r="L26" s="33">
        <v>35105</v>
      </c>
      <c r="M26" s="33">
        <f ca="1">IFERROR(INDEX(Price_Update!$F:$F, MATCH(A26, Price_Update!$A:$A, 0)), 36870)</f>
        <v>36870</v>
      </c>
      <c r="N26" s="33">
        <f ca="1">IFERROR(INDEX(Price_Update!$I:$I, MATCH(A26, Price_Update!$A:$A, 0)), 36525)</f>
        <v>36525</v>
      </c>
      <c r="O26" s="33">
        <v>38445</v>
      </c>
      <c r="P26" s="33">
        <v>36208.769999999997</v>
      </c>
      <c r="Q26" s="33">
        <v>36141.800000000003</v>
      </c>
      <c r="R26" s="33">
        <v>36068.230000000003</v>
      </c>
      <c r="S26" s="33">
        <v>35140.639999999999</v>
      </c>
      <c r="T26" s="33">
        <f t="shared" ca="1" si="3"/>
        <v>36870</v>
      </c>
      <c r="U26" s="33">
        <f t="shared" ca="1" si="4"/>
        <v>1765</v>
      </c>
      <c r="V26" s="36">
        <f t="shared" ca="1" si="5"/>
        <v>5.027773821392964E-2</v>
      </c>
      <c r="W26" s="36">
        <v>389.84644126805222</v>
      </c>
      <c r="X26" s="31">
        <v>3</v>
      </c>
      <c r="Y26" s="31"/>
      <c r="Z26" s="31" t="s">
        <v>110</v>
      </c>
      <c r="AA26" s="33">
        <v>38445</v>
      </c>
    </row>
    <row r="27" spans="1:27">
      <c r="A27" s="34" t="s">
        <v>673</v>
      </c>
      <c r="B27" s="31" t="s">
        <v>32</v>
      </c>
      <c r="C27" s="31" t="s">
        <v>64</v>
      </c>
      <c r="D27" s="31" t="s">
        <v>54</v>
      </c>
      <c r="E27" s="31" t="s">
        <v>100</v>
      </c>
      <c r="F27" s="31">
        <v>35</v>
      </c>
      <c r="G27" s="33">
        <v>838.6</v>
      </c>
      <c r="H27" s="35" t="str">
        <f t="shared" ca="1" si="0"/>
        <v>▼</v>
      </c>
      <c r="I27" s="33">
        <v>754.74</v>
      </c>
      <c r="J27" s="33">
        <f t="shared" ca="1" si="1"/>
        <v>118.71000000000004</v>
      </c>
      <c r="K27" s="36">
        <f t="shared" ca="1" si="2"/>
        <v>0.13590932509015974</v>
      </c>
      <c r="L27" s="33">
        <v>29351</v>
      </c>
      <c r="M27" s="33">
        <f ca="1">IFERROR(INDEX(Price_Update!$F:$F, MATCH(A27, Price_Update!$A:$A, 0)), 873.45)</f>
        <v>873.45</v>
      </c>
      <c r="N27" s="33">
        <f ca="1">IFERROR(INDEX(Price_Update!$I:$I, MATCH(A27, Price_Update!$A:$A, 0)), 898.65)</f>
        <v>898.65</v>
      </c>
      <c r="O27" s="33">
        <v>854.7</v>
      </c>
      <c r="P27" s="33">
        <v>848.86</v>
      </c>
      <c r="Q27" s="33">
        <v>846.02</v>
      </c>
      <c r="R27" s="33">
        <v>843.32</v>
      </c>
      <c r="S27" s="33">
        <v>820.79</v>
      </c>
      <c r="T27" s="33">
        <f t="shared" ca="1" si="3"/>
        <v>30570.75</v>
      </c>
      <c r="U27" s="33">
        <f t="shared" ca="1" si="4"/>
        <v>1219.75</v>
      </c>
      <c r="V27" s="36">
        <f t="shared" ca="1" si="5"/>
        <v>4.1557357500596234E-2</v>
      </c>
      <c r="W27" s="36">
        <v>140.7277578861711</v>
      </c>
      <c r="X27" s="31">
        <v>3</v>
      </c>
      <c r="Y27" s="31"/>
      <c r="Z27" s="31" t="s">
        <v>110</v>
      </c>
      <c r="AA27" s="33">
        <v>854.7</v>
      </c>
    </row>
    <row r="28" spans="1:27">
      <c r="A28" s="34" t="s">
        <v>676</v>
      </c>
      <c r="B28" s="31" t="s">
        <v>32</v>
      </c>
      <c r="C28" s="31" t="s">
        <v>68</v>
      </c>
      <c r="D28" s="31" t="s">
        <v>54</v>
      </c>
      <c r="E28" s="31" t="s">
        <v>100</v>
      </c>
      <c r="F28" s="31">
        <v>21</v>
      </c>
      <c r="G28" s="33">
        <v>1330.9</v>
      </c>
      <c r="H28" s="35" t="str">
        <f t="shared" ca="1" si="0"/>
        <v>▼</v>
      </c>
      <c r="I28" s="33">
        <v>1197.81</v>
      </c>
      <c r="J28" s="33">
        <f t="shared" ca="1" si="1"/>
        <v>145.49</v>
      </c>
      <c r="K28" s="36">
        <f t="shared" ca="1" si="2"/>
        <v>0.10830789845901885</v>
      </c>
      <c r="L28" s="33">
        <v>27948.9</v>
      </c>
      <c r="M28" s="33">
        <f ca="1">IFERROR(INDEX(Price_Update!$F:$F, MATCH(A28, Price_Update!$A:$A, 0)), 1343.3)</f>
        <v>1343.3</v>
      </c>
      <c r="N28" s="33">
        <f ca="1">IFERROR(INDEX(Price_Update!$I:$I, MATCH(A28, Price_Update!$A:$A, 0)), 1347)</f>
        <v>1347</v>
      </c>
      <c r="O28" s="33">
        <v>1380.3</v>
      </c>
      <c r="P28" s="33">
        <v>1352.6</v>
      </c>
      <c r="Q28" s="33">
        <v>1352.09</v>
      </c>
      <c r="R28" s="33">
        <v>1351.32</v>
      </c>
      <c r="S28" s="33">
        <v>1336.91</v>
      </c>
      <c r="T28" s="33">
        <f t="shared" ca="1" si="3"/>
        <v>28209.3</v>
      </c>
      <c r="U28" s="33">
        <f t="shared" ca="1" si="4"/>
        <v>260.39999999999782</v>
      </c>
      <c r="V28" s="36">
        <f t="shared" ca="1" si="5"/>
        <v>9.3170035314448091E-3</v>
      </c>
      <c r="W28" s="36">
        <v>2.0904620293770009</v>
      </c>
      <c r="X28" s="31">
        <v>3</v>
      </c>
      <c r="Y28" s="31"/>
      <c r="Z28" s="31" t="s">
        <v>110</v>
      </c>
      <c r="AA28" s="33">
        <v>1380.3</v>
      </c>
    </row>
    <row r="29" spans="1:27">
      <c r="A29" s="34" t="s">
        <v>679</v>
      </c>
      <c r="B29" s="31" t="s">
        <v>32</v>
      </c>
      <c r="C29" s="31" t="s">
        <v>64</v>
      </c>
      <c r="D29" s="31" t="s">
        <v>54</v>
      </c>
      <c r="E29" s="31" t="s">
        <v>100</v>
      </c>
      <c r="F29" s="31">
        <v>40</v>
      </c>
      <c r="G29" s="33">
        <v>729.68</v>
      </c>
      <c r="H29" s="35" t="str">
        <f t="shared" ca="1" si="0"/>
        <v>▼</v>
      </c>
      <c r="I29" s="33">
        <v>656.71</v>
      </c>
      <c r="J29" s="33">
        <f t="shared" ca="1" si="1"/>
        <v>55.990000000000009</v>
      </c>
      <c r="K29" s="36">
        <f t="shared" ca="1" si="2"/>
        <v>7.8560404097095554E-2</v>
      </c>
      <c r="L29" s="33">
        <v>29187.200000000001</v>
      </c>
      <c r="M29" s="33">
        <f ca="1">IFERROR(INDEX(Price_Update!$F:$F, MATCH(A29, Price_Update!$A:$A, 0)), 712.7)</f>
        <v>712.7</v>
      </c>
      <c r="N29" s="33">
        <f ca="1">IFERROR(INDEX(Price_Update!$I:$I, MATCH(A29, Price_Update!$A:$A, 0)), 727.8)</f>
        <v>727.8</v>
      </c>
      <c r="O29" s="33">
        <v>740</v>
      </c>
      <c r="P29" s="33">
        <v>719.55</v>
      </c>
      <c r="Q29" s="33">
        <v>717.16</v>
      </c>
      <c r="R29" s="33">
        <v>714.52</v>
      </c>
      <c r="S29" s="33">
        <v>683.62</v>
      </c>
      <c r="T29" s="33">
        <f t="shared" ca="1" si="3"/>
        <v>28508</v>
      </c>
      <c r="U29" s="33">
        <f t="shared" ca="1" si="4"/>
        <v>-679.20000000000073</v>
      </c>
      <c r="V29" s="36">
        <f t="shared" ca="1" si="5"/>
        <v>-2.32704747286482E-2</v>
      </c>
      <c r="W29" s="36">
        <v>-0.94302372037234061</v>
      </c>
      <c r="X29" s="31">
        <v>3</v>
      </c>
      <c r="Y29" s="31"/>
      <c r="Z29" s="31" t="s">
        <v>110</v>
      </c>
      <c r="AA29" s="33">
        <v>740</v>
      </c>
    </row>
    <row r="30" spans="1:27">
      <c r="A30" s="34" t="s">
        <v>522</v>
      </c>
      <c r="B30" s="31" t="s">
        <v>36</v>
      </c>
      <c r="C30" s="31" t="s">
        <v>64</v>
      </c>
      <c r="D30" s="31" t="s">
        <v>54</v>
      </c>
      <c r="E30" s="31" t="s">
        <v>103</v>
      </c>
      <c r="F30" s="31">
        <v>6</v>
      </c>
      <c r="G30" s="33">
        <v>16594</v>
      </c>
      <c r="H30" s="35" t="str">
        <f t="shared" ca="1" si="0"/>
        <v>▲</v>
      </c>
      <c r="I30" s="33">
        <v>14934.6</v>
      </c>
      <c r="J30" s="33">
        <f t="shared" ca="1" si="1"/>
        <v>3506.3999999999996</v>
      </c>
      <c r="K30" s="36">
        <f t="shared" ca="1" si="2"/>
        <v>0.19014153245485602</v>
      </c>
      <c r="L30" s="33">
        <v>99564</v>
      </c>
      <c r="M30" s="33">
        <f ca="1">IFERROR(INDEX(Price_Update!$F:$F, MATCH(A30, Price_Update!$A:$A, 0)), 18441)</f>
        <v>18441</v>
      </c>
      <c r="N30" s="33">
        <f ca="1">IFERROR(INDEX(Price_Update!$I:$I, MATCH(A30, Price_Update!$A:$A, 0)), 18293)</f>
        <v>18293</v>
      </c>
      <c r="O30" s="33">
        <v>18247</v>
      </c>
      <c r="P30" s="33">
        <v>18319.990000000002</v>
      </c>
      <c r="Q30" s="33">
        <v>18284.09</v>
      </c>
      <c r="R30" s="33">
        <v>18243.38</v>
      </c>
      <c r="S30" s="33">
        <v>17718.84</v>
      </c>
      <c r="T30" s="33">
        <f t="shared" ca="1" si="3"/>
        <v>110646</v>
      </c>
      <c r="U30" s="33">
        <f t="shared" ca="1" si="4"/>
        <v>11082</v>
      </c>
      <c r="V30" s="36">
        <f t="shared" ca="1" si="5"/>
        <v>0.1113052910690611</v>
      </c>
      <c r="W30" s="36">
        <v>3.9411194413769932</v>
      </c>
      <c r="X30" s="31">
        <v>77</v>
      </c>
      <c r="Y30" s="31"/>
      <c r="Z30" s="31" t="s">
        <v>110</v>
      </c>
      <c r="AA30" s="33">
        <v>18247</v>
      </c>
    </row>
    <row r="31" spans="1:27">
      <c r="A31" s="34" t="s">
        <v>631</v>
      </c>
      <c r="B31" s="31" t="s">
        <v>32</v>
      </c>
      <c r="C31" s="31" t="s">
        <v>64</v>
      </c>
      <c r="D31" s="31" t="s">
        <v>54</v>
      </c>
      <c r="E31" s="31" t="s">
        <v>100</v>
      </c>
      <c r="F31" s="31">
        <v>26</v>
      </c>
      <c r="G31" s="33">
        <v>1152.9000000000001</v>
      </c>
      <c r="H31" s="35" t="str">
        <f t="shared" ca="1" si="0"/>
        <v>▲</v>
      </c>
      <c r="I31" s="33">
        <v>1037.6099999999999</v>
      </c>
      <c r="J31" s="33">
        <f t="shared" ca="1" si="1"/>
        <v>189.19000000000005</v>
      </c>
      <c r="K31" s="36">
        <f t="shared" ca="1" si="2"/>
        <v>0.15421421584610373</v>
      </c>
      <c r="L31" s="33">
        <v>29975.4</v>
      </c>
      <c r="M31" s="33">
        <f ca="1">IFERROR(INDEX(Price_Update!$F:$F, MATCH(A31, Price_Update!$A:$A, 0)), 1226.8)</f>
        <v>1226.8</v>
      </c>
      <c r="N31" s="33">
        <f ca="1">IFERROR(INDEX(Price_Update!$I:$I, MATCH(A31, Price_Update!$A:$A, 0)), 1221.6)</f>
        <v>1221.5999999999999</v>
      </c>
      <c r="O31" s="33">
        <v>1088.55</v>
      </c>
      <c r="P31" s="33">
        <v>1148.3399999999999</v>
      </c>
      <c r="Q31" s="33">
        <v>1141.27</v>
      </c>
      <c r="R31" s="33">
        <v>1134.8399999999999</v>
      </c>
      <c r="S31" s="33">
        <v>1088.94</v>
      </c>
      <c r="T31" s="33">
        <f t="shared" ca="1" si="3"/>
        <v>31896.799999999999</v>
      </c>
      <c r="U31" s="33">
        <f t="shared" ca="1" si="4"/>
        <v>1921.3999999999978</v>
      </c>
      <c r="V31" s="36">
        <f t="shared" ca="1" si="5"/>
        <v>6.4099228033654185E-2</v>
      </c>
      <c r="W31" s="36">
        <v>1916.8983641032089</v>
      </c>
      <c r="X31" s="31">
        <v>3</v>
      </c>
      <c r="Y31" s="31"/>
      <c r="Z31" s="31" t="s">
        <v>110</v>
      </c>
      <c r="AA31" s="33">
        <v>1088.55</v>
      </c>
    </row>
    <row r="32" spans="1:27">
      <c r="A32" s="34" t="s">
        <v>72</v>
      </c>
      <c r="B32" s="31" t="s">
        <v>32</v>
      </c>
      <c r="C32" s="31" t="s">
        <v>64</v>
      </c>
      <c r="D32" s="31" t="s">
        <v>54</v>
      </c>
      <c r="E32" s="31" t="s">
        <v>111</v>
      </c>
      <c r="F32" s="31">
        <v>392</v>
      </c>
      <c r="G32" s="33">
        <v>1022.75</v>
      </c>
      <c r="H32" s="35" t="str">
        <f t="shared" ca="1" si="0"/>
        <v>▼</v>
      </c>
      <c r="I32" s="33">
        <v>1258.7</v>
      </c>
      <c r="J32" s="33">
        <f t="shared" ca="1" si="1"/>
        <v>54.099999999999909</v>
      </c>
      <c r="K32" s="36">
        <f t="shared" ca="1" si="2"/>
        <v>4.1209628275441737E-2</v>
      </c>
      <c r="L32" s="33">
        <v>400918</v>
      </c>
      <c r="M32" s="33">
        <f ca="1">IFERROR(INDEX(Price_Update!$F:$F, MATCH(A32, Price_Update!$A:$A, 0)), 1312.8)</f>
        <v>1312.8</v>
      </c>
      <c r="N32" s="33">
        <f ca="1">IFERROR(INDEX(Price_Update!$I:$I, MATCH(A32, Price_Update!$A:$A, 0)), 1325.5)</f>
        <v>1325.5</v>
      </c>
      <c r="O32" s="33">
        <v>1318.6</v>
      </c>
      <c r="P32" s="33">
        <v>1294.33</v>
      </c>
      <c r="Q32" s="33">
        <v>1292.5999999999999</v>
      </c>
      <c r="R32" s="33">
        <v>1290.5899999999999</v>
      </c>
      <c r="S32" s="33">
        <v>1258.7</v>
      </c>
      <c r="T32" s="33">
        <f t="shared" ca="1" si="3"/>
        <v>514617.59999999998</v>
      </c>
      <c r="U32" s="33">
        <f t="shared" ca="1" si="4"/>
        <v>113699.59999999998</v>
      </c>
      <c r="V32" s="36">
        <f t="shared" ca="1" si="5"/>
        <v>0.28359814226350522</v>
      </c>
      <c r="W32" s="36">
        <v>4.4569792481652506</v>
      </c>
      <c r="X32" s="31">
        <v>113</v>
      </c>
      <c r="Y32" s="31"/>
      <c r="Z32" s="31" t="s">
        <v>110</v>
      </c>
      <c r="AA32" s="33">
        <v>1318.6</v>
      </c>
    </row>
    <row r="33" spans="1:27">
      <c r="A33" s="34" t="s">
        <v>682</v>
      </c>
      <c r="B33" s="31" t="s">
        <v>32</v>
      </c>
      <c r="C33" s="31" t="s">
        <v>64</v>
      </c>
      <c r="D33" s="31" t="s">
        <v>54</v>
      </c>
      <c r="E33" s="31" t="s">
        <v>100</v>
      </c>
      <c r="F33" s="31">
        <v>8</v>
      </c>
      <c r="G33" s="33">
        <v>3520.1</v>
      </c>
      <c r="H33" s="35" t="str">
        <f t="shared" ca="1" si="0"/>
        <v>▲</v>
      </c>
      <c r="I33" s="33">
        <v>3168.09</v>
      </c>
      <c r="J33" s="33">
        <f t="shared" ca="1" si="1"/>
        <v>475.50999999999976</v>
      </c>
      <c r="K33" s="36">
        <f t="shared" ca="1" si="2"/>
        <v>0.13050554396750461</v>
      </c>
      <c r="L33" s="33">
        <v>28160.799999999999</v>
      </c>
      <c r="M33" s="33">
        <f ca="1">IFERROR(INDEX(Price_Update!$F:$F, MATCH(A33, Price_Update!$A:$A, 0)), 3643.6)</f>
        <v>3643.6</v>
      </c>
      <c r="N33" s="33">
        <f ca="1">IFERROR(INDEX(Price_Update!$I:$I, MATCH(A33, Price_Update!$A:$A, 0)), 3571.3)</f>
        <v>3571.3</v>
      </c>
      <c r="O33" s="33">
        <v>3630.4</v>
      </c>
      <c r="P33" s="33">
        <v>3586.58</v>
      </c>
      <c r="Q33" s="33">
        <v>3586.68</v>
      </c>
      <c r="R33" s="33">
        <v>3586.52</v>
      </c>
      <c r="S33" s="33">
        <v>3573.86</v>
      </c>
      <c r="T33" s="33">
        <f t="shared" ca="1" si="3"/>
        <v>29148.799999999999</v>
      </c>
      <c r="U33" s="33">
        <f t="shared" ca="1" si="4"/>
        <v>988</v>
      </c>
      <c r="V33" s="36">
        <f t="shared" ca="1" si="5"/>
        <v>3.508423056163177E-2</v>
      </c>
      <c r="W33" s="36">
        <v>65.380580890930176</v>
      </c>
      <c r="X33" s="31">
        <v>3</v>
      </c>
      <c r="Y33" s="31"/>
      <c r="Z33" s="31" t="s">
        <v>110</v>
      </c>
      <c r="AA33" s="33">
        <v>3630.4</v>
      </c>
    </row>
    <row r="34" spans="1:27">
      <c r="A34" s="34" t="s">
        <v>640</v>
      </c>
      <c r="B34" s="31" t="s">
        <v>32</v>
      </c>
      <c r="C34" s="31" t="s">
        <v>70</v>
      </c>
      <c r="D34" s="31" t="s">
        <v>54</v>
      </c>
      <c r="E34" s="31" t="s">
        <v>100</v>
      </c>
      <c r="F34" s="31">
        <v>43</v>
      </c>
      <c r="G34" s="33">
        <v>663.75</v>
      </c>
      <c r="H34" s="35" t="str">
        <f t="shared" ca="1" si="0"/>
        <v>▲</v>
      </c>
      <c r="I34" s="33">
        <v>597.38</v>
      </c>
      <c r="J34" s="33">
        <f t="shared" ca="1" si="1"/>
        <v>93.57000000000005</v>
      </c>
      <c r="K34" s="36">
        <f t="shared" ca="1" si="2"/>
        <v>0.13542224473550915</v>
      </c>
      <c r="L34" s="33">
        <v>28541.25</v>
      </c>
      <c r="M34" s="33">
        <f ca="1">IFERROR(INDEX(Price_Update!$F:$F, MATCH(A34, Price_Update!$A:$A, 0)), 690.95)</f>
        <v>690.95</v>
      </c>
      <c r="N34" s="33">
        <f ca="1">IFERROR(INDEX(Price_Update!$I:$I, MATCH(A34, Price_Update!$A:$A, 0)), 672.1)</f>
        <v>672.1</v>
      </c>
      <c r="O34" s="33">
        <v>662.45</v>
      </c>
      <c r="P34" s="33">
        <v>669.08</v>
      </c>
      <c r="Q34" s="33">
        <v>668.07</v>
      </c>
      <c r="R34" s="33">
        <v>667.1</v>
      </c>
      <c r="S34" s="33">
        <v>657.09</v>
      </c>
      <c r="T34" s="33">
        <f t="shared" ca="1" si="3"/>
        <v>29710.850000000002</v>
      </c>
      <c r="U34" s="33">
        <f t="shared" ca="1" si="4"/>
        <v>1169.6000000000022</v>
      </c>
      <c r="V34" s="36">
        <f t="shared" ca="1" si="5"/>
        <v>4.0979284369114952E-2</v>
      </c>
      <c r="W34" s="36">
        <v>131.47093276793549</v>
      </c>
      <c r="X34" s="31">
        <v>3</v>
      </c>
      <c r="Y34" s="31"/>
      <c r="Z34" s="31" t="s">
        <v>110</v>
      </c>
      <c r="AA34" s="33">
        <v>662.45</v>
      </c>
    </row>
    <row r="35" spans="1:27">
      <c r="A35" s="34" t="s">
        <v>232</v>
      </c>
      <c r="B35" s="31" t="s">
        <v>32</v>
      </c>
      <c r="C35" s="31" t="s">
        <v>64</v>
      </c>
      <c r="D35" s="31" t="s">
        <v>54</v>
      </c>
      <c r="E35" s="31" t="s">
        <v>101</v>
      </c>
      <c r="F35" s="31">
        <v>114</v>
      </c>
      <c r="G35" s="33">
        <v>690.34</v>
      </c>
      <c r="H35" s="35" t="str">
        <f t="shared" ca="1" si="0"/>
        <v>▼</v>
      </c>
      <c r="I35" s="33">
        <v>621.30999999999995</v>
      </c>
      <c r="J35" s="33">
        <f t="shared" ca="1" si="1"/>
        <v>65.590000000000032</v>
      </c>
      <c r="K35" s="36">
        <f t="shared" ca="1" si="2"/>
        <v>9.5486970446935562E-2</v>
      </c>
      <c r="L35" s="33">
        <v>78698.759999999995</v>
      </c>
      <c r="M35" s="33">
        <f ca="1">IFERROR(INDEX(Price_Update!$F:$F, MATCH(A35, Price_Update!$A:$A, 0)), 686.9)</f>
        <v>686.9</v>
      </c>
      <c r="N35" s="33">
        <f ca="1">IFERROR(INDEX(Price_Update!$I:$I, MATCH(A35, Price_Update!$A:$A, 0)), 693.4)</f>
        <v>693.4</v>
      </c>
      <c r="O35" s="33">
        <v>741.5</v>
      </c>
      <c r="P35" s="33">
        <v>688.58</v>
      </c>
      <c r="Q35" s="33">
        <v>686.99</v>
      </c>
      <c r="R35" s="33">
        <v>685.09</v>
      </c>
      <c r="S35" s="33">
        <v>660.03</v>
      </c>
      <c r="T35" s="33">
        <f t="shared" ca="1" si="3"/>
        <v>78306.599999999991</v>
      </c>
      <c r="U35" s="33">
        <f t="shared" ca="1" si="4"/>
        <v>-392.16000000000349</v>
      </c>
      <c r="V35" s="36">
        <f t="shared" ca="1" si="5"/>
        <v>-4.9830518295333184E-3</v>
      </c>
      <c r="W35" s="36">
        <v>-0.39418250895589491</v>
      </c>
      <c r="X35" s="31">
        <v>4</v>
      </c>
      <c r="Y35" s="31"/>
      <c r="Z35" s="31" t="s">
        <v>110</v>
      </c>
      <c r="AA35" s="33">
        <v>741.5</v>
      </c>
    </row>
    <row r="36" spans="1:27">
      <c r="A36" s="34" t="s">
        <v>634</v>
      </c>
      <c r="B36" s="31" t="s">
        <v>36</v>
      </c>
      <c r="C36" s="31" t="s">
        <v>66</v>
      </c>
      <c r="D36" s="31" t="s">
        <v>54</v>
      </c>
      <c r="E36" s="31" t="s">
        <v>100</v>
      </c>
      <c r="F36" s="31">
        <v>55</v>
      </c>
      <c r="G36" s="33">
        <v>533.75</v>
      </c>
      <c r="H36" s="35" t="str">
        <f t="shared" ca="1" si="0"/>
        <v>▼</v>
      </c>
      <c r="I36" s="33">
        <v>480.38</v>
      </c>
      <c r="J36" s="33">
        <f t="shared" ca="1" si="1"/>
        <v>42.919999999999959</v>
      </c>
      <c r="K36" s="36">
        <f t="shared" ca="1" si="2"/>
        <v>8.2017962927574933E-2</v>
      </c>
      <c r="L36" s="33">
        <v>29356.25</v>
      </c>
      <c r="M36" s="33">
        <f ca="1">IFERROR(INDEX(Price_Update!$F:$F, MATCH(A36, Price_Update!$A:$A, 0)), 523.3)</f>
        <v>523.29999999999995</v>
      </c>
      <c r="N36" s="33">
        <f ca="1">IFERROR(INDEX(Price_Update!$I:$I, MATCH(A36, Price_Update!$A:$A, 0)), 528.4)</f>
        <v>528.4</v>
      </c>
      <c r="O36" s="33">
        <v>528</v>
      </c>
      <c r="P36" s="33">
        <v>528.01</v>
      </c>
      <c r="Q36" s="33">
        <v>527.6</v>
      </c>
      <c r="R36" s="33">
        <v>527.11</v>
      </c>
      <c r="S36" s="33">
        <v>519.62</v>
      </c>
      <c r="T36" s="33">
        <f t="shared" ca="1" si="3"/>
        <v>28781.499999999996</v>
      </c>
      <c r="U36" s="33">
        <f t="shared" ca="1" si="4"/>
        <v>-574.75000000000364</v>
      </c>
      <c r="V36" s="36">
        <f t="shared" ca="1" si="5"/>
        <v>-1.9578454332552817E-2</v>
      </c>
      <c r="W36" s="36">
        <v>-0.90979519279413668</v>
      </c>
      <c r="X36" s="31">
        <v>3</v>
      </c>
      <c r="Y36" s="31"/>
      <c r="Z36" s="31" t="s">
        <v>110</v>
      </c>
      <c r="AA36" s="33">
        <v>528</v>
      </c>
    </row>
    <row r="37" spans="1:27">
      <c r="A37" s="39" t="s">
        <v>188</v>
      </c>
      <c r="B37" s="31" t="s">
        <v>36</v>
      </c>
      <c r="C37" s="31" t="s">
        <v>64</v>
      </c>
      <c r="D37" s="31" t="s">
        <v>53</v>
      </c>
      <c r="E37" s="31" t="s">
        <v>103</v>
      </c>
      <c r="F37" s="31">
        <v>36</v>
      </c>
      <c r="G37" s="33">
        <v>2834.43</v>
      </c>
      <c r="H37" s="35" t="str">
        <f t="shared" ca="1" si="0"/>
        <v>▲</v>
      </c>
      <c r="I37" s="33">
        <v>2550.9899999999998</v>
      </c>
      <c r="J37" s="33">
        <f t="shared" ca="1" si="1"/>
        <v>497.21000000000004</v>
      </c>
      <c r="K37" s="36">
        <f t="shared" ca="1" si="2"/>
        <v>0.16311593727445708</v>
      </c>
      <c r="L37" s="33">
        <v>102039.48</v>
      </c>
      <c r="M37" s="33">
        <f ca="1">IFERROR(INDEX(Price_Update!$F:$F, MATCH(A37, Price_Update!$A:$A, 0)), 3048.2)</f>
        <v>3048.2</v>
      </c>
      <c r="N37" s="33">
        <f ca="1">IFERROR(INDEX(Price_Update!$I:$I, MATCH(A37, Price_Update!$A:$A, 0)), 2972.8)</f>
        <v>2972.8</v>
      </c>
      <c r="O37" s="33">
        <v>2937.4</v>
      </c>
      <c r="P37" s="33">
        <v>2617.48</v>
      </c>
      <c r="Q37" s="33">
        <v>2584.75</v>
      </c>
      <c r="R37" s="33">
        <v>2556.0300000000002</v>
      </c>
      <c r="S37" s="33">
        <v>2405.33</v>
      </c>
      <c r="T37" s="33">
        <f t="shared" ca="1" si="3"/>
        <v>109735.2</v>
      </c>
      <c r="U37" s="33">
        <f t="shared" ca="1" si="4"/>
        <v>7695.7200000000012</v>
      </c>
      <c r="V37" s="36">
        <f t="shared" ca="1" si="5"/>
        <v>7.5419043687796145E-2</v>
      </c>
      <c r="W37" s="36">
        <v>5.4524940002576869</v>
      </c>
      <c r="X37" s="31">
        <v>21</v>
      </c>
      <c r="Y37" s="31"/>
      <c r="Z37" s="31" t="s">
        <v>110</v>
      </c>
      <c r="AA37" s="33">
        <v>2937.4</v>
      </c>
    </row>
    <row r="38" spans="1:27">
      <c r="A38" s="39" t="s">
        <v>65</v>
      </c>
      <c r="B38" s="31" t="s">
        <v>39</v>
      </c>
      <c r="C38" s="31" t="s">
        <v>68</v>
      </c>
      <c r="D38" s="31" t="s">
        <v>53</v>
      </c>
      <c r="E38" s="31" t="s">
        <v>101</v>
      </c>
      <c r="F38" s="31">
        <v>14</v>
      </c>
      <c r="G38" s="33">
        <v>3134.66</v>
      </c>
      <c r="H38" s="35" t="str">
        <f t="shared" ca="1" si="0"/>
        <v>▲</v>
      </c>
      <c r="I38" s="33">
        <v>2821.19</v>
      </c>
      <c r="J38" s="33">
        <f t="shared" ca="1" si="1"/>
        <v>155.30999999999995</v>
      </c>
      <c r="K38" s="36">
        <f t="shared" ca="1" si="2"/>
        <v>5.2178733411725159E-2</v>
      </c>
      <c r="L38" s="33">
        <v>43885.24</v>
      </c>
      <c r="M38" s="33">
        <f ca="1">IFERROR(INDEX(Price_Update!$F:$F, MATCH(A38, Price_Update!$A:$A, 0)), 2976.5)</f>
        <v>2976.5</v>
      </c>
      <c r="N38" s="33">
        <f ca="1">IFERROR(INDEX(Price_Update!$I:$I, MATCH(A38, Price_Update!$A:$A, 0)), 2947.7)</f>
        <v>2947.7</v>
      </c>
      <c r="O38" s="33">
        <v>2928.9</v>
      </c>
      <c r="P38" s="33">
        <v>2961.52</v>
      </c>
      <c r="Q38" s="33">
        <v>2954.95</v>
      </c>
      <c r="R38" s="33">
        <v>2948.44</v>
      </c>
      <c r="S38" s="33">
        <v>2886.45</v>
      </c>
      <c r="T38" s="33">
        <f t="shared" ca="1" si="3"/>
        <v>41671</v>
      </c>
      <c r="U38" s="33">
        <f t="shared" ca="1" si="4"/>
        <v>-2214.239999999998</v>
      </c>
      <c r="V38" s="36">
        <f t="shared" ca="1" si="5"/>
        <v>-5.0455232784416763E-2</v>
      </c>
      <c r="W38" s="36">
        <v>-0.3051662655098572</v>
      </c>
      <c r="X38" s="31">
        <v>151</v>
      </c>
      <c r="Y38" s="31"/>
      <c r="Z38" s="31" t="s">
        <v>110</v>
      </c>
      <c r="AA38" s="33">
        <v>2928.9</v>
      </c>
    </row>
    <row r="39" spans="1:27">
      <c r="A39" s="52" t="s">
        <v>56</v>
      </c>
      <c r="B39" s="31" t="s">
        <v>32</v>
      </c>
      <c r="C39" s="31" t="s">
        <v>64</v>
      </c>
      <c r="D39" s="31" t="s">
        <v>53</v>
      </c>
      <c r="E39" s="31" t="s">
        <v>105</v>
      </c>
      <c r="F39" s="31">
        <v>556</v>
      </c>
      <c r="G39" s="33">
        <v>360.41</v>
      </c>
      <c r="H39" s="35" t="str">
        <f t="shared" ca="1" si="0"/>
        <v>▲</v>
      </c>
      <c r="I39" s="33">
        <v>376.96</v>
      </c>
      <c r="J39" s="33">
        <f t="shared" ca="1" si="1"/>
        <v>44.390000000000043</v>
      </c>
      <c r="K39" s="36">
        <f t="shared" ca="1" si="2"/>
        <v>0.10535184525928573</v>
      </c>
      <c r="L39" s="33">
        <v>200387.96</v>
      </c>
      <c r="M39" s="33">
        <f ca="1">IFERROR(INDEX(Price_Update!$F:$F, MATCH(A39, Price_Update!$A:$A, 0)), 421.35)</f>
        <v>421.35</v>
      </c>
      <c r="N39" s="33">
        <f ca="1">IFERROR(INDEX(Price_Update!$I:$I, MATCH(A39, Price_Update!$A:$A, 0)), 419.2)</f>
        <v>419.2</v>
      </c>
      <c r="O39" s="33">
        <v>409</v>
      </c>
      <c r="P39" s="33">
        <v>334.75</v>
      </c>
      <c r="Q39" s="33">
        <v>328.47</v>
      </c>
      <c r="R39" s="33">
        <v>322.93</v>
      </c>
      <c r="S39" s="33">
        <v>291.18</v>
      </c>
      <c r="T39" s="33">
        <f t="shared" ca="1" si="3"/>
        <v>234270.6</v>
      </c>
      <c r="U39" s="33">
        <f t="shared" ca="1" si="4"/>
        <v>33882.640000000014</v>
      </c>
      <c r="V39" s="36">
        <f t="shared" ca="1" si="5"/>
        <v>0.16908520851252748</v>
      </c>
      <c r="W39" s="36">
        <v>38.024051834277223</v>
      </c>
      <c r="X39" s="31">
        <v>32</v>
      </c>
      <c r="Y39" s="31"/>
      <c r="Z39" s="31" t="s">
        <v>110</v>
      </c>
      <c r="AA39" s="33">
        <v>409</v>
      </c>
    </row>
    <row r="40" spans="1:27">
      <c r="A40" s="52" t="s">
        <v>185</v>
      </c>
      <c r="B40" s="31" t="s">
        <v>32</v>
      </c>
      <c r="C40" s="31" t="s">
        <v>64</v>
      </c>
      <c r="D40" s="31" t="s">
        <v>53</v>
      </c>
      <c r="E40" s="31" t="s">
        <v>103</v>
      </c>
      <c r="F40" s="31">
        <v>80</v>
      </c>
      <c r="G40" s="33">
        <v>1259.46</v>
      </c>
      <c r="H40" s="35" t="str">
        <f t="shared" ca="1" si="0"/>
        <v>▲</v>
      </c>
      <c r="I40" s="33">
        <v>1133.51</v>
      </c>
      <c r="J40" s="33">
        <f t="shared" ca="1" si="1"/>
        <v>285.99</v>
      </c>
      <c r="K40" s="36">
        <f t="shared" ca="1" si="2"/>
        <v>0.20147234941880945</v>
      </c>
      <c r="L40" s="33">
        <v>100756.8</v>
      </c>
      <c r="M40" s="33">
        <f ca="1">IFERROR(INDEX(Price_Update!$F:$F, MATCH(A40, Price_Update!$A:$A, 0)), 1419.5)</f>
        <v>1419.5</v>
      </c>
      <c r="N40" s="33">
        <f ca="1">IFERROR(INDEX(Price_Update!$I:$I, MATCH(A40, Price_Update!$A:$A, 0)), 1377.7)</f>
        <v>1377.7</v>
      </c>
      <c r="O40" s="33">
        <v>1401.7</v>
      </c>
      <c r="P40" s="33">
        <v>1204.3599999999999</v>
      </c>
      <c r="Q40" s="33">
        <v>1189.78</v>
      </c>
      <c r="R40" s="33">
        <v>1176.78</v>
      </c>
      <c r="S40" s="33">
        <v>1099.03</v>
      </c>
      <c r="T40" s="33">
        <f t="shared" ca="1" si="3"/>
        <v>113560</v>
      </c>
      <c r="U40" s="33">
        <f t="shared" ca="1" si="4"/>
        <v>12803.199999999997</v>
      </c>
      <c r="V40" s="36">
        <f t="shared" ca="1" si="5"/>
        <v>0.12707033172947133</v>
      </c>
      <c r="W40" s="36">
        <v>5.3604471298693266</v>
      </c>
      <c r="X40" s="31">
        <v>39</v>
      </c>
      <c r="Y40" s="31"/>
      <c r="Z40" s="31" t="s">
        <v>110</v>
      </c>
      <c r="AA40" s="33">
        <v>1401.7</v>
      </c>
    </row>
    <row r="41" spans="1:27">
      <c r="A41" s="39" t="s">
        <v>63</v>
      </c>
      <c r="B41" s="31" t="s">
        <v>39</v>
      </c>
      <c r="C41" s="31" t="s">
        <v>68</v>
      </c>
      <c r="D41" s="31" t="s">
        <v>53</v>
      </c>
      <c r="E41" s="31" t="s">
        <v>100</v>
      </c>
      <c r="F41" s="31">
        <v>33</v>
      </c>
      <c r="G41" s="33">
        <v>1505.6</v>
      </c>
      <c r="H41" s="35" t="str">
        <f t="shared" ca="1" si="0"/>
        <v>▼</v>
      </c>
      <c r="I41" s="33">
        <v>1355.04</v>
      </c>
      <c r="J41" s="33">
        <f t="shared" ca="1" si="1"/>
        <v>107.25999999999999</v>
      </c>
      <c r="K41" s="36">
        <f t="shared" ca="1" si="2"/>
        <v>7.3350201736989668E-2</v>
      </c>
      <c r="L41" s="33">
        <v>49684.800000000003</v>
      </c>
      <c r="M41" s="33">
        <f ca="1">IFERROR(INDEX(Price_Update!$F:$F, MATCH(A41, Price_Update!$A:$A, 0)), 1462.3)</f>
        <v>1462.3</v>
      </c>
      <c r="N41" s="33">
        <f ca="1">IFERROR(INDEX(Price_Update!$I:$I, MATCH(A41, Price_Update!$A:$A, 0)), 1463.6)</f>
        <v>1463.6</v>
      </c>
      <c r="O41" s="33">
        <v>1426.4</v>
      </c>
      <c r="P41" s="33">
        <v>1422.89</v>
      </c>
      <c r="Q41" s="33">
        <v>1415.55</v>
      </c>
      <c r="R41" s="33">
        <v>1408.26</v>
      </c>
      <c r="S41" s="33">
        <v>1346.74</v>
      </c>
      <c r="T41" s="33">
        <f t="shared" ca="1" si="3"/>
        <v>48255.9</v>
      </c>
      <c r="U41" s="33">
        <f t="shared" ca="1" si="4"/>
        <v>-1428.9000000000015</v>
      </c>
      <c r="V41" s="36">
        <f t="shared" ca="1" si="5"/>
        <v>-2.8759298618490994E-2</v>
      </c>
      <c r="W41" s="36">
        <v>-0.4466280192706571</v>
      </c>
      <c r="X41" s="31">
        <v>18</v>
      </c>
      <c r="Y41" s="31"/>
      <c r="Z41" s="31" t="s">
        <v>110</v>
      </c>
      <c r="AA41" s="33">
        <v>1426.4</v>
      </c>
    </row>
    <row r="42" spans="1:27">
      <c r="A42" s="53" t="s">
        <v>57</v>
      </c>
      <c r="B42" s="31" t="s">
        <v>32</v>
      </c>
      <c r="C42" s="31" t="s">
        <v>68</v>
      </c>
      <c r="D42" s="31" t="s">
        <v>53</v>
      </c>
      <c r="E42" s="31" t="s">
        <v>103</v>
      </c>
      <c r="F42" s="31">
        <v>56</v>
      </c>
      <c r="G42" s="33">
        <v>1762.28</v>
      </c>
      <c r="H42" s="35" t="str">
        <f t="shared" ca="1" si="0"/>
        <v>▼</v>
      </c>
      <c r="I42" s="33">
        <v>1586.05</v>
      </c>
      <c r="J42" s="33">
        <f t="shared" ca="1" si="1"/>
        <v>457.25</v>
      </c>
      <c r="K42" s="36">
        <f t="shared" ca="1" si="2"/>
        <v>0.22378015954583272</v>
      </c>
      <c r="L42" s="33">
        <v>98687.679999999993</v>
      </c>
      <c r="M42" s="33">
        <f ca="1">IFERROR(INDEX(Price_Update!$F:$F, MATCH(A42, Price_Update!$A:$A, 0)), 2043.3)</f>
        <v>2043.3</v>
      </c>
      <c r="N42" s="33">
        <f ca="1">IFERROR(INDEX(Price_Update!$I:$I, MATCH(A42, Price_Update!$A:$A, 0)), 2099.9)</f>
        <v>2099.9</v>
      </c>
      <c r="O42" s="33">
        <v>1775.6</v>
      </c>
      <c r="P42" s="33">
        <v>1603.27</v>
      </c>
      <c r="Q42" s="33">
        <v>1572.69</v>
      </c>
      <c r="R42" s="33">
        <v>1545.71</v>
      </c>
      <c r="S42" s="33">
        <v>1400.99</v>
      </c>
      <c r="T42" s="33">
        <f t="shared" ca="1" si="3"/>
        <v>114424.8</v>
      </c>
      <c r="U42" s="33">
        <f t="shared" ca="1" si="4"/>
        <v>15737.12000000001</v>
      </c>
      <c r="V42" s="36">
        <f t="shared" ca="1" si="5"/>
        <v>0.15946387634201159</v>
      </c>
      <c r="W42" s="36">
        <v>28.03343637781342</v>
      </c>
      <c r="X42" s="31">
        <v>18</v>
      </c>
      <c r="Y42" s="31"/>
      <c r="Z42" s="31" t="s">
        <v>110</v>
      </c>
      <c r="AA42" s="33">
        <v>1775.6</v>
      </c>
    </row>
    <row r="43" spans="1:27">
      <c r="A43" s="52" t="s">
        <v>58</v>
      </c>
      <c r="B43" s="31" t="s">
        <v>36</v>
      </c>
      <c r="C43" s="31" t="s">
        <v>64</v>
      </c>
      <c r="D43" s="31" t="s">
        <v>53</v>
      </c>
      <c r="E43" s="31" t="s">
        <v>105</v>
      </c>
      <c r="F43" s="31">
        <v>230</v>
      </c>
      <c r="G43" s="33">
        <v>864.34</v>
      </c>
      <c r="H43" s="35" t="str">
        <f t="shared" ca="1" si="0"/>
        <v>▼</v>
      </c>
      <c r="I43" s="33">
        <v>904.76</v>
      </c>
      <c r="J43" s="33">
        <f t="shared" ca="1" si="1"/>
        <v>33.090000000000032</v>
      </c>
      <c r="K43" s="36">
        <f t="shared" ca="1" si="2"/>
        <v>3.5282827744308826E-2</v>
      </c>
      <c r="L43" s="33">
        <v>198798.2</v>
      </c>
      <c r="M43" s="33">
        <f ca="1">IFERROR(INDEX(Price_Update!$F:$F, MATCH(A43, Price_Update!$A:$A, 0)), 937.85)</f>
        <v>937.85</v>
      </c>
      <c r="N43" s="33">
        <f ca="1">IFERROR(INDEX(Price_Update!$I:$I, MATCH(A43, Price_Update!$A:$A, 0)), 937.9)</f>
        <v>937.9</v>
      </c>
      <c r="O43" s="33">
        <v>917.45</v>
      </c>
      <c r="P43" s="33">
        <v>847.31</v>
      </c>
      <c r="Q43" s="33">
        <v>838.96</v>
      </c>
      <c r="R43" s="33">
        <v>831.22</v>
      </c>
      <c r="S43" s="33">
        <v>779.63</v>
      </c>
      <c r="T43" s="33">
        <f t="shared" ca="1" si="3"/>
        <v>215705.5</v>
      </c>
      <c r="U43" s="33">
        <f t="shared" ca="1" si="4"/>
        <v>16907.299999999988</v>
      </c>
      <c r="V43" s="36">
        <f t="shared" ca="1" si="5"/>
        <v>8.5047550732350638E-2</v>
      </c>
      <c r="W43" s="36">
        <v>0.99764682591049825</v>
      </c>
      <c r="X43" s="31">
        <v>113</v>
      </c>
      <c r="Y43" s="31"/>
      <c r="Z43" s="31" t="s">
        <v>110</v>
      </c>
      <c r="AA43" s="33">
        <v>917.45</v>
      </c>
    </row>
    <row r="44" spans="1:27">
      <c r="A44" s="52" t="s">
        <v>55</v>
      </c>
      <c r="B44" s="31" t="s">
        <v>32</v>
      </c>
      <c r="C44" s="31" t="s">
        <v>66</v>
      </c>
      <c r="D44" s="31" t="s">
        <v>53</v>
      </c>
      <c r="E44" s="31" t="s">
        <v>105</v>
      </c>
      <c r="F44" s="31">
        <v>1825</v>
      </c>
      <c r="G44" s="33">
        <v>97.74</v>
      </c>
      <c r="H44" s="35" t="str">
        <f t="shared" ca="1" si="0"/>
        <v>▲</v>
      </c>
      <c r="I44" s="33">
        <v>104.64</v>
      </c>
      <c r="J44" s="33">
        <f t="shared" ca="1" si="1"/>
        <v>32.459999999999994</v>
      </c>
      <c r="K44" s="36">
        <f t="shared" ca="1" si="2"/>
        <v>0.23676148796498903</v>
      </c>
      <c r="L44" s="33">
        <v>178375.5</v>
      </c>
      <c r="M44" s="33">
        <f ca="1">IFERROR(INDEX(Price_Update!$F:$F, MATCH(A44, Price_Update!$A:$A, 0)), 137.1)</f>
        <v>137.1</v>
      </c>
      <c r="N44" s="33">
        <f ca="1">IFERROR(INDEX(Price_Update!$I:$I, MATCH(A44, Price_Update!$A:$A, 0)), 133.09)</f>
        <v>133.09</v>
      </c>
      <c r="O44" s="33">
        <v>129.06</v>
      </c>
      <c r="P44" s="33">
        <v>119.05</v>
      </c>
      <c r="Q44" s="33">
        <v>117.32</v>
      </c>
      <c r="R44" s="33">
        <v>115.67</v>
      </c>
      <c r="S44" s="33">
        <v>102.37</v>
      </c>
      <c r="T44" s="33">
        <f t="shared" ca="1" si="3"/>
        <v>250207.5</v>
      </c>
      <c r="U44" s="33">
        <f t="shared" ca="1" si="4"/>
        <v>71832</v>
      </c>
      <c r="V44" s="36">
        <f t="shared" ca="1" si="5"/>
        <v>0.40270104358502151</v>
      </c>
      <c r="W44" s="36">
        <v>1.968174333011814</v>
      </c>
      <c r="X44" s="31">
        <v>150</v>
      </c>
      <c r="Y44" s="31" t="s">
        <v>109</v>
      </c>
      <c r="Z44" s="31" t="s">
        <v>110</v>
      </c>
      <c r="AA44" s="33">
        <v>129.06</v>
      </c>
    </row>
    <row r="45" spans="1:27">
      <c r="A45" s="53" t="s">
        <v>138</v>
      </c>
      <c r="B45" s="31" t="s">
        <v>32</v>
      </c>
      <c r="C45" s="31" t="s">
        <v>64</v>
      </c>
      <c r="D45" s="31" t="s">
        <v>53</v>
      </c>
      <c r="E45" s="31" t="s">
        <v>100</v>
      </c>
      <c r="F45" s="31">
        <v>129</v>
      </c>
      <c r="G45" s="33">
        <v>389.65</v>
      </c>
      <c r="H45" s="35" t="str">
        <f t="shared" ca="1" si="0"/>
        <v>▼</v>
      </c>
      <c r="I45" s="33">
        <v>350.69</v>
      </c>
      <c r="J45" s="33">
        <f t="shared" ca="1" si="1"/>
        <v>48.860000000000014</v>
      </c>
      <c r="K45" s="36">
        <f t="shared" ca="1" si="2"/>
        <v>0.12228757352021026</v>
      </c>
      <c r="L45" s="33">
        <v>50264.85</v>
      </c>
      <c r="M45" s="33">
        <f ca="1">IFERROR(INDEX(Price_Update!$F:$F, MATCH(A45, Price_Update!$A:$A, 0)), 399.55)</f>
        <v>399.55</v>
      </c>
      <c r="N45" s="33">
        <f ca="1">IFERROR(INDEX(Price_Update!$I:$I, MATCH(A45, Price_Update!$A:$A, 0)), 403.4)</f>
        <v>403.4</v>
      </c>
      <c r="O45" s="33">
        <v>386.5</v>
      </c>
      <c r="P45" s="33">
        <v>359.22</v>
      </c>
      <c r="Q45" s="33">
        <v>357.12</v>
      </c>
      <c r="R45" s="33">
        <v>355.38</v>
      </c>
      <c r="S45" s="33">
        <v>349.56</v>
      </c>
      <c r="T45" s="33">
        <f t="shared" ca="1" si="3"/>
        <v>51541.950000000004</v>
      </c>
      <c r="U45" s="33">
        <f t="shared" ca="1" si="4"/>
        <v>1277.1000000000058</v>
      </c>
      <c r="V45" s="36">
        <f t="shared" ca="1" si="5"/>
        <v>2.5407416912614E-2</v>
      </c>
      <c r="W45" s="36">
        <v>8.8696435143698267</v>
      </c>
      <c r="X45" s="31">
        <v>4</v>
      </c>
      <c r="Y45" s="31"/>
      <c r="Z45" s="31" t="s">
        <v>110</v>
      </c>
      <c r="AA45" s="33">
        <v>386.5</v>
      </c>
    </row>
    <row r="46" spans="1:27">
      <c r="A46" s="39" t="s">
        <v>126</v>
      </c>
      <c r="B46" s="31" t="s">
        <v>32</v>
      </c>
      <c r="C46" s="31" t="s">
        <v>66</v>
      </c>
      <c r="D46" s="31" t="s">
        <v>53</v>
      </c>
      <c r="E46" s="31" t="s">
        <v>101</v>
      </c>
      <c r="F46" s="31">
        <v>362</v>
      </c>
      <c r="G46" s="33">
        <v>138.75</v>
      </c>
      <c r="H46" s="35" t="str">
        <f t="shared" ca="1" si="0"/>
        <v>▲</v>
      </c>
      <c r="I46" s="33">
        <v>124.88</v>
      </c>
      <c r="J46" s="33">
        <f t="shared" ca="1" si="1"/>
        <v>30.980000000000018</v>
      </c>
      <c r="K46" s="36">
        <f t="shared" ca="1" si="2"/>
        <v>0.19876812524060064</v>
      </c>
      <c r="L46" s="33">
        <v>50227.5</v>
      </c>
      <c r="M46" s="33">
        <f ca="1">IFERROR(INDEX(Price_Update!$F:$F, MATCH(A46, Price_Update!$A:$A, 0)), 155.86)</f>
        <v>155.86000000000001</v>
      </c>
      <c r="N46" s="33">
        <f ca="1">IFERROR(INDEX(Price_Update!$I:$I, MATCH(A46, Price_Update!$A:$A, 0)), 154.97)</f>
        <v>154.97</v>
      </c>
      <c r="O46" s="33">
        <v>154.88999999999999</v>
      </c>
      <c r="P46" s="33">
        <v>154.86000000000001</v>
      </c>
      <c r="Q46" s="33">
        <v>154.09</v>
      </c>
      <c r="R46" s="33">
        <v>153.31</v>
      </c>
      <c r="S46" s="33">
        <v>145.9</v>
      </c>
      <c r="T46" s="33">
        <f t="shared" ca="1" si="3"/>
        <v>56421.320000000007</v>
      </c>
      <c r="U46" s="33">
        <f t="shared" ca="1" si="4"/>
        <v>6193.820000000007</v>
      </c>
      <c r="V46" s="36">
        <f t="shared" ca="1" si="5"/>
        <v>0.12331531531531545</v>
      </c>
      <c r="W46" s="36">
        <v>0.33466569719222111</v>
      </c>
      <c r="X46" s="31">
        <v>154</v>
      </c>
      <c r="Y46" s="31"/>
      <c r="Z46" s="31" t="s">
        <v>110</v>
      </c>
      <c r="AA46" s="33">
        <v>154.88999999999999</v>
      </c>
    </row>
    <row r="47" spans="1:27">
      <c r="A47" s="39" t="s">
        <v>124</v>
      </c>
      <c r="B47" s="31" t="s">
        <v>32</v>
      </c>
      <c r="C47" s="31" t="s">
        <v>64</v>
      </c>
      <c r="D47" s="31" t="s">
        <v>53</v>
      </c>
      <c r="E47" s="31" t="s">
        <v>101</v>
      </c>
      <c r="F47" s="31">
        <v>276</v>
      </c>
      <c r="G47" s="33">
        <v>278.74</v>
      </c>
      <c r="H47" s="35" t="str">
        <f t="shared" ca="1" si="0"/>
        <v>▼</v>
      </c>
      <c r="I47" s="33">
        <v>250.87</v>
      </c>
      <c r="J47" s="33">
        <f t="shared" ca="1" si="1"/>
        <v>29.329999999999984</v>
      </c>
      <c r="K47" s="36">
        <f t="shared" ca="1" si="2"/>
        <v>0.10467523197715912</v>
      </c>
      <c r="L47" s="33">
        <v>76932.240000000005</v>
      </c>
      <c r="M47" s="33">
        <f ca="1">IFERROR(INDEX(Price_Update!$F:$F, MATCH(A47, Price_Update!$A:$A, 0)), 280.2)</f>
        <v>280.2</v>
      </c>
      <c r="N47" s="33">
        <f ca="1">IFERROR(INDEX(Price_Update!$I:$I, MATCH(A47, Price_Update!$A:$A, 0)), 286)</f>
        <v>286</v>
      </c>
      <c r="O47" s="33">
        <v>288.05</v>
      </c>
      <c r="P47" s="33">
        <v>285.43</v>
      </c>
      <c r="Q47" s="33">
        <v>284.73</v>
      </c>
      <c r="R47" s="33">
        <v>283.95999999999998</v>
      </c>
      <c r="S47" s="33">
        <v>275.45</v>
      </c>
      <c r="T47" s="33">
        <f t="shared" ca="1" si="3"/>
        <v>77335.199999999997</v>
      </c>
      <c r="U47" s="33">
        <f t="shared" ca="1" si="4"/>
        <v>402.95999999999185</v>
      </c>
      <c r="V47" s="36">
        <f t="shared" ca="1" si="5"/>
        <v>5.2378560665852425E-3</v>
      </c>
      <c r="W47" s="36">
        <v>8.7626777070085194E-3</v>
      </c>
      <c r="X47" s="31">
        <v>221</v>
      </c>
      <c r="Y47" s="31"/>
      <c r="Z47" s="31" t="s">
        <v>110</v>
      </c>
      <c r="AA47" s="33">
        <v>288.05</v>
      </c>
    </row>
    <row r="48" spans="1:27">
      <c r="A48" s="39" t="s">
        <v>52</v>
      </c>
      <c r="B48" s="31" t="s">
        <v>36</v>
      </c>
      <c r="C48" s="31" t="s">
        <v>64</v>
      </c>
      <c r="D48" s="31" t="s">
        <v>53</v>
      </c>
      <c r="E48" s="31" t="s">
        <v>111</v>
      </c>
      <c r="F48" s="31">
        <v>340</v>
      </c>
      <c r="G48" s="33">
        <v>902.46</v>
      </c>
      <c r="H48" s="35" t="str">
        <f t="shared" ca="1" si="0"/>
        <v>▼</v>
      </c>
      <c r="I48" s="33">
        <v>990.65</v>
      </c>
      <c r="J48" s="33">
        <f t="shared" ca="1" si="1"/>
        <v>101.94999999999993</v>
      </c>
      <c r="K48" s="36">
        <f t="shared" ca="1" si="2"/>
        <v>9.3309536884495642E-2</v>
      </c>
      <c r="L48" s="33">
        <v>306836.40000000002</v>
      </c>
      <c r="M48" s="33">
        <f ca="1">IFERROR(INDEX(Price_Update!$F:$F, MATCH(A48, Price_Update!$A:$A, 0)), 1092.6)</f>
        <v>1092.5999999999999</v>
      </c>
      <c r="N48" s="33">
        <f ca="1">IFERROR(INDEX(Price_Update!$I:$I, MATCH(A48, Price_Update!$A:$A, 0)), 1125.6)</f>
        <v>1125.5999999999999</v>
      </c>
      <c r="O48" s="33">
        <v>1126.7</v>
      </c>
      <c r="P48" s="33">
        <v>1057.1300000000001</v>
      </c>
      <c r="Q48" s="33">
        <v>1050.45</v>
      </c>
      <c r="R48" s="33">
        <v>1044.06</v>
      </c>
      <c r="S48" s="33">
        <v>990.65</v>
      </c>
      <c r="T48" s="33">
        <f t="shared" ca="1" si="3"/>
        <v>371483.99999999994</v>
      </c>
      <c r="U48" s="33">
        <f t="shared" ca="1" si="4"/>
        <v>64647.599999999919</v>
      </c>
      <c r="V48" s="36">
        <f t="shared" ca="1" si="5"/>
        <v>0.21069077853866072</v>
      </c>
      <c r="W48" s="36">
        <v>0.57043124031099035</v>
      </c>
      <c r="X48" s="31">
        <v>242</v>
      </c>
      <c r="Y48" s="31"/>
      <c r="Z48" s="31" t="s">
        <v>110</v>
      </c>
      <c r="AA48" s="33">
        <v>1126.7</v>
      </c>
    </row>
    <row r="49" spans="1:27">
      <c r="A49" s="52" t="s">
        <v>136</v>
      </c>
      <c r="B49" s="31" t="s">
        <v>39</v>
      </c>
      <c r="C49" s="31" t="s">
        <v>68</v>
      </c>
      <c r="D49" s="31" t="s">
        <v>53</v>
      </c>
      <c r="E49" s="31" t="s">
        <v>103</v>
      </c>
      <c r="F49" s="31">
        <v>75</v>
      </c>
      <c r="G49" s="33">
        <v>1350.41</v>
      </c>
      <c r="H49" s="35" t="str">
        <f t="shared" ca="1" si="0"/>
        <v>▲</v>
      </c>
      <c r="I49" s="33">
        <v>1215.3699999999999</v>
      </c>
      <c r="J49" s="33">
        <f t="shared" ca="1" si="1"/>
        <v>231.43000000000006</v>
      </c>
      <c r="K49" s="36">
        <f t="shared" ca="1" si="2"/>
        <v>0.15995991152889139</v>
      </c>
      <c r="L49" s="33">
        <v>101280.75</v>
      </c>
      <c r="M49" s="33">
        <f ca="1">IFERROR(INDEX(Price_Update!$F:$F, MATCH(A49, Price_Update!$A:$A, 0)), 1446.8)</f>
        <v>1446.8</v>
      </c>
      <c r="N49" s="33">
        <f ca="1">IFERROR(INDEX(Price_Update!$I:$I, MATCH(A49, Price_Update!$A:$A, 0)), 1427.2)</f>
        <v>1427.2</v>
      </c>
      <c r="O49" s="33">
        <v>1362</v>
      </c>
      <c r="P49" s="33">
        <v>1266.8599999999999</v>
      </c>
      <c r="Q49" s="33">
        <v>1252.97</v>
      </c>
      <c r="R49" s="33">
        <v>1240.3699999999999</v>
      </c>
      <c r="S49" s="33">
        <v>1153.67</v>
      </c>
      <c r="T49" s="33">
        <f t="shared" ca="1" si="3"/>
        <v>108510</v>
      </c>
      <c r="U49" s="33">
        <f t="shared" ca="1" si="4"/>
        <v>7229.25</v>
      </c>
      <c r="V49" s="36">
        <f t="shared" ca="1" si="5"/>
        <v>7.1378322139202172E-2</v>
      </c>
      <c r="W49" s="36">
        <v>4.9711392233764489</v>
      </c>
      <c r="X49" s="31">
        <v>21</v>
      </c>
      <c r="Y49" s="31"/>
      <c r="Z49" s="31" t="s">
        <v>110</v>
      </c>
      <c r="AA49" s="33">
        <v>1362</v>
      </c>
    </row>
    <row r="50" spans="1:27">
      <c r="A50" s="54" t="s">
        <v>135</v>
      </c>
      <c r="B50" s="31" t="s">
        <v>32</v>
      </c>
      <c r="C50" s="31" t="s">
        <v>70</v>
      </c>
      <c r="D50" s="31" t="s">
        <v>53</v>
      </c>
      <c r="E50" s="31" t="s">
        <v>100</v>
      </c>
      <c r="F50" s="31">
        <v>11</v>
      </c>
      <c r="G50" s="33">
        <v>4599.12</v>
      </c>
      <c r="H50" s="35" t="str">
        <f t="shared" ca="1" si="0"/>
        <v>▼</v>
      </c>
      <c r="I50" s="33">
        <v>4139.21</v>
      </c>
      <c r="J50" s="33">
        <f t="shared" ca="1" si="1"/>
        <v>526.79</v>
      </c>
      <c r="K50" s="36">
        <f t="shared" ca="1" si="2"/>
        <v>0.11289969995713672</v>
      </c>
      <c r="L50" s="33">
        <v>50590.32</v>
      </c>
      <c r="M50" s="33">
        <f ca="1">IFERROR(INDEX(Price_Update!$F:$F, MATCH(A50, Price_Update!$A:$A, 0)), 4666)</f>
        <v>4666</v>
      </c>
      <c r="N50" s="33">
        <f ca="1">IFERROR(INDEX(Price_Update!$I:$I, MATCH(A50, Price_Update!$A:$A, 0)), 4934.2)</f>
        <v>4934.2</v>
      </c>
      <c r="O50" s="33">
        <v>4670.7</v>
      </c>
      <c r="P50" s="33">
        <v>4105.45</v>
      </c>
      <c r="Q50" s="33">
        <v>4062.47</v>
      </c>
      <c r="R50" s="33">
        <v>4023.27</v>
      </c>
      <c r="S50" s="33">
        <v>3751.5</v>
      </c>
      <c r="T50" s="33">
        <f t="shared" ca="1" si="3"/>
        <v>51326</v>
      </c>
      <c r="U50" s="33">
        <f t="shared" ca="1" si="4"/>
        <v>735.68000000000029</v>
      </c>
      <c r="V50" s="36">
        <f t="shared" ca="1" si="5"/>
        <v>1.4541912365843906E-2</v>
      </c>
      <c r="W50" s="36">
        <v>2.7338040555713841</v>
      </c>
      <c r="X50" s="31">
        <v>4</v>
      </c>
      <c r="Y50" s="31"/>
      <c r="Z50" s="31" t="s">
        <v>110</v>
      </c>
      <c r="AA50" s="33">
        <v>4670.7</v>
      </c>
    </row>
    <row r="51" spans="1:27">
      <c r="A51" s="54" t="s">
        <v>59</v>
      </c>
      <c r="B51" s="31" t="s">
        <v>32</v>
      </c>
      <c r="C51" s="31" t="s">
        <v>64</v>
      </c>
      <c r="D51" s="31" t="s">
        <v>53</v>
      </c>
      <c r="E51" s="31" t="s">
        <v>101</v>
      </c>
      <c r="F51" s="31">
        <v>133</v>
      </c>
      <c r="G51" s="33">
        <v>377.97</v>
      </c>
      <c r="H51" s="35" t="str">
        <f t="shared" ca="1" si="0"/>
        <v>▲</v>
      </c>
      <c r="I51" s="33">
        <v>340.17</v>
      </c>
      <c r="J51" s="33">
        <f t="shared" ca="1" si="1"/>
        <v>45.479999999999961</v>
      </c>
      <c r="K51" s="36">
        <f t="shared" ca="1" si="2"/>
        <v>0.11793076623881749</v>
      </c>
      <c r="L51" s="33">
        <v>50270.01</v>
      </c>
      <c r="M51" s="33">
        <f ca="1">IFERROR(INDEX(Price_Update!$F:$F, MATCH(A51, Price_Update!$A:$A, 0)), 385.65)</f>
        <v>385.65</v>
      </c>
      <c r="N51" s="33">
        <f ca="1">IFERROR(INDEX(Price_Update!$I:$I, MATCH(A51, Price_Update!$A:$A, 0)), 371.6)</f>
        <v>371.6</v>
      </c>
      <c r="O51" s="33">
        <v>370</v>
      </c>
      <c r="P51" s="33">
        <v>332.97</v>
      </c>
      <c r="Q51" s="33">
        <v>328.46</v>
      </c>
      <c r="R51" s="33">
        <v>324.45</v>
      </c>
      <c r="S51" s="33">
        <v>300.92</v>
      </c>
      <c r="T51" s="33">
        <f t="shared" ca="1" si="3"/>
        <v>51291.45</v>
      </c>
      <c r="U51" s="33">
        <f t="shared" ca="1" si="4"/>
        <v>1021.4399999999951</v>
      </c>
      <c r="V51" s="36">
        <f t="shared" ca="1" si="5"/>
        <v>2.0319072942296908E-2</v>
      </c>
      <c r="W51" s="36">
        <v>0.7994952519388604</v>
      </c>
      <c r="X51" s="31">
        <v>14</v>
      </c>
      <c r="Y51" s="31"/>
      <c r="Z51" s="31" t="s">
        <v>110</v>
      </c>
      <c r="AA51" s="33">
        <v>370</v>
      </c>
    </row>
    <row r="52" spans="1:27">
      <c r="A52" s="39" t="s">
        <v>129</v>
      </c>
      <c r="B52" s="31" t="s">
        <v>32</v>
      </c>
      <c r="C52" s="31" t="s">
        <v>64</v>
      </c>
      <c r="D52" s="31" t="s">
        <v>53</v>
      </c>
      <c r="E52" s="31" t="s">
        <v>102</v>
      </c>
      <c r="F52" s="31">
        <v>42</v>
      </c>
      <c r="G52" s="33">
        <v>1353.87</v>
      </c>
      <c r="H52" s="35" t="str">
        <f t="shared" ca="1" si="0"/>
        <v>▼</v>
      </c>
      <c r="I52" s="33">
        <v>1218.48</v>
      </c>
      <c r="J52" s="33">
        <f t="shared" ca="1" si="1"/>
        <v>367.61999999999989</v>
      </c>
      <c r="K52" s="36">
        <f t="shared" ca="1" si="2"/>
        <v>0.23177605447323618</v>
      </c>
      <c r="L52" s="33">
        <v>56862.54</v>
      </c>
      <c r="M52" s="33">
        <f ca="1">IFERROR(INDEX(Price_Update!$F:$F, MATCH(A52, Price_Update!$A:$A, 0)), 1586.1)</f>
        <v>1586.1</v>
      </c>
      <c r="N52" s="33">
        <f ca="1">IFERROR(INDEX(Price_Update!$I:$I, MATCH(A52, Price_Update!$A:$A, 0)), 1634.2)</f>
        <v>1634.2</v>
      </c>
      <c r="O52" s="33">
        <v>1614.6</v>
      </c>
      <c r="P52" s="33">
        <v>1541.19</v>
      </c>
      <c r="Q52" s="33">
        <v>1531.26</v>
      </c>
      <c r="R52" s="33">
        <v>1521</v>
      </c>
      <c r="S52" s="33">
        <v>1417.57</v>
      </c>
      <c r="T52" s="33">
        <f t="shared" ca="1" si="3"/>
        <v>66616.2</v>
      </c>
      <c r="U52" s="33">
        <f t="shared" ca="1" si="4"/>
        <v>9753.6599999999962</v>
      </c>
      <c r="V52" s="36">
        <f t="shared" ca="1" si="5"/>
        <v>0.17153050145139481</v>
      </c>
      <c r="W52" s="36">
        <v>0.70077035157514267</v>
      </c>
      <c r="X52" s="31">
        <v>126</v>
      </c>
      <c r="Y52" s="31"/>
      <c r="Z52" s="31" t="s">
        <v>110</v>
      </c>
      <c r="AA52" s="33">
        <v>1614.6</v>
      </c>
    </row>
    <row r="53" spans="1:27">
      <c r="A53" s="55" t="s">
        <v>95</v>
      </c>
      <c r="B53" s="31" t="s">
        <v>32</v>
      </c>
      <c r="C53" s="31" t="s">
        <v>66</v>
      </c>
      <c r="D53" s="31" t="s">
        <v>53</v>
      </c>
      <c r="E53" s="31" t="s">
        <v>100</v>
      </c>
      <c r="F53" s="31">
        <v>40</v>
      </c>
      <c r="G53" s="33">
        <v>639.20000000000005</v>
      </c>
      <c r="H53" s="35" t="str">
        <f t="shared" ca="1" si="0"/>
        <v>▲</v>
      </c>
      <c r="I53" s="33">
        <v>575.28</v>
      </c>
      <c r="J53" s="33">
        <f t="shared" ca="1" si="1"/>
        <v>67.470000000000027</v>
      </c>
      <c r="K53" s="36">
        <f t="shared" ca="1" si="2"/>
        <v>0.10497082847141194</v>
      </c>
      <c r="L53" s="33">
        <v>25568</v>
      </c>
      <c r="M53" s="33">
        <f ca="1">IFERROR(INDEX(Price_Update!$F:$F, MATCH(A53, Price_Update!$A:$A, 0)), 642.75)</f>
        <v>642.75</v>
      </c>
      <c r="N53" s="33">
        <f ca="1">IFERROR(INDEX(Price_Update!$I:$I, MATCH(A53, Price_Update!$A:$A, 0)), 623.15)</f>
        <v>623.15</v>
      </c>
      <c r="O53" s="33">
        <v>605</v>
      </c>
      <c r="P53" s="33">
        <v>588.66999999999996</v>
      </c>
      <c r="Q53" s="33">
        <v>585.28</v>
      </c>
      <c r="R53" s="33">
        <v>582.51</v>
      </c>
      <c r="S53" s="33">
        <v>575.65</v>
      </c>
      <c r="T53" s="33">
        <f t="shared" ca="1" si="3"/>
        <v>25710</v>
      </c>
      <c r="U53" s="33">
        <f t="shared" ca="1" si="4"/>
        <v>142</v>
      </c>
      <c r="V53" s="36">
        <f t="shared" ca="1" si="5"/>
        <v>5.553817271589487E-3</v>
      </c>
      <c r="W53" s="36">
        <v>0.155340779606713</v>
      </c>
      <c r="X53" s="31">
        <v>14</v>
      </c>
      <c r="Y53" s="31"/>
      <c r="Z53" s="31" t="s">
        <v>110</v>
      </c>
      <c r="AA53" s="33">
        <v>605</v>
      </c>
    </row>
    <row r="54" spans="1:27">
      <c r="A54" s="53" t="s">
        <v>137</v>
      </c>
      <c r="B54" s="31" t="s">
        <v>32</v>
      </c>
      <c r="C54" s="31" t="s">
        <v>64</v>
      </c>
      <c r="D54" s="31" t="s">
        <v>53</v>
      </c>
      <c r="E54" s="31" t="s">
        <v>100</v>
      </c>
      <c r="F54" s="31">
        <v>92</v>
      </c>
      <c r="G54" s="33">
        <v>547</v>
      </c>
      <c r="H54" s="35" t="str">
        <f t="shared" ca="1" si="0"/>
        <v>▼</v>
      </c>
      <c r="I54" s="33">
        <v>492.3</v>
      </c>
      <c r="J54" s="33">
        <f t="shared" ca="1" si="1"/>
        <v>64.300000000000011</v>
      </c>
      <c r="K54" s="36">
        <f t="shared" ca="1" si="2"/>
        <v>0.11552281710384479</v>
      </c>
      <c r="L54" s="33">
        <v>50324</v>
      </c>
      <c r="M54" s="33">
        <f ca="1">IFERROR(INDEX(Price_Update!$F:$F, MATCH(A54, Price_Update!$A:$A, 0)), 556.6)</f>
        <v>556.6</v>
      </c>
      <c r="N54" s="33">
        <f ca="1">IFERROR(INDEX(Price_Update!$I:$I, MATCH(A54, Price_Update!$A:$A, 0)), 574.65)</f>
        <v>574.65</v>
      </c>
      <c r="O54" s="33">
        <v>549.35</v>
      </c>
      <c r="P54" s="33">
        <v>478.17</v>
      </c>
      <c r="Q54" s="33">
        <v>472.61</v>
      </c>
      <c r="R54" s="33">
        <v>467.76</v>
      </c>
      <c r="S54" s="33">
        <v>445.11</v>
      </c>
      <c r="T54" s="33">
        <f t="shared" ca="1" si="3"/>
        <v>51207.200000000004</v>
      </c>
      <c r="U54" s="33">
        <f t="shared" ca="1" si="4"/>
        <v>883.20000000000437</v>
      </c>
      <c r="V54" s="36">
        <f t="shared" ca="1" si="5"/>
        <v>1.7550274223034821E-2</v>
      </c>
      <c r="W54" s="36">
        <v>3.891855887692703</v>
      </c>
      <c r="X54" s="31">
        <v>4</v>
      </c>
      <c r="Y54" s="31"/>
      <c r="Z54" s="31" t="s">
        <v>110</v>
      </c>
      <c r="AA54" s="33">
        <v>549.35</v>
      </c>
    </row>
    <row r="55" spans="1:27">
      <c r="A55" s="39" t="s">
        <v>67</v>
      </c>
      <c r="B55" s="31" t="s">
        <v>36</v>
      </c>
      <c r="C55" s="31" t="s">
        <v>68</v>
      </c>
      <c r="D55" s="31" t="s">
        <v>53</v>
      </c>
      <c r="E55" s="31" t="s">
        <v>100</v>
      </c>
      <c r="F55" s="31">
        <v>26</v>
      </c>
      <c r="G55" s="33">
        <v>1899.2</v>
      </c>
      <c r="H55" s="35" t="str">
        <f t="shared" ca="1" si="0"/>
        <v>▲</v>
      </c>
      <c r="I55" s="33">
        <v>1709.28</v>
      </c>
      <c r="J55" s="33">
        <f t="shared" ca="1" si="1"/>
        <v>72.920000000000073</v>
      </c>
      <c r="K55" s="36">
        <f t="shared" ca="1" si="2"/>
        <v>4.0915722141173873E-2</v>
      </c>
      <c r="L55" s="33">
        <v>49379.199999999997</v>
      </c>
      <c r="M55" s="33">
        <f ca="1">IFERROR(INDEX(Price_Update!$F:$F, MATCH(A55, Price_Update!$A:$A, 0)), 1782.2)</f>
        <v>1782.2</v>
      </c>
      <c r="N55" s="33">
        <f ca="1">IFERROR(INDEX(Price_Update!$I:$I, MATCH(A55, Price_Update!$A:$A, 0)), 1780.1)</f>
        <v>1780.1</v>
      </c>
      <c r="O55" s="33">
        <v>1799.2</v>
      </c>
      <c r="P55" s="33">
        <v>1787.21</v>
      </c>
      <c r="Q55" s="33">
        <v>1783.83</v>
      </c>
      <c r="R55" s="33">
        <v>1780.62</v>
      </c>
      <c r="S55" s="33">
        <v>1756.65</v>
      </c>
      <c r="T55" s="33">
        <f t="shared" ca="1" si="3"/>
        <v>46337.200000000004</v>
      </c>
      <c r="U55" s="33">
        <f t="shared" ca="1" si="4"/>
        <v>-3041.9999999999927</v>
      </c>
      <c r="V55" s="36">
        <f t="shared" ca="1" si="5"/>
        <v>-6.1604886267902129E-2</v>
      </c>
      <c r="W55" s="36">
        <v>-0.72454914420436312</v>
      </c>
      <c r="X55" s="31">
        <v>18</v>
      </c>
      <c r="Y55" s="31"/>
      <c r="Z55" s="31" t="s">
        <v>110</v>
      </c>
      <c r="AA55" s="33">
        <v>1799.2</v>
      </c>
    </row>
    <row r="56" spans="1:27">
      <c r="A56" s="39" t="s">
        <v>134</v>
      </c>
      <c r="B56" s="31" t="s">
        <v>32</v>
      </c>
      <c r="C56" s="31" t="s">
        <v>70</v>
      </c>
      <c r="D56" s="31" t="s">
        <v>53</v>
      </c>
      <c r="E56" s="31" t="s">
        <v>103</v>
      </c>
      <c r="F56" s="31">
        <v>145</v>
      </c>
      <c r="G56" s="33">
        <v>691.04</v>
      </c>
      <c r="H56" s="35" t="str">
        <f t="shared" ca="1" si="0"/>
        <v>▲</v>
      </c>
      <c r="I56" s="33">
        <v>621.94000000000005</v>
      </c>
      <c r="J56" s="33">
        <f t="shared" ca="1" si="1"/>
        <v>149.26</v>
      </c>
      <c r="K56" s="36">
        <f t="shared" ca="1" si="2"/>
        <v>0.19354253112033193</v>
      </c>
      <c r="L56" s="33">
        <v>100200.8</v>
      </c>
      <c r="M56" s="33">
        <f ca="1">IFERROR(INDEX(Price_Update!$F:$F, MATCH(A56, Price_Update!$A:$A, 0)), 771.2)</f>
        <v>771.2</v>
      </c>
      <c r="N56" s="33">
        <f ca="1">IFERROR(INDEX(Price_Update!$I:$I, MATCH(A56, Price_Update!$A:$A, 0)), 748.35)</f>
        <v>748.35</v>
      </c>
      <c r="O56" s="33">
        <v>705.3</v>
      </c>
      <c r="P56" s="33">
        <v>656.46</v>
      </c>
      <c r="Q56" s="33">
        <v>651.24</v>
      </c>
      <c r="R56" s="33">
        <v>646.97</v>
      </c>
      <c r="S56" s="33">
        <v>632.41</v>
      </c>
      <c r="T56" s="33">
        <f t="shared" ca="1" si="3"/>
        <v>111824</v>
      </c>
      <c r="U56" s="33">
        <f t="shared" ca="1" si="4"/>
        <v>11623.199999999997</v>
      </c>
      <c r="V56" s="36">
        <f t="shared" ca="1" si="5"/>
        <v>0.11599907385968972</v>
      </c>
      <c r="W56" s="36">
        <v>26.16044830257961</v>
      </c>
      <c r="X56" s="31">
        <v>17</v>
      </c>
      <c r="Y56" s="31"/>
      <c r="Z56" s="31" t="s">
        <v>110</v>
      </c>
      <c r="AA56" s="33">
        <v>705.3</v>
      </c>
    </row>
    <row r="57" spans="1:27">
      <c r="A57" s="53" t="s">
        <v>61</v>
      </c>
      <c r="B57" s="31" t="s">
        <v>39</v>
      </c>
      <c r="C57" s="31" t="s">
        <v>64</v>
      </c>
      <c r="D57" s="31" t="s">
        <v>53</v>
      </c>
      <c r="E57" s="31" t="s">
        <v>101</v>
      </c>
      <c r="F57" s="31">
        <v>11</v>
      </c>
      <c r="G57" s="33">
        <v>4962.78</v>
      </c>
      <c r="H57" s="35" t="str">
        <f t="shared" ca="1" si="0"/>
        <v>▼</v>
      </c>
      <c r="I57" s="33">
        <v>4466.5</v>
      </c>
      <c r="J57" s="33">
        <f t="shared" ca="1" si="1"/>
        <v>365.60000000000036</v>
      </c>
      <c r="K57" s="36">
        <f t="shared" ca="1" si="2"/>
        <v>7.5660685830177432E-2</v>
      </c>
      <c r="L57" s="33">
        <v>54590.58</v>
      </c>
      <c r="M57" s="33">
        <f ca="1">IFERROR(INDEX(Price_Update!$F:$F, MATCH(A57, Price_Update!$A:$A, 0)), 4832.1)</f>
        <v>4832.1000000000004</v>
      </c>
      <c r="N57" s="33">
        <f ca="1">IFERROR(INDEX(Price_Update!$I:$I, MATCH(A57, Price_Update!$A:$A, 0)), 4875.9)</f>
        <v>4875.8999999999996</v>
      </c>
      <c r="O57" s="33">
        <v>4982.7</v>
      </c>
      <c r="P57" s="33">
        <v>4374.79</v>
      </c>
      <c r="Q57" s="33">
        <v>4316.46</v>
      </c>
      <c r="R57" s="33">
        <v>4261.8100000000004</v>
      </c>
      <c r="S57" s="33">
        <v>3888.28</v>
      </c>
      <c r="T57" s="33">
        <f t="shared" ca="1" si="3"/>
        <v>53153.100000000006</v>
      </c>
      <c r="U57" s="33">
        <f t="shared" ca="1" si="4"/>
        <v>-1437.4799999999959</v>
      </c>
      <c r="V57" s="36">
        <f t="shared" ca="1" si="5"/>
        <v>-2.6332015523557285E-2</v>
      </c>
      <c r="W57" s="36">
        <v>-0.79362386056194689</v>
      </c>
      <c r="X57" s="31">
        <v>7</v>
      </c>
      <c r="Y57" s="31"/>
      <c r="Z57" s="31" t="s">
        <v>110</v>
      </c>
      <c r="AA57" s="33">
        <v>4982.7</v>
      </c>
    </row>
    <row r="58" spans="1:27">
      <c r="A58" s="53" t="s">
        <v>97</v>
      </c>
      <c r="B58" s="31" t="s">
        <v>36</v>
      </c>
      <c r="C58" s="31" t="s">
        <v>68</v>
      </c>
      <c r="D58" s="31" t="s">
        <v>53</v>
      </c>
      <c r="E58" s="31" t="s">
        <v>100</v>
      </c>
      <c r="F58" s="31">
        <v>46</v>
      </c>
      <c r="G58" s="33">
        <v>1092.4000000000001</v>
      </c>
      <c r="H58" s="35" t="str">
        <f t="shared" ca="1" si="0"/>
        <v>▲</v>
      </c>
      <c r="I58" s="33">
        <v>983.16</v>
      </c>
      <c r="J58" s="33">
        <f t="shared" ca="1" si="1"/>
        <v>105.84000000000003</v>
      </c>
      <c r="K58" s="36">
        <f t="shared" ca="1" si="2"/>
        <v>9.7190082644628126E-2</v>
      </c>
      <c r="L58" s="33">
        <v>50250.400000000001</v>
      </c>
      <c r="M58" s="33">
        <f ca="1">IFERROR(INDEX(Price_Update!$F:$F, MATCH(A58, Price_Update!$A:$A, 0)), 1089)</f>
        <v>1089</v>
      </c>
      <c r="N58" s="33">
        <f ca="1">IFERROR(INDEX(Price_Update!$I:$I, MATCH(A58, Price_Update!$A:$A, 0)), 1084.6)</f>
        <v>1084.5999999999999</v>
      </c>
      <c r="O58" s="33">
        <v>1077.7</v>
      </c>
      <c r="P58" s="33">
        <v>1001.26</v>
      </c>
      <c r="Q58" s="33">
        <v>994.88</v>
      </c>
      <c r="R58" s="33">
        <v>989.32</v>
      </c>
      <c r="S58" s="33">
        <v>960.18</v>
      </c>
      <c r="T58" s="33">
        <f t="shared" ca="1" si="3"/>
        <v>50094</v>
      </c>
      <c r="U58" s="33">
        <f t="shared" ca="1" si="4"/>
        <v>-156.40000000000146</v>
      </c>
      <c r="V58" s="36">
        <f t="shared" ca="1" si="5"/>
        <v>-3.112413035518154E-3</v>
      </c>
      <c r="W58" s="36">
        <v>-0.2475724629886169</v>
      </c>
      <c r="X58" s="31">
        <v>4</v>
      </c>
      <c r="Y58" s="31"/>
      <c r="Z58" s="31" t="s">
        <v>110</v>
      </c>
      <c r="AA58" s="33">
        <v>1077.7</v>
      </c>
    </row>
  </sheetData>
  <autoFilter ref="A1:Z61" xr:uid="{00000000-0009-0000-0000-000004000000}"/>
  <conditionalFormatting sqref="H2:H58">
    <cfRule type="cellIs" dxfId="25" priority="7" operator="equal">
      <formula>"▲"</formula>
    </cfRule>
    <cfRule type="cellIs" dxfId="24" priority="8" operator="equal">
      <formula>"▼"</formula>
    </cfRule>
  </conditionalFormatting>
  <conditionalFormatting sqref="N2:N58">
    <cfRule type="expression" dxfId="23" priority="1">
      <formula>$M2&gt;$N2</formula>
    </cfRule>
    <cfRule type="expression" dxfId="22" priority="2">
      <formula>$M2&lt;=$N2</formula>
    </cfRule>
  </conditionalFormatting>
  <conditionalFormatting sqref="O2:O58">
    <cfRule type="expression" dxfId="21" priority="3">
      <formula>$M2&gt;$O2</formula>
    </cfRule>
    <cfRule type="expression" dxfId="20" priority="4">
      <formula>$M2&lt;=$O2</formula>
    </cfRule>
  </conditionalFormatting>
  <conditionalFormatting sqref="AA2:AA58">
    <cfRule type="expression" dxfId="19" priority="5">
      <formula>$M2&gt;$AA2</formula>
    </cfRule>
    <cfRule type="expression" dxfId="18" priority="6">
      <formula>$M2&lt;=$AA2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1"/>
  <sheetViews>
    <sheetView zoomScaleNormal="100" workbookViewId="0">
      <pane xSplit="2" ySplit="1" topLeftCell="C308" activePane="bottomRight" state="frozen"/>
      <selection pane="topRight"/>
      <selection pane="bottomLeft"/>
      <selection pane="bottomRight" activeCell="C150" sqref="C150"/>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 min="16" max="16" width="20.28515625" customWidth="1"/>
  </cols>
  <sheetData>
    <row r="1" spans="1:17" ht="30" customHeight="1">
      <c r="A1" s="71" t="s">
        <v>724</v>
      </c>
      <c r="B1" s="71" t="s">
        <v>725</v>
      </c>
      <c r="C1" s="71" t="s">
        <v>726</v>
      </c>
      <c r="D1" s="71" t="s">
        <v>62</v>
      </c>
      <c r="E1" s="71" t="s">
        <v>727</v>
      </c>
      <c r="F1" s="71" t="s">
        <v>728</v>
      </c>
      <c r="G1" s="71" t="s">
        <v>729</v>
      </c>
      <c r="H1" s="71"/>
      <c r="I1" s="72"/>
      <c r="J1" s="51"/>
      <c r="K1" s="81"/>
      <c r="L1" s="81" t="s">
        <v>730</v>
      </c>
      <c r="P1">
        <v>3000000</v>
      </c>
    </row>
    <row r="2" spans="1:17">
      <c r="A2" s="73">
        <v>46143</v>
      </c>
      <c r="B2" s="74" t="s">
        <v>623</v>
      </c>
      <c r="C2" s="21" t="e" vm="1">
        <v>#VALUE!</v>
      </c>
      <c r="D2" s="21" t="str">
        <f t="array" aca="1" ref="D2" ca="1">_FV(C2,"Industry")</f>
        <v>Homebuilding &amp; Construction Supplies</v>
      </c>
      <c r="E2" s="21" t="s">
        <v>66</v>
      </c>
      <c r="F2" s="21" t="s">
        <v>731</v>
      </c>
      <c r="G2" s="21" t="s">
        <v>732</v>
      </c>
      <c r="H2" s="21"/>
      <c r="I2" s="80">
        <f t="array" aca="1" ref="I2" ca="1">_FV(C2,"Price")</f>
        <v>1102</v>
      </c>
      <c r="J2" s="84">
        <f t="shared" ref="J2:J32" si="0">$O$4/31</f>
        <v>29032.258064516129</v>
      </c>
      <c r="K2" s="82">
        <f t="shared" ref="K2:K32" ca="1" si="1">J2/I2</f>
        <v>26.345061764533693</v>
      </c>
      <c r="L2" s="83">
        <v>27.492668621700879</v>
      </c>
      <c r="P2">
        <v>100000</v>
      </c>
      <c r="Q2" s="83">
        <f t="shared" ref="Q2:Q32" ca="1" si="2">$P$2/I2</f>
        <v>90.744101633393825</v>
      </c>
    </row>
    <row r="3" spans="1:17">
      <c r="A3" s="73">
        <v>46143</v>
      </c>
      <c r="B3" s="21" t="s">
        <v>84</v>
      </c>
      <c r="C3" s="21" t="e" vm="2">
        <v>#VALUE!</v>
      </c>
      <c r="D3" s="21" t="str">
        <f t="array" aca="1" ref="D3" ca="1">_FV(C3,"Industry")</f>
        <v>Machinery, Equipment &amp; Components</v>
      </c>
      <c r="E3" s="21" t="s">
        <v>64</v>
      </c>
      <c r="F3" s="21" t="s">
        <v>731</v>
      </c>
      <c r="G3" s="21" t="s">
        <v>732</v>
      </c>
      <c r="H3" s="21"/>
      <c r="I3" s="80">
        <f t="array" aca="1" ref="I3" ca="1">_FV(C3,"Price")</f>
        <v>794.95</v>
      </c>
      <c r="J3" s="84">
        <f t="shared" si="0"/>
        <v>29032.258064516129</v>
      </c>
      <c r="K3" s="82">
        <f t="shared" ca="1" si="1"/>
        <v>36.520860512631145</v>
      </c>
      <c r="L3" s="83">
        <v>36.374438469606133</v>
      </c>
      <c r="M3">
        <v>7000000</v>
      </c>
      <c r="N3">
        <v>1600000</v>
      </c>
      <c r="Q3" s="83">
        <f t="shared" ca="1" si="2"/>
        <v>125.79407509906282</v>
      </c>
    </row>
    <row r="4" spans="1:17">
      <c r="A4" s="73">
        <v>46143</v>
      </c>
      <c r="B4" s="21" t="s">
        <v>733</v>
      </c>
      <c r="C4" s="21" t="e" vm="3">
        <v>#VALUE!</v>
      </c>
      <c r="D4" s="21" t="str">
        <f t="array" aca="1" ref="D4" ca="1">_FV(C4,"Industry")</f>
        <v>Pharmaceuticals</v>
      </c>
      <c r="E4" s="21" t="s">
        <v>68</v>
      </c>
      <c r="F4" s="21" t="s">
        <v>731</v>
      </c>
      <c r="G4" s="21" t="s">
        <v>732</v>
      </c>
      <c r="H4" s="21"/>
      <c r="I4" s="80">
        <f t="array" aca="1" ref="I4" ca="1">_FV(C4,"Price")</f>
        <v>16811</v>
      </c>
      <c r="J4" s="84">
        <f t="shared" si="0"/>
        <v>29032.258064516129</v>
      </c>
      <c r="K4" s="82">
        <f t="shared" ca="1" si="1"/>
        <v>1.7269798384698192</v>
      </c>
      <c r="L4" s="83">
        <v>1.688118273317603</v>
      </c>
      <c r="M4">
        <f>M3-N3</f>
        <v>5400000</v>
      </c>
      <c r="N4">
        <v>6</v>
      </c>
      <c r="O4">
        <f>M4/N4</f>
        <v>900000</v>
      </c>
      <c r="Q4" s="83">
        <f t="shared" ca="1" si="2"/>
        <v>5.9484861102849322</v>
      </c>
    </row>
    <row r="5" spans="1:17">
      <c r="A5" s="73">
        <v>46143</v>
      </c>
      <c r="B5" s="21" t="s">
        <v>628</v>
      </c>
      <c r="C5" s="21" t="e" vm="4">
        <v>#VALUE!</v>
      </c>
      <c r="D5" s="21" t="str">
        <f t="array" aca="1" ref="D5" ca="1">_FV(C5,"Industry")</f>
        <v>Machinery, Equipment &amp; Components</v>
      </c>
      <c r="E5" s="21" t="s">
        <v>64</v>
      </c>
      <c r="F5" s="21" t="s">
        <v>734</v>
      </c>
      <c r="G5" s="21" t="s">
        <v>732</v>
      </c>
      <c r="H5" s="21"/>
      <c r="I5" s="80">
        <f t="array" aca="1" ref="I5" ca="1">_FV(C5,"Price")</f>
        <v>36870</v>
      </c>
      <c r="J5" s="84">
        <f t="shared" si="0"/>
        <v>29032.258064516129</v>
      </c>
      <c r="K5" s="82">
        <f t="shared" ca="1" si="1"/>
        <v>0.78742224205359723</v>
      </c>
      <c r="L5" s="83">
        <v>0.79802798418131193</v>
      </c>
      <c r="Q5" s="83">
        <f t="shared" ca="1" si="2"/>
        <v>2.7122321670735015</v>
      </c>
    </row>
    <row r="6" spans="1:17">
      <c r="A6" s="73">
        <v>46143</v>
      </c>
      <c r="B6" s="21" t="s">
        <v>631</v>
      </c>
      <c r="C6" s="21" t="e" vm="5">
        <v>#VALUE!</v>
      </c>
      <c r="D6" s="21" t="str">
        <f t="array" aca="1" ref="D6" ca="1">_FV(C6,"Industry")</f>
        <v>Electronic Equipment &amp; Parts</v>
      </c>
      <c r="E6" s="21" t="s">
        <v>64</v>
      </c>
      <c r="F6" s="21" t="s">
        <v>731</v>
      </c>
      <c r="G6" s="21" t="s">
        <v>732</v>
      </c>
      <c r="H6" s="21"/>
      <c r="I6" s="80">
        <f t="array" aca="1" ref="I6" ca="1">_FV(C6,"Price")</f>
        <v>1226.8</v>
      </c>
      <c r="J6" s="84">
        <f t="shared" si="0"/>
        <v>29032.258064516129</v>
      </c>
      <c r="K6" s="82">
        <f t="shared" ca="1" si="1"/>
        <v>23.665029397225407</v>
      </c>
      <c r="L6" s="83">
        <v>26.218963302191032</v>
      </c>
      <c r="Q6" s="83">
        <f t="shared" ca="1" si="2"/>
        <v>81.512879034887519</v>
      </c>
    </row>
    <row r="7" spans="1:17">
      <c r="A7" s="73">
        <v>46143</v>
      </c>
      <c r="B7" s="21" t="s">
        <v>634</v>
      </c>
      <c r="C7" s="21" t="e" vm="6">
        <v>#VALUE!</v>
      </c>
      <c r="D7" s="21" t="str">
        <f t="array" aca="1" ref="D7" ca="1">_FV(C7,"Industry")</f>
        <v>Beverages</v>
      </c>
      <c r="E7" s="21" t="s">
        <v>66</v>
      </c>
      <c r="F7" s="21" t="s">
        <v>735</v>
      </c>
      <c r="G7" s="21" t="s">
        <v>732</v>
      </c>
      <c r="H7" s="21"/>
      <c r="I7" s="80">
        <f t="array" aca="1" ref="I7" ca="1">_FV(C7,"Price")</f>
        <v>523.29999999999995</v>
      </c>
      <c r="J7" s="84">
        <f t="shared" si="0"/>
        <v>29032.258064516129</v>
      </c>
      <c r="K7" s="82">
        <f t="shared" ca="1" si="1"/>
        <v>55.479186058696982</v>
      </c>
      <c r="L7" s="83">
        <v>55.246923053313282</v>
      </c>
      <c r="Q7" s="83">
        <f t="shared" ca="1" si="2"/>
        <v>191.09497420217849</v>
      </c>
    </row>
    <row r="8" spans="1:17">
      <c r="A8" s="73">
        <v>46143</v>
      </c>
      <c r="B8" s="21" t="s">
        <v>637</v>
      </c>
      <c r="C8" s="21" t="e" vm="7">
        <v>#VALUE!</v>
      </c>
      <c r="D8" s="21" t="str">
        <f t="array" aca="1" ref="D8" ca="1">_FV(C8,"Industry")</f>
        <v>Automobiles &amp; Auto Parts</v>
      </c>
      <c r="E8" s="21" t="s">
        <v>66</v>
      </c>
      <c r="F8" s="21" t="s">
        <v>735</v>
      </c>
      <c r="G8" s="21" t="s">
        <v>732</v>
      </c>
      <c r="H8" s="21"/>
      <c r="I8" s="80">
        <f t="array" aca="1" ref="I8" ca="1">_FV(C8,"Price")</f>
        <v>10342</v>
      </c>
      <c r="J8" s="84">
        <f t="shared" si="0"/>
        <v>29032.258064516129</v>
      </c>
      <c r="K8" s="82">
        <f t="shared" ca="1" si="1"/>
        <v>2.8072189194078638</v>
      </c>
      <c r="L8" s="83">
        <v>2.79802024523093</v>
      </c>
      <c r="Q8" s="83">
        <f t="shared" ca="1" si="2"/>
        <v>9.6693096112937535</v>
      </c>
    </row>
    <row r="9" spans="1:17">
      <c r="A9" s="73">
        <v>46143</v>
      </c>
      <c r="B9" s="21" t="s">
        <v>640</v>
      </c>
      <c r="C9" s="21" t="e" vm="8">
        <v>#VALUE!</v>
      </c>
      <c r="D9" s="21" t="str">
        <f t="array" aca="1" ref="D9" ca="1">_FV(C9,"Industry")</f>
        <v>Media &amp; Publishing</v>
      </c>
      <c r="E9" s="21" t="s">
        <v>736</v>
      </c>
      <c r="F9" s="21" t="s">
        <v>731</v>
      </c>
      <c r="G9" s="21" t="s">
        <v>732</v>
      </c>
      <c r="H9" s="21"/>
      <c r="I9" s="80">
        <f t="array" aca="1" ref="I9" ca="1">_FV(C9,"Price")</f>
        <v>690.95</v>
      </c>
      <c r="J9" s="84">
        <f t="shared" si="0"/>
        <v>29032.258064516129</v>
      </c>
      <c r="K9" s="82">
        <f t="shared" ca="1" si="1"/>
        <v>42.017885613309396</v>
      </c>
      <c r="L9" s="83">
        <v>44.310528181495918</v>
      </c>
      <c r="Q9" s="83">
        <f t="shared" ca="1" si="2"/>
        <v>144.7282726680657</v>
      </c>
    </row>
    <row r="10" spans="1:17">
      <c r="A10" s="73">
        <v>46143</v>
      </c>
      <c r="B10" s="21" t="s">
        <v>643</v>
      </c>
      <c r="C10" s="21" t="e" vm="9">
        <v>#VALUE!</v>
      </c>
      <c r="D10" s="21" t="str">
        <f t="array" aca="1" ref="D10" ca="1">_FV(C10,"Industry")</f>
        <v>Machinery, Equipment &amp; Components</v>
      </c>
      <c r="E10" s="21" t="s">
        <v>64</v>
      </c>
      <c r="F10" s="21" t="s">
        <v>731</v>
      </c>
      <c r="G10" s="21" t="s">
        <v>732</v>
      </c>
      <c r="H10" s="21"/>
      <c r="I10" s="80">
        <f t="array" aca="1" ref="I10" ca="1">_FV(C10,"Price")</f>
        <v>4630.7</v>
      </c>
      <c r="J10" s="84">
        <f t="shared" si="0"/>
        <v>29032.258064516129</v>
      </c>
      <c r="K10" s="82">
        <f t="shared" ca="1" si="1"/>
        <v>6.2695182293208651</v>
      </c>
      <c r="L10" s="83">
        <v>6.419231446816311</v>
      </c>
      <c r="Q10" s="83">
        <f t="shared" ca="1" si="2"/>
        <v>21.595007234327426</v>
      </c>
    </row>
    <row r="11" spans="1:17">
      <c r="A11" s="73">
        <v>46143</v>
      </c>
      <c r="B11" s="21" t="s">
        <v>564</v>
      </c>
      <c r="C11" s="21" t="e" vm="10">
        <v>#VALUE!</v>
      </c>
      <c r="D11" s="21" t="str">
        <f t="array" aca="1" ref="D11" ca="1">_FV(C11,"Industry")</f>
        <v>Chemicals</v>
      </c>
      <c r="E11" s="21" t="s">
        <v>68</v>
      </c>
      <c r="F11" s="21" t="s">
        <v>731</v>
      </c>
      <c r="G11" s="21" t="s">
        <v>732</v>
      </c>
      <c r="H11" s="21"/>
      <c r="I11" s="80">
        <f t="array" aca="1" ref="I11" ca="1">_FV(C11,"Price")</f>
        <v>3328.3</v>
      </c>
      <c r="J11" s="84">
        <f t="shared" si="0"/>
        <v>29032.258064516129</v>
      </c>
      <c r="K11" s="82">
        <f t="shared" ca="1" si="1"/>
        <v>8.7228489212258893</v>
      </c>
      <c r="L11" s="83">
        <v>9.6168333050171011</v>
      </c>
      <c r="Q11" s="83">
        <f t="shared" ca="1" si="2"/>
        <v>30.045368506444731</v>
      </c>
    </row>
    <row r="12" spans="1:17">
      <c r="A12" s="73">
        <v>46143</v>
      </c>
      <c r="B12" s="21" t="s">
        <v>647</v>
      </c>
      <c r="C12" s="21" t="e" vm="11">
        <v>#VALUE!</v>
      </c>
      <c r="D12" s="21" t="str">
        <f t="array" aca="1" ref="D12" ca="1">_FV(C12,"Industry")</f>
        <v>Software &amp; IT Services</v>
      </c>
      <c r="E12" s="21" t="s">
        <v>736</v>
      </c>
      <c r="F12" s="21" t="s">
        <v>734</v>
      </c>
      <c r="G12" s="21" t="s">
        <v>732</v>
      </c>
      <c r="H12" s="21"/>
      <c r="I12" s="80">
        <f t="array" aca="1" ref="I12" ca="1">_FV(C12,"Price")</f>
        <v>9936.5</v>
      </c>
      <c r="J12" s="84">
        <f t="shared" si="0"/>
        <v>29032.258064516129</v>
      </c>
      <c r="K12" s="82">
        <f t="shared" ca="1" si="1"/>
        <v>2.9217791037604921</v>
      </c>
      <c r="L12" s="83">
        <v>2.8488134691900822</v>
      </c>
      <c r="Q12" s="83">
        <f t="shared" ca="1" si="2"/>
        <v>10.063905801841695</v>
      </c>
    </row>
    <row r="13" spans="1:17">
      <c r="A13" s="73">
        <v>46143</v>
      </c>
      <c r="B13" s="21" t="s">
        <v>650</v>
      </c>
      <c r="C13" s="21" t="e" vm="12">
        <v>#VALUE!</v>
      </c>
      <c r="D13" s="21" t="str">
        <f t="array" aca="1" ref="D13" ca="1">_FV(C13,"Industry")</f>
        <v>Machinery, Equipment &amp; Components</v>
      </c>
      <c r="E13" s="21" t="s">
        <v>64</v>
      </c>
      <c r="F13" s="21" t="s">
        <v>734</v>
      </c>
      <c r="G13" s="21" t="s">
        <v>732</v>
      </c>
      <c r="H13" s="21"/>
      <c r="I13" s="80">
        <f t="array" aca="1" ref="I13" ca="1">_FV(C13,"Price")</f>
        <v>13878</v>
      </c>
      <c r="J13" s="84">
        <f t="shared" si="0"/>
        <v>29032.258064516129</v>
      </c>
      <c r="K13" s="82">
        <f t="shared" ca="1" si="1"/>
        <v>2.0919626793857997</v>
      </c>
      <c r="L13" s="83">
        <v>2.2679679762921752</v>
      </c>
      <c r="Q13" s="83">
        <f t="shared" ca="1" si="2"/>
        <v>7.2056492289955321</v>
      </c>
    </row>
    <row r="14" spans="1:17">
      <c r="A14" s="73">
        <v>46143</v>
      </c>
      <c r="B14" s="21" t="s">
        <v>653</v>
      </c>
      <c r="C14" s="21" t="e" vm="13">
        <v>#VALUE!</v>
      </c>
      <c r="D14" s="21" t="str">
        <f t="array" aca="1" ref="D14" ca="1">_FV(C14,"Industry")</f>
        <v>Machinery, Equipment &amp; Components</v>
      </c>
      <c r="E14" s="21" t="s">
        <v>64</v>
      </c>
      <c r="F14" s="21" t="s">
        <v>731</v>
      </c>
      <c r="G14" s="21" t="s">
        <v>732</v>
      </c>
      <c r="H14" s="21"/>
      <c r="I14" s="80">
        <f t="array" aca="1" ref="I14" ca="1">_FV(C14,"Price")</f>
        <v>9065</v>
      </c>
      <c r="J14" s="84">
        <f t="shared" si="0"/>
        <v>29032.258064516129</v>
      </c>
      <c r="K14" s="82">
        <f t="shared" ca="1" si="1"/>
        <v>3.2026760137359216</v>
      </c>
      <c r="L14" s="85">
        <v>3.309839601495312</v>
      </c>
      <c r="Q14" s="83">
        <f t="shared" ca="1" si="2"/>
        <v>11.031439602868174</v>
      </c>
    </row>
    <row r="15" spans="1:17">
      <c r="A15" s="73">
        <v>46143</v>
      </c>
      <c r="B15" s="21" t="s">
        <v>659</v>
      </c>
      <c r="C15" s="21" t="e" vm="14">
        <v>#VALUE!</v>
      </c>
      <c r="D15" s="21" t="str">
        <f t="array" aca="1" ref="D15" ca="1">_FV(C15,"Industry")</f>
        <v>Healthcare Providers &amp; Services</v>
      </c>
      <c r="E15" s="21" t="s">
        <v>68</v>
      </c>
      <c r="F15" s="21" t="s">
        <v>731</v>
      </c>
      <c r="G15" s="21" t="s">
        <v>732</v>
      </c>
      <c r="H15" s="21"/>
      <c r="I15" s="80">
        <f t="array" aca="1" ref="I15" ca="1">_FV(C15,"Price")</f>
        <v>1536.9</v>
      </c>
      <c r="J15" s="84">
        <f t="shared" si="0"/>
        <v>29032.258064516129</v>
      </c>
      <c r="K15" s="82">
        <f t="shared" ca="1" si="1"/>
        <v>18.890141235289303</v>
      </c>
      <c r="L15" s="85">
        <v>18.406300681237639</v>
      </c>
      <c r="Q15" s="83">
        <f t="shared" ca="1" si="2"/>
        <v>65.066042032663148</v>
      </c>
    </row>
    <row r="16" spans="1:17">
      <c r="A16" s="73">
        <v>46143</v>
      </c>
      <c r="B16" s="21" t="s">
        <v>82</v>
      </c>
      <c r="C16" s="21" t="e" vm="15">
        <v>#VALUE!</v>
      </c>
      <c r="D16" s="21" t="str">
        <f t="array" aca="1" ref="D16" ca="1">_FV(C16,"Industry")</f>
        <v>Chemicals</v>
      </c>
      <c r="E16" s="21" t="s">
        <v>68</v>
      </c>
      <c r="F16" s="21" t="s">
        <v>731</v>
      </c>
      <c r="G16" s="21" t="s">
        <v>732</v>
      </c>
      <c r="H16" s="21"/>
      <c r="I16" s="80">
        <f t="array" aca="1" ref="I16" ca="1">_FV(C16,"Price")</f>
        <v>40.729999999999997</v>
      </c>
      <c r="J16" s="84">
        <f t="shared" si="0"/>
        <v>29032.258064516129</v>
      </c>
      <c r="K16" s="82">
        <f t="shared" ca="1" si="1"/>
        <v>712.79789011824528</v>
      </c>
      <c r="L16" s="85">
        <v>710.00875677466684</v>
      </c>
      <c r="Q16" s="83">
        <f t="shared" ca="1" si="2"/>
        <v>2455.1927326295117</v>
      </c>
    </row>
    <row r="17" spans="1:17">
      <c r="A17" s="73">
        <v>46143</v>
      </c>
      <c r="B17" s="21" t="s">
        <v>664</v>
      </c>
      <c r="C17" s="21" t="e" vm="16">
        <v>#VALUE!</v>
      </c>
      <c r="D17" s="21" t="str">
        <f t="array" aca="1" ref="D17" ca="1">_FV(C17,"Industry")</f>
        <v>Machinery, Equipment &amp; Components</v>
      </c>
      <c r="E17" s="21" t="s">
        <v>66</v>
      </c>
      <c r="F17" s="21" t="s">
        <v>734</v>
      </c>
      <c r="G17" s="21" t="s">
        <v>732</v>
      </c>
      <c r="H17" s="21"/>
      <c r="I17" s="80">
        <f t="array" aca="1" ref="I17" ca="1">_FV(C17,"Price")</f>
        <v>5335.5</v>
      </c>
      <c r="J17" s="84">
        <f t="shared" si="0"/>
        <v>29032.258064516129</v>
      </c>
      <c r="K17" s="82">
        <f t="shared" ca="1" si="1"/>
        <v>5.4413378435978128</v>
      </c>
      <c r="L17" s="85">
        <v>5.6111824631844076</v>
      </c>
      <c r="Q17" s="83">
        <f t="shared" ca="1" si="2"/>
        <v>18.742385905725801</v>
      </c>
    </row>
    <row r="18" spans="1:17">
      <c r="A18" s="73">
        <v>46143</v>
      </c>
      <c r="B18" s="21" t="s">
        <v>667</v>
      </c>
      <c r="C18" s="21" t="e" vm="17">
        <v>#VALUE!</v>
      </c>
      <c r="D18" s="21" t="str">
        <f t="array" aca="1" ref="D18" ca="1">_FV(C18,"Industry")</f>
        <v>Chemicals</v>
      </c>
      <c r="E18" s="21" t="s">
        <v>68</v>
      </c>
      <c r="F18" s="21" t="s">
        <v>731</v>
      </c>
      <c r="G18" s="21" t="s">
        <v>732</v>
      </c>
      <c r="H18" s="21"/>
      <c r="I18" s="80">
        <f t="array" aca="1" ref="I18" ca="1">_FV(C18,"Price")</f>
        <v>666.7</v>
      </c>
      <c r="J18" s="84">
        <f t="shared" si="0"/>
        <v>29032.258064516129</v>
      </c>
      <c r="K18" s="82">
        <f t="shared" ca="1" si="1"/>
        <v>43.546209786284876</v>
      </c>
      <c r="L18" s="85">
        <v>42.710199432903472</v>
      </c>
      <c r="Q18" s="83">
        <f t="shared" ca="1" si="2"/>
        <v>149.99250037498123</v>
      </c>
    </row>
    <row r="19" spans="1:17">
      <c r="A19" s="73">
        <v>46143</v>
      </c>
      <c r="B19" s="21" t="s">
        <v>670</v>
      </c>
      <c r="C19" s="21" t="e" vm="18">
        <v>#VALUE!</v>
      </c>
      <c r="D19" s="21" t="str">
        <f t="array" aca="1" ref="D19" ca="1">_FV(C19,"Industry")</f>
        <v>Healthcare Providers &amp; Services</v>
      </c>
      <c r="E19" s="21" t="s">
        <v>68</v>
      </c>
      <c r="F19" s="21" t="s">
        <v>734</v>
      </c>
      <c r="G19" s="21" t="s">
        <v>732</v>
      </c>
      <c r="H19" s="21"/>
      <c r="I19" s="80">
        <f t="array" aca="1" ref="I19" ca="1">_FV(C19,"Price")</f>
        <v>1969.2</v>
      </c>
      <c r="J19" s="84">
        <f t="shared" si="0"/>
        <v>29032.258064516129</v>
      </c>
      <c r="K19" s="82">
        <f t="shared" ca="1" si="1"/>
        <v>14.743173910479447</v>
      </c>
      <c r="L19" s="85">
        <v>15.244031538207469</v>
      </c>
      <c r="Q19" s="83">
        <f t="shared" ca="1" si="2"/>
        <v>50.782043469429212</v>
      </c>
    </row>
    <row r="20" spans="1:17">
      <c r="A20" s="73">
        <v>46143</v>
      </c>
      <c r="B20" s="21" t="s">
        <v>73</v>
      </c>
      <c r="C20" s="21" t="e" vm="19">
        <v>#VALUE!</v>
      </c>
      <c r="D20" s="21" t="str">
        <f t="array" aca="1" ref="D20" ca="1">_FV(C20,"Industry")</f>
        <v>Machinery, Equipment &amp; Components</v>
      </c>
      <c r="E20" s="21" t="s">
        <v>66</v>
      </c>
      <c r="F20" s="21" t="s">
        <v>735</v>
      </c>
      <c r="G20" s="21" t="s">
        <v>732</v>
      </c>
      <c r="H20" s="21"/>
      <c r="I20" s="80">
        <f t="array" aca="1" ref="I20" ca="1">_FV(C20,"Price")</f>
        <v>9699</v>
      </c>
      <c r="J20" s="84">
        <f t="shared" si="0"/>
        <v>29032.258064516129</v>
      </c>
      <c r="K20" s="82">
        <f t="shared" ca="1" si="1"/>
        <v>2.9933248855053232</v>
      </c>
      <c r="L20" s="85">
        <v>3.0623129649824512</v>
      </c>
      <c r="Q20" s="83">
        <f t="shared" ca="1" si="2"/>
        <v>10.310341272296114</v>
      </c>
    </row>
    <row r="21" spans="1:17">
      <c r="A21" s="73">
        <v>46143</v>
      </c>
      <c r="B21" s="21" t="s">
        <v>673</v>
      </c>
      <c r="C21" s="21" t="e" vm="20">
        <v>#VALUE!</v>
      </c>
      <c r="D21" s="21" t="str">
        <f t="array" aca="1" ref="D21" ca="1">_FV(C21,"Industry")</f>
        <v>Construction &amp; Engineering</v>
      </c>
      <c r="E21" s="21" t="s">
        <v>64</v>
      </c>
      <c r="F21" s="21" t="s">
        <v>731</v>
      </c>
      <c r="G21" s="21" t="s">
        <v>732</v>
      </c>
      <c r="H21" s="21"/>
      <c r="I21" s="80">
        <f t="array" aca="1" ref="I21" ca="1">_FV(C21,"Price")</f>
        <v>873.45</v>
      </c>
      <c r="J21" s="84">
        <f t="shared" si="0"/>
        <v>29032.258064516129</v>
      </c>
      <c r="K21" s="82">
        <f t="shared" ca="1" si="1"/>
        <v>33.238603313888746</v>
      </c>
      <c r="L21" s="85">
        <v>34.568384907443154</v>
      </c>
      <c r="Q21" s="83">
        <f t="shared" ca="1" si="2"/>
        <v>114.4885225256168</v>
      </c>
    </row>
    <row r="22" spans="1:17">
      <c r="A22" s="73">
        <v>46143</v>
      </c>
      <c r="B22" s="21" t="s">
        <v>676</v>
      </c>
      <c r="C22" s="21" t="e" vm="21">
        <v>#VALUE!</v>
      </c>
      <c r="D22" s="21" t="str">
        <f t="array" aca="1" ref="D22" ca="1">_FV(C22,"Industry")</f>
        <v>Healthcare Providers &amp; Services</v>
      </c>
      <c r="E22" s="21" t="s">
        <v>68</v>
      </c>
      <c r="F22" s="21" t="s">
        <v>731</v>
      </c>
      <c r="G22" s="21" t="s">
        <v>732</v>
      </c>
      <c r="H22" s="21"/>
      <c r="I22" s="80">
        <f t="array" aca="1" ref="I22" ca="1">_FV(C22,"Price")</f>
        <v>1343.3</v>
      </c>
      <c r="J22" s="84">
        <f t="shared" si="0"/>
        <v>29032.258064516129</v>
      </c>
      <c r="K22" s="82">
        <f t="shared" ca="1" si="1"/>
        <v>21.612639071328914</v>
      </c>
      <c r="L22" s="85">
        <v>21.197618329816098</v>
      </c>
      <c r="Q22" s="83">
        <f t="shared" ca="1" si="2"/>
        <v>74.443534579021815</v>
      </c>
    </row>
    <row r="23" spans="1:17">
      <c r="A23" s="73">
        <v>46143</v>
      </c>
      <c r="B23" s="21" t="s">
        <v>679</v>
      </c>
      <c r="C23" s="21" t="e" vm="22">
        <v>#VALUE!</v>
      </c>
      <c r="D23" s="21" t="str">
        <f t="array" aca="1" ref="D23" ca="1">_FV(C23,"Industry")</f>
        <v>Machinery, Equipment &amp; Components</v>
      </c>
      <c r="E23" s="21" t="s">
        <v>64</v>
      </c>
      <c r="F23" s="21" t="s">
        <v>731</v>
      </c>
      <c r="G23" s="21" t="s">
        <v>732</v>
      </c>
      <c r="H23" s="21"/>
      <c r="I23" s="80">
        <f t="array" aca="1" ref="I23" ca="1">_FV(C23,"Price")</f>
        <v>712.7</v>
      </c>
      <c r="J23" s="84">
        <f t="shared" si="0"/>
        <v>29032.258064516129</v>
      </c>
      <c r="K23" s="82">
        <f t="shared" ca="1" si="1"/>
        <v>40.735594309690093</v>
      </c>
      <c r="L23" s="85">
        <v>39.726680438582562</v>
      </c>
      <c r="Q23" s="83">
        <f t="shared" ca="1" si="2"/>
        <v>140.31149151115474</v>
      </c>
    </row>
    <row r="24" spans="1:17">
      <c r="A24" s="73">
        <v>46143</v>
      </c>
      <c r="B24" s="21" t="s">
        <v>682</v>
      </c>
      <c r="C24" s="21" t="e" vm="23">
        <v>#VALUE!</v>
      </c>
      <c r="D24" s="21" t="str">
        <f t="array" aca="1" ref="D24" ca="1">_FV(C24,"Industry")</f>
        <v>Machinery, Equipment &amp; Components</v>
      </c>
      <c r="E24" s="21" t="s">
        <v>64</v>
      </c>
      <c r="F24" s="21" t="s">
        <v>731</v>
      </c>
      <c r="G24" s="21" t="s">
        <v>732</v>
      </c>
      <c r="H24" s="21"/>
      <c r="I24" s="80">
        <f t="array" aca="1" ref="I24" ca="1">_FV(C24,"Price")</f>
        <v>3643.6</v>
      </c>
      <c r="J24" s="84">
        <f t="shared" si="0"/>
        <v>29032.258064516129</v>
      </c>
      <c r="K24" s="82">
        <f t="shared" ca="1" si="1"/>
        <v>7.9680146186508205</v>
      </c>
      <c r="L24" s="85">
        <v>8.1804052027377097</v>
      </c>
      <c r="Q24" s="83">
        <f t="shared" ca="1" si="2"/>
        <v>27.445383686463938</v>
      </c>
    </row>
    <row r="25" spans="1:17">
      <c r="A25" s="73">
        <v>46143</v>
      </c>
      <c r="B25" s="21" t="s">
        <v>522</v>
      </c>
      <c r="C25" s="21" t="e" vm="24">
        <v>#VALUE!</v>
      </c>
      <c r="D25" s="21" t="str">
        <f t="array" aca="1" ref="D25" ca="1">_FV(C25,"Industry")</f>
        <v>Chemicals</v>
      </c>
      <c r="E25" s="21" t="s">
        <v>64</v>
      </c>
      <c r="F25" s="21" t="s">
        <v>735</v>
      </c>
      <c r="G25" s="21" t="s">
        <v>732</v>
      </c>
      <c r="H25" s="21"/>
      <c r="I25" s="80">
        <f t="array" aca="1" ref="I25" ca="1">_FV(C25,"Price")</f>
        <v>18441</v>
      </c>
      <c r="J25" s="84">
        <f t="shared" si="0"/>
        <v>29032.258064516129</v>
      </c>
      <c r="K25" s="82">
        <f t="shared" ca="1" si="1"/>
        <v>1.5743320896109825</v>
      </c>
      <c r="L25" s="85">
        <v>1.5949161162729291</v>
      </c>
      <c r="Q25" s="83">
        <f t="shared" ca="1" si="2"/>
        <v>5.4226994197711624</v>
      </c>
    </row>
    <row r="26" spans="1:17">
      <c r="A26" s="73">
        <v>46143</v>
      </c>
      <c r="B26" s="21" t="s">
        <v>112</v>
      </c>
      <c r="C26" s="21" t="e" vm="25">
        <v>#VALUE!</v>
      </c>
      <c r="D26" s="21" t="str">
        <f t="array" aca="1" ref="D26" ca="1">_FV(C26,"Industry")</f>
        <v>Healthcare Providers &amp; Services</v>
      </c>
      <c r="E26" s="21" t="s">
        <v>68</v>
      </c>
      <c r="F26" s="21" t="s">
        <v>731</v>
      </c>
      <c r="G26" s="21" t="s">
        <v>732</v>
      </c>
      <c r="H26" s="21"/>
      <c r="I26" s="80">
        <f t="array" aca="1" ref="I26" ca="1">_FV(C26,"Price")</f>
        <v>533.20000000000005</v>
      </c>
      <c r="J26" s="84">
        <f t="shared" si="0"/>
        <v>29032.258064516129</v>
      </c>
      <c r="K26" s="82">
        <f t="shared" ca="1" si="1"/>
        <v>54.449096145003985</v>
      </c>
      <c r="L26" s="85">
        <v>53.678946222642367</v>
      </c>
      <c r="Q26" s="83">
        <f t="shared" ca="1" si="2"/>
        <v>187.54688672168041</v>
      </c>
    </row>
    <row r="27" spans="1:17">
      <c r="A27" s="73">
        <v>46143</v>
      </c>
      <c r="B27" s="21" t="s">
        <v>687</v>
      </c>
      <c r="C27" s="21" t="e" vm="26">
        <v>#VALUE!</v>
      </c>
      <c r="D27" s="21" t="str">
        <f t="array" aca="1" ref="D27" ca="1">_FV(C27,"Industry")</f>
        <v>Chemicals</v>
      </c>
      <c r="E27" s="21" t="s">
        <v>68</v>
      </c>
      <c r="F27" s="21" t="s">
        <v>731</v>
      </c>
      <c r="G27" s="21" t="s">
        <v>732</v>
      </c>
      <c r="H27" s="21"/>
      <c r="I27" s="80">
        <f t="array" aca="1" ref="I27" ca="1">_FV(C27,"Price")</f>
        <v>7032.5</v>
      </c>
      <c r="J27" s="84">
        <f t="shared" si="0"/>
        <v>29032.258064516129</v>
      </c>
      <c r="K27" s="82">
        <f t="shared" ca="1" si="1"/>
        <v>4.1282983383599188</v>
      </c>
      <c r="L27" s="85">
        <v>4.1483543708674899</v>
      </c>
      <c r="Q27" s="83">
        <f t="shared" ca="1" si="2"/>
        <v>14.219694276573053</v>
      </c>
    </row>
    <row r="28" spans="1:17">
      <c r="A28" s="73">
        <v>46143</v>
      </c>
      <c r="B28" s="21" t="s">
        <v>81</v>
      </c>
      <c r="C28" s="21" t="e" vm="27">
        <v>#VALUE!</v>
      </c>
      <c r="D28" s="21" t="str">
        <f t="array" aca="1" ref="D28" ca="1">_FV(C28,"Industry")</f>
        <v>Pharmaceuticals</v>
      </c>
      <c r="E28" s="21" t="s">
        <v>68</v>
      </c>
      <c r="F28" s="21" t="s">
        <v>731</v>
      </c>
      <c r="G28" s="21" t="s">
        <v>732</v>
      </c>
      <c r="H28" s="21"/>
      <c r="I28" s="80">
        <f t="array" aca="1" ref="I28" ca="1">_FV(C28,"Price")</f>
        <v>2742.6</v>
      </c>
      <c r="J28" s="84">
        <f t="shared" si="0"/>
        <v>29032.258064516129</v>
      </c>
      <c r="K28" s="82">
        <f t="shared" ca="1" si="1"/>
        <v>10.585669825901018</v>
      </c>
      <c r="L28" s="85">
        <v>10.595714622086181</v>
      </c>
      <c r="Q28" s="83">
        <f t="shared" ca="1" si="2"/>
        <v>36.461751622547951</v>
      </c>
    </row>
    <row r="29" spans="1:17">
      <c r="A29" s="73">
        <v>46143</v>
      </c>
      <c r="B29" s="21" t="s">
        <v>692</v>
      </c>
      <c r="C29" s="21" t="e" vm="28">
        <v>#VALUE!</v>
      </c>
      <c r="D29" s="21" t="str">
        <f t="array" aca="1" ref="D29" ca="1">_FV(C29,"Industry")</f>
        <v>Pharmaceuticals</v>
      </c>
      <c r="E29" s="21" t="s">
        <v>68</v>
      </c>
      <c r="F29" s="21" t="s">
        <v>731</v>
      </c>
      <c r="G29" s="21" t="s">
        <v>732</v>
      </c>
      <c r="H29" s="21"/>
      <c r="I29" s="80">
        <f t="array" aca="1" ref="I29" ca="1">_FV(C29,"Price")</f>
        <v>2033.1</v>
      </c>
      <c r="J29" s="84">
        <f t="shared" si="0"/>
        <v>29032.258064516129</v>
      </c>
      <c r="K29" s="82">
        <f t="shared" ca="1" si="1"/>
        <v>14.279798369247027</v>
      </c>
      <c r="L29" s="85">
        <v>14.524117296771291</v>
      </c>
      <c r="Q29" s="83">
        <f t="shared" ca="1" si="2"/>
        <v>49.185972160739759</v>
      </c>
    </row>
    <row r="30" spans="1:17">
      <c r="A30" s="73">
        <v>46143</v>
      </c>
      <c r="B30" s="21" t="s">
        <v>232</v>
      </c>
      <c r="C30" s="21" t="e" vm="29">
        <v>#VALUE!</v>
      </c>
      <c r="D30" s="21" t="str">
        <f t="array" aca="1" ref="D30" ca="1">_FV(C30,"Industry")</f>
        <v>Machinery, Equipment &amp; Components</v>
      </c>
      <c r="E30" s="21" t="s">
        <v>64</v>
      </c>
      <c r="F30" s="21" t="s">
        <v>731</v>
      </c>
      <c r="G30" s="21" t="s">
        <v>732</v>
      </c>
      <c r="H30" s="21"/>
      <c r="I30" s="80">
        <f t="array" aca="1" ref="I30" ca="1">_FV(C30,"Price")</f>
        <v>686.9</v>
      </c>
      <c r="J30" s="84">
        <f t="shared" si="0"/>
        <v>29032.258064516129</v>
      </c>
      <c r="K30" s="82">
        <f t="shared" ca="1" si="1"/>
        <v>42.265625366889111</v>
      </c>
      <c r="L30" s="85">
        <v>41.80310736431408</v>
      </c>
      <c r="Q30" s="83">
        <f t="shared" ca="1" si="2"/>
        <v>145.58159848595139</v>
      </c>
    </row>
    <row r="31" spans="1:17">
      <c r="A31" s="73">
        <v>46143</v>
      </c>
      <c r="B31" s="21" t="s">
        <v>72</v>
      </c>
      <c r="C31" s="21" t="e" vm="30">
        <v>#VALUE!</v>
      </c>
      <c r="D31" s="21" t="str">
        <f t="array" aca="1" ref="D31" ca="1">_FV(C31,"Industry")</f>
        <v>Machinery, Equipment &amp; Components</v>
      </c>
      <c r="E31" s="21" t="s">
        <v>64</v>
      </c>
      <c r="F31" s="21" t="s">
        <v>731</v>
      </c>
      <c r="G31" s="21" t="s">
        <v>732</v>
      </c>
      <c r="H31" s="21"/>
      <c r="I31" s="80">
        <f t="array" aca="1" ref="I31" ca="1">_FV(C31,"Price")</f>
        <v>1312.8</v>
      </c>
      <c r="J31" s="84">
        <f t="shared" si="0"/>
        <v>29032.258064516129</v>
      </c>
      <c r="K31" s="82">
        <f t="shared" ca="1" si="1"/>
        <v>22.114760865719173</v>
      </c>
      <c r="L31" s="83">
        <v>23.590036616979059</v>
      </c>
      <c r="Q31" s="83">
        <f t="shared" ca="1" si="2"/>
        <v>76.173065204143811</v>
      </c>
    </row>
    <row r="32" spans="1:17">
      <c r="A32" s="73">
        <v>46143</v>
      </c>
      <c r="B32" s="21" t="s">
        <v>79</v>
      </c>
      <c r="C32" s="21" t="e" vm="31">
        <v>#VALUE!</v>
      </c>
      <c r="D32" s="21" t="str">
        <f t="array" aca="1" ref="D32" ca="1">_FV(C32,"Industry")</f>
        <v>Machinery, Equipment &amp; Components</v>
      </c>
      <c r="E32" s="21" t="s">
        <v>64</v>
      </c>
      <c r="F32" s="21" t="s">
        <v>734</v>
      </c>
      <c r="G32" s="21" t="s">
        <v>732</v>
      </c>
      <c r="H32" s="21"/>
      <c r="I32" s="80">
        <f t="array" aca="1" ref="I32" ca="1">_FV(C32,"Price")</f>
        <v>5067</v>
      </c>
      <c r="J32" s="84">
        <f t="shared" si="0"/>
        <v>29032.258064516129</v>
      </c>
      <c r="K32" s="82">
        <f t="shared" ca="1" si="1"/>
        <v>5.7296739815504498</v>
      </c>
      <c r="L32" s="83">
        <v>6.1056273532105427</v>
      </c>
      <c r="Q32" s="83">
        <f t="shared" ca="1" si="2"/>
        <v>19.735543714229326</v>
      </c>
    </row>
    <row r="33" spans="1:8">
      <c r="A33" s="73">
        <v>46143</v>
      </c>
      <c r="B33" s="75" t="s">
        <v>737</v>
      </c>
      <c r="C33" s="21" t="e" vm="32">
        <v>#VALUE!</v>
      </c>
      <c r="D33" s="21" t="str">
        <f t="array" aca="1" ref="D33" ca="1">_FV(C33,"Industry")</f>
        <v>Electrical Utilities &amp; IPPs</v>
      </c>
      <c r="E33" s="21" t="s">
        <v>64</v>
      </c>
      <c r="F33" s="21" t="s">
        <v>735</v>
      </c>
      <c r="G33" s="21" t="s">
        <v>738</v>
      </c>
      <c r="H33" s="21"/>
    </row>
    <row r="34" spans="1:8">
      <c r="A34" s="73">
        <v>46143</v>
      </c>
      <c r="B34" s="21" t="s">
        <v>739</v>
      </c>
      <c r="C34" s="21" t="e" vm="33">
        <v>#VALUE!</v>
      </c>
      <c r="D34" s="21" t="str">
        <f t="array" aca="1" ref="D34" ca="1">_FV(C34,"Industry")</f>
        <v>Electrical Utilities &amp; IPPs</v>
      </c>
      <c r="E34" s="21" t="s">
        <v>64</v>
      </c>
      <c r="F34" s="21" t="s">
        <v>735</v>
      </c>
      <c r="G34" s="21" t="s">
        <v>738</v>
      </c>
      <c r="H34" s="21"/>
    </row>
    <row r="35" spans="1:8">
      <c r="A35" s="73">
        <v>46143</v>
      </c>
      <c r="B35" s="21" t="s">
        <v>740</v>
      </c>
      <c r="C35" s="21" t="e" vm="34">
        <v>#VALUE!</v>
      </c>
      <c r="D35" s="21" t="str">
        <f t="array" aca="1" ref="D35" ca="1">_FV(C35,"Industry")</f>
        <v>Machinery, Equipment &amp; Components</v>
      </c>
      <c r="E35" s="21" t="s">
        <v>64</v>
      </c>
      <c r="F35" s="21" t="s">
        <v>734</v>
      </c>
      <c r="G35" s="21" t="s">
        <v>738</v>
      </c>
      <c r="H35" s="21"/>
    </row>
    <row r="36" spans="1:8">
      <c r="A36" s="73">
        <v>46143</v>
      </c>
      <c r="B36" s="21" t="s">
        <v>67</v>
      </c>
      <c r="C36" s="21" t="e" vm="35">
        <v>#VALUE!</v>
      </c>
      <c r="D36" s="21" t="str">
        <f t="array" aca="1" ref="D36" ca="1">_FV(C36,"Industry")</f>
        <v>Pharmaceuticals</v>
      </c>
      <c r="E36" s="21" t="s">
        <v>68</v>
      </c>
      <c r="F36" s="21" t="s">
        <v>735</v>
      </c>
      <c r="G36" s="21" t="s">
        <v>738</v>
      </c>
      <c r="H36" s="21"/>
    </row>
    <row r="37" spans="1:8">
      <c r="A37" s="73">
        <v>46143</v>
      </c>
      <c r="B37" s="21" t="s">
        <v>85</v>
      </c>
      <c r="C37" s="21" t="e" vm="36">
        <v>#VALUE!</v>
      </c>
      <c r="D37" s="21" t="str">
        <f t="array" aca="1" ref="D37" ca="1">_FV(C37,"Industry")</f>
        <v>Metals &amp; Mining</v>
      </c>
      <c r="E37" s="21" t="s">
        <v>64</v>
      </c>
      <c r="F37" s="21" t="s">
        <v>734</v>
      </c>
      <c r="G37" s="21" t="s">
        <v>738</v>
      </c>
      <c r="H37" s="21"/>
    </row>
    <row r="38" spans="1:8">
      <c r="A38" s="73">
        <v>46143</v>
      </c>
      <c r="B38" s="21" t="s">
        <v>741</v>
      </c>
      <c r="C38" s="21" t="e" vm="37">
        <v>#VALUE!</v>
      </c>
      <c r="D38" s="21" t="str">
        <f t="array" aca="1" ref="D38" ca="1">_FV(C38,"Industry")</f>
        <v>Machinery, Equipment &amp; Components</v>
      </c>
      <c r="E38" s="21" t="s">
        <v>64</v>
      </c>
      <c r="F38" s="21" t="s">
        <v>731</v>
      </c>
      <c r="G38" s="21" t="s">
        <v>738</v>
      </c>
      <c r="H38" s="21"/>
    </row>
    <row r="39" spans="1:8">
      <c r="A39" s="73">
        <v>46143</v>
      </c>
      <c r="B39" s="21" t="s">
        <v>742</v>
      </c>
      <c r="C39" s="21" t="e" vm="38">
        <v>#VALUE!</v>
      </c>
      <c r="D39" s="21" t="str">
        <f t="array" aca="1" ref="D39" ca="1">_FV(C39,"Industry")</f>
        <v>Automobiles &amp; Auto Parts</v>
      </c>
      <c r="E39" s="21" t="s">
        <v>64</v>
      </c>
      <c r="F39" s="21" t="s">
        <v>731</v>
      </c>
      <c r="G39" s="21" t="s">
        <v>738</v>
      </c>
      <c r="H39" s="21"/>
    </row>
    <row r="40" spans="1:8">
      <c r="A40" s="73">
        <v>46143</v>
      </c>
      <c r="B40" s="21" t="s">
        <v>743</v>
      </c>
      <c r="C40" s="21" t="e" vm="39">
        <v>#VALUE!</v>
      </c>
      <c r="D40" s="21" t="str">
        <f t="array" aca="1" ref="D40" ca="1">_FV(C40,"Industry")</f>
        <v>Machinery, Equipment &amp; Components</v>
      </c>
      <c r="E40" s="21" t="s">
        <v>64</v>
      </c>
      <c r="F40" s="21" t="s">
        <v>735</v>
      </c>
      <c r="G40" s="21" t="s">
        <v>738</v>
      </c>
      <c r="H40" s="21"/>
    </row>
    <row r="41" spans="1:8">
      <c r="A41" s="73">
        <v>46143</v>
      </c>
      <c r="B41" s="21" t="s">
        <v>744</v>
      </c>
      <c r="C41" s="21" t="e" vm="40">
        <v>#VALUE!</v>
      </c>
      <c r="D41" s="21" t="str">
        <f t="array" aca="1" ref="D41" ca="1">_FV(C41,"Industry")</f>
        <v>Chemicals</v>
      </c>
      <c r="E41" s="21" t="s">
        <v>66</v>
      </c>
      <c r="F41" s="21" t="s">
        <v>731</v>
      </c>
      <c r="G41" s="21" t="s">
        <v>738</v>
      </c>
      <c r="H41" s="21"/>
    </row>
    <row r="42" spans="1:8">
      <c r="A42" s="73">
        <v>46143</v>
      </c>
      <c r="B42" s="21" t="s">
        <v>261</v>
      </c>
      <c r="C42" s="21" t="e" vm="41">
        <v>#VALUE!</v>
      </c>
      <c r="D42" s="21" t="str">
        <f t="array" aca="1" ref="D42" ca="1">_FV(C42,"Industry")</f>
        <v>Textiles &amp; Apparel</v>
      </c>
      <c r="E42" s="21" t="s">
        <v>66</v>
      </c>
      <c r="F42" s="21" t="s">
        <v>735</v>
      </c>
      <c r="G42" s="21" t="s">
        <v>738</v>
      </c>
      <c r="H42" s="21"/>
    </row>
    <row r="43" spans="1:8">
      <c r="A43" s="73">
        <v>46143</v>
      </c>
      <c r="B43" s="21" t="s">
        <v>745</v>
      </c>
      <c r="C43" s="21" t="e" vm="42">
        <v>#VALUE!</v>
      </c>
      <c r="D43" s="21" t="str">
        <f t="array" aca="1" ref="D43" ca="1">_FV(C43,"Industry")</f>
        <v>Aerospace &amp; Defense</v>
      </c>
      <c r="E43" s="21" t="s">
        <v>64</v>
      </c>
      <c r="F43" s="21" t="s">
        <v>731</v>
      </c>
      <c r="G43" s="21" t="s">
        <v>738</v>
      </c>
      <c r="H43" s="21"/>
    </row>
    <row r="44" spans="1:8">
      <c r="A44" s="73">
        <v>46143</v>
      </c>
      <c r="B44" s="21" t="s">
        <v>746</v>
      </c>
      <c r="C44" s="21" t="e" vm="43">
        <v>#VALUE!</v>
      </c>
      <c r="D44" s="21" t="str">
        <f t="array" aca="1" ref="D44" ca="1">_FV(C44,"Industry")</f>
        <v>Banking Services</v>
      </c>
      <c r="E44" s="21" t="s">
        <v>747</v>
      </c>
      <c r="F44" s="21" t="s">
        <v>731</v>
      </c>
      <c r="G44" s="21" t="s">
        <v>738</v>
      </c>
      <c r="H44" s="21"/>
    </row>
    <row r="45" spans="1:8">
      <c r="A45" s="73">
        <v>46143</v>
      </c>
      <c r="B45" s="21" t="s">
        <v>748</v>
      </c>
      <c r="C45" s="21" t="e" vm="44">
        <v>#VALUE!</v>
      </c>
      <c r="D45" s="21" t="str">
        <f t="array" aca="1" ref="D45" ca="1">_FV(C45,"Industry")</f>
        <v>Pharmaceuticals</v>
      </c>
      <c r="E45" s="21" t="s">
        <v>68</v>
      </c>
      <c r="F45" s="21" t="s">
        <v>735</v>
      </c>
      <c r="G45" s="21" t="s">
        <v>738</v>
      </c>
      <c r="H45" s="21"/>
    </row>
    <row r="46" spans="1:8">
      <c r="A46" s="73">
        <v>46143</v>
      </c>
      <c r="B46" s="21" t="s">
        <v>264</v>
      </c>
      <c r="C46" s="21" t="e" vm="45">
        <v>#VALUE!</v>
      </c>
      <c r="D46" s="21" t="str">
        <f t="array" aca="1" ref="D46" ca="1">_FV(C46,"Industry")</f>
        <v>Food &amp; Drug Retailing</v>
      </c>
      <c r="E46" s="21" t="s">
        <v>66</v>
      </c>
      <c r="F46" s="21" t="s">
        <v>735</v>
      </c>
      <c r="G46" s="21" t="s">
        <v>738</v>
      </c>
      <c r="H46" s="21"/>
    </row>
    <row r="47" spans="1:8">
      <c r="A47" s="73">
        <v>46143</v>
      </c>
      <c r="B47" s="21" t="s">
        <v>749</v>
      </c>
      <c r="C47" s="21" t="e" vm="46">
        <v>#VALUE!</v>
      </c>
      <c r="D47" s="21" t="str">
        <f t="array" aca="1" ref="D47" ca="1">_FV(C47,"Industry")</f>
        <v>Automobiles &amp; Auto Parts</v>
      </c>
      <c r="E47" s="21" t="s">
        <v>66</v>
      </c>
      <c r="F47" s="21" t="s">
        <v>735</v>
      </c>
      <c r="G47" s="21" t="s">
        <v>738</v>
      </c>
      <c r="H47" s="21"/>
    </row>
    <row r="48" spans="1:8">
      <c r="A48" s="73">
        <v>46143</v>
      </c>
      <c r="B48" s="21" t="s">
        <v>276</v>
      </c>
      <c r="C48" s="21" t="e" vm="47">
        <v>#VALUE!</v>
      </c>
      <c r="D48" s="21" t="str">
        <f t="array" aca="1" ref="D48" ca="1">_FV(C48,"Industry")</f>
        <v>Automobiles &amp; Auto Parts</v>
      </c>
      <c r="E48" s="21" t="s">
        <v>64</v>
      </c>
      <c r="F48" s="21" t="s">
        <v>734</v>
      </c>
      <c r="G48" s="21" t="s">
        <v>738</v>
      </c>
      <c r="H48" s="21"/>
    </row>
    <row r="49" spans="1:8">
      <c r="A49" s="73">
        <v>46143</v>
      </c>
      <c r="B49" s="21" t="s">
        <v>750</v>
      </c>
      <c r="C49" s="21" t="e" vm="48">
        <v>#VALUE!</v>
      </c>
      <c r="D49" s="21" t="str">
        <f t="array" aca="1" ref="D49" ca="1">_FV(C49,"Industry")</f>
        <v>Real Estate Operations</v>
      </c>
      <c r="E49" s="21" t="s">
        <v>64</v>
      </c>
      <c r="F49" s="21" t="s">
        <v>731</v>
      </c>
      <c r="G49" s="21" t="s">
        <v>738</v>
      </c>
      <c r="H49" s="21"/>
    </row>
    <row r="50" spans="1:8">
      <c r="A50" s="73">
        <v>46143</v>
      </c>
      <c r="B50" s="21" t="s">
        <v>751</v>
      </c>
      <c r="C50" s="21" t="e" vm="49">
        <v>#VALUE!</v>
      </c>
      <c r="D50" s="21" t="str">
        <f t="array" aca="1" ref="D50" ca="1">_FV(C50,"Industry")</f>
        <v>Food &amp; Tobacco</v>
      </c>
      <c r="E50" s="21" t="s">
        <v>66</v>
      </c>
      <c r="F50" s="21" t="s">
        <v>735</v>
      </c>
      <c r="G50" s="21" t="s">
        <v>738</v>
      </c>
      <c r="H50" s="21"/>
    </row>
    <row r="51" spans="1:8">
      <c r="A51" s="73">
        <v>46143</v>
      </c>
      <c r="B51" s="21" t="s">
        <v>752</v>
      </c>
      <c r="C51" s="21" t="e" vm="50">
        <v>#VALUE!</v>
      </c>
      <c r="D51" s="21" t="str">
        <f t="array" aca="1" ref="D51" ca="1">_FV(C51,"Industry")</f>
        <v>Chemicals</v>
      </c>
      <c r="E51" s="21" t="s">
        <v>68</v>
      </c>
      <c r="F51" s="21" t="s">
        <v>731</v>
      </c>
      <c r="G51" s="21" t="s">
        <v>738</v>
      </c>
      <c r="H51" s="21"/>
    </row>
    <row r="52" spans="1:8">
      <c r="A52" s="73">
        <v>46143</v>
      </c>
      <c r="B52" s="21" t="s">
        <v>753</v>
      </c>
      <c r="C52" s="21" t="e" vm="51">
        <v>#VALUE!</v>
      </c>
      <c r="D52" s="21" t="str">
        <f t="array" aca="1" ref="D52" ca="1">_FV(C52,"Industry")</f>
        <v>Food &amp; Tobacco</v>
      </c>
      <c r="E52" s="21" t="s">
        <v>66</v>
      </c>
      <c r="F52" s="21" t="s">
        <v>735</v>
      </c>
      <c r="G52" s="21" t="s">
        <v>738</v>
      </c>
      <c r="H52" s="21"/>
    </row>
    <row r="53" spans="1:8">
      <c r="A53" s="73">
        <v>46143</v>
      </c>
      <c r="B53" s="21" t="s">
        <v>754</v>
      </c>
      <c r="C53" s="21" t="e" vm="52">
        <v>#VALUE!</v>
      </c>
      <c r="D53" s="21" t="str">
        <f t="array" aca="1" ref="D53" ca="1">_FV(C53,"Industry")</f>
        <v>Pharmaceuticals</v>
      </c>
      <c r="E53" s="21" t="s">
        <v>68</v>
      </c>
      <c r="F53" s="21" t="s">
        <v>731</v>
      </c>
      <c r="G53" s="21" t="s">
        <v>738</v>
      </c>
      <c r="H53" s="21"/>
    </row>
    <row r="54" spans="1:8">
      <c r="A54" s="73">
        <v>46143</v>
      </c>
      <c r="B54" s="21" t="s">
        <v>755</v>
      </c>
      <c r="C54" s="21" t="e" vm="53">
        <v>#VALUE!</v>
      </c>
      <c r="D54" s="21" t="str">
        <f t="array" aca="1" ref="D54" ca="1">_FV(C54,"Industry")</f>
        <v>Pharmaceuticals</v>
      </c>
      <c r="E54" s="21" t="s">
        <v>68</v>
      </c>
      <c r="F54" s="21" t="s">
        <v>735</v>
      </c>
      <c r="G54" s="21" t="s">
        <v>738</v>
      </c>
      <c r="H54" s="21"/>
    </row>
    <row r="55" spans="1:8">
      <c r="A55" s="73">
        <v>46143</v>
      </c>
      <c r="B55" s="21" t="s">
        <v>130</v>
      </c>
      <c r="C55" s="21" t="e" vm="54">
        <v>#VALUE!</v>
      </c>
      <c r="D55" s="21" t="str">
        <f t="array" aca="1" ref="D55" ca="1">_FV(C55,"Industry")</f>
        <v>Food &amp; Tobacco</v>
      </c>
      <c r="E55" s="21" t="s">
        <v>66</v>
      </c>
      <c r="F55" s="21" t="s">
        <v>731</v>
      </c>
      <c r="G55" s="21" t="s">
        <v>738</v>
      </c>
      <c r="H55" s="21"/>
    </row>
    <row r="56" spans="1:8">
      <c r="A56" s="73">
        <v>46143</v>
      </c>
      <c r="B56" s="21" t="s">
        <v>756</v>
      </c>
      <c r="C56" s="21" t="e" vm="55">
        <v>#VALUE!</v>
      </c>
      <c r="D56" s="21" t="str">
        <f t="array" aca="1" ref="D56" ca="1">_FV(C56,"Industry")</f>
        <v>Food &amp; Tobacco</v>
      </c>
      <c r="E56" s="21" t="s">
        <v>66</v>
      </c>
      <c r="F56" s="21" t="s">
        <v>731</v>
      </c>
      <c r="G56" s="21" t="s">
        <v>738</v>
      </c>
      <c r="H56" s="21"/>
    </row>
    <row r="57" spans="1:8">
      <c r="A57" s="73">
        <v>46143</v>
      </c>
      <c r="B57" s="21" t="s">
        <v>456</v>
      </c>
      <c r="C57" s="21" t="e" vm="56">
        <v>#VALUE!</v>
      </c>
      <c r="D57" s="21" t="str">
        <f t="array" aca="1" ref="D57" ca="1">_FV(C57,"Industry")</f>
        <v>Aerospace &amp; Defense</v>
      </c>
      <c r="E57" s="21" t="s">
        <v>64</v>
      </c>
      <c r="F57" s="21" t="s">
        <v>735</v>
      </c>
      <c r="G57" s="21" t="s">
        <v>738</v>
      </c>
      <c r="H57" s="21"/>
    </row>
    <row r="58" spans="1:8">
      <c r="A58" s="73">
        <v>46143</v>
      </c>
      <c r="B58" s="21" t="s">
        <v>83</v>
      </c>
      <c r="C58" s="21" t="e" vm="57">
        <v>#VALUE!</v>
      </c>
      <c r="D58" s="21" t="str">
        <f t="array" aca="1" ref="D58" ca="1">_FV(C58,"Industry")</f>
        <v>Automobiles &amp; Auto Parts</v>
      </c>
      <c r="E58" s="21" t="s">
        <v>64</v>
      </c>
      <c r="F58" s="21" t="s">
        <v>735</v>
      </c>
      <c r="G58" s="21" t="s">
        <v>738</v>
      </c>
      <c r="H58" s="21"/>
    </row>
    <row r="59" spans="1:8">
      <c r="A59" s="73">
        <v>46143</v>
      </c>
      <c r="B59" s="21" t="s">
        <v>75</v>
      </c>
      <c r="C59" s="21" t="e" vm="58">
        <v>#VALUE!</v>
      </c>
      <c r="D59" s="21" t="str">
        <f t="array" aca="1" ref="D59" ca="1">_FV(C59,"Industry")</f>
        <v>Banking Services</v>
      </c>
      <c r="E59" s="21" t="s">
        <v>747</v>
      </c>
      <c r="F59" s="21" t="s">
        <v>734</v>
      </c>
      <c r="G59" s="21" t="s">
        <v>738</v>
      </c>
      <c r="H59" s="21"/>
    </row>
    <row r="60" spans="1:8">
      <c r="A60" s="73">
        <v>46143</v>
      </c>
      <c r="B60" s="21" t="s">
        <v>757</v>
      </c>
      <c r="C60" s="21" t="e" vm="59">
        <v>#VALUE!</v>
      </c>
      <c r="D60" s="21" t="str">
        <f t="array" aca="1" ref="D60" ca="1">_FV(C60,"Industry")</f>
        <v>Automobiles &amp; Auto Parts</v>
      </c>
      <c r="E60" s="21" t="s">
        <v>66</v>
      </c>
      <c r="F60" s="21" t="s">
        <v>735</v>
      </c>
      <c r="G60" s="21" t="s">
        <v>738</v>
      </c>
      <c r="H60" s="21"/>
    </row>
    <row r="61" spans="1:8">
      <c r="A61" s="73">
        <v>46143</v>
      </c>
      <c r="B61" s="21" t="s">
        <v>758</v>
      </c>
      <c r="C61" s="21" t="e" vm="60">
        <v>#VALUE!</v>
      </c>
      <c r="D61" s="21" t="str">
        <f t="array" aca="1" ref="D61" ca="1">_FV(C61,"Industry")</f>
        <v>Automobiles &amp; Auto Parts</v>
      </c>
      <c r="E61" s="21" t="s">
        <v>64</v>
      </c>
      <c r="F61" s="21" t="s">
        <v>731</v>
      </c>
      <c r="G61" s="21" t="s">
        <v>738</v>
      </c>
      <c r="H61" s="21"/>
    </row>
    <row r="62" spans="1:8">
      <c r="A62" s="73">
        <v>46143</v>
      </c>
      <c r="B62" s="21" t="s">
        <v>759</v>
      </c>
      <c r="C62" s="21" t="e" vm="61">
        <v>#VALUE!</v>
      </c>
      <c r="D62" s="21" t="str">
        <f t="array" aca="1" ref="D62" ca="1">_FV(C62,"Industry")</f>
        <v>Pharmaceuticals</v>
      </c>
      <c r="E62" s="21" t="s">
        <v>68</v>
      </c>
      <c r="F62" s="21" t="s">
        <v>734</v>
      </c>
      <c r="G62" s="21" t="s">
        <v>738</v>
      </c>
      <c r="H62" s="21"/>
    </row>
    <row r="63" spans="1:8">
      <c r="A63" s="73">
        <v>46143</v>
      </c>
      <c r="B63" s="76" t="s">
        <v>760</v>
      </c>
      <c r="C63" s="21" t="e" vm="62">
        <v>#VALUE!</v>
      </c>
      <c r="D63" s="21" t="str">
        <f t="array" aca="1" ref="D63" ca="1">_FV(C63,"Industry")</f>
        <v>Machinery, Equipment &amp; Components</v>
      </c>
      <c r="E63" s="21" t="s">
        <v>736</v>
      </c>
      <c r="F63" s="21" t="s">
        <v>731</v>
      </c>
      <c r="G63" s="21" t="s">
        <v>761</v>
      </c>
      <c r="H63" s="21"/>
    </row>
    <row r="64" spans="1:8">
      <c r="A64" s="73">
        <v>46143</v>
      </c>
      <c r="B64" s="21" t="s">
        <v>762</v>
      </c>
      <c r="C64" s="21" t="e" vm="63">
        <v>#VALUE!</v>
      </c>
      <c r="D64" s="21" t="str">
        <f t="array" aca="1" ref="D64" ca="1">_FV(C64,"Industry")</f>
        <v>Software &amp; IT Services</v>
      </c>
      <c r="E64" s="21" t="s">
        <v>736</v>
      </c>
      <c r="F64" s="21" t="s">
        <v>731</v>
      </c>
      <c r="G64" s="21" t="s">
        <v>761</v>
      </c>
      <c r="H64" s="21"/>
    </row>
    <row r="65" spans="1:8">
      <c r="A65" s="73">
        <v>46143</v>
      </c>
      <c r="B65" s="21" t="s">
        <v>763</v>
      </c>
      <c r="C65" s="21" t="e" vm="64">
        <v>#VALUE!</v>
      </c>
      <c r="D65" s="21" t="str">
        <f t="array" aca="1" ref="D65" ca="1">_FV(C65,"Industry")</f>
        <v>Diversified Retail</v>
      </c>
      <c r="E65" s="21" t="s">
        <v>66</v>
      </c>
      <c r="F65" s="21" t="s">
        <v>735</v>
      </c>
      <c r="G65" s="21" t="s">
        <v>761</v>
      </c>
      <c r="H65" s="21"/>
    </row>
    <row r="66" spans="1:8">
      <c r="A66" s="73">
        <v>46143</v>
      </c>
      <c r="B66" s="21" t="s">
        <v>764</v>
      </c>
      <c r="C66" s="21" t="e" vm="65">
        <v>#VALUE!</v>
      </c>
      <c r="D66" s="21" t="str">
        <f t="array" aca="1" ref="D66" ca="1">_FV(C66,"Industry")</f>
        <v>Machinery, Equipment &amp; Components</v>
      </c>
      <c r="E66" s="21" t="s">
        <v>66</v>
      </c>
      <c r="F66" s="21" t="s">
        <v>731</v>
      </c>
      <c r="G66" s="21" t="s">
        <v>761</v>
      </c>
      <c r="H66" s="21"/>
    </row>
    <row r="67" spans="1:8">
      <c r="A67" s="73">
        <v>46143</v>
      </c>
      <c r="B67" s="21" t="s">
        <v>765</v>
      </c>
      <c r="C67" s="21" t="e" vm="66">
        <v>#VALUE!</v>
      </c>
      <c r="D67" s="21" t="str">
        <f t="array" aca="1" ref="D67" ca="1">_FV(C67,"Industry")</f>
        <v>Healthcare Equipment &amp; Supplies</v>
      </c>
      <c r="E67" s="21" t="s">
        <v>68</v>
      </c>
      <c r="F67" s="21" t="s">
        <v>731</v>
      </c>
      <c r="G67" s="21" t="s">
        <v>761</v>
      </c>
      <c r="H67" s="21"/>
    </row>
    <row r="68" spans="1:8">
      <c r="A68" s="73">
        <v>46143</v>
      </c>
      <c r="B68" s="21" t="s">
        <v>766</v>
      </c>
      <c r="C68" s="21" t="e" vm="67">
        <v>#VALUE!</v>
      </c>
      <c r="D68" s="21" t="str">
        <f t="array" aca="1" ref="D68" ca="1">_FV(C68,"Industry")</f>
        <v>Machinery, Equipment &amp; Components</v>
      </c>
      <c r="E68" s="21" t="s">
        <v>64</v>
      </c>
      <c r="F68" s="21" t="s">
        <v>731</v>
      </c>
      <c r="G68" s="21" t="s">
        <v>761</v>
      </c>
      <c r="H68" s="21"/>
    </row>
    <row r="69" spans="1:8">
      <c r="A69" s="73">
        <v>46143</v>
      </c>
      <c r="B69" s="21" t="s">
        <v>767</v>
      </c>
      <c r="C69" s="21" t="e" vm="68">
        <v>#VALUE!</v>
      </c>
      <c r="D69" s="21" t="str">
        <f t="array" aca="1" ref="D69" ca="1">_FV(C69,"Industry")</f>
        <v>Personal &amp; Household Products &amp; Services</v>
      </c>
      <c r="E69" s="21" t="s">
        <v>66</v>
      </c>
      <c r="F69" s="21" t="s">
        <v>734</v>
      </c>
      <c r="G69" s="21" t="s">
        <v>761</v>
      </c>
      <c r="H69" s="21"/>
    </row>
    <row r="70" spans="1:8">
      <c r="A70" s="73">
        <v>46143</v>
      </c>
      <c r="B70" s="21" t="s">
        <v>768</v>
      </c>
      <c r="C70" s="21" t="e" vm="69">
        <v>#VALUE!</v>
      </c>
      <c r="D70" s="21" t="str">
        <f t="array" aca="1" ref="D70" ca="1">_FV(C70,"Industry")</f>
        <v>Chemicals</v>
      </c>
      <c r="E70" s="21" t="s">
        <v>68</v>
      </c>
      <c r="F70" s="21" t="s">
        <v>731</v>
      </c>
      <c r="G70" s="21" t="s">
        <v>761</v>
      </c>
      <c r="H70" s="21"/>
    </row>
    <row r="71" spans="1:8">
      <c r="A71" s="73">
        <v>46143</v>
      </c>
      <c r="B71" s="21" t="s">
        <v>769</v>
      </c>
      <c r="C71" s="21" t="e" vm="70">
        <v>#VALUE!</v>
      </c>
      <c r="D71" s="21" t="str">
        <f t="array" aca="1" ref="D71" ca="1">_FV(C71,"Industry")</f>
        <v>Pharmaceuticals</v>
      </c>
      <c r="E71" s="21" t="s">
        <v>68</v>
      </c>
      <c r="F71" s="21" t="s">
        <v>734</v>
      </c>
      <c r="G71" s="21" t="s">
        <v>761</v>
      </c>
      <c r="H71" s="21"/>
    </row>
    <row r="72" spans="1:8">
      <c r="A72" s="73">
        <v>46143</v>
      </c>
      <c r="B72" s="21" t="s">
        <v>770</v>
      </c>
      <c r="C72" s="21" t="e" vm="71">
        <v>#VALUE!</v>
      </c>
      <c r="D72" s="21" t="str">
        <f t="array" aca="1" ref="D72" ca="1">_FV(C72,"Industry")</f>
        <v>Software &amp; IT Services</v>
      </c>
      <c r="E72" s="21" t="s">
        <v>736</v>
      </c>
      <c r="F72" s="21" t="s">
        <v>731</v>
      </c>
      <c r="G72" s="21" t="s">
        <v>761</v>
      </c>
      <c r="H72" s="21"/>
    </row>
    <row r="73" spans="1:8">
      <c r="A73" s="73">
        <v>46143</v>
      </c>
      <c r="B73" s="21" t="s">
        <v>771</v>
      </c>
      <c r="C73" s="21" t="e" vm="72">
        <v>#VALUE!</v>
      </c>
      <c r="D73" s="21" t="str">
        <f t="array" aca="1" ref="D73" ca="1">_FV(C73,"Industry")</f>
        <v>Software &amp; IT Services</v>
      </c>
      <c r="E73" s="21" t="s">
        <v>736</v>
      </c>
      <c r="F73" s="21" t="s">
        <v>731</v>
      </c>
      <c r="G73" s="21" t="s">
        <v>761</v>
      </c>
      <c r="H73" s="21"/>
    </row>
    <row r="74" spans="1:8">
      <c r="A74" s="73">
        <v>46143</v>
      </c>
      <c r="B74" s="21" t="s">
        <v>57</v>
      </c>
      <c r="C74" s="21" t="e" vm="73">
        <v>#VALUE!</v>
      </c>
      <c r="D74" s="21" t="str">
        <f t="array" aca="1" ref="D74" ca="1">_FV(C74,"Industry")</f>
        <v>Chemicals</v>
      </c>
      <c r="E74" s="21" t="s">
        <v>68</v>
      </c>
      <c r="F74" s="21" t="s">
        <v>731</v>
      </c>
      <c r="G74" s="21" t="s">
        <v>761</v>
      </c>
      <c r="H74" s="21"/>
    </row>
    <row r="75" spans="1:8">
      <c r="A75" s="73">
        <v>46143</v>
      </c>
      <c r="B75" s="21" t="s">
        <v>772</v>
      </c>
      <c r="C75" s="21" t="e" vm="74">
        <v>#VALUE!</v>
      </c>
      <c r="D75" s="21" t="str">
        <f t="array" aca="1" ref="D75" ca="1">_FV(C75,"Industry")</f>
        <v>Machinery, Equipment &amp; Components</v>
      </c>
      <c r="E75" s="21" t="s">
        <v>64</v>
      </c>
      <c r="F75" s="21" t="s">
        <v>731</v>
      </c>
      <c r="G75" s="21" t="s">
        <v>761</v>
      </c>
      <c r="H75" s="21"/>
    </row>
    <row r="76" spans="1:8">
      <c r="A76" s="73">
        <v>46143</v>
      </c>
      <c r="B76" s="21" t="s">
        <v>773</v>
      </c>
      <c r="C76" s="21" t="e" vm="75">
        <v>#VALUE!</v>
      </c>
      <c r="D76" s="21" t="str">
        <f t="array" aca="1" ref="D76" ca="1">_FV(C76,"Industry")</f>
        <v>Software &amp; IT Services</v>
      </c>
      <c r="E76" s="21" t="s">
        <v>736</v>
      </c>
      <c r="F76" s="21" t="s">
        <v>734</v>
      </c>
      <c r="G76" s="21" t="s">
        <v>761</v>
      </c>
      <c r="H76" s="21"/>
    </row>
    <row r="77" spans="1:8">
      <c r="A77" s="73">
        <v>46143</v>
      </c>
      <c r="B77" s="21" t="s">
        <v>774</v>
      </c>
      <c r="C77" s="21" t="e" vm="76">
        <v>#VALUE!</v>
      </c>
      <c r="D77" s="21" t="str">
        <f t="array" aca="1" ref="D77" ca="1">_FV(C77,"Industry")</f>
        <v>Machinery, Equipment &amp; Components</v>
      </c>
      <c r="E77" s="21" t="s">
        <v>64</v>
      </c>
      <c r="F77" s="21" t="s">
        <v>731</v>
      </c>
      <c r="G77" s="21" t="s">
        <v>761</v>
      </c>
      <c r="H77" s="21"/>
    </row>
    <row r="78" spans="1:8">
      <c r="A78" s="73">
        <v>46143</v>
      </c>
      <c r="B78" s="21" t="s">
        <v>775</v>
      </c>
      <c r="C78" s="21" t="e" vm="77">
        <v>#VALUE!</v>
      </c>
      <c r="D78" s="21" t="str">
        <f t="array" aca="1" ref="D78" ca="1">_FV(C78,"Industry")</f>
        <v>Food &amp; Tobacco</v>
      </c>
      <c r="E78" s="21" t="s">
        <v>66</v>
      </c>
      <c r="F78" s="21" t="s">
        <v>731</v>
      </c>
      <c r="G78" s="21" t="s">
        <v>761</v>
      </c>
      <c r="H78" s="21"/>
    </row>
    <row r="79" spans="1:8">
      <c r="A79" s="73">
        <v>46143</v>
      </c>
      <c r="B79" s="21" t="s">
        <v>253</v>
      </c>
      <c r="C79" s="21" t="e" vm="78">
        <v>#VALUE!</v>
      </c>
      <c r="D79" s="21" t="str">
        <f t="array" aca="1" ref="D79" ca="1">_FV(C79,"Industry")</f>
        <v>Pharmaceuticals</v>
      </c>
      <c r="E79" s="21" t="s">
        <v>68</v>
      </c>
      <c r="F79" s="21" t="s">
        <v>735</v>
      </c>
      <c r="G79" s="21" t="s">
        <v>761</v>
      </c>
      <c r="H79" s="21"/>
    </row>
    <row r="80" spans="1:8">
      <c r="A80" s="73">
        <v>46143</v>
      </c>
      <c r="B80" s="21" t="s">
        <v>776</v>
      </c>
      <c r="C80" s="21" t="e" vm="79">
        <v>#VALUE!</v>
      </c>
      <c r="D80" s="21" t="str">
        <f t="array" aca="1" ref="D80" ca="1">_FV(C80,"Industry")</f>
        <v>Food &amp; Tobacco</v>
      </c>
      <c r="E80" s="21" t="s">
        <v>66</v>
      </c>
      <c r="F80" s="21" t="s">
        <v>735</v>
      </c>
      <c r="G80" s="21" t="s">
        <v>761</v>
      </c>
      <c r="H80" s="21"/>
    </row>
    <row r="81" spans="1:8">
      <c r="A81" s="73">
        <v>46143</v>
      </c>
      <c r="B81" s="21" t="s">
        <v>777</v>
      </c>
      <c r="C81" s="21" t="e" vm="80">
        <v>#VALUE!</v>
      </c>
      <c r="D81" s="21" t="str">
        <f t="array" aca="1" ref="D81" ca="1">_FV(C81,"Industry")</f>
        <v>Personal &amp; Household Products &amp; Services</v>
      </c>
      <c r="E81" s="21" t="s">
        <v>66</v>
      </c>
      <c r="F81" s="21" t="s">
        <v>731</v>
      </c>
      <c r="G81" s="21" t="s">
        <v>761</v>
      </c>
      <c r="H81" s="21"/>
    </row>
    <row r="82" spans="1:8">
      <c r="A82" s="73">
        <v>46143</v>
      </c>
      <c r="B82" s="21" t="s">
        <v>778</v>
      </c>
      <c r="C82" s="21" t="e" vm="81">
        <v>#VALUE!</v>
      </c>
      <c r="D82" s="21" t="str">
        <f t="array" aca="1" ref="D82" ca="1">_FV(C82,"Industry")</f>
        <v>Media &amp; Publishing</v>
      </c>
      <c r="E82" s="21" t="s">
        <v>736</v>
      </c>
      <c r="F82" s="21" t="s">
        <v>731</v>
      </c>
      <c r="G82" s="21" t="s">
        <v>761</v>
      </c>
      <c r="H82" s="21"/>
    </row>
    <row r="83" spans="1:8">
      <c r="A83" s="73">
        <v>46143</v>
      </c>
      <c r="B83" s="21" t="s">
        <v>779</v>
      </c>
      <c r="C83" s="21" t="e" vm="82">
        <v>#VALUE!</v>
      </c>
      <c r="D83" s="21" t="str">
        <f t="array" aca="1" ref="D83" ca="1">_FV(C83,"Industry")</f>
        <v>Chemicals</v>
      </c>
      <c r="E83" s="21" t="s">
        <v>66</v>
      </c>
      <c r="F83" s="21" t="s">
        <v>735</v>
      </c>
      <c r="G83" s="21" t="s">
        <v>761</v>
      </c>
      <c r="H83" s="21"/>
    </row>
    <row r="84" spans="1:8">
      <c r="A84" s="73">
        <v>46143</v>
      </c>
      <c r="B84" s="21" t="s">
        <v>780</v>
      </c>
      <c r="C84" s="21" t="e" vm="83">
        <v>#VALUE!</v>
      </c>
      <c r="D84" s="21" t="str">
        <f t="array" aca="1" ref="D84" ca="1">_FV(C84,"Industry")</f>
        <v>Chemicals</v>
      </c>
      <c r="E84" s="21" t="s">
        <v>68</v>
      </c>
      <c r="F84" s="21" t="s">
        <v>731</v>
      </c>
      <c r="G84" s="21" t="s">
        <v>761</v>
      </c>
      <c r="H84" s="21"/>
    </row>
    <row r="85" spans="1:8">
      <c r="A85" s="73">
        <v>46143</v>
      </c>
      <c r="B85" s="21" t="s">
        <v>781</v>
      </c>
      <c r="C85" s="21" t="e" vm="84">
        <v>#VALUE!</v>
      </c>
      <c r="D85" s="21" t="str">
        <f t="array" aca="1" ref="D85" ca="1">_FV(C85,"Industry")</f>
        <v>Homebuilding &amp; Construction Supplies</v>
      </c>
      <c r="E85" s="21" t="s">
        <v>66</v>
      </c>
      <c r="F85" s="21" t="s">
        <v>734</v>
      </c>
      <c r="G85" s="21" t="s">
        <v>761</v>
      </c>
      <c r="H85" s="21"/>
    </row>
    <row r="86" spans="1:8">
      <c r="A86" s="73">
        <v>46143</v>
      </c>
      <c r="B86" s="21" t="s">
        <v>782</v>
      </c>
      <c r="C86" s="21" t="e" vm="85">
        <v>#VALUE!</v>
      </c>
      <c r="D86" s="21" t="str">
        <f t="array" aca="1" ref="D86" ca="1">_FV(C86,"Industry")</f>
        <v>Automobiles &amp; Auto Parts</v>
      </c>
      <c r="E86" s="21" t="s">
        <v>64</v>
      </c>
      <c r="F86" s="21" t="s">
        <v>734</v>
      </c>
      <c r="G86" s="21" t="s">
        <v>761</v>
      </c>
      <c r="H86" s="21"/>
    </row>
    <row r="87" spans="1:8">
      <c r="A87" s="73">
        <v>46143</v>
      </c>
      <c r="B87" s="21" t="s">
        <v>783</v>
      </c>
      <c r="C87" s="21" t="e" vm="86">
        <v>#VALUE!</v>
      </c>
      <c r="D87" s="21" t="str">
        <f t="array" aca="1" ref="D87" ca="1">_FV(C87,"Industry")</f>
        <v>Banking Services</v>
      </c>
      <c r="E87" s="21" t="s">
        <v>747</v>
      </c>
      <c r="F87" s="21" t="s">
        <v>735</v>
      </c>
      <c r="G87" s="21" t="s">
        <v>761</v>
      </c>
      <c r="H87" s="21"/>
    </row>
    <row r="88" spans="1:8">
      <c r="A88" s="73">
        <v>46143</v>
      </c>
      <c r="B88" s="21" t="s">
        <v>784</v>
      </c>
      <c r="C88" s="21" t="e" vm="87">
        <v>#VALUE!</v>
      </c>
      <c r="D88" s="21" t="str">
        <f t="array" aca="1" ref="D88" ca="1">_FV(C88,"Industry")</f>
        <v>Chemicals</v>
      </c>
      <c r="E88" s="21" t="s">
        <v>68</v>
      </c>
      <c r="F88" s="21" t="s">
        <v>731</v>
      </c>
      <c r="G88" s="21" t="s">
        <v>761</v>
      </c>
      <c r="H88" s="21"/>
    </row>
    <row r="89" spans="1:8">
      <c r="A89" s="73">
        <v>46143</v>
      </c>
      <c r="B89" s="21" t="s">
        <v>785</v>
      </c>
      <c r="C89" s="21" t="e" vm="88">
        <v>#VALUE!</v>
      </c>
      <c r="D89" s="21" t="str">
        <f t="array" aca="1" ref="D89" ca="1">_FV(C89,"Industry")</f>
        <v>Machinery, Equipment &amp; Components</v>
      </c>
      <c r="E89" s="21" t="s">
        <v>64</v>
      </c>
      <c r="F89" s="21" t="s">
        <v>731</v>
      </c>
      <c r="G89" s="21" t="s">
        <v>761</v>
      </c>
      <c r="H89" s="21"/>
    </row>
    <row r="90" spans="1:8">
      <c r="A90" s="73">
        <v>46143</v>
      </c>
      <c r="B90" s="21" t="s">
        <v>786</v>
      </c>
      <c r="C90" s="21" t="e" vm="89">
        <v>#VALUE!</v>
      </c>
      <c r="D90" s="21" t="str">
        <f t="array" aca="1" ref="D90" ca="1">_FV(C90,"Industry")</f>
        <v>Pharmaceuticals</v>
      </c>
      <c r="E90" s="21" t="s">
        <v>68</v>
      </c>
      <c r="F90" s="21" t="s">
        <v>731</v>
      </c>
      <c r="G90" s="21" t="s">
        <v>761</v>
      </c>
      <c r="H90" s="21"/>
    </row>
    <row r="91" spans="1:8">
      <c r="A91" s="73">
        <v>46143</v>
      </c>
      <c r="B91" s="21" t="s">
        <v>787</v>
      </c>
      <c r="C91" s="21" t="e" vm="90">
        <v>#VALUE!</v>
      </c>
      <c r="D91" s="21" t="str">
        <f t="array" aca="1" ref="D91" ca="1">_FV(C91,"Industry")</f>
        <v>Aerospace &amp; Defense</v>
      </c>
      <c r="E91" s="21" t="s">
        <v>64</v>
      </c>
      <c r="F91" s="21" t="s">
        <v>735</v>
      </c>
      <c r="G91" s="21" t="s">
        <v>761</v>
      </c>
      <c r="H91" s="21"/>
    </row>
    <row r="92" spans="1:8">
      <c r="A92" s="73">
        <v>46143</v>
      </c>
      <c r="B92" s="21" t="s">
        <v>788</v>
      </c>
      <c r="C92" s="21" t="e" vm="91">
        <v>#VALUE!</v>
      </c>
      <c r="D92" s="21" t="str">
        <f t="array" aca="1" ref="D92" ca="1">_FV(C92,"Industry")</f>
        <v>Food &amp; Tobacco</v>
      </c>
      <c r="E92" s="21" t="s">
        <v>66</v>
      </c>
      <c r="F92" s="21" t="s">
        <v>731</v>
      </c>
      <c r="G92" s="21" t="s">
        <v>761</v>
      </c>
      <c r="H92" s="21"/>
    </row>
    <row r="93" spans="1:8">
      <c r="A93" s="73">
        <v>46143</v>
      </c>
      <c r="B93" s="21" t="s">
        <v>789</v>
      </c>
      <c r="C93" s="21" t="e" vm="92">
        <v>#VALUE!</v>
      </c>
      <c r="D93" s="21" t="str">
        <f t="array" aca="1" ref="D93" ca="1">_FV(C93,"Industry")</f>
        <v>Professional &amp; Commercial Services</v>
      </c>
      <c r="E93" s="21" t="s">
        <v>64</v>
      </c>
      <c r="F93" s="21" t="s">
        <v>731</v>
      </c>
      <c r="G93" s="21" t="s">
        <v>761</v>
      </c>
      <c r="H93" s="21"/>
    </row>
    <row r="94" spans="1:8">
      <c r="A94" s="73">
        <v>46143</v>
      </c>
      <c r="B94" s="21" t="s">
        <v>790</v>
      </c>
      <c r="C94" s="21" t="e" vm="93">
        <v>#VALUE!</v>
      </c>
      <c r="D94" s="21" t="str">
        <f t="array" aca="1" ref="D94" ca="1">_FV(C94,"Industry")</f>
        <v>Software &amp; IT Services</v>
      </c>
      <c r="E94" s="21" t="s">
        <v>736</v>
      </c>
      <c r="F94" s="21" t="s">
        <v>731</v>
      </c>
      <c r="G94" s="21" t="s">
        <v>761</v>
      </c>
      <c r="H94" s="21"/>
    </row>
    <row r="95" spans="1:8">
      <c r="A95" s="73">
        <v>46143</v>
      </c>
      <c r="B95" s="21" t="s">
        <v>791</v>
      </c>
      <c r="C95" s="21" t="e" vm="94">
        <v>#VALUE!</v>
      </c>
      <c r="D95" s="21" t="str">
        <f t="array" aca="1" ref="D95" ca="1">_FV(C95,"Industry")</f>
        <v>Software &amp; IT Services</v>
      </c>
      <c r="E95" s="21" t="s">
        <v>736</v>
      </c>
      <c r="F95" s="21" t="s">
        <v>735</v>
      </c>
      <c r="G95" s="21" t="s">
        <v>761</v>
      </c>
      <c r="H95" s="21"/>
    </row>
    <row r="96" spans="1:8">
      <c r="A96" s="73">
        <v>46143</v>
      </c>
      <c r="B96" s="21" t="s">
        <v>227</v>
      </c>
      <c r="C96" s="21" t="e" vm="95">
        <v>#VALUE!</v>
      </c>
      <c r="D96" s="21" t="str">
        <f t="array" aca="1" ref="D96" ca="1">_FV(C96,"Industry")</f>
        <v>Containers &amp; Packaging</v>
      </c>
      <c r="E96" s="21" t="s">
        <v>66</v>
      </c>
      <c r="F96" s="21" t="s">
        <v>731</v>
      </c>
      <c r="G96" s="21" t="s">
        <v>761</v>
      </c>
      <c r="H96" s="21"/>
    </row>
    <row r="97" spans="1:8">
      <c r="A97" s="73">
        <v>46143</v>
      </c>
      <c r="B97" s="21" t="s">
        <v>792</v>
      </c>
      <c r="C97" s="21" t="e" vm="96">
        <v>#VALUE!</v>
      </c>
      <c r="D97" s="21" t="str">
        <f t="array" aca="1" ref="D97" ca="1">_FV(C97,"Industry")</f>
        <v>Textiles &amp; Apparel</v>
      </c>
      <c r="E97" s="21" t="s">
        <v>66</v>
      </c>
      <c r="F97" s="21" t="s">
        <v>734</v>
      </c>
      <c r="G97" s="21" t="s">
        <v>761</v>
      </c>
      <c r="H97" s="21"/>
    </row>
    <row r="98" spans="1:8">
      <c r="A98" s="73">
        <v>46143</v>
      </c>
      <c r="B98" s="21" t="s">
        <v>793</v>
      </c>
      <c r="C98" s="21" t="e" vm="97">
        <v>#VALUE!</v>
      </c>
      <c r="D98" s="21" t="str">
        <f t="array" aca="1" ref="D98" ca="1">_FV(C98,"Industry")</f>
        <v>Software &amp; IT Services</v>
      </c>
      <c r="E98" s="21" t="s">
        <v>736</v>
      </c>
      <c r="F98" s="21" t="s">
        <v>734</v>
      </c>
      <c r="G98" s="21" t="s">
        <v>761</v>
      </c>
      <c r="H98" s="21"/>
    </row>
    <row r="99" spans="1:8">
      <c r="A99" s="73">
        <v>46143</v>
      </c>
      <c r="B99" s="21" t="s">
        <v>794</v>
      </c>
      <c r="C99" s="21" t="e" vm="98">
        <v>#VALUE!</v>
      </c>
      <c r="D99" s="21" t="str">
        <f t="array" aca="1" ref="D99" ca="1">_FV(C99,"Industry")</f>
        <v>Chemicals</v>
      </c>
      <c r="E99" s="21" t="s">
        <v>68</v>
      </c>
      <c r="F99" s="21" t="s">
        <v>734</v>
      </c>
      <c r="G99" s="21" t="s">
        <v>761</v>
      </c>
      <c r="H99" s="21"/>
    </row>
    <row r="100" spans="1:8">
      <c r="A100" s="73">
        <v>46143</v>
      </c>
      <c r="B100" s="21" t="s">
        <v>279</v>
      </c>
      <c r="C100" s="21" t="e" vm="99">
        <v>#VALUE!</v>
      </c>
      <c r="D100" s="21" t="str">
        <f t="array" aca="1" ref="D100" ca="1">_FV(C100,"Industry")</f>
        <v>Chemicals</v>
      </c>
      <c r="E100" s="21" t="s">
        <v>68</v>
      </c>
      <c r="F100" s="21" t="s">
        <v>735</v>
      </c>
      <c r="G100" s="21" t="s">
        <v>761</v>
      </c>
      <c r="H100" s="21"/>
    </row>
    <row r="101" spans="1:8">
      <c r="A101" s="73">
        <v>46143</v>
      </c>
      <c r="B101" s="21" t="s">
        <v>480</v>
      </c>
      <c r="C101" s="21" t="e" vm="100">
        <v>#VALUE!</v>
      </c>
      <c r="D101" s="21" t="str">
        <f t="array" aca="1" ref="D101" ca="1">_FV(C101,"Industry")</f>
        <v>Metals &amp; Mining</v>
      </c>
      <c r="E101" s="21" t="s">
        <v>64</v>
      </c>
      <c r="F101" s="21" t="s">
        <v>731</v>
      </c>
      <c r="G101" s="21" t="s">
        <v>761</v>
      </c>
      <c r="H101" s="21"/>
    </row>
    <row r="102" spans="1:8">
      <c r="A102" s="73">
        <v>46143</v>
      </c>
      <c r="B102" s="21" t="s">
        <v>795</v>
      </c>
      <c r="C102" s="21" t="e" vm="101">
        <v>#VALUE!</v>
      </c>
      <c r="D102" s="21" t="str">
        <f t="array" aca="1" ref="D102" ca="1">_FV(C102,"Industry")</f>
        <v>Construction Materials</v>
      </c>
      <c r="E102" s="21" t="s">
        <v>64</v>
      </c>
      <c r="F102" s="21" t="s">
        <v>731</v>
      </c>
      <c r="G102" s="21" t="s">
        <v>761</v>
      </c>
      <c r="H102" s="21"/>
    </row>
    <row r="103" spans="1:8">
      <c r="A103" s="73">
        <v>46143</v>
      </c>
      <c r="B103" s="21" t="s">
        <v>796</v>
      </c>
      <c r="C103" s="21" t="e" vm="102">
        <v>#VALUE!</v>
      </c>
      <c r="D103" s="21" t="str">
        <f t="array" aca="1" ref="D103" ca="1">_FV(C103,"Industry")</f>
        <v>Software &amp; IT Services</v>
      </c>
      <c r="E103" s="21" t="s">
        <v>736</v>
      </c>
      <c r="F103" s="21" t="s">
        <v>731</v>
      </c>
      <c r="G103" s="21" t="s">
        <v>761</v>
      </c>
      <c r="H103" s="21"/>
    </row>
    <row r="104" spans="1:8">
      <c r="A104" s="73">
        <v>46143</v>
      </c>
      <c r="B104" s="21" t="s">
        <v>797</v>
      </c>
      <c r="C104" s="21" t="e" vm="103">
        <v>#VALUE!</v>
      </c>
      <c r="D104" s="21" t="str">
        <f t="array" aca="1" ref="D104" ca="1">_FV(C104,"Industry")</f>
        <v>Chemicals</v>
      </c>
      <c r="E104" s="21" t="s">
        <v>68</v>
      </c>
      <c r="F104" s="21" t="s">
        <v>734</v>
      </c>
      <c r="G104" s="21" t="s">
        <v>761</v>
      </c>
      <c r="H104" s="21"/>
    </row>
    <row r="105" spans="1:8">
      <c r="A105" s="73">
        <v>46143</v>
      </c>
      <c r="B105" s="21" t="s">
        <v>798</v>
      </c>
      <c r="C105" s="21" t="e" vm="104">
        <v>#VALUE!</v>
      </c>
      <c r="D105" s="21" t="str">
        <f t="array" aca="1" ref="D105" ca="1">_FV(C105,"Industry")</f>
        <v>Chemicals</v>
      </c>
      <c r="E105" s="21" t="s">
        <v>68</v>
      </c>
      <c r="F105" s="21" t="s">
        <v>731</v>
      </c>
      <c r="G105" s="21" t="s">
        <v>761</v>
      </c>
      <c r="H105" s="21"/>
    </row>
    <row r="106" spans="1:8">
      <c r="A106" s="73">
        <v>46143</v>
      </c>
      <c r="B106" s="21" t="s">
        <v>258</v>
      </c>
      <c r="C106" s="21" t="e" vm="105">
        <v>#VALUE!</v>
      </c>
      <c r="D106" s="21" t="str">
        <f t="array" aca="1" ref="D106" ca="1">_FV(C106,"Industry")</f>
        <v>Chemicals</v>
      </c>
      <c r="E106" s="21" t="s">
        <v>64</v>
      </c>
      <c r="F106" s="21" t="s">
        <v>734</v>
      </c>
      <c r="G106" s="21" t="s">
        <v>761</v>
      </c>
      <c r="H106" s="21"/>
    </row>
    <row r="107" spans="1:8">
      <c r="A107" s="73">
        <v>46143</v>
      </c>
      <c r="B107" s="21" t="s">
        <v>799</v>
      </c>
      <c r="C107" s="21" t="e" vm="106">
        <v>#VALUE!</v>
      </c>
      <c r="D107" s="21" t="str">
        <f t="array" aca="1" ref="D107" ca="1">_FV(C107,"Industry")</f>
        <v>Software &amp; IT Services</v>
      </c>
      <c r="E107" s="21" t="s">
        <v>736</v>
      </c>
      <c r="F107" s="21" t="s">
        <v>731</v>
      </c>
      <c r="G107" s="21" t="s">
        <v>761</v>
      </c>
      <c r="H107" s="21"/>
    </row>
    <row r="108" spans="1:8">
      <c r="A108" s="73">
        <v>46143</v>
      </c>
      <c r="B108" s="21" t="s">
        <v>800</v>
      </c>
      <c r="C108" s="21" t="e" vm="107">
        <v>#VALUE!</v>
      </c>
      <c r="D108" s="21" t="str">
        <f t="array" aca="1" ref="D108" ca="1">_FV(C108,"Industry")</f>
        <v>Freight &amp; Logistics Services</v>
      </c>
      <c r="E108" s="21" t="s">
        <v>66</v>
      </c>
      <c r="F108" s="21" t="s">
        <v>731</v>
      </c>
      <c r="G108" s="21" t="s">
        <v>761</v>
      </c>
      <c r="H108" s="21"/>
    </row>
    <row r="109" spans="1:8">
      <c r="A109" s="73">
        <v>46143</v>
      </c>
      <c r="B109" s="21" t="s">
        <v>801</v>
      </c>
      <c r="C109" s="21" t="e" vm="108">
        <v>#VALUE!</v>
      </c>
      <c r="D109" s="21" t="str">
        <f t="array" aca="1" ref="D109" ca="1">_FV(C109,"Industry")</f>
        <v>Automobiles &amp; Auto Parts</v>
      </c>
      <c r="E109" s="21" t="s">
        <v>64</v>
      </c>
      <c r="F109" s="21" t="s">
        <v>734</v>
      </c>
      <c r="G109" s="21" t="s">
        <v>761</v>
      </c>
      <c r="H109" s="21"/>
    </row>
    <row r="110" spans="1:8">
      <c r="A110" s="73">
        <v>46143</v>
      </c>
      <c r="B110" s="21" t="s">
        <v>802</v>
      </c>
      <c r="C110" s="21" t="e" vm="109">
        <v>#VALUE!</v>
      </c>
      <c r="D110" s="21" t="str">
        <f t="array" aca="1" ref="D110" ca="1">_FV(C110,"Industry")</f>
        <v>Machinery, Equipment &amp; Components</v>
      </c>
      <c r="E110" s="21" t="s">
        <v>66</v>
      </c>
      <c r="F110" s="21" t="s">
        <v>731</v>
      </c>
      <c r="G110" s="21" t="s">
        <v>761</v>
      </c>
      <c r="H110" s="21"/>
    </row>
    <row r="111" spans="1:8">
      <c r="A111" s="73">
        <v>46143</v>
      </c>
      <c r="B111" s="21" t="s">
        <v>803</v>
      </c>
      <c r="C111" s="21" t="e" vm="110">
        <v>#VALUE!</v>
      </c>
      <c r="D111" s="21" t="str">
        <f t="array" aca="1" ref="D111" ca="1">_FV(C111,"Industry")</f>
        <v>Chemicals</v>
      </c>
      <c r="E111" s="21" t="s">
        <v>68</v>
      </c>
      <c r="F111" s="21" t="s">
        <v>731</v>
      </c>
      <c r="G111" s="21" t="s">
        <v>761</v>
      </c>
      <c r="H111" s="21"/>
    </row>
    <row r="112" spans="1:8">
      <c r="A112" s="73">
        <v>46143</v>
      </c>
      <c r="B112" s="21" t="s">
        <v>804</v>
      </c>
      <c r="C112" s="21" t="e" vm="111">
        <v>#VALUE!</v>
      </c>
      <c r="D112" s="21" t="str">
        <f t="array" aca="1" ref="D112" ca="1">_FV(C112,"Industry")</f>
        <v>Media &amp; Publishing</v>
      </c>
      <c r="E112" s="21" t="s">
        <v>736</v>
      </c>
      <c r="F112" s="21" t="s">
        <v>731</v>
      </c>
      <c r="G112" s="21" t="s">
        <v>761</v>
      </c>
      <c r="H112" s="21"/>
    </row>
    <row r="113" spans="1:8">
      <c r="A113" s="73">
        <v>46143</v>
      </c>
      <c r="B113" s="21" t="s">
        <v>805</v>
      </c>
      <c r="C113" s="21" t="e" vm="112">
        <v>#VALUE!</v>
      </c>
      <c r="D113" s="21" t="str">
        <f t="array" aca="1" ref="D113" ca="1">_FV(C113,"Industry")</f>
        <v>Construction &amp; Engineering</v>
      </c>
      <c r="E113" s="21" t="s">
        <v>64</v>
      </c>
      <c r="F113" s="21" t="s">
        <v>731</v>
      </c>
      <c r="G113" s="21" t="s">
        <v>761</v>
      </c>
      <c r="H113" s="21"/>
    </row>
    <row r="114" spans="1:8">
      <c r="A114" s="73">
        <v>46143</v>
      </c>
      <c r="B114" s="21" t="s">
        <v>806</v>
      </c>
      <c r="C114" s="21" t="e" vm="113">
        <v>#VALUE!</v>
      </c>
      <c r="D114" s="21" t="str">
        <f t="array" aca="1" ref="D114" ca="1">_FV(C114,"Industry")</f>
        <v>Banking Services</v>
      </c>
      <c r="E114" s="21" t="s">
        <v>747</v>
      </c>
      <c r="F114" s="21" t="s">
        <v>735</v>
      </c>
      <c r="G114" s="21" t="s">
        <v>761</v>
      </c>
      <c r="H114" s="21"/>
    </row>
    <row r="115" spans="1:8">
      <c r="A115" s="73">
        <v>46143</v>
      </c>
      <c r="B115" s="21" t="s">
        <v>807</v>
      </c>
      <c r="C115" s="21" t="e" vm="114">
        <v>#VALUE!</v>
      </c>
      <c r="D115" s="21" t="str">
        <f t="array" aca="1" ref="D115" ca="1">_FV(C115,"Industry")</f>
        <v>Consumer Goods Conglomerates</v>
      </c>
      <c r="E115" s="21" t="s">
        <v>64</v>
      </c>
      <c r="F115" s="21" t="s">
        <v>734</v>
      </c>
      <c r="G115" s="21" t="s">
        <v>761</v>
      </c>
      <c r="H115" s="21"/>
    </row>
    <row r="116" spans="1:8">
      <c r="A116" s="73">
        <v>46143</v>
      </c>
      <c r="B116" s="21" t="s">
        <v>808</v>
      </c>
      <c r="C116" s="21" t="e" vm="115">
        <v>#VALUE!</v>
      </c>
      <c r="D116" s="21" t="str">
        <f t="array" aca="1" ref="D116" ca="1">_FV(C116,"Industry")</f>
        <v>Chemicals</v>
      </c>
      <c r="E116" s="21" t="s">
        <v>68</v>
      </c>
      <c r="F116" s="21" t="s">
        <v>731</v>
      </c>
      <c r="G116" s="21" t="s">
        <v>761</v>
      </c>
      <c r="H116" s="21"/>
    </row>
    <row r="117" spans="1:8">
      <c r="A117" s="73">
        <v>46143</v>
      </c>
      <c r="B117" s="21" t="s">
        <v>809</v>
      </c>
      <c r="C117" s="21" t="e" vm="116">
        <v>#VALUE!</v>
      </c>
      <c r="D117" s="21" t="str">
        <f t="array" aca="1" ref="D117" ca="1">_FV(C117,"Industry")</f>
        <v>Chemicals</v>
      </c>
      <c r="E117" s="21" t="s">
        <v>68</v>
      </c>
      <c r="F117" s="21" t="s">
        <v>731</v>
      </c>
      <c r="G117" s="21" t="s">
        <v>761</v>
      </c>
      <c r="H117" s="21"/>
    </row>
    <row r="118" spans="1:8">
      <c r="A118" s="73">
        <v>46143</v>
      </c>
      <c r="B118" s="21" t="s">
        <v>324</v>
      </c>
      <c r="C118" s="21" t="e" vm="117">
        <v>#VALUE!</v>
      </c>
      <c r="D118" s="21" t="str">
        <f t="array" aca="1" ref="D118" ca="1">_FV(C118,"Industry")</f>
        <v>Banking Services</v>
      </c>
      <c r="E118" s="21" t="s">
        <v>747</v>
      </c>
      <c r="F118" s="21" t="s">
        <v>735</v>
      </c>
      <c r="G118" s="21" t="s">
        <v>761</v>
      </c>
      <c r="H118" s="21"/>
    </row>
    <row r="119" spans="1:8">
      <c r="A119" s="73">
        <v>46143</v>
      </c>
      <c r="B119" s="21" t="s">
        <v>810</v>
      </c>
      <c r="C119" s="21" t="e" vm="118">
        <v>#VALUE!</v>
      </c>
      <c r="D119" s="21" t="str">
        <f t="array" aca="1" ref="D119" ca="1">_FV(C119,"Industry")</f>
        <v>Chemicals</v>
      </c>
      <c r="E119" s="21" t="s">
        <v>68</v>
      </c>
      <c r="F119" s="21" t="s">
        <v>731</v>
      </c>
      <c r="G119" s="21" t="s">
        <v>761</v>
      </c>
      <c r="H119" s="21"/>
    </row>
    <row r="120" spans="1:8">
      <c r="A120" s="73">
        <v>46143</v>
      </c>
      <c r="B120" s="21" t="s">
        <v>811</v>
      </c>
      <c r="C120" s="21" t="e" vm="119">
        <v>#VALUE!</v>
      </c>
      <c r="D120" s="21" t="str">
        <f t="array" aca="1" ref="D120" ca="1">_FV(C120,"Industry")</f>
        <v>Homebuilding &amp; Construction Supplies</v>
      </c>
      <c r="E120" s="21" t="s">
        <v>66</v>
      </c>
      <c r="F120" s="21" t="s">
        <v>731</v>
      </c>
      <c r="G120" s="21" t="s">
        <v>761</v>
      </c>
      <c r="H120" s="21"/>
    </row>
    <row r="121" spans="1:8">
      <c r="A121" s="73">
        <v>46143</v>
      </c>
      <c r="B121" s="21" t="s">
        <v>812</v>
      </c>
      <c r="C121" s="21" t="e" vm="120">
        <v>#VALUE!</v>
      </c>
      <c r="D121" s="21" t="str">
        <f t="array" aca="1" ref="D121" ca="1">_FV(C121,"Industry")</f>
        <v>Professional &amp; Commercial Services</v>
      </c>
      <c r="E121" s="21" t="s">
        <v>747</v>
      </c>
      <c r="F121" s="21" t="s">
        <v>734</v>
      </c>
      <c r="G121" s="21" t="s">
        <v>761</v>
      </c>
      <c r="H121" s="21"/>
    </row>
    <row r="122" spans="1:8">
      <c r="A122" s="73">
        <v>46143</v>
      </c>
      <c r="B122" s="21" t="s">
        <v>813</v>
      </c>
      <c r="C122" s="21" t="e" vm="121">
        <v>#VALUE!</v>
      </c>
      <c r="D122" s="21" t="str">
        <f t="array" aca="1" ref="D122" ca="1">_FV(C122,"Industry")</f>
        <v>Computers, Phones &amp; Household Electronics</v>
      </c>
      <c r="E122" s="21" t="s">
        <v>66</v>
      </c>
      <c r="F122" s="21" t="s">
        <v>734</v>
      </c>
      <c r="G122" s="21" t="s">
        <v>761</v>
      </c>
      <c r="H122" s="21"/>
    </row>
    <row r="123" spans="1:8">
      <c r="A123" s="73">
        <v>46143</v>
      </c>
      <c r="B123" s="21" t="s">
        <v>814</v>
      </c>
      <c r="C123" s="21" t="e" vm="122">
        <v>#VALUE!</v>
      </c>
      <c r="D123" s="21" t="str">
        <f t="array" aca="1" ref="D123" ca="1">_FV(C123,"Industry")</f>
        <v>Chemicals</v>
      </c>
      <c r="E123" s="21" t="s">
        <v>68</v>
      </c>
      <c r="F123" s="21" t="s">
        <v>731</v>
      </c>
      <c r="G123" s="21" t="s">
        <v>761</v>
      </c>
      <c r="H123" s="21"/>
    </row>
    <row r="124" spans="1:8">
      <c r="A124" s="73">
        <v>46143</v>
      </c>
      <c r="B124" s="21" t="s">
        <v>815</v>
      </c>
      <c r="C124" s="21" t="e" vm="123">
        <v>#VALUE!</v>
      </c>
      <c r="D124" s="21" t="str">
        <f t="array" aca="1" ref="D124" ca="1">_FV(C124,"Industry")</f>
        <v>Chemicals</v>
      </c>
      <c r="E124" s="21" t="s">
        <v>68</v>
      </c>
      <c r="F124" s="21" t="s">
        <v>731</v>
      </c>
      <c r="G124" s="21" t="s">
        <v>761</v>
      </c>
      <c r="H124" s="21"/>
    </row>
    <row r="125" spans="1:8">
      <c r="A125" s="73">
        <v>46143</v>
      </c>
      <c r="B125" s="21" t="s">
        <v>816</v>
      </c>
      <c r="C125" s="21" t="e" vm="124">
        <v>#VALUE!</v>
      </c>
      <c r="D125" s="21" t="str">
        <f t="array" aca="1" ref="D125" ca="1">_FV(C125,"Industry")</f>
        <v>Natural Gas Utilities</v>
      </c>
      <c r="E125" s="21" t="s">
        <v>64</v>
      </c>
      <c r="F125" s="21" t="s">
        <v>731</v>
      </c>
      <c r="G125" s="21" t="s">
        <v>761</v>
      </c>
      <c r="H125" s="21"/>
    </row>
    <row r="126" spans="1:8">
      <c r="A126" s="73">
        <v>46143</v>
      </c>
      <c r="B126" s="21" t="s">
        <v>817</v>
      </c>
      <c r="C126" s="21" t="e" vm="125">
        <v>#VALUE!</v>
      </c>
      <c r="D126" s="21" t="str">
        <f t="array" aca="1" ref="D126" ca="1">_FV(C126,"Industry")</f>
        <v>Machinery, Equipment &amp; Components</v>
      </c>
      <c r="E126" s="21" t="s">
        <v>66</v>
      </c>
      <c r="F126" s="21" t="s">
        <v>734</v>
      </c>
      <c r="G126" s="21" t="s">
        <v>761</v>
      </c>
      <c r="H126" s="21"/>
    </row>
    <row r="127" spans="1:8">
      <c r="A127" s="73">
        <v>46143</v>
      </c>
      <c r="B127" s="21" t="s">
        <v>818</v>
      </c>
      <c r="C127" s="21" t="e" vm="126">
        <v>#VALUE!</v>
      </c>
      <c r="D127" s="21" t="str">
        <f t="array" aca="1" ref="D127" ca="1">_FV(C127,"Industry")</f>
        <v>Banking Services</v>
      </c>
      <c r="E127" s="21" t="s">
        <v>747</v>
      </c>
      <c r="F127" s="21" t="s">
        <v>735</v>
      </c>
      <c r="G127" s="21" t="s">
        <v>761</v>
      </c>
      <c r="H127" s="21"/>
    </row>
    <row r="128" spans="1:8">
      <c r="A128" s="73">
        <v>46143</v>
      </c>
      <c r="B128" s="21" t="s">
        <v>819</v>
      </c>
      <c r="C128" s="21" t="e" vm="127">
        <v>#VALUE!</v>
      </c>
      <c r="D128" s="21" t="str">
        <f t="array" aca="1" ref="D128" ca="1">_FV(C128,"Industry")</f>
        <v>Insurance</v>
      </c>
      <c r="E128" s="21" t="s">
        <v>747</v>
      </c>
      <c r="F128" s="21" t="s">
        <v>735</v>
      </c>
      <c r="G128" s="21" t="s">
        <v>761</v>
      </c>
      <c r="H128" s="21"/>
    </row>
    <row r="129" spans="1:8">
      <c r="A129" s="73">
        <v>46143</v>
      </c>
      <c r="B129" s="21" t="s">
        <v>819</v>
      </c>
      <c r="C129" s="21" t="e" vm="127">
        <v>#VALUE!</v>
      </c>
      <c r="D129" s="21" t="str">
        <f t="array" aca="1" ref="D129" ca="1">_FV(C129,"Industry")</f>
        <v>Insurance</v>
      </c>
      <c r="E129" s="21" t="s">
        <v>64</v>
      </c>
      <c r="F129" s="21" t="s">
        <v>731</v>
      </c>
      <c r="G129" s="21" t="s">
        <v>761</v>
      </c>
      <c r="H129" s="21"/>
    </row>
    <row r="130" spans="1:8">
      <c r="A130" s="73">
        <v>46143</v>
      </c>
      <c r="B130" s="21" t="s">
        <v>820</v>
      </c>
      <c r="C130" s="21" t="e" vm="128">
        <v>#VALUE!</v>
      </c>
      <c r="D130" s="21" t="str">
        <f t="array" aca="1" ref="D130" ca="1">_FV(C130,"Industry")</f>
        <v>Insurance</v>
      </c>
      <c r="E130" s="21" t="s">
        <v>747</v>
      </c>
      <c r="F130" s="21" t="s">
        <v>734</v>
      </c>
      <c r="G130" s="21" t="s">
        <v>761</v>
      </c>
      <c r="H130" s="21"/>
    </row>
    <row r="131" spans="1:8">
      <c r="A131" s="73">
        <v>46143</v>
      </c>
      <c r="B131" s="21" t="s">
        <v>821</v>
      </c>
      <c r="C131" s="21" t="e" vm="129">
        <v>#VALUE!</v>
      </c>
      <c r="D131" s="21" t="str">
        <f t="array" aca="1" ref="D131" ca="1">_FV(C131,"Industry")</f>
        <v>Investment Banking &amp; Investment Services</v>
      </c>
      <c r="E131" s="21" t="s">
        <v>736</v>
      </c>
      <c r="F131" s="21" t="s">
        <v>731</v>
      </c>
      <c r="G131" s="21" t="s">
        <v>761</v>
      </c>
      <c r="H131" s="21"/>
    </row>
    <row r="132" spans="1:8">
      <c r="A132" s="73">
        <v>46143</v>
      </c>
      <c r="B132" s="21" t="s">
        <v>822</v>
      </c>
      <c r="C132" s="21" t="e" vm="130">
        <v>#VALUE!</v>
      </c>
      <c r="D132" s="21" t="str">
        <f t="array" aca="1" ref="D132" ca="1">_FV(C132,"Industry")</f>
        <v>Natural Gas Utilities</v>
      </c>
      <c r="E132" s="21" t="s">
        <v>64</v>
      </c>
      <c r="F132" s="21" t="s">
        <v>731</v>
      </c>
      <c r="G132" s="21" t="s">
        <v>761</v>
      </c>
      <c r="H132" s="21"/>
    </row>
    <row r="133" spans="1:8">
      <c r="A133" s="73">
        <v>46143</v>
      </c>
      <c r="B133" s="21" t="s">
        <v>823</v>
      </c>
      <c r="C133" s="21" t="e" vm="131">
        <v>#VALUE!</v>
      </c>
      <c r="D133" s="21" t="str">
        <f t="array" aca="1" ref="D133" ca="1">_FV(C133,"Industry")</f>
        <v>Software &amp; IT Services</v>
      </c>
      <c r="E133" s="21" t="s">
        <v>736</v>
      </c>
      <c r="F133" s="21" t="s">
        <v>734</v>
      </c>
      <c r="G133" s="21" t="s">
        <v>761</v>
      </c>
      <c r="H133" s="21"/>
    </row>
    <row r="134" spans="1:8">
      <c r="A134" s="73">
        <v>46143</v>
      </c>
      <c r="B134" s="21" t="s">
        <v>824</v>
      </c>
      <c r="C134" s="21" t="e" vm="132">
        <v>#VALUE!</v>
      </c>
      <c r="D134" s="21" t="str">
        <f t="array" aca="1" ref="D134" ca="1">_FV(C134,"Industry")</f>
        <v>Passenger Transportation Services</v>
      </c>
      <c r="E134" s="21" t="s">
        <v>736</v>
      </c>
      <c r="F134" s="21" t="s">
        <v>734</v>
      </c>
      <c r="G134" s="21" t="s">
        <v>761</v>
      </c>
      <c r="H134" s="21"/>
    </row>
    <row r="135" spans="1:8">
      <c r="A135" s="73">
        <v>46143</v>
      </c>
      <c r="B135" s="21" t="s">
        <v>825</v>
      </c>
      <c r="C135" s="21" t="e" vm="133">
        <v>#VALUE!</v>
      </c>
      <c r="D135" s="21" t="str">
        <f t="array" aca="1" ref="D135" ca="1">_FV(C135,"Industry")</f>
        <v>Homebuilding &amp; Construction Supplies</v>
      </c>
      <c r="E135" s="21" t="s">
        <v>66</v>
      </c>
      <c r="F135" s="21" t="s">
        <v>731</v>
      </c>
      <c r="G135" s="21" t="s">
        <v>761</v>
      </c>
      <c r="H135" s="21"/>
    </row>
    <row r="136" spans="1:8">
      <c r="A136" s="73">
        <v>46143</v>
      </c>
      <c r="B136" s="21" t="s">
        <v>826</v>
      </c>
      <c r="C136" s="21" t="e" vm="134">
        <v>#VALUE!</v>
      </c>
      <c r="D136" s="21" t="str">
        <f t="array" aca="1" ref="D136" ca="1">_FV(C136,"Industry")</f>
        <v>Banking Services</v>
      </c>
      <c r="E136" s="21" t="s">
        <v>747</v>
      </c>
      <c r="F136" s="21" t="s">
        <v>735</v>
      </c>
      <c r="G136" s="21" t="s">
        <v>761</v>
      </c>
      <c r="H136" s="21"/>
    </row>
    <row r="137" spans="1:8">
      <c r="A137" s="73">
        <v>46143</v>
      </c>
      <c r="B137" s="21" t="s">
        <v>827</v>
      </c>
      <c r="C137" s="21" t="e" vm="135">
        <v>#VALUE!</v>
      </c>
      <c r="D137" s="21" t="str">
        <f t="array" aca="1" ref="D137" ca="1">_FV(C137,"Industry")</f>
        <v>Software &amp; IT Services</v>
      </c>
      <c r="E137" s="21" t="s">
        <v>736</v>
      </c>
      <c r="F137" s="21" t="s">
        <v>731</v>
      </c>
      <c r="G137" s="21" t="s">
        <v>761</v>
      </c>
      <c r="H137" s="21"/>
    </row>
    <row r="138" spans="1:8">
      <c r="A138" s="73">
        <v>46143</v>
      </c>
      <c r="B138" s="21" t="s">
        <v>828</v>
      </c>
      <c r="C138" s="21" t="e" vm="136">
        <v>#VALUE!</v>
      </c>
      <c r="D138" s="21" t="str">
        <f t="array" aca="1" ref="D138" ca="1">_FV(C138,"Industry")</f>
        <v>Natural Gas Utilities</v>
      </c>
      <c r="E138" s="21" t="s">
        <v>64</v>
      </c>
      <c r="F138" s="21" t="s">
        <v>731</v>
      </c>
      <c r="G138" s="21" t="s">
        <v>761</v>
      </c>
      <c r="H138" s="21"/>
    </row>
    <row r="139" spans="1:8">
      <c r="A139" s="73">
        <v>46143</v>
      </c>
      <c r="B139" s="21" t="s">
        <v>829</v>
      </c>
      <c r="C139" s="21" t="e" vm="137">
        <v>#VALUE!</v>
      </c>
      <c r="D139" s="21" t="str">
        <f t="array" aca="1" ref="D139" ca="1">_FV(C139,"Industry")</f>
        <v>Automobiles &amp; Auto Parts</v>
      </c>
      <c r="E139" s="21" t="s">
        <v>64</v>
      </c>
      <c r="F139" s="21" t="s">
        <v>734</v>
      </c>
      <c r="G139" s="21" t="s">
        <v>761</v>
      </c>
      <c r="H139" s="21"/>
    </row>
    <row r="140" spans="1:8">
      <c r="A140" s="73">
        <v>46143</v>
      </c>
      <c r="B140" s="21" t="s">
        <v>830</v>
      </c>
      <c r="C140" s="21" t="e" vm="138">
        <v>#VALUE!</v>
      </c>
      <c r="D140" s="21" t="str">
        <f t="array" aca="1" ref="D140" ca="1">_FV(C140,"Industry")</f>
        <v>Textiles &amp; Apparel</v>
      </c>
      <c r="E140" s="21" t="s">
        <v>66</v>
      </c>
      <c r="F140" s="21" t="s">
        <v>731</v>
      </c>
      <c r="G140" s="21" t="s">
        <v>761</v>
      </c>
      <c r="H140" s="21"/>
    </row>
    <row r="141" spans="1:8">
      <c r="A141" s="73">
        <v>46143</v>
      </c>
      <c r="B141" s="21" t="s">
        <v>831</v>
      </c>
      <c r="C141" s="21" t="e" vm="139">
        <v>#VALUE!</v>
      </c>
      <c r="D141" s="21" t="str">
        <f t="array" aca="1" ref="D141" ca="1">_FV(C141,"Industry")</f>
        <v>Software &amp; IT Services</v>
      </c>
      <c r="E141" s="21" t="s">
        <v>736</v>
      </c>
      <c r="F141" s="21" t="s">
        <v>735</v>
      </c>
      <c r="G141" s="21" t="s">
        <v>761</v>
      </c>
      <c r="H141" s="21"/>
    </row>
    <row r="142" spans="1:8">
      <c r="A142" s="73">
        <v>46143</v>
      </c>
      <c r="B142" s="21" t="s">
        <v>832</v>
      </c>
      <c r="C142" s="21" t="e" vm="140">
        <v>#VALUE!</v>
      </c>
      <c r="D142" s="21" t="str">
        <f t="array" aca="1" ref="D142" ca="1">_FV(C142,"Industry")</f>
        <v>Software &amp; IT Services</v>
      </c>
      <c r="E142" s="21" t="s">
        <v>736</v>
      </c>
      <c r="F142" s="21" t="s">
        <v>731</v>
      </c>
      <c r="G142" s="21" t="s">
        <v>761</v>
      </c>
      <c r="H142" s="21"/>
    </row>
    <row r="143" spans="1:8">
      <c r="A143" s="73">
        <v>46143</v>
      </c>
      <c r="B143" s="21" t="s">
        <v>833</v>
      </c>
      <c r="C143" s="21" t="e" vm="141">
        <v>#VALUE!</v>
      </c>
      <c r="D143" s="21" t="str">
        <f t="array" aca="1" ref="D143" ca="1">_FV(C143,"Industry")</f>
        <v>Textiles &amp; Apparel</v>
      </c>
      <c r="E143" s="21" t="s">
        <v>66</v>
      </c>
      <c r="F143" s="21" t="s">
        <v>731</v>
      </c>
      <c r="G143" s="21" t="s">
        <v>761</v>
      </c>
      <c r="H143" s="21"/>
    </row>
    <row r="144" spans="1:8">
      <c r="A144" s="73">
        <v>46143</v>
      </c>
      <c r="B144" s="21" t="s">
        <v>834</v>
      </c>
      <c r="C144" s="21" t="e" vm="142">
        <v>#VALUE!</v>
      </c>
      <c r="D144" s="21" t="str">
        <f t="array" aca="1" ref="D144" ca="1">_FV(C144,"Industry")</f>
        <v>Textiles &amp; Apparel</v>
      </c>
      <c r="E144" s="21" t="s">
        <v>66</v>
      </c>
      <c r="F144" s="21" t="s">
        <v>731</v>
      </c>
      <c r="G144" s="21" t="s">
        <v>761</v>
      </c>
      <c r="H144" s="21"/>
    </row>
    <row r="145" spans="1:8">
      <c r="A145" s="73">
        <v>46143</v>
      </c>
      <c r="B145" s="21" t="s">
        <v>835</v>
      </c>
      <c r="C145" s="21" t="e" vm="143">
        <v>#VALUE!</v>
      </c>
      <c r="D145" s="21" t="str">
        <f t="array" aca="1" ref="D145" ca="1">_FV(C145,"Industry")</f>
        <v>Machinery, Equipment &amp; Components</v>
      </c>
      <c r="E145" s="21" t="s">
        <v>64</v>
      </c>
      <c r="F145" s="21" t="s">
        <v>731</v>
      </c>
      <c r="G145" s="21" t="s">
        <v>761</v>
      </c>
      <c r="H145" s="21"/>
    </row>
    <row r="146" spans="1:8">
      <c r="A146" s="73">
        <v>46143</v>
      </c>
      <c r="B146" s="21" t="s">
        <v>836</v>
      </c>
      <c r="C146" s="21" t="e" vm="144">
        <v>#VALUE!</v>
      </c>
      <c r="D146" s="21" t="str">
        <f t="array" aca="1" ref="D146" ca="1">_FV(C146,"Industry")</f>
        <v>Construction Materials</v>
      </c>
      <c r="E146" s="21" t="s">
        <v>64</v>
      </c>
      <c r="F146" s="21" t="s">
        <v>731</v>
      </c>
      <c r="G146" s="21" t="s">
        <v>761</v>
      </c>
      <c r="H146" s="21"/>
    </row>
    <row r="147" spans="1:8">
      <c r="A147" s="73">
        <v>46143</v>
      </c>
      <c r="B147" s="21" t="s">
        <v>837</v>
      </c>
      <c r="C147" s="21" t="e" vm="145">
        <v>#VALUE!</v>
      </c>
      <c r="D147" s="21" t="str">
        <f t="array" aca="1" ref="D147" ca="1">_FV(C147,"Industry")</f>
        <v>Banking Services</v>
      </c>
      <c r="E147" s="21" t="s">
        <v>747</v>
      </c>
      <c r="F147" s="21" t="s">
        <v>735</v>
      </c>
      <c r="G147" s="21" t="s">
        <v>761</v>
      </c>
      <c r="H147" s="21"/>
    </row>
    <row r="148" spans="1:8">
      <c r="A148" s="73">
        <v>46143</v>
      </c>
      <c r="B148" s="21" t="s">
        <v>838</v>
      </c>
      <c r="C148" s="21" t="e" vm="146">
        <v>#VALUE!</v>
      </c>
      <c r="D148" s="21" t="str">
        <f t="array" aca="1" ref="D148" ca="1">_FV(C148,"Industry")</f>
        <v>Professional &amp; Commercial Services</v>
      </c>
      <c r="E148" s="21" t="s">
        <v>736</v>
      </c>
      <c r="F148" s="21" t="s">
        <v>731</v>
      </c>
      <c r="G148" s="21" t="s">
        <v>761</v>
      </c>
      <c r="H148" s="21"/>
    </row>
    <row r="149" spans="1:8">
      <c r="A149" s="73">
        <v>46143</v>
      </c>
      <c r="B149" s="21" t="s">
        <v>839</v>
      </c>
      <c r="C149" s="21" t="e" vm="147">
        <v>#VALUE!</v>
      </c>
      <c r="D149" s="21" t="str">
        <f t="array" aca="1" ref="D149" ca="1">_FV(C149,"Industry")</f>
        <v>Machinery, Equipment &amp; Components</v>
      </c>
      <c r="E149" s="21" t="s">
        <v>66</v>
      </c>
      <c r="F149" s="21" t="s">
        <v>734</v>
      </c>
      <c r="G149" s="21" t="s">
        <v>761</v>
      </c>
      <c r="H149" s="21"/>
    </row>
    <row r="150" spans="1:8">
      <c r="A150" s="73">
        <v>46143</v>
      </c>
      <c r="B150" s="21" t="s">
        <v>840</v>
      </c>
      <c r="C150" s="21" t="s">
        <v>840</v>
      </c>
      <c r="D150" s="21" t="e" vm="148">
        <f t="array" ref="D150">_FV(C150,"Industry")</f>
        <v>#VALUE!</v>
      </c>
      <c r="E150" s="21" t="s">
        <v>68</v>
      </c>
      <c r="F150" s="21" t="s">
        <v>731</v>
      </c>
      <c r="G150" s="21" t="s">
        <v>761</v>
      </c>
      <c r="H150" s="21"/>
    </row>
    <row r="151" spans="1:8">
      <c r="A151" s="73">
        <v>46143</v>
      </c>
      <c r="B151" s="21" t="s">
        <v>841</v>
      </c>
      <c r="C151" s="21" t="e" vm="149">
        <v>#VALUE!</v>
      </c>
      <c r="D151" s="21" t="str">
        <f t="array" aca="1" ref="D151" ca="1">_FV(C151,"Industry")</f>
        <v>Machinery, Equipment &amp; Components</v>
      </c>
      <c r="E151" s="21" t="s">
        <v>64</v>
      </c>
      <c r="F151" s="21" t="s">
        <v>731</v>
      </c>
      <c r="G151" s="21" t="s">
        <v>761</v>
      </c>
      <c r="H151" s="21"/>
    </row>
    <row r="152" spans="1:8">
      <c r="A152" s="73">
        <v>46143</v>
      </c>
      <c r="B152" s="21" t="s">
        <v>842</v>
      </c>
      <c r="C152" s="21" t="e" vm="150">
        <v>#VALUE!</v>
      </c>
      <c r="D152" s="21" t="str">
        <f t="array" aca="1" ref="D152" ca="1">_FV(C152,"Industry")</f>
        <v>Food &amp; Tobacco</v>
      </c>
      <c r="E152" s="21" t="s">
        <v>66</v>
      </c>
      <c r="F152" s="21" t="s">
        <v>731</v>
      </c>
      <c r="G152" s="21" t="s">
        <v>761</v>
      </c>
      <c r="H152" s="21"/>
    </row>
    <row r="153" spans="1:8">
      <c r="A153" s="73">
        <v>46143</v>
      </c>
      <c r="B153" s="77" t="s">
        <v>843</v>
      </c>
      <c r="C153" s="21" t="e" vm="151">
        <v>#VALUE!</v>
      </c>
      <c r="D153" s="21" t="str">
        <f t="array" aca="1" ref="D153" ca="1">_FV(C153,"Industry")</f>
        <v>Investment Banking &amp; Investment Services</v>
      </c>
      <c r="E153" s="21" t="s">
        <v>747</v>
      </c>
      <c r="F153" s="21" t="s">
        <v>731</v>
      </c>
      <c r="G153" s="21" t="s">
        <v>844</v>
      </c>
      <c r="H153" s="21"/>
    </row>
    <row r="154" spans="1:8">
      <c r="A154" s="73">
        <v>46143</v>
      </c>
      <c r="B154" s="21" t="s">
        <v>845</v>
      </c>
      <c r="C154" s="21" t="e" vm="152">
        <v>#VALUE!</v>
      </c>
      <c r="D154" s="21" t="str">
        <f t="array" aca="1" ref="D154" ca="1">_FV(C154,"Industry")</f>
        <v>Investment Banking &amp; Investment Services</v>
      </c>
      <c r="E154" s="21" t="s">
        <v>736</v>
      </c>
      <c r="F154" s="21" t="s">
        <v>731</v>
      </c>
      <c r="G154" s="21" t="s">
        <v>844</v>
      </c>
      <c r="H154" s="21"/>
    </row>
    <row r="155" spans="1:8">
      <c r="A155" s="73">
        <v>46143</v>
      </c>
      <c r="B155" s="21" t="s">
        <v>846</v>
      </c>
      <c r="C155" s="21" t="e" vm="153">
        <v>#VALUE!</v>
      </c>
      <c r="D155" s="21" t="str">
        <f t="array" aca="1" ref="D155" ca="1">_FV(C155,"Industry")</f>
        <v>Professional &amp; Commercial Services</v>
      </c>
      <c r="E155" s="21" t="s">
        <v>736</v>
      </c>
      <c r="F155" s="21" t="s">
        <v>731</v>
      </c>
      <c r="G155" s="21" t="s">
        <v>844</v>
      </c>
      <c r="H155" s="21"/>
    </row>
    <row r="156" spans="1:8">
      <c r="A156" s="73">
        <v>46143</v>
      </c>
      <c r="B156" s="21" t="s">
        <v>80</v>
      </c>
      <c r="C156" s="21" t="e" vm="154">
        <v>#VALUE!</v>
      </c>
      <c r="D156" s="21" t="str">
        <f t="array" aca="1" ref="D156" ca="1">_FV(C156,"Industry")</f>
        <v>Investment Banking &amp; Investment Services</v>
      </c>
      <c r="E156" s="21" t="s">
        <v>736</v>
      </c>
      <c r="F156" s="21" t="s">
        <v>734</v>
      </c>
      <c r="G156" s="21" t="s">
        <v>844</v>
      </c>
      <c r="H156" s="21"/>
    </row>
    <row r="157" spans="1:8">
      <c r="A157" s="73">
        <v>46143</v>
      </c>
      <c r="B157" s="21" t="s">
        <v>847</v>
      </c>
      <c r="C157" s="21" t="e" vm="155">
        <v>#VALUE!</v>
      </c>
      <c r="D157" s="21" t="str">
        <f t="array" aca="1" ref="D157" ca="1">_FV(C157,"Industry")</f>
        <v>Investment Banking &amp; Investment Services</v>
      </c>
      <c r="E157" s="21" t="s">
        <v>747</v>
      </c>
      <c r="F157" s="21" t="s">
        <v>734</v>
      </c>
      <c r="G157" s="21" t="s">
        <v>844</v>
      </c>
      <c r="H157" s="21"/>
    </row>
    <row r="158" spans="1:8">
      <c r="A158" s="73">
        <v>46143</v>
      </c>
      <c r="B158" s="21" t="s">
        <v>848</v>
      </c>
      <c r="C158" s="21" t="e" vm="156">
        <v>#VALUE!</v>
      </c>
      <c r="D158" s="21" t="str">
        <f t="array" aca="1" ref="D158" ca="1">_FV(C158,"Industry")</f>
        <v>Financial Technology (Fintech) &amp; Infrastructure</v>
      </c>
      <c r="E158" s="21" t="s">
        <v>736</v>
      </c>
      <c r="F158" s="21" t="s">
        <v>731</v>
      </c>
      <c r="G158" s="21" t="s">
        <v>844</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272"/>
  <sheetViews>
    <sheetView workbookViewId="0">
      <pane ySplit="1" topLeftCell="A38" activePane="bottomLeft" state="frozen"/>
      <selection pane="bottomLeft" activeCell="D255" sqref="D255"/>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1" width="10" customWidth="1"/>
    <col min="12" max="12" width="6.42578125" bestFit="1" customWidth="1"/>
    <col min="13" max="13" width="9.7109375" bestFit="1" customWidth="1"/>
    <col min="14" max="14" width="14.140625" bestFit="1" customWidth="1"/>
    <col min="15" max="15" width="18.42578125" bestFit="1" customWidth="1"/>
    <col min="16" max="16" width="16.140625" bestFit="1" customWidth="1"/>
    <col min="17" max="17" width="20.42578125" bestFit="1" customWidth="1"/>
  </cols>
  <sheetData>
    <row r="1" spans="1:17">
      <c r="A1" s="51" t="s">
        <v>151</v>
      </c>
      <c r="B1" s="51" t="s">
        <v>849</v>
      </c>
      <c r="C1" s="51" t="s">
        <v>850</v>
      </c>
      <c r="D1" s="51" t="s">
        <v>726</v>
      </c>
      <c r="E1" s="51" t="s">
        <v>140</v>
      </c>
      <c r="F1" s="51" t="s">
        <v>851</v>
      </c>
      <c r="G1" s="51" t="s">
        <v>852</v>
      </c>
      <c r="H1" s="51" t="s">
        <v>853</v>
      </c>
      <c r="I1" s="51" t="s">
        <v>854</v>
      </c>
      <c r="J1" s="51" t="s">
        <v>855</v>
      </c>
      <c r="K1" s="51"/>
      <c r="L1" s="51"/>
      <c r="M1" s="51"/>
      <c r="N1" s="51"/>
      <c r="O1" s="51"/>
      <c r="P1" s="51"/>
      <c r="Q1" s="51"/>
    </row>
    <row r="2" spans="1:17">
      <c r="A2" s="40">
        <v>46158</v>
      </c>
      <c r="B2" s="41" t="s">
        <v>57</v>
      </c>
      <c r="C2" s="41" t="s">
        <v>856</v>
      </c>
      <c r="D2" s="41" t="e" vm="73">
        <v>#VALUE!</v>
      </c>
      <c r="E2" s="42">
        <f t="array" aca="1" ref="E2" ca="1">_FV(D2,"Price")</f>
        <v>2043.3</v>
      </c>
      <c r="F2" s="43">
        <f t="array" aca="1" ref="F2" ca="1">_FV(D2,"Previous close",TRUE)</f>
        <v>2099.9</v>
      </c>
      <c r="G2" s="33">
        <v>1775.6</v>
      </c>
      <c r="H2" s="33">
        <v>1603.27</v>
      </c>
      <c r="I2" s="33">
        <v>1545.71</v>
      </c>
      <c r="J2" s="33">
        <v>1400.99</v>
      </c>
      <c r="K2" s="31"/>
      <c r="L2" s="44" t="s">
        <v>850</v>
      </c>
      <c r="M2" s="44" t="s">
        <v>140</v>
      </c>
      <c r="N2" s="44" t="s">
        <v>857</v>
      </c>
      <c r="O2" s="44" t="s">
        <v>858</v>
      </c>
      <c r="P2" s="44" t="s">
        <v>132</v>
      </c>
      <c r="Q2" s="44" t="s">
        <v>859</v>
      </c>
    </row>
    <row r="3" spans="1:17">
      <c r="A3" s="40">
        <v>46158</v>
      </c>
      <c r="B3" s="41" t="s">
        <v>860</v>
      </c>
      <c r="C3" s="41" t="s">
        <v>856</v>
      </c>
      <c r="D3" s="41" t="e" vm="157">
        <v>#VALUE!</v>
      </c>
      <c r="E3" s="42">
        <f t="array" aca="1" ref="E3" ca="1">_FV(D3,"Price")</f>
        <v>945</v>
      </c>
      <c r="F3" s="43">
        <f t="array" aca="1" ref="F3" ca="1">_FV(D3,"Previous close",TRUE)</f>
        <v>900</v>
      </c>
      <c r="G3" s="33">
        <v>845</v>
      </c>
      <c r="H3" s="33">
        <v>731.07</v>
      </c>
      <c r="I3" s="33">
        <v>698.54</v>
      </c>
      <c r="J3" s="33">
        <v>605.83000000000004</v>
      </c>
      <c r="K3" s="31"/>
      <c r="L3" s="45" t="s">
        <v>856</v>
      </c>
      <c r="M3" s="46" t="s">
        <v>861</v>
      </c>
      <c r="N3" s="46" t="s">
        <v>862</v>
      </c>
      <c r="O3" s="47">
        <v>4.5400000000000003E-2</v>
      </c>
      <c r="P3" s="46" t="s">
        <v>863</v>
      </c>
      <c r="Q3" s="47">
        <v>0.14119999999999999</v>
      </c>
    </row>
    <row r="4" spans="1:17">
      <c r="A4" s="40">
        <v>46158</v>
      </c>
      <c r="B4" s="41" t="s">
        <v>864</v>
      </c>
      <c r="C4" s="41" t="s">
        <v>856</v>
      </c>
      <c r="D4" s="41" t="e" vm="158">
        <v>#VALUE!</v>
      </c>
      <c r="E4" s="42">
        <f t="array" aca="1" ref="E4" ca="1">_FV(D4,"Price")</f>
        <v>483.35</v>
      </c>
      <c r="F4" s="43">
        <f t="array" aca="1" ref="F4" ca="1">_FV(D4,"Previous close",TRUE)</f>
        <v>488.9</v>
      </c>
      <c r="G4" s="33">
        <v>476.15</v>
      </c>
      <c r="H4" s="33">
        <v>482.93</v>
      </c>
      <c r="I4" s="33">
        <v>481.21</v>
      </c>
      <c r="J4" s="33">
        <v>470.64</v>
      </c>
      <c r="K4" s="31"/>
      <c r="L4" s="45" t="s">
        <v>856</v>
      </c>
      <c r="M4" s="46" t="s">
        <v>865</v>
      </c>
      <c r="N4" s="46" t="s">
        <v>866</v>
      </c>
      <c r="O4" s="47">
        <v>3.8300000000000001E-2</v>
      </c>
      <c r="P4" s="46" t="s">
        <v>867</v>
      </c>
      <c r="Q4" s="47">
        <v>1.41E-2</v>
      </c>
    </row>
    <row r="5" spans="1:17">
      <c r="A5" s="40">
        <v>46158</v>
      </c>
      <c r="B5" s="41" t="s">
        <v>868</v>
      </c>
      <c r="C5" s="41" t="s">
        <v>856</v>
      </c>
      <c r="D5" s="41" t="e" vm="159">
        <v>#VALUE!</v>
      </c>
      <c r="E5" s="42">
        <f t="array" aca="1" ref="E5" ca="1">_FV(D5,"Price")</f>
        <v>1958.2</v>
      </c>
      <c r="F5" s="43">
        <f t="array" aca="1" ref="F5" ca="1">_FV(D5,"Previous close",TRUE)</f>
        <v>1921.4</v>
      </c>
      <c r="G5" s="33">
        <v>1839.8</v>
      </c>
      <c r="H5" s="33">
        <v>1767.55</v>
      </c>
      <c r="I5" s="33">
        <v>1740.1</v>
      </c>
      <c r="J5" s="33">
        <v>1671</v>
      </c>
      <c r="K5" s="31"/>
      <c r="L5" s="45" t="s">
        <v>856</v>
      </c>
      <c r="M5" s="46" t="s">
        <v>869</v>
      </c>
      <c r="N5" s="46" t="s">
        <v>870</v>
      </c>
      <c r="O5" s="47">
        <v>8.8999999999999999E-3</v>
      </c>
      <c r="P5" s="46" t="s">
        <v>871</v>
      </c>
      <c r="Q5" s="47">
        <v>4.7800000000000002E-2</v>
      </c>
    </row>
    <row r="6" spans="1:17">
      <c r="A6" s="40">
        <v>46158</v>
      </c>
      <c r="B6" s="41" t="s">
        <v>872</v>
      </c>
      <c r="C6" s="41" t="s">
        <v>856</v>
      </c>
      <c r="D6" s="41" t="e" vm="160">
        <v>#VALUE!</v>
      </c>
      <c r="E6" s="42">
        <f t="array" aca="1" ref="E6" ca="1">_FV(D6,"Price")</f>
        <v>264.75</v>
      </c>
      <c r="F6" s="43">
        <f t="array" aca="1" ref="F6" ca="1">_FV(D6,"Previous close",TRUE)</f>
        <v>267.55</v>
      </c>
      <c r="G6" s="33">
        <v>265.39999999999998</v>
      </c>
      <c r="H6" s="33">
        <v>278.58999999999997</v>
      </c>
      <c r="I6" s="33">
        <v>278.23</v>
      </c>
      <c r="J6" s="33">
        <v>272.17</v>
      </c>
      <c r="K6" s="31"/>
      <c r="L6" s="45" t="s">
        <v>856</v>
      </c>
      <c r="M6" s="46" t="s">
        <v>873</v>
      </c>
      <c r="N6" s="46" t="s">
        <v>874</v>
      </c>
      <c r="O6" s="47">
        <v>1.35E-2</v>
      </c>
      <c r="P6" s="46" t="s">
        <v>875</v>
      </c>
      <c r="Q6" s="47">
        <v>0.23480000000000001</v>
      </c>
    </row>
    <row r="7" spans="1:17">
      <c r="A7" s="40">
        <v>46158</v>
      </c>
      <c r="B7" s="41" t="s">
        <v>836</v>
      </c>
      <c r="C7" s="41" t="s">
        <v>856</v>
      </c>
      <c r="D7" s="41" t="e" vm="144">
        <v>#VALUE!</v>
      </c>
      <c r="E7" s="42">
        <f t="array" aca="1" ref="E7" ca="1">_FV(D7,"Price")</f>
        <v>1039.8</v>
      </c>
      <c r="F7" s="43">
        <f t="array" aca="1" ref="F7" ca="1">_FV(D7,"Previous close",TRUE)</f>
        <v>1028.5999999999999</v>
      </c>
      <c r="G7" s="33">
        <v>1029.05</v>
      </c>
      <c r="H7" s="33">
        <v>993.25</v>
      </c>
      <c r="I7" s="33">
        <v>977.69</v>
      </c>
      <c r="J7" s="33">
        <v>932.24</v>
      </c>
      <c r="K7" s="31"/>
      <c r="L7" s="45" t="s">
        <v>856</v>
      </c>
      <c r="M7" s="46" t="s">
        <v>876</v>
      </c>
      <c r="N7" s="46" t="s">
        <v>877</v>
      </c>
      <c r="O7" s="47">
        <v>2.7199999999999998E-2</v>
      </c>
      <c r="P7" s="46" t="s">
        <v>878</v>
      </c>
      <c r="Q7" s="47">
        <v>0.1406</v>
      </c>
    </row>
    <row r="8" spans="1:17">
      <c r="A8" s="40">
        <v>46158</v>
      </c>
      <c r="B8" s="41" t="s">
        <v>879</v>
      </c>
      <c r="C8" s="41" t="s">
        <v>856</v>
      </c>
      <c r="D8" s="41" t="e" vm="161">
        <v>#VALUE!</v>
      </c>
      <c r="E8" s="42">
        <f t="array" aca="1" ref="E8" ca="1">_FV(D8,"Price")</f>
        <v>497.85</v>
      </c>
      <c r="F8" s="43">
        <f t="array" aca="1" ref="F8" ca="1">_FV(D8,"Previous close",TRUE)</f>
        <v>480</v>
      </c>
      <c r="G8" s="33">
        <v>508.85</v>
      </c>
      <c r="H8" s="33">
        <v>479.34</v>
      </c>
      <c r="I8" s="33">
        <v>469.31</v>
      </c>
      <c r="J8" s="33">
        <v>430.81</v>
      </c>
      <c r="K8" s="31"/>
      <c r="L8" s="45" t="s">
        <v>856</v>
      </c>
      <c r="M8" s="46" t="s">
        <v>880</v>
      </c>
      <c r="N8" s="46" t="s">
        <v>881</v>
      </c>
      <c r="O8" s="47">
        <v>6.7999999999999996E-3</v>
      </c>
      <c r="P8" s="46" t="s">
        <v>882</v>
      </c>
      <c r="Q8" s="47">
        <v>2.9499999999999998E-2</v>
      </c>
    </row>
    <row r="9" spans="1:17">
      <c r="A9" s="40">
        <v>46158</v>
      </c>
      <c r="B9" s="41" t="s">
        <v>883</v>
      </c>
      <c r="C9" s="41" t="s">
        <v>856</v>
      </c>
      <c r="D9" s="41" t="e" vm="162">
        <v>#VALUE!</v>
      </c>
      <c r="E9" s="42">
        <f t="array" aca="1" ref="E9" ca="1">_FV(D9,"Price")</f>
        <v>526.35</v>
      </c>
      <c r="F9" s="43">
        <f t="array" aca="1" ref="F9" ca="1">_FV(D9,"Previous close",TRUE)</f>
        <v>541.4</v>
      </c>
      <c r="G9" s="33">
        <v>538.70000000000005</v>
      </c>
      <c r="H9" s="33">
        <v>540.91999999999996</v>
      </c>
      <c r="I9" s="33">
        <v>539.53</v>
      </c>
      <c r="J9" s="33">
        <v>520.27</v>
      </c>
      <c r="K9" s="31"/>
      <c r="L9" s="45" t="s">
        <v>856</v>
      </c>
      <c r="M9" s="46" t="s">
        <v>884</v>
      </c>
      <c r="N9" s="46" t="s">
        <v>885</v>
      </c>
      <c r="O9" s="47">
        <v>3.6400000000000002E-2</v>
      </c>
      <c r="P9" s="46" t="s">
        <v>886</v>
      </c>
      <c r="Q9" s="47">
        <v>4.5600000000000002E-2</v>
      </c>
    </row>
    <row r="10" spans="1:17">
      <c r="A10" s="40">
        <v>46158</v>
      </c>
      <c r="B10" s="41" t="s">
        <v>56</v>
      </c>
      <c r="C10" s="41" t="s">
        <v>856</v>
      </c>
      <c r="D10" s="41" t="e" vm="163">
        <v>#VALUE!</v>
      </c>
      <c r="E10" s="42">
        <f t="array" aca="1" ref="E10" ca="1">_FV(D10,"Price")</f>
        <v>421.35</v>
      </c>
      <c r="F10" s="43">
        <f t="array" aca="1" ref="F10" ca="1">_FV(D10,"Previous close",TRUE)</f>
        <v>419.2</v>
      </c>
      <c r="G10" s="33">
        <v>409</v>
      </c>
      <c r="H10" s="33">
        <v>334.75</v>
      </c>
      <c r="I10" s="33">
        <v>322.93</v>
      </c>
      <c r="J10" s="33">
        <v>291.18</v>
      </c>
      <c r="K10" s="31"/>
      <c r="L10" s="45" t="s">
        <v>856</v>
      </c>
      <c r="M10" s="46" t="s">
        <v>887</v>
      </c>
      <c r="N10" s="46" t="s">
        <v>888</v>
      </c>
      <c r="O10" s="47">
        <v>1.26E-2</v>
      </c>
      <c r="P10" s="46" t="s">
        <v>889</v>
      </c>
      <c r="Q10" s="47">
        <v>4.41E-2</v>
      </c>
    </row>
    <row r="11" spans="1:17">
      <c r="A11" s="40">
        <v>46158</v>
      </c>
      <c r="B11" s="41" t="s">
        <v>201</v>
      </c>
      <c r="C11" s="41" t="s">
        <v>856</v>
      </c>
      <c r="D11" s="41" t="e" vm="164">
        <v>#VALUE!</v>
      </c>
      <c r="E11" s="42">
        <f t="array" aca="1" ref="E11" ca="1">_FV(D11,"Price")</f>
        <v>187.23</v>
      </c>
      <c r="F11" s="43">
        <f t="array" aca="1" ref="F11" ca="1">_FV(D11,"Previous close",TRUE)</f>
        <v>197.08</v>
      </c>
      <c r="G11" s="33">
        <v>179.94</v>
      </c>
      <c r="H11" s="33">
        <v>141.05000000000001</v>
      </c>
      <c r="I11" s="33">
        <v>133.63999999999999</v>
      </c>
      <c r="J11" s="33">
        <v>111.49</v>
      </c>
      <c r="K11" s="31"/>
      <c r="L11" s="45" t="s">
        <v>856</v>
      </c>
      <c r="M11" s="46" t="s">
        <v>890</v>
      </c>
      <c r="N11" s="46" t="s">
        <v>891</v>
      </c>
      <c r="O11" s="47">
        <v>4.7699999999999999E-2</v>
      </c>
      <c r="P11" s="46" t="s">
        <v>892</v>
      </c>
      <c r="Q11" s="47">
        <v>9.4700000000000006E-2</v>
      </c>
    </row>
    <row r="12" spans="1:17">
      <c r="A12" s="40">
        <v>46158</v>
      </c>
      <c r="B12" s="41" t="s">
        <v>784</v>
      </c>
      <c r="C12" s="41" t="s">
        <v>856</v>
      </c>
      <c r="D12" s="41" t="e" vm="87">
        <v>#VALUE!</v>
      </c>
      <c r="E12" s="42">
        <f t="array" aca="1" ref="E12" ca="1">_FV(D12,"Price")</f>
        <v>1680.1</v>
      </c>
      <c r="F12" s="43">
        <f t="array" aca="1" ref="F12" ca="1">_FV(D12,"Previous close",TRUE)</f>
        <v>1676.7</v>
      </c>
      <c r="G12" s="33">
        <v>1682</v>
      </c>
      <c r="H12" s="33">
        <v>1682.05</v>
      </c>
      <c r="I12" s="33">
        <v>1669.93</v>
      </c>
      <c r="J12" s="33">
        <v>1647.62</v>
      </c>
      <c r="K12" s="31"/>
      <c r="L12" s="45" t="s">
        <v>856</v>
      </c>
      <c r="M12" s="46" t="s">
        <v>893</v>
      </c>
      <c r="N12" s="46" t="s">
        <v>894</v>
      </c>
      <c r="O12" s="47">
        <v>5.0000000000000001E-3</v>
      </c>
      <c r="P12" s="46" t="s">
        <v>895</v>
      </c>
      <c r="Q12" s="47">
        <v>8.8999999999999999E-3</v>
      </c>
    </row>
    <row r="13" spans="1:17">
      <c r="A13" s="40">
        <v>46158</v>
      </c>
      <c r="B13" s="41" t="s">
        <v>63</v>
      </c>
      <c r="C13" s="41" t="s">
        <v>856</v>
      </c>
      <c r="D13" s="41" t="e" vm="165">
        <v>#VALUE!</v>
      </c>
      <c r="E13" s="42">
        <f t="array" aca="1" ref="E13" ca="1">_FV(D13,"Price")</f>
        <v>1462.3</v>
      </c>
      <c r="F13" s="43">
        <f t="array" aca="1" ref="F13" ca="1">_FV(D13,"Previous close",TRUE)</f>
        <v>1463.6</v>
      </c>
      <c r="G13" s="33">
        <v>1426.4</v>
      </c>
      <c r="H13" s="33">
        <v>1422.89</v>
      </c>
      <c r="I13" s="33">
        <v>1408.26</v>
      </c>
      <c r="J13" s="33">
        <v>1346.74</v>
      </c>
      <c r="K13" s="31"/>
      <c r="L13" s="45" t="s">
        <v>856</v>
      </c>
      <c r="M13" s="46" t="s">
        <v>896</v>
      </c>
      <c r="N13" s="46" t="s">
        <v>897</v>
      </c>
      <c r="O13" s="47">
        <v>2.47E-2</v>
      </c>
      <c r="P13" s="46" t="s">
        <v>898</v>
      </c>
      <c r="Q13" s="47">
        <v>2.0400000000000001E-2</v>
      </c>
    </row>
    <row r="14" spans="1:17">
      <c r="A14" s="40">
        <v>46158</v>
      </c>
      <c r="B14" s="41" t="s">
        <v>145</v>
      </c>
      <c r="C14" s="41" t="s">
        <v>856</v>
      </c>
      <c r="D14" s="41" t="e" vm="166">
        <v>#VALUE!</v>
      </c>
      <c r="E14" s="42">
        <f t="array" aca="1" ref="E14" ca="1">_FV(D14,"Price")</f>
        <v>899.35</v>
      </c>
      <c r="F14" s="43">
        <f t="array" aca="1" ref="F14" ca="1">_FV(D14,"Previous close",TRUE)</f>
        <v>915.35</v>
      </c>
      <c r="G14" s="33">
        <v>774.85</v>
      </c>
      <c r="H14" s="33">
        <v>721.24</v>
      </c>
      <c r="I14" s="33">
        <v>701.41</v>
      </c>
      <c r="J14" s="33">
        <v>639.73</v>
      </c>
      <c r="K14" s="31"/>
      <c r="L14" s="45" t="s">
        <v>856</v>
      </c>
      <c r="M14" s="46" t="s">
        <v>899</v>
      </c>
      <c r="N14" s="46" t="s">
        <v>900</v>
      </c>
      <c r="O14" s="47">
        <v>1.23E-2</v>
      </c>
      <c r="P14" s="46" t="s">
        <v>901</v>
      </c>
      <c r="Q14" s="47">
        <v>2.4E-2</v>
      </c>
    </row>
    <row r="15" spans="1:17">
      <c r="A15" s="40">
        <v>46158</v>
      </c>
      <c r="B15" s="41" t="s">
        <v>902</v>
      </c>
      <c r="C15" s="41" t="s">
        <v>856</v>
      </c>
      <c r="D15" s="41" t="e" vm="167">
        <v>#VALUE!</v>
      </c>
      <c r="E15" s="42">
        <f t="array" aca="1" ref="E15" ca="1">_FV(D15,"Price")</f>
        <v>1609.6</v>
      </c>
      <c r="F15" s="43">
        <f t="array" aca="1" ref="F15" ca="1">_FV(D15,"Previous close",TRUE)</f>
        <v>1618.6</v>
      </c>
      <c r="G15" s="33">
        <v>1618.2</v>
      </c>
      <c r="H15" s="33">
        <v>1642.02</v>
      </c>
      <c r="I15" s="33">
        <v>1637.04</v>
      </c>
      <c r="J15" s="33">
        <v>1619.08</v>
      </c>
      <c r="K15" s="31"/>
      <c r="L15" s="45" t="s">
        <v>856</v>
      </c>
      <c r="M15" s="46" t="s">
        <v>903</v>
      </c>
      <c r="N15" s="46" t="s">
        <v>904</v>
      </c>
      <c r="O15" s="47">
        <v>4.5400000000000003E-2</v>
      </c>
      <c r="P15" s="46" t="s">
        <v>905</v>
      </c>
      <c r="Q15" s="47">
        <v>0.11840000000000001</v>
      </c>
    </row>
    <row r="16" spans="1:17">
      <c r="A16" s="40">
        <v>46158</v>
      </c>
      <c r="B16" s="41" t="s">
        <v>809</v>
      </c>
      <c r="C16" s="41" t="s">
        <v>856</v>
      </c>
      <c r="D16" s="41" t="e" vm="116">
        <v>#VALUE!</v>
      </c>
      <c r="E16" s="42">
        <f t="array" aca="1" ref="E16" ca="1">_FV(D16,"Price")</f>
        <v>1775.3</v>
      </c>
      <c r="F16" s="43">
        <f t="array" aca="1" ref="F16" ca="1">_FV(D16,"Previous close",TRUE)</f>
        <v>1800.8</v>
      </c>
      <c r="G16" s="33">
        <v>1651.3</v>
      </c>
      <c r="H16" s="33">
        <v>1625.92</v>
      </c>
      <c r="I16" s="33">
        <v>1606.61</v>
      </c>
      <c r="J16" s="33">
        <v>1584.71</v>
      </c>
      <c r="K16" s="31"/>
      <c r="L16" s="48" t="s">
        <v>906</v>
      </c>
      <c r="M16" s="46" t="s">
        <v>907</v>
      </c>
      <c r="N16" s="46" t="s">
        <v>908</v>
      </c>
      <c r="O16" s="47">
        <v>3.0000000000000001E-3</v>
      </c>
      <c r="P16" s="46" t="s">
        <v>909</v>
      </c>
      <c r="Q16" s="47">
        <v>3.1699999999999999E-2</v>
      </c>
    </row>
    <row r="17" spans="1:17">
      <c r="A17" s="40">
        <v>46158</v>
      </c>
      <c r="B17" s="41" t="s">
        <v>97</v>
      </c>
      <c r="C17" s="41" t="s">
        <v>856</v>
      </c>
      <c r="D17" s="41" t="e" vm="168">
        <v>#VALUE!</v>
      </c>
      <c r="E17" s="42">
        <f t="array" aca="1" ref="E17" ca="1">_FV(D17,"Price")</f>
        <v>1089</v>
      </c>
      <c r="F17" s="43">
        <f t="array" aca="1" ref="F17" ca="1">_FV(D17,"Previous close",TRUE)</f>
        <v>1084.5999999999999</v>
      </c>
      <c r="G17" s="33">
        <v>1077.7</v>
      </c>
      <c r="H17" s="33">
        <v>1001.26</v>
      </c>
      <c r="I17" s="33">
        <v>989.32</v>
      </c>
      <c r="J17" s="33">
        <v>960.18</v>
      </c>
      <c r="K17" s="31"/>
      <c r="L17" s="48" t="s">
        <v>906</v>
      </c>
      <c r="M17" s="46" t="s">
        <v>910</v>
      </c>
      <c r="N17" s="46" t="s">
        <v>911</v>
      </c>
      <c r="O17" s="47">
        <v>3.6799999999999999E-2</v>
      </c>
      <c r="P17" s="46" t="s">
        <v>912</v>
      </c>
      <c r="Q17" s="47">
        <v>3.6499999999999998E-2</v>
      </c>
    </row>
    <row r="18" spans="1:17">
      <c r="A18" s="40">
        <v>46158</v>
      </c>
      <c r="B18" s="41" t="s">
        <v>913</v>
      </c>
      <c r="C18" s="41" t="s">
        <v>856</v>
      </c>
      <c r="D18" s="41" t="e" vm="169">
        <v>#VALUE!</v>
      </c>
      <c r="E18" s="42">
        <f t="array" aca="1" ref="E18" ca="1">_FV(D18,"Price")</f>
        <v>70.91</v>
      </c>
      <c r="F18" s="43">
        <f t="array" aca="1" ref="F18" ca="1">_FV(D18,"Previous close",TRUE)</f>
        <v>72.349999999999994</v>
      </c>
      <c r="G18" s="33">
        <v>78.41</v>
      </c>
      <c r="H18" s="33">
        <v>62.34</v>
      </c>
      <c r="I18" s="33">
        <v>60.12</v>
      </c>
      <c r="J18" s="33">
        <v>53.93</v>
      </c>
      <c r="K18" s="31"/>
      <c r="L18" s="48" t="s">
        <v>906</v>
      </c>
      <c r="M18" s="46" t="s">
        <v>914</v>
      </c>
      <c r="N18" s="46" t="s">
        <v>915</v>
      </c>
      <c r="O18" s="47">
        <v>2.4799999999999999E-2</v>
      </c>
      <c r="P18" s="46" t="s">
        <v>916</v>
      </c>
      <c r="Q18" s="47">
        <v>0.18940000000000001</v>
      </c>
    </row>
    <row r="19" spans="1:17">
      <c r="A19" s="40">
        <v>46158</v>
      </c>
      <c r="B19" s="41" t="s">
        <v>67</v>
      </c>
      <c r="C19" s="41" t="s">
        <v>856</v>
      </c>
      <c r="D19" s="41" t="e" vm="35">
        <v>#VALUE!</v>
      </c>
      <c r="E19" s="42">
        <f t="array" aca="1" ref="E19" ca="1">_FV(D19,"Price")</f>
        <v>1782.2</v>
      </c>
      <c r="F19" s="43">
        <f t="array" aca="1" ref="F19" ca="1">_FV(D19,"Previous close",TRUE)</f>
        <v>1780.1</v>
      </c>
      <c r="G19" s="33">
        <v>1799.2</v>
      </c>
      <c r="H19" s="33">
        <v>1787.21</v>
      </c>
      <c r="I19" s="33">
        <v>1780.62</v>
      </c>
      <c r="J19" s="33">
        <v>1756.65</v>
      </c>
      <c r="K19" s="31"/>
      <c r="L19" s="48" t="s">
        <v>906</v>
      </c>
      <c r="M19" s="46" t="s">
        <v>917</v>
      </c>
      <c r="N19" s="46" t="s">
        <v>918</v>
      </c>
      <c r="O19" s="47">
        <v>8.5000000000000006E-3</v>
      </c>
      <c r="P19" s="46" t="s">
        <v>919</v>
      </c>
      <c r="Q19" s="47">
        <v>3.95E-2</v>
      </c>
    </row>
    <row r="20" spans="1:17">
      <c r="A20" s="40">
        <v>46158</v>
      </c>
      <c r="B20" s="41" t="s">
        <v>65</v>
      </c>
      <c r="C20" s="41" t="s">
        <v>856</v>
      </c>
      <c r="D20" s="41" t="e" vm="170">
        <v>#VALUE!</v>
      </c>
      <c r="E20" s="42">
        <f t="array" aca="1" ref="E20" ca="1">_FV(D20,"Price")</f>
        <v>2976.5</v>
      </c>
      <c r="F20" s="43">
        <f t="array" aca="1" ref="F20" ca="1">_FV(D20,"Previous close",TRUE)</f>
        <v>2947.7</v>
      </c>
      <c r="G20" s="33">
        <v>2928.9</v>
      </c>
      <c r="H20" s="33">
        <v>2961.52</v>
      </c>
      <c r="I20" s="33">
        <v>2948.44</v>
      </c>
      <c r="J20" s="33">
        <v>2886.45</v>
      </c>
      <c r="K20" s="31"/>
      <c r="L20" s="48" t="s">
        <v>906</v>
      </c>
      <c r="M20" s="46" t="s">
        <v>920</v>
      </c>
      <c r="N20" s="46" t="s">
        <v>921</v>
      </c>
      <c r="O20" s="47">
        <v>4.9000000000000002E-2</v>
      </c>
      <c r="P20" s="46" t="s">
        <v>922</v>
      </c>
      <c r="Q20" s="47">
        <v>4.7300000000000002E-2</v>
      </c>
    </row>
    <row r="21" spans="1:17">
      <c r="A21" s="40">
        <v>46158</v>
      </c>
      <c r="B21" s="41" t="s">
        <v>923</v>
      </c>
      <c r="C21" s="41" t="s">
        <v>856</v>
      </c>
      <c r="D21" s="41" t="e" vm="171">
        <v>#VALUE!</v>
      </c>
      <c r="E21" s="42">
        <f t="array" aca="1" ref="E21" ca="1">_FV(D21,"Price")</f>
        <v>138.71</v>
      </c>
      <c r="F21" s="43">
        <f t="array" aca="1" ref="F21" ca="1">_FV(D21,"Previous close",TRUE)</f>
        <v>141.47999999999999</v>
      </c>
      <c r="G21" s="33">
        <v>145.16999999999999</v>
      </c>
      <c r="H21" s="33">
        <v>135.74</v>
      </c>
      <c r="I21" s="33">
        <v>133.83000000000001</v>
      </c>
      <c r="J21" s="33">
        <v>127.93</v>
      </c>
      <c r="K21" s="31"/>
      <c r="L21" s="48" t="s">
        <v>906</v>
      </c>
      <c r="M21" s="46" t="s">
        <v>924</v>
      </c>
      <c r="N21" s="46" t="s">
        <v>925</v>
      </c>
      <c r="O21" s="47">
        <v>4.3099999999999999E-2</v>
      </c>
      <c r="P21" s="46" t="s">
        <v>926</v>
      </c>
      <c r="Q21" s="47">
        <v>5.9299999999999999E-2</v>
      </c>
    </row>
    <row r="22" spans="1:17">
      <c r="A22" s="40">
        <v>46158</v>
      </c>
      <c r="B22" s="41" t="s">
        <v>95</v>
      </c>
      <c r="C22" s="41" t="s">
        <v>856</v>
      </c>
      <c r="D22" s="41" t="e" vm="172">
        <v>#VALUE!</v>
      </c>
      <c r="E22" s="42">
        <f t="array" aca="1" ref="E22" ca="1">_FV(D22,"Price")</f>
        <v>642.75</v>
      </c>
      <c r="F22" s="43">
        <f t="array" aca="1" ref="F22" ca="1">_FV(D22,"Previous close",TRUE)</f>
        <v>623.15</v>
      </c>
      <c r="G22" s="33">
        <v>605</v>
      </c>
      <c r="H22" s="33">
        <v>588.66999999999996</v>
      </c>
      <c r="I22" s="33">
        <v>582.51</v>
      </c>
      <c r="J22" s="33">
        <v>575.65</v>
      </c>
      <c r="K22" s="31"/>
      <c r="L22" s="48" t="s">
        <v>906</v>
      </c>
      <c r="M22" s="46" t="s">
        <v>927</v>
      </c>
      <c r="N22" s="46" t="s">
        <v>928</v>
      </c>
      <c r="O22" s="47">
        <v>1.6199999999999999E-2</v>
      </c>
      <c r="P22" s="46" t="s">
        <v>929</v>
      </c>
      <c r="Q22" s="47">
        <v>0.17369999999999999</v>
      </c>
    </row>
    <row r="23" spans="1:17">
      <c r="A23" s="40">
        <v>46158</v>
      </c>
      <c r="B23" s="41" t="s">
        <v>930</v>
      </c>
      <c r="C23" s="41" t="s">
        <v>856</v>
      </c>
      <c r="D23" s="41" t="e" vm="173">
        <v>#VALUE!</v>
      </c>
      <c r="E23" s="42">
        <f t="array" aca="1" ref="E23" ca="1">_FV(D23,"Price")</f>
        <v>1240</v>
      </c>
      <c r="F23" s="43">
        <f t="array" aca="1" ref="F23" ca="1">_FV(D23,"Previous close",TRUE)</f>
        <v>1231.8</v>
      </c>
      <c r="G23" s="33">
        <v>1189</v>
      </c>
      <c r="H23" s="33">
        <v>1177.22</v>
      </c>
      <c r="I23" s="33">
        <v>1167.8699999999999</v>
      </c>
      <c r="J23" s="33">
        <v>1155.01</v>
      </c>
      <c r="K23" s="31"/>
      <c r="L23" s="48" t="s">
        <v>906</v>
      </c>
      <c r="M23" s="46" t="s">
        <v>931</v>
      </c>
      <c r="N23" s="46" t="s">
        <v>932</v>
      </c>
      <c r="O23" s="47">
        <v>2.6700000000000002E-2</v>
      </c>
      <c r="P23" s="46" t="s">
        <v>933</v>
      </c>
      <c r="Q23" s="47">
        <v>8.7300000000000003E-2</v>
      </c>
    </row>
    <row r="24" spans="1:17">
      <c r="A24" s="40">
        <v>46158</v>
      </c>
      <c r="B24" s="41" t="s">
        <v>934</v>
      </c>
      <c r="C24" s="41" t="s">
        <v>856</v>
      </c>
      <c r="D24" s="41" t="e" vm="174">
        <v>#VALUE!</v>
      </c>
      <c r="E24" s="42">
        <f t="array" aca="1" ref="E24" ca="1">_FV(D24,"Price")</f>
        <v>2336.1</v>
      </c>
      <c r="F24" s="43">
        <f t="array" aca="1" ref="F24" ca="1">_FV(D24,"Previous close",TRUE)</f>
        <v>2353</v>
      </c>
      <c r="G24" s="33">
        <v>2375.6</v>
      </c>
      <c r="H24" s="33">
        <v>2324.58</v>
      </c>
      <c r="I24" s="33">
        <v>2305.64</v>
      </c>
      <c r="J24" s="33">
        <v>2263.27</v>
      </c>
      <c r="K24" s="31"/>
      <c r="L24" s="48" t="s">
        <v>906</v>
      </c>
      <c r="M24" s="46" t="s">
        <v>935</v>
      </c>
      <c r="N24" s="46" t="s">
        <v>936</v>
      </c>
      <c r="O24" s="47">
        <v>4.1999999999999997E-3</v>
      </c>
      <c r="P24" s="46" t="s">
        <v>937</v>
      </c>
      <c r="Q24" s="47">
        <v>1.9300000000000001E-2</v>
      </c>
    </row>
    <row r="25" spans="1:17">
      <c r="A25" s="40">
        <v>46158</v>
      </c>
      <c r="B25" s="41" t="s">
        <v>938</v>
      </c>
      <c r="C25" s="41" t="s">
        <v>856</v>
      </c>
      <c r="D25" s="41" t="e" vm="175">
        <v>#VALUE!</v>
      </c>
      <c r="E25" s="42">
        <f t="array" aca="1" ref="E25" ca="1">_FV(D25,"Price")</f>
        <v>1641.9</v>
      </c>
      <c r="F25" s="43">
        <f t="array" aca="1" ref="F25" ca="1">_FV(D25,"Previous close",TRUE)</f>
        <v>1614</v>
      </c>
      <c r="G25" s="33">
        <v>1524.4</v>
      </c>
      <c r="H25" s="33">
        <v>1564.44</v>
      </c>
      <c r="I25" s="33">
        <v>1556.67</v>
      </c>
      <c r="J25" s="33">
        <v>1525.66</v>
      </c>
      <c r="K25" s="31"/>
      <c r="L25" s="48" t="s">
        <v>906</v>
      </c>
      <c r="M25" s="46" t="s">
        <v>939</v>
      </c>
      <c r="N25" s="46" t="s">
        <v>940</v>
      </c>
      <c r="O25" s="47">
        <v>3.5400000000000001E-2</v>
      </c>
      <c r="P25" s="46" t="s">
        <v>941</v>
      </c>
      <c r="Q25" s="47">
        <v>3.5499999999999997E-2</v>
      </c>
    </row>
    <row r="26" spans="1:17">
      <c r="A26" s="40">
        <v>46158</v>
      </c>
      <c r="B26" s="41" t="s">
        <v>942</v>
      </c>
      <c r="C26" s="41" t="s">
        <v>856</v>
      </c>
      <c r="D26" s="41" t="e" vm="176">
        <v>#VALUE!</v>
      </c>
      <c r="E26" s="42">
        <f t="array" aca="1" ref="E26" ca="1">_FV(D26,"Price")</f>
        <v>336.6</v>
      </c>
      <c r="F26" s="43">
        <f t="array" aca="1" ref="F26" ca="1">_FV(D26,"Previous close",TRUE)</f>
        <v>338.6</v>
      </c>
      <c r="G26" s="33">
        <v>347.55</v>
      </c>
      <c r="H26" s="33">
        <v>323.58999999999997</v>
      </c>
      <c r="I26" s="33">
        <v>317.92</v>
      </c>
      <c r="J26" s="33">
        <v>297.66000000000003</v>
      </c>
      <c r="K26" s="31"/>
      <c r="L26" s="48" t="s">
        <v>906</v>
      </c>
      <c r="M26" s="46" t="s">
        <v>943</v>
      </c>
      <c r="N26" s="46" t="s">
        <v>944</v>
      </c>
      <c r="O26" s="47">
        <v>1.8700000000000001E-2</v>
      </c>
      <c r="P26" s="46" t="s">
        <v>945</v>
      </c>
      <c r="Q26" s="47">
        <v>5.1499999999999997E-2</v>
      </c>
    </row>
    <row r="27" spans="1:17">
      <c r="A27" s="40">
        <v>46158</v>
      </c>
      <c r="B27" s="41" t="s">
        <v>640</v>
      </c>
      <c r="C27" s="41" t="s">
        <v>856</v>
      </c>
      <c r="D27" s="41" t="e" vm="8">
        <v>#VALUE!</v>
      </c>
      <c r="E27" s="42">
        <f t="array" aca="1" ref="E27" ca="1">_FV(D27,"Price")</f>
        <v>690.95</v>
      </c>
      <c r="F27" s="43">
        <f t="array" aca="1" ref="F27" ca="1">_FV(D27,"Previous close",TRUE)</f>
        <v>672.1</v>
      </c>
      <c r="G27" s="33">
        <v>662.45</v>
      </c>
      <c r="H27" s="33">
        <v>640.91999999999996</v>
      </c>
      <c r="I27" s="33">
        <v>630.85</v>
      </c>
      <c r="J27" s="33">
        <v>599.95000000000005</v>
      </c>
      <c r="K27" s="31"/>
      <c r="L27" s="31"/>
      <c r="M27" s="31"/>
      <c r="N27" s="31"/>
      <c r="O27" s="31"/>
      <c r="P27" s="31"/>
      <c r="Q27" s="31"/>
    </row>
    <row r="28" spans="1:17">
      <c r="A28" s="40">
        <v>46158</v>
      </c>
      <c r="B28" s="41" t="s">
        <v>227</v>
      </c>
      <c r="C28" s="41" t="s">
        <v>856</v>
      </c>
      <c r="D28" s="41" t="e" vm="95">
        <v>#VALUE!</v>
      </c>
      <c r="E28" s="42">
        <f t="array" aca="1" ref="E28" ca="1">_FV(D28,"Price")</f>
        <v>709</v>
      </c>
      <c r="F28" s="43">
        <f t="array" aca="1" ref="F28" ca="1">_FV(D28,"Previous close",TRUE)</f>
        <v>705.75</v>
      </c>
      <c r="G28" s="33">
        <v>702.6</v>
      </c>
      <c r="H28" s="33">
        <v>642.66</v>
      </c>
      <c r="I28" s="33">
        <v>632.05999999999995</v>
      </c>
      <c r="J28" s="33">
        <v>612.19000000000005</v>
      </c>
      <c r="K28" s="31"/>
      <c r="L28" s="31"/>
      <c r="M28" s="31"/>
      <c r="N28" s="31"/>
      <c r="O28" s="31"/>
      <c r="P28" s="31"/>
      <c r="Q28" s="31"/>
    </row>
    <row r="29" spans="1:17">
      <c r="A29" s="40">
        <v>46158</v>
      </c>
      <c r="B29" s="41" t="s">
        <v>225</v>
      </c>
      <c r="C29" s="41" t="s">
        <v>856</v>
      </c>
      <c r="D29" s="41" t="e" vm="177">
        <v>#VALUE!</v>
      </c>
      <c r="E29" s="42">
        <f t="array" aca="1" ref="E29" ca="1">_FV(D29,"Price")</f>
        <v>233.19</v>
      </c>
      <c r="F29" s="43">
        <f t="array" aca="1" ref="F29" ca="1">_FV(D29,"Previous close",TRUE)</f>
        <v>239.14</v>
      </c>
      <c r="G29" s="33">
        <v>246.19</v>
      </c>
      <c r="H29" s="33">
        <v>209.03</v>
      </c>
      <c r="I29" s="33">
        <v>204.9</v>
      </c>
      <c r="J29" s="33">
        <v>194.71</v>
      </c>
      <c r="K29" s="31"/>
      <c r="L29" s="31"/>
      <c r="M29" s="31"/>
      <c r="N29" s="31"/>
      <c r="O29" s="31"/>
      <c r="P29" s="31"/>
      <c r="Q29" s="31"/>
    </row>
    <row r="30" spans="1:17">
      <c r="A30" s="40">
        <v>46158</v>
      </c>
      <c r="B30" s="41" t="s">
        <v>946</v>
      </c>
      <c r="C30" s="41" t="s">
        <v>856</v>
      </c>
      <c r="D30" s="41" t="e" vm="178">
        <v>#VALUE!</v>
      </c>
      <c r="E30" s="42">
        <f t="array" aca="1" ref="E30" ca="1">_FV(D30,"Price")</f>
        <v>534.85</v>
      </c>
      <c r="F30" s="43">
        <f t="array" aca="1" ref="F30" ca="1">_FV(D30,"Previous close",TRUE)</f>
        <v>543.25</v>
      </c>
      <c r="G30" s="33">
        <v>532.70000000000005</v>
      </c>
      <c r="H30" s="33">
        <v>522.79999999999995</v>
      </c>
      <c r="I30" s="33">
        <v>519.21</v>
      </c>
      <c r="J30" s="33">
        <v>516.79999999999995</v>
      </c>
      <c r="K30" s="31"/>
      <c r="L30" s="31"/>
      <c r="M30" s="31"/>
      <c r="N30" s="31"/>
      <c r="O30" s="31"/>
      <c r="P30" s="31"/>
      <c r="Q30" s="31"/>
    </row>
    <row r="31" spans="1:17">
      <c r="A31" s="40">
        <v>46158</v>
      </c>
      <c r="B31" s="41" t="s">
        <v>947</v>
      </c>
      <c r="C31" s="41" t="s">
        <v>856</v>
      </c>
      <c r="D31" s="41" t="e" vm="179">
        <v>#VALUE!</v>
      </c>
      <c r="E31" s="42">
        <f t="array" aca="1" ref="E31" ca="1">_FV(D31,"Price")</f>
        <v>268.2</v>
      </c>
      <c r="F31" s="43">
        <f t="array" aca="1" ref="F31" ca="1">_FV(D31,"Previous close",TRUE)</f>
        <v>271.10000000000002</v>
      </c>
      <c r="G31" s="33">
        <v>273.36</v>
      </c>
      <c r="H31" s="33">
        <v>259.47000000000003</v>
      </c>
      <c r="I31" s="33">
        <v>256.93</v>
      </c>
      <c r="J31" s="33">
        <v>251.42</v>
      </c>
      <c r="K31" s="31"/>
      <c r="L31" s="31"/>
      <c r="M31" s="31"/>
      <c r="N31" s="31"/>
      <c r="O31" s="31"/>
      <c r="P31" s="31"/>
      <c r="Q31" s="31"/>
    </row>
    <row r="32" spans="1:17">
      <c r="A32" s="40">
        <v>46158</v>
      </c>
      <c r="B32" s="41" t="s">
        <v>148</v>
      </c>
      <c r="C32" s="41" t="s">
        <v>856</v>
      </c>
      <c r="D32" s="41" t="e" vm="180">
        <v>#VALUE!</v>
      </c>
      <c r="E32" s="42">
        <f t="array" aca="1" ref="E32" ca="1">_FV(D32,"Price")</f>
        <v>241.39</v>
      </c>
      <c r="F32" s="43">
        <f t="array" aca="1" ref="F32" ca="1">_FV(D32,"Previous close",TRUE)</f>
        <v>241.93</v>
      </c>
      <c r="G32" s="33">
        <v>217.82</v>
      </c>
      <c r="H32" s="33">
        <v>203.21</v>
      </c>
      <c r="I32" s="33">
        <v>197.68</v>
      </c>
      <c r="J32" s="33">
        <v>180.94</v>
      </c>
      <c r="K32" s="31"/>
      <c r="L32" s="31"/>
      <c r="M32" s="31"/>
      <c r="N32" s="31"/>
      <c r="O32" s="31"/>
      <c r="P32" s="31"/>
      <c r="Q32" s="31"/>
    </row>
    <row r="33" spans="1:17">
      <c r="A33" s="40">
        <v>46158</v>
      </c>
      <c r="B33" s="41" t="s">
        <v>758</v>
      </c>
      <c r="C33" s="41" t="s">
        <v>856</v>
      </c>
      <c r="D33" s="41" t="e" vm="60">
        <v>#VALUE!</v>
      </c>
      <c r="E33" s="42">
        <f t="array" aca="1" ref="E33" ca="1">_FV(D33,"Price")</f>
        <v>561.35</v>
      </c>
      <c r="F33" s="43">
        <f t="array" aca="1" ref="F33" ca="1">_FV(D33,"Previous close",TRUE)</f>
        <v>568.45000000000005</v>
      </c>
      <c r="G33" s="33">
        <v>562.1</v>
      </c>
      <c r="H33" s="33">
        <v>574.78</v>
      </c>
      <c r="I33" s="33">
        <v>575.34</v>
      </c>
      <c r="J33" s="33">
        <v>574.52</v>
      </c>
      <c r="K33" s="31"/>
      <c r="L33" s="31"/>
      <c r="M33" s="31"/>
      <c r="N33" s="31"/>
      <c r="O33" s="31"/>
      <c r="P33" s="31"/>
      <c r="Q33" s="31"/>
    </row>
    <row r="34" spans="1:17">
      <c r="A34" s="40">
        <v>46158</v>
      </c>
      <c r="B34" s="41" t="s">
        <v>948</v>
      </c>
      <c r="C34" s="41" t="s">
        <v>856</v>
      </c>
      <c r="D34" s="41" t="e" vm="181">
        <v>#VALUE!</v>
      </c>
      <c r="E34" s="42">
        <f t="array" aca="1" ref="E34" ca="1">_FV(D34,"Price")</f>
        <v>1815.3</v>
      </c>
      <c r="F34" s="43">
        <f t="array" aca="1" ref="F34" ca="1">_FV(D34,"Previous close",TRUE)</f>
        <v>1809.8</v>
      </c>
      <c r="G34" s="33">
        <v>1664.7</v>
      </c>
      <c r="H34" s="33">
        <v>1626.21</v>
      </c>
      <c r="I34" s="33">
        <v>1604.3</v>
      </c>
      <c r="J34" s="33">
        <v>1537.97</v>
      </c>
      <c r="K34" s="31"/>
      <c r="L34" s="31"/>
      <c r="M34" s="31"/>
      <c r="N34" s="31"/>
      <c r="O34" s="31"/>
      <c r="P34" s="31"/>
      <c r="Q34" s="31"/>
    </row>
    <row r="35" spans="1:17">
      <c r="A35" s="40">
        <v>46158</v>
      </c>
      <c r="B35" s="41" t="s">
        <v>72</v>
      </c>
      <c r="C35" s="41" t="s">
        <v>949</v>
      </c>
      <c r="D35" s="41" t="e" vm="30">
        <v>#VALUE!</v>
      </c>
      <c r="E35" s="42">
        <f t="array" aca="1" ref="E35" ca="1">_FV(D35,"Price")</f>
        <v>1312.8</v>
      </c>
      <c r="F35" s="43">
        <f t="array" aca="1" ref="F35" ca="1">_FV(D35,"Previous close",TRUE)</f>
        <v>1325.5</v>
      </c>
      <c r="G35" s="33">
        <v>1318.6</v>
      </c>
      <c r="H35" s="33">
        <v>1191.67</v>
      </c>
      <c r="I35" s="33">
        <v>1156.77</v>
      </c>
      <c r="J35" s="33">
        <v>1025.5899999999999</v>
      </c>
      <c r="K35" s="31"/>
      <c r="L35" s="31"/>
      <c r="M35" s="31"/>
      <c r="N35" s="31"/>
      <c r="O35" s="31"/>
      <c r="P35" s="31"/>
      <c r="Q35" s="31"/>
    </row>
    <row r="36" spans="1:17">
      <c r="A36" s="40">
        <v>46158</v>
      </c>
      <c r="B36" s="41" t="s">
        <v>950</v>
      </c>
      <c r="C36" s="41" t="s">
        <v>949</v>
      </c>
      <c r="D36" s="41" t="e" vm="182">
        <v>#VALUE!</v>
      </c>
      <c r="E36" s="42">
        <f t="array" aca="1" ref="E36" ca="1">_FV(D36,"Price")</f>
        <v>7535.5</v>
      </c>
      <c r="F36" s="43">
        <f t="array" aca="1" ref="F36" ca="1">_FV(D36,"Previous close",TRUE)</f>
        <v>7755.5</v>
      </c>
      <c r="G36" s="33">
        <v>7879.5</v>
      </c>
      <c r="H36" s="33">
        <v>6570.37</v>
      </c>
      <c r="I36" s="33">
        <v>6263.29</v>
      </c>
      <c r="J36" s="33">
        <v>5163.9799999999996</v>
      </c>
      <c r="K36" s="31"/>
      <c r="L36" s="31"/>
      <c r="M36" s="31"/>
      <c r="N36" s="31"/>
      <c r="O36" s="31"/>
      <c r="P36" s="31"/>
      <c r="Q36" s="31"/>
    </row>
    <row r="37" spans="1:17">
      <c r="A37" s="40">
        <v>46158</v>
      </c>
      <c r="B37" s="41" t="s">
        <v>951</v>
      </c>
      <c r="C37" s="41" t="s">
        <v>949</v>
      </c>
      <c r="D37" s="41" t="e" vm="183">
        <v>#VALUE!</v>
      </c>
      <c r="E37" s="42">
        <f t="array" aca="1" ref="E37" ca="1">_FV(D37,"Price")</f>
        <v>2795</v>
      </c>
      <c r="F37" s="43">
        <f t="array" aca="1" ref="F37" ca="1">_FV(D37,"Previous close",TRUE)</f>
        <v>2893.5</v>
      </c>
      <c r="G37" s="33">
        <v>2954.5</v>
      </c>
      <c r="H37" s="33">
        <v>2923.62</v>
      </c>
      <c r="I37" s="33">
        <v>2883.32</v>
      </c>
      <c r="J37" s="33">
        <v>2682.86</v>
      </c>
      <c r="K37" s="31"/>
      <c r="L37" s="31"/>
      <c r="M37" s="31"/>
      <c r="N37" s="31"/>
      <c r="O37" s="31"/>
      <c r="P37" s="31"/>
      <c r="Q37" s="31"/>
    </row>
    <row r="38" spans="1:17">
      <c r="A38" s="40">
        <v>46158</v>
      </c>
      <c r="B38" s="41" t="s">
        <v>952</v>
      </c>
      <c r="C38" s="41" t="s">
        <v>949</v>
      </c>
      <c r="D38" s="41" t="e" vm="184">
        <v>#VALUE!</v>
      </c>
      <c r="E38" s="42">
        <f t="array" aca="1" ref="E38" ca="1">_FV(D38,"Price")</f>
        <v>1072.9000000000001</v>
      </c>
      <c r="F38" s="43">
        <f t="array" aca="1" ref="F38" ca="1">_FV(D38,"Previous close",TRUE)</f>
        <v>1078.2</v>
      </c>
      <c r="G38" s="33">
        <v>1037.1500000000001</v>
      </c>
      <c r="H38" s="33">
        <v>831.9</v>
      </c>
      <c r="I38" s="33">
        <v>794.44</v>
      </c>
      <c r="J38" s="33">
        <v>688.82</v>
      </c>
      <c r="K38" s="31"/>
      <c r="L38" s="31"/>
      <c r="M38" s="31"/>
      <c r="N38" s="31"/>
      <c r="O38" s="31"/>
      <c r="P38" s="31"/>
      <c r="Q38" s="31"/>
    </row>
    <row r="39" spans="1:17">
      <c r="A39" s="40">
        <v>46158</v>
      </c>
      <c r="B39" s="41" t="s">
        <v>953</v>
      </c>
      <c r="C39" s="41" t="s">
        <v>949</v>
      </c>
      <c r="D39" s="41" t="e" vm="185">
        <v>#VALUE!</v>
      </c>
      <c r="E39" s="42">
        <f t="array" aca="1" ref="E39" ca="1">_FV(D39,"Price")</f>
        <v>1487.7</v>
      </c>
      <c r="F39" s="43">
        <f t="array" aca="1" ref="F39" ca="1">_FV(D39,"Previous close",TRUE)</f>
        <v>1528.7</v>
      </c>
      <c r="G39" s="33">
        <v>1575.8</v>
      </c>
      <c r="H39" s="33">
        <v>1365.27</v>
      </c>
      <c r="I39" s="33">
        <v>1320.37</v>
      </c>
      <c r="J39" s="33">
        <v>1168.95</v>
      </c>
      <c r="K39" s="31"/>
      <c r="L39" s="31"/>
      <c r="M39" s="31"/>
      <c r="N39" s="31"/>
      <c r="O39" s="31"/>
      <c r="P39" s="31"/>
      <c r="Q39" s="31"/>
    </row>
    <row r="40" spans="1:17">
      <c r="A40" s="40">
        <v>46158</v>
      </c>
      <c r="B40" s="41" t="s">
        <v>143</v>
      </c>
      <c r="C40" s="41" t="s">
        <v>949</v>
      </c>
      <c r="D40" s="41" t="e" vm="186">
        <v>#VALUE!</v>
      </c>
      <c r="E40" s="42">
        <f t="array" aca="1" ref="E40" ca="1">_FV(D40,"Price")</f>
        <v>619.25</v>
      </c>
      <c r="F40" s="43">
        <f t="array" aca="1" ref="F40" ca="1">_FV(D40,"Previous close",TRUE)</f>
        <v>651.6</v>
      </c>
      <c r="G40" s="33">
        <v>536.15</v>
      </c>
      <c r="H40" s="33">
        <v>414.35</v>
      </c>
      <c r="I40" s="33">
        <v>386.56</v>
      </c>
      <c r="J40" s="33">
        <v>299.27</v>
      </c>
      <c r="K40" s="31"/>
      <c r="L40" s="31"/>
      <c r="M40" s="31"/>
      <c r="N40" s="31"/>
      <c r="O40" s="31"/>
      <c r="P40" s="31"/>
      <c r="Q40" s="31"/>
    </row>
    <row r="41" spans="1:17">
      <c r="A41" s="40">
        <v>46158</v>
      </c>
      <c r="B41" s="41" t="s">
        <v>55</v>
      </c>
      <c r="C41" s="41" t="s">
        <v>949</v>
      </c>
      <c r="D41" s="41" t="e" vm="187">
        <v>#VALUE!</v>
      </c>
      <c r="E41" s="42">
        <f t="array" aca="1" ref="E41" ca="1">_FV(D41,"Price")</f>
        <v>137.1</v>
      </c>
      <c r="F41" s="43">
        <f t="array" aca="1" ref="F41" ca="1">_FV(D41,"Previous close",TRUE)</f>
        <v>133.09</v>
      </c>
      <c r="G41" s="33">
        <v>129.06</v>
      </c>
      <c r="H41" s="33">
        <v>119.05</v>
      </c>
      <c r="I41" s="33">
        <v>115.67</v>
      </c>
      <c r="J41" s="33">
        <v>102.37</v>
      </c>
      <c r="K41" s="31"/>
      <c r="L41" s="31"/>
      <c r="M41" s="31"/>
      <c r="N41" s="31"/>
      <c r="O41" s="31"/>
      <c r="P41" s="31"/>
      <c r="Q41" s="31"/>
    </row>
    <row r="42" spans="1:17">
      <c r="A42" s="40">
        <v>46158</v>
      </c>
      <c r="B42" s="41" t="s">
        <v>136</v>
      </c>
      <c r="C42" s="41" t="s">
        <v>949</v>
      </c>
      <c r="D42" s="41" t="e" vm="188">
        <v>#VALUE!</v>
      </c>
      <c r="E42" s="42">
        <f t="array" aca="1" ref="E42" ca="1">_FV(D42,"Price")</f>
        <v>1446.8</v>
      </c>
      <c r="F42" s="43">
        <f t="array" aca="1" ref="F42" ca="1">_FV(D42,"Previous close",TRUE)</f>
        <v>1427.2</v>
      </c>
      <c r="G42" s="33">
        <v>1362</v>
      </c>
      <c r="H42" s="33">
        <v>1266.8599999999999</v>
      </c>
      <c r="I42" s="33">
        <v>1240.3699999999999</v>
      </c>
      <c r="J42" s="33">
        <v>1153.67</v>
      </c>
      <c r="K42" s="31"/>
      <c r="L42" s="31"/>
      <c r="M42" s="31"/>
      <c r="N42" s="31"/>
      <c r="O42" s="31"/>
      <c r="P42" s="31"/>
      <c r="Q42" s="31"/>
    </row>
    <row r="43" spans="1:17">
      <c r="A43" s="40">
        <v>46158</v>
      </c>
      <c r="B43" s="41" t="s">
        <v>403</v>
      </c>
      <c r="C43" s="41" t="s">
        <v>949</v>
      </c>
      <c r="D43" s="41" t="e" vm="189">
        <v>#VALUE!</v>
      </c>
      <c r="E43" s="42">
        <f t="array" aca="1" ref="E43" ca="1">_FV(D43,"Price")</f>
        <v>1913.3</v>
      </c>
      <c r="F43" s="43">
        <f t="array" aca="1" ref="F43" ca="1">_FV(D43,"Previous close",TRUE)</f>
        <v>1949.9</v>
      </c>
      <c r="G43" s="33">
        <v>1928</v>
      </c>
      <c r="H43" s="33">
        <v>1719.17</v>
      </c>
      <c r="I43" s="33">
        <v>1681.81</v>
      </c>
      <c r="J43" s="33">
        <v>1534.33</v>
      </c>
      <c r="K43" s="31"/>
      <c r="L43" s="31"/>
      <c r="M43" s="31"/>
      <c r="N43" s="31"/>
      <c r="O43" s="31"/>
      <c r="P43" s="31"/>
      <c r="Q43" s="31"/>
    </row>
    <row r="44" spans="1:17">
      <c r="A44" s="40">
        <v>46158</v>
      </c>
      <c r="B44" s="41" t="s">
        <v>80</v>
      </c>
      <c r="C44" s="41" t="s">
        <v>949</v>
      </c>
      <c r="D44" s="41" t="e" vm="154">
        <v>#VALUE!</v>
      </c>
      <c r="E44" s="42">
        <f t="array" aca="1" ref="E44" ca="1">_FV(D44,"Price")</f>
        <v>3880</v>
      </c>
      <c r="F44" s="43">
        <f t="array" aca="1" ref="F44" ca="1">_FV(D44,"Previous close",TRUE)</f>
        <v>4033.4</v>
      </c>
      <c r="G44" s="33">
        <v>4146.1000000000004</v>
      </c>
      <c r="H44" s="33">
        <v>3758.69</v>
      </c>
      <c r="I44" s="33">
        <v>3675.85</v>
      </c>
      <c r="J44" s="33">
        <v>3370.62</v>
      </c>
      <c r="K44" s="31"/>
      <c r="L44" s="31"/>
      <c r="M44" s="31"/>
      <c r="N44" s="31"/>
      <c r="O44" s="31"/>
      <c r="P44" s="31"/>
      <c r="Q44" s="31"/>
    </row>
    <row r="45" spans="1:17">
      <c r="A45" s="40">
        <v>46158</v>
      </c>
      <c r="B45" s="41" t="s">
        <v>954</v>
      </c>
      <c r="C45" s="41" t="s">
        <v>949</v>
      </c>
      <c r="D45" s="41" t="e" vm="190">
        <v>#VALUE!</v>
      </c>
      <c r="E45" s="42">
        <f t="array" aca="1" ref="E45" ca="1">_FV(D45,"Price")</f>
        <v>5784</v>
      </c>
      <c r="F45" s="43">
        <f t="array" aca="1" ref="F45" ca="1">_FV(D45,"Previous close",TRUE)</f>
        <v>5787.5</v>
      </c>
      <c r="G45" s="33">
        <v>5881</v>
      </c>
      <c r="H45" s="33">
        <v>5401.11</v>
      </c>
      <c r="I45" s="33">
        <v>5321.66</v>
      </c>
      <c r="J45" s="33">
        <v>5014.92</v>
      </c>
      <c r="K45" s="31"/>
      <c r="L45" s="31"/>
      <c r="M45" s="31"/>
      <c r="N45" s="31"/>
      <c r="O45" s="31"/>
      <c r="P45" s="31"/>
      <c r="Q45" s="31"/>
    </row>
    <row r="46" spans="1:17">
      <c r="A46" s="40">
        <v>46158</v>
      </c>
      <c r="B46" s="41" t="s">
        <v>955</v>
      </c>
      <c r="C46" s="41" t="s">
        <v>949</v>
      </c>
      <c r="D46" s="41" t="e" vm="191">
        <v>#VALUE!</v>
      </c>
      <c r="E46" s="42">
        <f t="array" aca="1" ref="E46" ca="1">_FV(D46,"Price")</f>
        <v>1824.2</v>
      </c>
      <c r="F46" s="43">
        <f t="array" aca="1" ref="F46" ca="1">_FV(D46,"Previous close",TRUE)</f>
        <v>1790.9</v>
      </c>
      <c r="G46" s="33">
        <v>1804.6</v>
      </c>
      <c r="H46" s="33">
        <v>1707.02</v>
      </c>
      <c r="I46" s="33">
        <v>1680.96</v>
      </c>
      <c r="J46" s="33">
        <v>1598.69</v>
      </c>
      <c r="K46" s="31"/>
      <c r="L46" s="31"/>
      <c r="M46" s="31"/>
      <c r="N46" s="31"/>
      <c r="O46" s="31"/>
      <c r="P46" s="31"/>
      <c r="Q46" s="31"/>
    </row>
    <row r="47" spans="1:17">
      <c r="A47" s="40">
        <v>46158</v>
      </c>
      <c r="B47" s="41" t="s">
        <v>956</v>
      </c>
      <c r="C47" s="41" t="s">
        <v>949</v>
      </c>
      <c r="D47" s="41" t="e" vm="192">
        <v>#VALUE!</v>
      </c>
      <c r="E47" s="42">
        <f t="array" aca="1" ref="E47" ca="1">_FV(D47,"Price")</f>
        <v>773.2</v>
      </c>
      <c r="F47" s="43">
        <f t="array" aca="1" ref="F47" ca="1">_FV(D47,"Previous close",TRUE)</f>
        <v>814.85</v>
      </c>
      <c r="G47" s="33">
        <v>796.5</v>
      </c>
      <c r="H47" s="33">
        <v>681.03</v>
      </c>
      <c r="I47" s="33">
        <v>660.84</v>
      </c>
      <c r="J47" s="33">
        <v>587.32000000000005</v>
      </c>
      <c r="K47" s="31"/>
      <c r="L47" s="31"/>
      <c r="M47" s="31"/>
      <c r="N47" s="31"/>
      <c r="O47" s="31"/>
      <c r="P47" s="31"/>
      <c r="Q47" s="31"/>
    </row>
    <row r="48" spans="1:17">
      <c r="A48" s="40">
        <v>46158</v>
      </c>
      <c r="B48" s="41" t="s">
        <v>957</v>
      </c>
      <c r="C48" s="41" t="s">
        <v>949</v>
      </c>
      <c r="D48" s="41" t="e" vm="193">
        <v>#VALUE!</v>
      </c>
      <c r="E48" s="42">
        <f t="array" aca="1" ref="E48" ca="1">_FV(D48,"Price")</f>
        <v>537.54999999999995</v>
      </c>
      <c r="F48" s="43">
        <f t="array" aca="1" ref="F48" ca="1">_FV(D48,"Previous close",TRUE)</f>
        <v>489.05</v>
      </c>
      <c r="G48" s="33">
        <v>500.5</v>
      </c>
      <c r="H48" s="33">
        <v>513.46</v>
      </c>
      <c r="I48" s="33">
        <v>504.27</v>
      </c>
      <c r="J48" s="33">
        <v>470.66</v>
      </c>
      <c r="K48" s="31"/>
      <c r="L48" s="31"/>
      <c r="M48" s="31"/>
      <c r="N48" s="31"/>
      <c r="O48" s="31"/>
      <c r="P48" s="31"/>
      <c r="Q48" s="31"/>
    </row>
    <row r="49" spans="1:17">
      <c r="A49" s="40">
        <v>46158</v>
      </c>
      <c r="B49" s="41" t="s">
        <v>958</v>
      </c>
      <c r="C49" s="41" t="s">
        <v>949</v>
      </c>
      <c r="D49" s="41" t="e" vm="194">
        <v>#VALUE!</v>
      </c>
      <c r="E49" s="42">
        <f t="array" aca="1" ref="E49" ca="1">_FV(D49,"Price")</f>
        <v>1372.4</v>
      </c>
      <c r="F49" s="43">
        <f t="array" aca="1" ref="F49" ca="1">_FV(D49,"Previous close",TRUE)</f>
        <v>1359.4</v>
      </c>
      <c r="G49" s="33">
        <v>1308.5</v>
      </c>
      <c r="H49" s="33">
        <v>1212.95</v>
      </c>
      <c r="I49" s="33">
        <v>1186.93</v>
      </c>
      <c r="J49" s="33">
        <v>1113.1500000000001</v>
      </c>
      <c r="K49" s="31"/>
      <c r="L49" s="31"/>
      <c r="M49" s="31"/>
      <c r="N49" s="31"/>
      <c r="O49" s="31"/>
      <c r="P49" s="31"/>
      <c r="Q49" s="31"/>
    </row>
    <row r="50" spans="1:17">
      <c r="A50" s="40">
        <v>46158</v>
      </c>
      <c r="B50" s="41" t="s">
        <v>564</v>
      </c>
      <c r="C50" s="41" t="s">
        <v>949</v>
      </c>
      <c r="D50" s="41" t="e" vm="10">
        <v>#VALUE!</v>
      </c>
      <c r="E50" s="42">
        <f t="array" aca="1" ref="E50" ca="1">_FV(D50,"Price")</f>
        <v>3328.3</v>
      </c>
      <c r="F50" s="43">
        <f t="array" aca="1" ref="F50" ca="1">_FV(D50,"Previous close",TRUE)</f>
        <v>3164.7</v>
      </c>
      <c r="G50" s="33">
        <v>3132.5</v>
      </c>
      <c r="H50" s="33">
        <v>2813.29</v>
      </c>
      <c r="I50" s="33">
        <v>2736.12</v>
      </c>
      <c r="J50" s="33">
        <v>2452.58</v>
      </c>
      <c r="K50" s="31"/>
      <c r="L50" s="31"/>
      <c r="M50" s="31"/>
      <c r="N50" s="31"/>
      <c r="O50" s="31"/>
      <c r="P50" s="31"/>
      <c r="Q50" s="31"/>
    </row>
    <row r="51" spans="1:17">
      <c r="A51" s="40">
        <v>46158</v>
      </c>
      <c r="B51" s="41" t="s">
        <v>378</v>
      </c>
      <c r="C51" s="41" t="s">
        <v>949</v>
      </c>
      <c r="D51" s="41" t="e" vm="195">
        <v>#VALUE!</v>
      </c>
      <c r="E51" s="42">
        <f t="array" aca="1" ref="E51" ca="1">_FV(D51,"Price")</f>
        <v>1929.8</v>
      </c>
      <c r="F51" s="43">
        <f t="array" aca="1" ref="F51" ca="1">_FV(D51,"Previous close",TRUE)</f>
        <v>1937.5</v>
      </c>
      <c r="G51" s="33">
        <v>1957.2</v>
      </c>
      <c r="H51" s="33">
        <v>1886.42</v>
      </c>
      <c r="I51" s="33">
        <v>1867.15</v>
      </c>
      <c r="J51" s="33">
        <v>1768.92</v>
      </c>
      <c r="K51" s="31"/>
      <c r="L51" s="31"/>
      <c r="M51" s="31"/>
      <c r="N51" s="31"/>
      <c r="O51" s="31"/>
      <c r="P51" s="31"/>
      <c r="Q51" s="31"/>
    </row>
    <row r="52" spans="1:17">
      <c r="A52" s="40">
        <v>46158</v>
      </c>
      <c r="B52" s="41" t="s">
        <v>959</v>
      </c>
      <c r="C52" s="41" t="s">
        <v>949</v>
      </c>
      <c r="D52" s="41" t="e" vm="196">
        <v>#VALUE!</v>
      </c>
      <c r="E52" s="42">
        <f t="array" aca="1" ref="E52" ca="1">_FV(D52,"Price")</f>
        <v>3490.7</v>
      </c>
      <c r="F52" s="43">
        <f t="array" aca="1" ref="F52" ca="1">_FV(D52,"Previous close",TRUE)</f>
        <v>3502.4</v>
      </c>
      <c r="G52" s="33">
        <v>3518.6</v>
      </c>
      <c r="H52" s="33">
        <v>3345.31</v>
      </c>
      <c r="I52" s="33">
        <v>3297.34</v>
      </c>
      <c r="J52" s="33">
        <v>3156.2</v>
      </c>
      <c r="K52" s="31"/>
      <c r="L52" s="31"/>
      <c r="M52" s="31"/>
      <c r="N52" s="31"/>
      <c r="O52" s="31"/>
      <c r="P52" s="31"/>
      <c r="Q52" s="31"/>
    </row>
    <row r="53" spans="1:17">
      <c r="A53" s="40">
        <v>46158</v>
      </c>
      <c r="B53" s="41" t="s">
        <v>960</v>
      </c>
      <c r="C53" s="41" t="s">
        <v>949</v>
      </c>
      <c r="D53" s="41" t="e" vm="197">
        <v>#VALUE!</v>
      </c>
      <c r="E53" s="42">
        <f t="array" aca="1" ref="E53" ca="1">_FV(D53,"Price")</f>
        <v>395.7</v>
      </c>
      <c r="F53" s="43">
        <f t="array" aca="1" ref="F53" ca="1">_FV(D53,"Previous close",TRUE)</f>
        <v>414</v>
      </c>
      <c r="G53" s="33">
        <v>424.45</v>
      </c>
      <c r="H53" s="33">
        <v>404.29</v>
      </c>
      <c r="I53" s="33">
        <v>401.14</v>
      </c>
      <c r="J53" s="33">
        <v>378.19</v>
      </c>
      <c r="K53" s="31"/>
      <c r="L53" s="31"/>
      <c r="M53" s="31"/>
      <c r="N53" s="31"/>
      <c r="O53" s="31"/>
      <c r="P53" s="31"/>
      <c r="Q53" s="31"/>
    </row>
    <row r="54" spans="1:17">
      <c r="A54" s="40">
        <v>46158</v>
      </c>
      <c r="B54" s="41" t="s">
        <v>961</v>
      </c>
      <c r="C54" s="41" t="s">
        <v>949</v>
      </c>
      <c r="D54" s="41" t="e" vm="198">
        <v>#VALUE!</v>
      </c>
      <c r="E54" s="42">
        <f t="array" aca="1" ref="E54" ca="1">_FV(D54,"Price")</f>
        <v>1464</v>
      </c>
      <c r="F54" s="43">
        <f t="array" aca="1" ref="F54" ca="1">_FV(D54,"Previous close",TRUE)</f>
        <v>1492</v>
      </c>
      <c r="G54" s="33">
        <v>1418.9</v>
      </c>
      <c r="H54" s="33">
        <v>1481.05</v>
      </c>
      <c r="I54" s="33">
        <v>1467.35</v>
      </c>
      <c r="J54" s="33">
        <v>1389.62</v>
      </c>
      <c r="K54" s="31"/>
      <c r="L54" s="31"/>
      <c r="M54" s="31"/>
      <c r="N54" s="31"/>
      <c r="O54" s="31"/>
      <c r="P54" s="31"/>
      <c r="Q54" s="31"/>
    </row>
    <row r="55" spans="1:17">
      <c r="A55" s="40">
        <v>46158</v>
      </c>
      <c r="B55" s="41" t="s">
        <v>962</v>
      </c>
      <c r="C55" s="41" t="s">
        <v>949</v>
      </c>
      <c r="D55" s="41" t="e" vm="199">
        <v>#VALUE!</v>
      </c>
      <c r="E55" s="42">
        <f t="array" aca="1" ref="E55" ca="1">_FV(D55,"Price")</f>
        <v>1033.5999999999999</v>
      </c>
      <c r="F55" s="43">
        <f t="array" aca="1" ref="F55" ca="1">_FV(D55,"Previous close",TRUE)</f>
        <v>988.15</v>
      </c>
      <c r="G55" s="33">
        <v>964.1</v>
      </c>
      <c r="H55" s="33">
        <v>915.44</v>
      </c>
      <c r="I55" s="33">
        <v>897.54</v>
      </c>
      <c r="J55" s="33">
        <v>825.79</v>
      </c>
      <c r="K55" s="31"/>
      <c r="L55" s="31"/>
      <c r="M55" s="31"/>
      <c r="N55" s="31"/>
      <c r="O55" s="31"/>
      <c r="P55" s="31"/>
      <c r="Q55" s="31"/>
    </row>
    <row r="56" spans="1:17">
      <c r="A56" s="40">
        <v>46158</v>
      </c>
      <c r="B56" s="41" t="s">
        <v>664</v>
      </c>
      <c r="C56" s="41" t="s">
        <v>949</v>
      </c>
      <c r="D56" s="41" t="e" vm="16">
        <v>#VALUE!</v>
      </c>
      <c r="E56" s="42">
        <f t="array" aca="1" ref="E56" ca="1">_FV(D56,"Price")</f>
        <v>5335.5</v>
      </c>
      <c r="F56" s="43">
        <f t="array" aca="1" ref="F56" ca="1">_FV(D56,"Previous close",TRUE)</f>
        <v>5296</v>
      </c>
      <c r="G56" s="33">
        <v>5267.5</v>
      </c>
      <c r="H56" s="33">
        <v>5027.6499999999996</v>
      </c>
      <c r="I56" s="33">
        <v>4963.41</v>
      </c>
      <c r="J56" s="33">
        <v>4735.3500000000004</v>
      </c>
      <c r="K56" s="31"/>
      <c r="L56" s="31"/>
      <c r="M56" s="31"/>
      <c r="N56" s="31"/>
      <c r="O56" s="31"/>
      <c r="P56" s="31"/>
      <c r="Q56" s="31"/>
    </row>
    <row r="57" spans="1:17">
      <c r="A57" s="40">
        <v>46158</v>
      </c>
      <c r="B57" s="41" t="s">
        <v>963</v>
      </c>
      <c r="C57" s="41" t="s">
        <v>949</v>
      </c>
      <c r="D57" s="41" t="e" vm="200">
        <v>#VALUE!</v>
      </c>
      <c r="E57" s="42">
        <f t="array" aca="1" ref="E57" ca="1">_FV(D57,"Price")</f>
        <v>1753.3</v>
      </c>
      <c r="F57" s="43">
        <f t="array" aca="1" ref="F57" ca="1">_FV(D57,"Previous close",TRUE)</f>
        <v>1750.6</v>
      </c>
      <c r="G57" s="33">
        <v>1725.35</v>
      </c>
      <c r="H57" s="33">
        <v>1740.81</v>
      </c>
      <c r="I57" s="33">
        <v>1727.34</v>
      </c>
      <c r="J57" s="33">
        <v>1660.79</v>
      </c>
      <c r="K57" s="31"/>
      <c r="L57" s="31"/>
      <c r="M57" s="31"/>
      <c r="N57" s="31"/>
      <c r="O57" s="31"/>
      <c r="P57" s="31"/>
      <c r="Q57" s="31"/>
    </row>
    <row r="58" spans="1:17">
      <c r="A58" s="40">
        <v>46158</v>
      </c>
      <c r="B58" s="41" t="s">
        <v>964</v>
      </c>
      <c r="C58" s="41" t="s">
        <v>949</v>
      </c>
      <c r="D58" s="41" t="e" vm="201">
        <v>#VALUE!</v>
      </c>
      <c r="E58" s="42">
        <f t="array" aca="1" ref="E58" ca="1">_FV(D58,"Price")</f>
        <v>315.60000000000002</v>
      </c>
      <c r="F58" s="43">
        <f t="array" aca="1" ref="F58" ca="1">_FV(D58,"Previous close",TRUE)</f>
        <v>327.5</v>
      </c>
      <c r="G58" s="33">
        <v>352.6</v>
      </c>
      <c r="H58" s="33">
        <v>423.15</v>
      </c>
      <c r="I58" s="33">
        <v>447.6</v>
      </c>
      <c r="J58" s="33">
        <v>508.7</v>
      </c>
      <c r="K58" s="31"/>
      <c r="L58" s="31"/>
      <c r="M58" s="31"/>
      <c r="N58" s="31"/>
      <c r="O58" s="31"/>
      <c r="P58" s="31"/>
      <c r="Q58" s="31"/>
    </row>
    <row r="59" spans="1:17">
      <c r="A59" s="40">
        <v>46158</v>
      </c>
      <c r="B59" s="41" t="s">
        <v>667</v>
      </c>
      <c r="C59" s="41" t="s">
        <v>949</v>
      </c>
      <c r="D59" s="41" t="e" vm="17">
        <v>#VALUE!</v>
      </c>
      <c r="E59" s="42">
        <f t="array" aca="1" ref="E59" ca="1">_FV(D59,"Price")</f>
        <v>666.7</v>
      </c>
      <c r="F59" s="43">
        <f t="array" aca="1" ref="F59" ca="1">_FV(D59,"Previous close",TRUE)</f>
        <v>684.55</v>
      </c>
      <c r="G59" s="33">
        <v>668.1</v>
      </c>
      <c r="H59" s="33">
        <v>637</v>
      </c>
      <c r="I59" s="33">
        <v>626.08000000000004</v>
      </c>
      <c r="J59" s="33">
        <v>587.28</v>
      </c>
      <c r="K59" s="31"/>
      <c r="L59" s="31"/>
      <c r="M59" s="31"/>
      <c r="N59" s="31"/>
      <c r="O59" s="31"/>
      <c r="P59" s="31"/>
      <c r="Q59" s="31"/>
    </row>
    <row r="60" spans="1:17">
      <c r="A60" s="40">
        <v>46158</v>
      </c>
      <c r="B60" s="41" t="s">
        <v>965</v>
      </c>
      <c r="C60" s="41" t="s">
        <v>949</v>
      </c>
      <c r="D60" s="41" t="e" vm="202">
        <v>#VALUE!</v>
      </c>
      <c r="E60" s="42">
        <f t="array" aca="1" ref="E60" ca="1">_FV(D60,"Price")</f>
        <v>2044</v>
      </c>
      <c r="F60" s="43">
        <f t="array" aca="1" ref="F60" ca="1">_FV(D60,"Previous close",TRUE)</f>
        <v>2151.5</v>
      </c>
      <c r="G60" s="33">
        <v>1971.9</v>
      </c>
      <c r="H60" s="33">
        <v>1700.96</v>
      </c>
      <c r="I60" s="33">
        <v>1637.78</v>
      </c>
      <c r="J60" s="33">
        <v>1418.31</v>
      </c>
      <c r="K60" s="31"/>
      <c r="L60" s="31"/>
      <c r="M60" s="31"/>
      <c r="N60" s="31"/>
      <c r="O60" s="31"/>
      <c r="P60" s="31"/>
      <c r="Q60" s="31"/>
    </row>
    <row r="61" spans="1:17">
      <c r="A61" s="40">
        <v>46158</v>
      </c>
      <c r="B61" s="41" t="s">
        <v>150</v>
      </c>
      <c r="C61" s="41" t="s">
        <v>949</v>
      </c>
      <c r="D61" s="41" t="e" vm="203">
        <v>#VALUE!</v>
      </c>
      <c r="E61" s="42">
        <f t="array" aca="1" ref="E61" ca="1">_FV(D61,"Price")</f>
        <v>1216.8</v>
      </c>
      <c r="F61" s="43">
        <f t="array" aca="1" ref="F61" ca="1">_FV(D61,"Previous close",TRUE)</f>
        <v>1217.7</v>
      </c>
      <c r="G61" s="33">
        <v>1107.3</v>
      </c>
      <c r="H61" s="33">
        <v>1139.69</v>
      </c>
      <c r="I61" s="33">
        <v>1119.1099999999999</v>
      </c>
      <c r="J61" s="33">
        <v>1031.6500000000001</v>
      </c>
      <c r="K61" s="31"/>
      <c r="L61" s="31"/>
      <c r="M61" s="31"/>
      <c r="N61" s="31"/>
      <c r="O61" s="31"/>
      <c r="P61" s="31"/>
      <c r="Q61" s="31"/>
    </row>
    <row r="62" spans="1:17">
      <c r="A62" s="40">
        <v>46158</v>
      </c>
      <c r="B62" s="41" t="s">
        <v>966</v>
      </c>
      <c r="C62" s="41" t="s">
        <v>949</v>
      </c>
      <c r="D62" s="41" t="e" vm="204">
        <v>#VALUE!</v>
      </c>
      <c r="E62" s="42">
        <f t="array" aca="1" ref="E62" ca="1">_FV(D62,"Price")</f>
        <v>2207.6999999999998</v>
      </c>
      <c r="F62" s="43">
        <f t="array" aca="1" ref="F62" ca="1">_FV(D62,"Previous close",TRUE)</f>
        <v>2200.5</v>
      </c>
      <c r="G62" s="33">
        <v>2016.7</v>
      </c>
      <c r="H62" s="33">
        <v>2025.87</v>
      </c>
      <c r="I62" s="33">
        <v>1989.63</v>
      </c>
      <c r="J62" s="33">
        <v>1863.98</v>
      </c>
      <c r="K62" s="31"/>
      <c r="L62" s="31"/>
      <c r="M62" s="31"/>
      <c r="N62" s="31"/>
      <c r="O62" s="31"/>
      <c r="P62" s="31"/>
      <c r="Q62" s="31"/>
    </row>
    <row r="63" spans="1:17">
      <c r="A63" s="40">
        <v>46158</v>
      </c>
      <c r="B63" s="41" t="s">
        <v>967</v>
      </c>
      <c r="C63" s="41" t="s">
        <v>949</v>
      </c>
      <c r="D63" s="41" t="e" vm="205">
        <v>#VALUE!</v>
      </c>
      <c r="E63" s="42">
        <f t="array" aca="1" ref="E63" ca="1">_FV(D63,"Price")</f>
        <v>369.1</v>
      </c>
      <c r="F63" s="43">
        <f t="array" aca="1" ref="F63" ca="1">_FV(D63,"Previous close",TRUE)</f>
        <v>353.65</v>
      </c>
      <c r="G63" s="33">
        <v>369.25</v>
      </c>
      <c r="H63" s="33">
        <v>385.67</v>
      </c>
      <c r="I63" s="33">
        <v>384.91</v>
      </c>
      <c r="J63" s="33">
        <v>371.73</v>
      </c>
      <c r="K63" s="31"/>
      <c r="L63" s="31"/>
      <c r="M63" s="31"/>
      <c r="N63" s="31"/>
      <c r="O63" s="31"/>
      <c r="P63" s="31"/>
      <c r="Q63" s="31"/>
    </row>
    <row r="64" spans="1:17">
      <c r="A64" s="40">
        <v>46158</v>
      </c>
      <c r="B64" s="41" t="s">
        <v>687</v>
      </c>
      <c r="C64" s="41" t="s">
        <v>949</v>
      </c>
      <c r="D64" s="41" t="e" vm="26">
        <v>#VALUE!</v>
      </c>
      <c r="E64" s="42">
        <f t="array" aca="1" ref="E64" ca="1">_FV(D64,"Price")</f>
        <v>7032.5</v>
      </c>
      <c r="F64" s="43">
        <f t="array" aca="1" ref="F64" ca="1">_FV(D64,"Previous close",TRUE)</f>
        <v>7090.5</v>
      </c>
      <c r="G64" s="33">
        <v>7129</v>
      </c>
      <c r="H64" s="33">
        <v>6831.25</v>
      </c>
      <c r="I64" s="33">
        <v>6762.1</v>
      </c>
      <c r="J64" s="33">
        <v>6477.8</v>
      </c>
      <c r="K64" s="31"/>
      <c r="L64" s="31"/>
      <c r="M64" s="31"/>
      <c r="N64" s="31"/>
      <c r="O64" s="31"/>
      <c r="P64" s="31"/>
      <c r="Q64" s="31"/>
    </row>
    <row r="65" spans="1:17">
      <c r="A65" s="40">
        <v>46158</v>
      </c>
      <c r="B65" s="41" t="s">
        <v>968</v>
      </c>
      <c r="C65" s="41" t="s">
        <v>949</v>
      </c>
      <c r="D65" s="41" t="e" vm="206">
        <v>#VALUE!</v>
      </c>
      <c r="E65" s="42">
        <f t="array" aca="1" ref="E65" ca="1">_FV(D65,"Price")</f>
        <v>705.35</v>
      </c>
      <c r="F65" s="43">
        <f t="array" aca="1" ref="F65" ca="1">_FV(D65,"Previous close",TRUE)</f>
        <v>715.5</v>
      </c>
      <c r="G65" s="33">
        <v>727.75</v>
      </c>
      <c r="H65" s="33">
        <v>713.04</v>
      </c>
      <c r="I65" s="33">
        <v>706.8</v>
      </c>
      <c r="J65" s="33">
        <v>677.85</v>
      </c>
      <c r="K65" s="31"/>
      <c r="L65" s="31"/>
      <c r="M65" s="31"/>
      <c r="N65" s="31"/>
      <c r="O65" s="31"/>
      <c r="P65" s="31"/>
      <c r="Q65" s="31"/>
    </row>
    <row r="66" spans="1:17">
      <c r="A66" s="40">
        <v>46158</v>
      </c>
      <c r="B66" s="41" t="s">
        <v>969</v>
      </c>
      <c r="C66" s="41" t="s">
        <v>949</v>
      </c>
      <c r="D66" s="41" t="e" vm="207">
        <v>#VALUE!</v>
      </c>
      <c r="E66" s="42">
        <f t="array" aca="1" ref="E66" ca="1">_FV(D66,"Price")</f>
        <v>754</v>
      </c>
      <c r="F66" s="43">
        <f t="array" aca="1" ref="F66" ca="1">_FV(D66,"Previous close",TRUE)</f>
        <v>738.05</v>
      </c>
      <c r="G66" s="33">
        <v>728.35</v>
      </c>
      <c r="H66" s="33">
        <v>722.76</v>
      </c>
      <c r="I66" s="33">
        <v>714.96</v>
      </c>
      <c r="J66" s="33">
        <v>686.45</v>
      </c>
      <c r="K66" s="31"/>
      <c r="L66" s="31"/>
      <c r="M66" s="31"/>
      <c r="N66" s="31"/>
      <c r="O66" s="31"/>
      <c r="P66" s="31"/>
      <c r="Q66" s="31"/>
    </row>
    <row r="67" spans="1:17">
      <c r="A67" s="40">
        <v>46158</v>
      </c>
      <c r="B67" s="41" t="s">
        <v>59</v>
      </c>
      <c r="C67" s="41" t="s">
        <v>906</v>
      </c>
      <c r="D67" s="41" t="e" vm="208">
        <v>#VALUE!</v>
      </c>
      <c r="E67" s="42">
        <f t="array" aca="1" ref="E67" ca="1">_FV(D67,"Price")</f>
        <v>385.65</v>
      </c>
      <c r="F67" s="43">
        <f t="array" aca="1" ref="F67" ca="1">_FV(D67,"Previous close",TRUE)</f>
        <v>371.6</v>
      </c>
      <c r="G67" s="33">
        <v>370</v>
      </c>
      <c r="H67" s="33">
        <v>332.97</v>
      </c>
      <c r="I67" s="33">
        <v>324.45</v>
      </c>
      <c r="J67" s="33">
        <v>300.92</v>
      </c>
      <c r="K67" s="31"/>
      <c r="L67" s="31"/>
      <c r="M67" s="31"/>
      <c r="N67" s="31"/>
      <c r="O67" s="31"/>
      <c r="P67" s="31"/>
      <c r="Q67" s="31"/>
    </row>
    <row r="68" spans="1:17">
      <c r="A68" s="40">
        <v>46158</v>
      </c>
      <c r="B68" s="41" t="s">
        <v>522</v>
      </c>
      <c r="C68" s="41" t="s">
        <v>906</v>
      </c>
      <c r="D68" s="41" t="e" vm="24">
        <v>#VALUE!</v>
      </c>
      <c r="E68" s="42">
        <f t="array" aca="1" ref="E68" ca="1">_FV(D68,"Price")</f>
        <v>18441</v>
      </c>
      <c r="F68" s="43">
        <f t="array" aca="1" ref="F68" ca="1">_FV(D68,"Previous close",TRUE)</f>
        <v>18293</v>
      </c>
      <c r="G68" s="33">
        <v>18247</v>
      </c>
      <c r="H68" s="33">
        <v>16708.240000000002</v>
      </c>
      <c r="I68" s="33">
        <v>16365.85</v>
      </c>
      <c r="J68" s="33">
        <v>15327.98</v>
      </c>
      <c r="K68" s="31"/>
      <c r="L68" s="31"/>
      <c r="M68" s="31"/>
      <c r="N68" s="31"/>
      <c r="O68" s="31"/>
      <c r="P68" s="31"/>
      <c r="Q68" s="31"/>
    </row>
    <row r="69" spans="1:17">
      <c r="A69" s="40">
        <v>46158</v>
      </c>
      <c r="B69" s="41" t="s">
        <v>970</v>
      </c>
      <c r="C69" s="41" t="s">
        <v>906</v>
      </c>
      <c r="D69" s="41" t="e" vm="209">
        <v>#VALUE!</v>
      </c>
      <c r="E69" s="42">
        <f t="array" aca="1" ref="E69" ca="1">_FV(D69,"Price")</f>
        <v>3062.9</v>
      </c>
      <c r="F69" s="43">
        <f t="array" aca="1" ref="F69" ca="1">_FV(D69,"Previous close",TRUE)</f>
        <v>3067.4</v>
      </c>
      <c r="G69" s="33">
        <v>2989.5</v>
      </c>
      <c r="H69" s="33">
        <v>2662.38</v>
      </c>
      <c r="I69" s="33">
        <v>2600.4</v>
      </c>
      <c r="J69" s="33">
        <v>2426.56</v>
      </c>
      <c r="K69" s="31"/>
      <c r="L69" s="31"/>
      <c r="M69" s="31"/>
      <c r="N69" s="31"/>
      <c r="O69" s="31"/>
      <c r="P69" s="31"/>
      <c r="Q69" s="31"/>
    </row>
    <row r="70" spans="1:17">
      <c r="A70" s="40">
        <v>46158</v>
      </c>
      <c r="B70" s="41" t="s">
        <v>168</v>
      </c>
      <c r="C70" s="41" t="s">
        <v>906</v>
      </c>
      <c r="D70" s="41" t="e" vm="210">
        <v>#VALUE!</v>
      </c>
      <c r="E70" s="42">
        <f t="array" aca="1" ref="E70" ca="1">_FV(D70,"Price")</f>
        <v>1286.4000000000001</v>
      </c>
      <c r="F70" s="43">
        <f t="array" aca="1" ref="F70" ca="1">_FV(D70,"Previous close",TRUE)</f>
        <v>1305.0999999999999</v>
      </c>
      <c r="G70" s="33">
        <v>1285.3</v>
      </c>
      <c r="H70" s="33">
        <v>1324.52</v>
      </c>
      <c r="I70" s="33">
        <v>1313.16</v>
      </c>
      <c r="J70" s="33">
        <v>1278.2</v>
      </c>
      <c r="K70" s="31"/>
      <c r="L70" s="31"/>
      <c r="M70" s="31"/>
      <c r="N70" s="31"/>
      <c r="O70" s="31"/>
      <c r="P70" s="31"/>
      <c r="Q70" s="31"/>
    </row>
    <row r="71" spans="1:17">
      <c r="A71" s="40">
        <v>46158</v>
      </c>
      <c r="B71" s="41" t="s">
        <v>206</v>
      </c>
      <c r="C71" s="41" t="s">
        <v>906</v>
      </c>
      <c r="D71" s="41" t="e" vm="211">
        <v>#VALUE!</v>
      </c>
      <c r="E71" s="42">
        <f t="array" aca="1" ref="E71" ca="1">_FV(D71,"Price")</f>
        <v>538.04999999999995</v>
      </c>
      <c r="F71" s="43">
        <f t="array" aca="1" ref="F71" ca="1">_FV(D71,"Previous close",TRUE)</f>
        <v>525.79999999999995</v>
      </c>
      <c r="G71" s="33">
        <v>498.95</v>
      </c>
      <c r="H71" s="33">
        <v>460.15</v>
      </c>
      <c r="I71" s="33">
        <v>447.94</v>
      </c>
      <c r="J71" s="33">
        <v>411.32</v>
      </c>
      <c r="K71" s="31"/>
      <c r="L71" s="31"/>
      <c r="M71" s="31"/>
      <c r="N71" s="31"/>
      <c r="O71" s="31"/>
      <c r="P71" s="31"/>
      <c r="Q71" s="31"/>
    </row>
    <row r="72" spans="1:17">
      <c r="A72" s="40">
        <v>46158</v>
      </c>
      <c r="B72" s="41" t="s">
        <v>175</v>
      </c>
      <c r="C72" s="41" t="s">
        <v>906</v>
      </c>
      <c r="D72" s="41" t="e" vm="212">
        <v>#VALUE!</v>
      </c>
      <c r="E72" s="42">
        <f t="array" aca="1" ref="E72" ca="1">_FV(D72,"Price")</f>
        <v>92.9</v>
      </c>
      <c r="F72" s="43">
        <f t="array" aca="1" ref="F72" ca="1">_FV(D72,"Previous close",TRUE)</f>
        <v>94.7</v>
      </c>
      <c r="G72" s="33">
        <v>87.99</v>
      </c>
      <c r="H72" s="33">
        <v>88.33</v>
      </c>
      <c r="I72" s="33">
        <v>87.58</v>
      </c>
      <c r="J72" s="33">
        <v>84.4</v>
      </c>
      <c r="K72" s="31"/>
      <c r="L72" s="31"/>
      <c r="M72" s="31"/>
      <c r="N72" s="31"/>
      <c r="O72" s="31"/>
      <c r="P72" s="31"/>
      <c r="Q72" s="31"/>
    </row>
    <row r="73" spans="1:17">
      <c r="A73" s="40">
        <v>46158</v>
      </c>
      <c r="B73" s="41" t="s">
        <v>971</v>
      </c>
      <c r="C73" s="41" t="s">
        <v>906</v>
      </c>
      <c r="D73" s="41" t="e" vm="213">
        <v>#VALUE!</v>
      </c>
      <c r="E73" s="42">
        <f t="array" aca="1" ref="E73" ca="1">_FV(D73,"Price")</f>
        <v>5893</v>
      </c>
      <c r="F73" s="43">
        <f t="array" aca="1" ref="F73" ca="1">_FV(D73,"Previous close",TRUE)</f>
        <v>5863.5</v>
      </c>
      <c r="G73" s="33">
        <v>6117.9</v>
      </c>
      <c r="H73" s="33">
        <v>5093.7299999999996</v>
      </c>
      <c r="I73" s="33">
        <v>4938.3</v>
      </c>
      <c r="J73" s="33">
        <v>4459.25</v>
      </c>
      <c r="K73" s="31"/>
      <c r="L73" s="31"/>
      <c r="M73" s="31"/>
      <c r="N73" s="31"/>
      <c r="O73" s="31"/>
      <c r="P73" s="31"/>
      <c r="Q73" s="31"/>
    </row>
    <row r="74" spans="1:17">
      <c r="A74" s="40">
        <v>46158</v>
      </c>
      <c r="B74" s="41" t="s">
        <v>58</v>
      </c>
      <c r="C74" s="41" t="s">
        <v>906</v>
      </c>
      <c r="D74" s="41" t="e" vm="214">
        <v>#VALUE!</v>
      </c>
      <c r="E74" s="42">
        <f t="array" aca="1" ref="E74" ca="1">_FV(D74,"Price")</f>
        <v>937.85</v>
      </c>
      <c r="F74" s="43">
        <f t="array" aca="1" ref="F74" ca="1">_FV(D74,"Previous close",TRUE)</f>
        <v>937.9</v>
      </c>
      <c r="G74" s="33">
        <v>917.45</v>
      </c>
      <c r="H74" s="33">
        <v>847.31</v>
      </c>
      <c r="I74" s="33">
        <v>831.22</v>
      </c>
      <c r="J74" s="33">
        <v>779.63</v>
      </c>
      <c r="K74" s="31"/>
      <c r="L74" s="31"/>
      <c r="M74" s="31"/>
      <c r="N74" s="31"/>
      <c r="O74" s="31"/>
      <c r="P74" s="31"/>
      <c r="Q74" s="31"/>
    </row>
    <row r="75" spans="1:17">
      <c r="A75" s="40">
        <v>46158</v>
      </c>
      <c r="B75" s="41" t="s">
        <v>972</v>
      </c>
      <c r="C75" s="41" t="s">
        <v>906</v>
      </c>
      <c r="D75" s="41" t="e" vm="215">
        <v>#VALUE!</v>
      </c>
      <c r="E75" s="42">
        <f t="array" aca="1" ref="E75" ca="1">_FV(D75,"Price")</f>
        <v>262.3</v>
      </c>
      <c r="F75" s="43">
        <f t="array" aca="1" ref="F75" ca="1">_FV(D75,"Previous close",TRUE)</f>
        <v>267.55</v>
      </c>
      <c r="G75" s="33">
        <v>262.3</v>
      </c>
      <c r="H75" s="33">
        <v>264.72000000000003</v>
      </c>
      <c r="I75" s="33">
        <v>263.85000000000002</v>
      </c>
      <c r="J75" s="33">
        <v>259.68</v>
      </c>
      <c r="K75" s="31"/>
      <c r="L75" s="31"/>
      <c r="M75" s="31"/>
      <c r="N75" s="31"/>
      <c r="O75" s="31"/>
      <c r="P75" s="31"/>
      <c r="Q75" s="31"/>
    </row>
    <row r="76" spans="1:17">
      <c r="A76" s="40">
        <v>46158</v>
      </c>
      <c r="B76" s="41" t="s">
        <v>185</v>
      </c>
      <c r="C76" s="41" t="s">
        <v>906</v>
      </c>
      <c r="D76" s="41" t="e" vm="216">
        <v>#VALUE!</v>
      </c>
      <c r="E76" s="42">
        <f t="array" aca="1" ref="E76" ca="1">_FV(D76,"Price")</f>
        <v>1419.5</v>
      </c>
      <c r="F76" s="43">
        <f t="array" aca="1" ref="F76" ca="1">_FV(D76,"Previous close",TRUE)</f>
        <v>1377.7</v>
      </c>
      <c r="G76" s="33">
        <v>1401.7</v>
      </c>
      <c r="H76" s="33">
        <v>1204.3599999999999</v>
      </c>
      <c r="I76" s="33">
        <v>1176.78</v>
      </c>
      <c r="J76" s="33">
        <v>1099.03</v>
      </c>
      <c r="K76" s="31"/>
      <c r="L76" s="31"/>
      <c r="M76" s="31"/>
      <c r="N76" s="31"/>
      <c r="O76" s="31"/>
      <c r="P76" s="31"/>
      <c r="Q76" s="31"/>
    </row>
    <row r="77" spans="1:17">
      <c r="A77" s="40">
        <v>46158</v>
      </c>
      <c r="B77" s="41" t="s">
        <v>973</v>
      </c>
      <c r="C77" s="41" t="s">
        <v>906</v>
      </c>
      <c r="D77" s="41" t="e" vm="217">
        <v>#VALUE!</v>
      </c>
      <c r="E77" s="42">
        <f t="array" aca="1" ref="E77" ca="1">_FV(D77,"Price")</f>
        <v>1328.2</v>
      </c>
      <c r="F77" s="43">
        <f t="array" aca="1" ref="F77" ca="1">_FV(D77,"Previous close",TRUE)</f>
        <v>1348.2</v>
      </c>
      <c r="G77" s="33">
        <v>1293.9000000000001</v>
      </c>
      <c r="H77" s="33">
        <v>1325.27</v>
      </c>
      <c r="I77" s="33">
        <v>1320.67</v>
      </c>
      <c r="J77" s="33">
        <v>1294.7</v>
      </c>
      <c r="K77" s="31"/>
      <c r="L77" s="31"/>
      <c r="M77" s="31"/>
      <c r="N77" s="31"/>
      <c r="O77" s="31"/>
      <c r="P77" s="31"/>
      <c r="Q77" s="31"/>
    </row>
    <row r="78" spans="1:17">
      <c r="A78" s="40">
        <v>46158</v>
      </c>
      <c r="B78" s="41" t="s">
        <v>974</v>
      </c>
      <c r="C78" s="41" t="s">
        <v>906</v>
      </c>
      <c r="D78" s="41" t="e" vm="218">
        <v>#VALUE!</v>
      </c>
      <c r="E78" s="42">
        <f t="array" aca="1" ref="E78" ca="1">_FV(D78,"Price")</f>
        <v>685.05</v>
      </c>
      <c r="F78" s="43">
        <f t="array" aca="1" ref="F78" ca="1">_FV(D78,"Previous close",TRUE)</f>
        <v>642</v>
      </c>
      <c r="G78" s="33">
        <v>606.45000000000005</v>
      </c>
      <c r="H78" s="33">
        <v>589.1</v>
      </c>
      <c r="I78" s="33">
        <v>576.54999999999995</v>
      </c>
      <c r="J78" s="33">
        <v>537.64</v>
      </c>
      <c r="K78" s="31"/>
      <c r="L78" s="31"/>
      <c r="M78" s="31"/>
      <c r="N78" s="31"/>
      <c r="O78" s="31"/>
      <c r="P78" s="31"/>
      <c r="Q78" s="31"/>
    </row>
    <row r="79" spans="1:17">
      <c r="A79" s="40">
        <v>46158</v>
      </c>
      <c r="B79" s="41" t="s">
        <v>975</v>
      </c>
      <c r="C79" s="41" t="s">
        <v>976</v>
      </c>
      <c r="D79" s="41" t="e" vm="219">
        <v>#VALUE!</v>
      </c>
      <c r="E79" s="42">
        <f t="array" aca="1" ref="E79" ca="1">_FV(D79,"Price")</f>
        <v>412.3</v>
      </c>
      <c r="F79" s="43">
        <f t="array" aca="1" ref="F79" ca="1">_FV(D79,"Previous close",TRUE)</f>
        <v>416.05</v>
      </c>
      <c r="G79" s="33">
        <v>428.65</v>
      </c>
      <c r="H79" s="33">
        <v>400.2</v>
      </c>
      <c r="I79" s="33">
        <v>396.66</v>
      </c>
      <c r="J79" s="33">
        <v>387.58</v>
      </c>
      <c r="K79" s="31"/>
      <c r="L79" s="31"/>
      <c r="M79" s="31"/>
      <c r="N79" s="31"/>
      <c r="O79" s="31"/>
      <c r="P79" s="31"/>
      <c r="Q79" s="31"/>
    </row>
    <row r="80" spans="1:17">
      <c r="A80" s="40">
        <v>46158</v>
      </c>
      <c r="B80" s="41" t="s">
        <v>977</v>
      </c>
      <c r="C80" s="41" t="s">
        <v>976</v>
      </c>
      <c r="D80" s="41" t="e" vm="220">
        <v>#VALUE!</v>
      </c>
      <c r="E80" s="42">
        <f t="array" aca="1" ref="E80" ca="1">_FV(D80,"Price")</f>
        <v>203.6</v>
      </c>
      <c r="F80" s="43">
        <f t="array" aca="1" ref="F80" ca="1">_FV(D80,"Previous close",TRUE)</f>
        <v>192.69</v>
      </c>
      <c r="G80" s="33">
        <v>194.31</v>
      </c>
      <c r="H80" s="33">
        <v>177.86</v>
      </c>
      <c r="I80" s="33">
        <v>173.18</v>
      </c>
      <c r="J80" s="33">
        <v>159.61000000000001</v>
      </c>
      <c r="K80" s="31"/>
      <c r="L80" s="31"/>
      <c r="M80" s="31"/>
      <c r="N80" s="31"/>
      <c r="O80" s="31"/>
      <c r="P80" s="31"/>
      <c r="Q80" s="31"/>
    </row>
    <row r="81" spans="1:17">
      <c r="A81" s="40">
        <v>46158</v>
      </c>
      <c r="B81" s="41" t="s">
        <v>188</v>
      </c>
      <c r="C81" s="41" t="s">
        <v>976</v>
      </c>
      <c r="D81" s="41" t="e" vm="221">
        <v>#VALUE!</v>
      </c>
      <c r="E81" s="42">
        <f t="array" aca="1" ref="E81" ca="1">_FV(D81,"Price")</f>
        <v>3048.2</v>
      </c>
      <c r="F81" s="43">
        <f t="array" aca="1" ref="F81" ca="1">_FV(D81,"Previous close",TRUE)</f>
        <v>2972.8</v>
      </c>
      <c r="G81" s="33">
        <v>2937.4</v>
      </c>
      <c r="H81" s="33">
        <v>2617.48</v>
      </c>
      <c r="I81" s="33">
        <v>2556.0300000000002</v>
      </c>
      <c r="J81" s="33">
        <v>2405.33</v>
      </c>
      <c r="K81" s="31"/>
      <c r="L81" s="31"/>
      <c r="M81" s="31"/>
      <c r="N81" s="31"/>
      <c r="O81" s="31"/>
      <c r="P81" s="31"/>
      <c r="Q81" s="31"/>
    </row>
    <row r="82" spans="1:17">
      <c r="A82" s="40">
        <v>46158</v>
      </c>
      <c r="B82" s="41" t="s">
        <v>978</v>
      </c>
      <c r="C82" s="41" t="s">
        <v>976</v>
      </c>
      <c r="D82" s="41" t="e" vm="222">
        <v>#VALUE!</v>
      </c>
      <c r="E82" s="42">
        <f t="array" aca="1" ref="E82" ca="1">_FV(D82,"Price")</f>
        <v>2658.7</v>
      </c>
      <c r="F82" s="43">
        <f t="array" aca="1" ref="F82" ca="1">_FV(D82,"Previous close",TRUE)</f>
        <v>2676.5</v>
      </c>
      <c r="G82" s="33">
        <v>2654.8</v>
      </c>
      <c r="H82" s="33">
        <v>2680.2</v>
      </c>
      <c r="I82" s="33">
        <v>2663.91</v>
      </c>
      <c r="J82" s="33">
        <v>2604.33</v>
      </c>
      <c r="K82" s="31"/>
      <c r="L82" s="31"/>
      <c r="M82" s="31"/>
      <c r="N82" s="31"/>
      <c r="O82" s="31"/>
      <c r="P82" s="31"/>
      <c r="Q82" s="31"/>
    </row>
    <row r="83" spans="1:17">
      <c r="A83" s="40">
        <v>46158</v>
      </c>
      <c r="B83" s="41" t="s">
        <v>979</v>
      </c>
      <c r="C83" s="41" t="s">
        <v>976</v>
      </c>
      <c r="D83" s="41" t="e" vm="223">
        <v>#VALUE!</v>
      </c>
      <c r="E83" s="42">
        <f t="array" aca="1" ref="E83" ca="1">_FV(D83,"Price")</f>
        <v>858.4</v>
      </c>
      <c r="F83" s="43">
        <f t="array" aca="1" ref="F83" ca="1">_FV(D83,"Previous close",TRUE)</f>
        <v>857.9</v>
      </c>
      <c r="G83" s="33">
        <v>866.6</v>
      </c>
      <c r="H83" s="33">
        <v>896.38</v>
      </c>
      <c r="I83" s="33">
        <v>895.91</v>
      </c>
      <c r="J83" s="33">
        <v>904.61</v>
      </c>
      <c r="K83" s="31"/>
      <c r="L83" s="31"/>
      <c r="M83" s="31"/>
      <c r="N83" s="31"/>
      <c r="O83" s="31"/>
      <c r="P83" s="31"/>
      <c r="Q83" s="31"/>
    </row>
    <row r="84" spans="1:17">
      <c r="A84" s="40">
        <v>46158</v>
      </c>
      <c r="B84" s="41" t="s">
        <v>740</v>
      </c>
      <c r="C84" s="41" t="s">
        <v>976</v>
      </c>
      <c r="D84" s="41" t="e" vm="34">
        <v>#VALUE!</v>
      </c>
      <c r="E84" s="42">
        <f t="array" aca="1" ref="E84" ca="1">_FV(D84,"Price")</f>
        <v>4035.3</v>
      </c>
      <c r="F84" s="43">
        <f t="array" aca="1" ref="F84" ca="1">_FV(D84,"Previous close",TRUE)</f>
        <v>3997.4</v>
      </c>
      <c r="G84" s="33">
        <v>4128.7</v>
      </c>
      <c r="H84" s="33">
        <v>4067.61</v>
      </c>
      <c r="I84" s="33">
        <v>4057.18</v>
      </c>
      <c r="J84" s="33">
        <v>4009.87</v>
      </c>
      <c r="K84" s="31"/>
      <c r="L84" s="31"/>
      <c r="M84" s="31"/>
      <c r="N84" s="31"/>
      <c r="O84" s="31"/>
      <c r="P84" s="31"/>
      <c r="Q84" s="31"/>
    </row>
    <row r="85" spans="1:17">
      <c r="A85" s="40">
        <v>46158</v>
      </c>
      <c r="B85" s="41" t="s">
        <v>980</v>
      </c>
      <c r="C85" s="41" t="s">
        <v>976</v>
      </c>
      <c r="D85" s="41" t="e" vm="224">
        <v>#VALUE!</v>
      </c>
      <c r="E85" s="42">
        <f t="array" aca="1" ref="E85" ca="1">_FV(D85,"Price")</f>
        <v>1607.9</v>
      </c>
      <c r="F85" s="43">
        <f t="array" aca="1" ref="F85" ca="1">_FV(D85,"Previous close",TRUE)</f>
        <v>1637.7</v>
      </c>
      <c r="G85" s="33">
        <v>1520.5</v>
      </c>
      <c r="H85" s="33">
        <v>1336.14</v>
      </c>
      <c r="I85" s="33">
        <v>1294.6099999999999</v>
      </c>
      <c r="J85" s="33">
        <v>1171.26</v>
      </c>
      <c r="K85" s="31"/>
      <c r="L85" s="31"/>
      <c r="M85" s="31"/>
      <c r="N85" s="31"/>
      <c r="O85" s="31"/>
      <c r="P85" s="31"/>
      <c r="Q85" s="31"/>
    </row>
    <row r="86" spans="1:17">
      <c r="A86" s="40">
        <v>46158</v>
      </c>
      <c r="B86" s="41" t="s">
        <v>981</v>
      </c>
      <c r="C86" s="41" t="s">
        <v>976</v>
      </c>
      <c r="D86" s="41" t="e" vm="225">
        <v>#VALUE!</v>
      </c>
      <c r="E86" s="42">
        <f t="array" aca="1" ref="E86" ca="1">_FV(D86,"Price")</f>
        <v>472.3</v>
      </c>
      <c r="F86" s="43">
        <f t="array" aca="1" ref="F86" ca="1">_FV(D86,"Previous close",TRUE)</f>
        <v>481.65</v>
      </c>
      <c r="G86" s="33">
        <v>457.9</v>
      </c>
      <c r="H86" s="33">
        <v>458.56</v>
      </c>
      <c r="I86" s="33">
        <v>456.17</v>
      </c>
      <c r="J86" s="33">
        <v>443.27</v>
      </c>
      <c r="K86" s="31"/>
      <c r="L86" s="31"/>
      <c r="M86" s="31"/>
      <c r="N86" s="31"/>
      <c r="O86" s="31"/>
      <c r="P86" s="31"/>
      <c r="Q86" s="31"/>
    </row>
    <row r="87" spans="1:17">
      <c r="A87" s="40">
        <v>46158</v>
      </c>
      <c r="B87" s="41" t="s">
        <v>982</v>
      </c>
      <c r="C87" s="41" t="s">
        <v>976</v>
      </c>
      <c r="D87" s="41" t="e" vm="226">
        <v>#VALUE!</v>
      </c>
      <c r="E87" s="42">
        <f t="array" aca="1" ref="E87" ca="1">_FV(D87,"Price")</f>
        <v>1110.5999999999999</v>
      </c>
      <c r="F87" s="43">
        <f t="array" aca="1" ref="F87" ca="1">_FV(D87,"Previous close",TRUE)</f>
        <v>1126.4000000000001</v>
      </c>
      <c r="G87" s="33">
        <v>1203.5999999999999</v>
      </c>
      <c r="H87" s="33">
        <v>1267.04</v>
      </c>
      <c r="I87" s="33">
        <v>1264.28</v>
      </c>
      <c r="J87" s="33">
        <v>1198.6300000000001</v>
      </c>
      <c r="K87" s="31"/>
      <c r="L87" s="31"/>
      <c r="M87" s="31"/>
      <c r="N87" s="31"/>
      <c r="O87" s="31"/>
      <c r="P87" s="31"/>
      <c r="Q87" s="31"/>
    </row>
    <row r="88" spans="1:17">
      <c r="A88" s="40">
        <v>46158</v>
      </c>
      <c r="B88" s="41" t="s">
        <v>983</v>
      </c>
      <c r="C88" s="41" t="s">
        <v>976</v>
      </c>
      <c r="D88" s="41" t="e" vm="227">
        <v>#VALUE!</v>
      </c>
      <c r="E88" s="42">
        <f t="array" aca="1" ref="E88" ca="1">_FV(D88,"Price")</f>
        <v>167</v>
      </c>
      <c r="F88" s="43">
        <f t="array" aca="1" ref="F88" ca="1">_FV(D88,"Previous close",TRUE)</f>
        <v>166.54</v>
      </c>
      <c r="G88" s="33">
        <v>167.88</v>
      </c>
      <c r="H88" s="33">
        <v>169.28</v>
      </c>
      <c r="I88" s="33">
        <v>170.08</v>
      </c>
      <c r="J88" s="33">
        <v>169.85</v>
      </c>
      <c r="K88" s="31"/>
      <c r="L88" s="31"/>
      <c r="M88" s="31"/>
      <c r="N88" s="31"/>
      <c r="O88" s="31"/>
      <c r="P88" s="31"/>
      <c r="Q88" s="31"/>
    </row>
    <row r="89" spans="1:17">
      <c r="A89" s="40">
        <v>46158</v>
      </c>
      <c r="B89" s="41" t="s">
        <v>984</v>
      </c>
      <c r="C89" s="41" t="s">
        <v>976</v>
      </c>
      <c r="D89" s="41" t="e" vm="228">
        <v>#VALUE!</v>
      </c>
      <c r="E89" s="42">
        <f t="array" aca="1" ref="E89" ca="1">_FV(D89,"Price")</f>
        <v>552.04999999999995</v>
      </c>
      <c r="F89" s="43">
        <f t="array" aca="1" ref="F89" ca="1">_FV(D89,"Previous close",TRUE)</f>
        <v>558.79999999999995</v>
      </c>
      <c r="G89" s="33">
        <v>552.79999999999995</v>
      </c>
      <c r="H89" s="33">
        <v>506.64</v>
      </c>
      <c r="I89" s="33">
        <v>492.22</v>
      </c>
      <c r="J89" s="33">
        <v>435.89</v>
      </c>
      <c r="K89" s="31"/>
      <c r="L89" s="31"/>
      <c r="M89" s="31"/>
      <c r="N89" s="31"/>
      <c r="O89" s="31"/>
      <c r="P89" s="31"/>
      <c r="Q89" s="31"/>
    </row>
    <row r="90" spans="1:17">
      <c r="A90" s="40">
        <v>46158</v>
      </c>
      <c r="B90" s="41" t="s">
        <v>985</v>
      </c>
      <c r="C90" s="41" t="s">
        <v>976</v>
      </c>
      <c r="D90" s="41" t="e" vm="229">
        <v>#VALUE!</v>
      </c>
      <c r="E90" s="42">
        <f t="array" aca="1" ref="E90" ca="1">_FV(D90,"Price")</f>
        <v>1439.1</v>
      </c>
      <c r="F90" s="43">
        <f t="array" aca="1" ref="F90" ca="1">_FV(D90,"Previous close",TRUE)</f>
        <v>1472.4</v>
      </c>
      <c r="G90" s="33">
        <v>1467.4</v>
      </c>
      <c r="H90" s="33">
        <v>1531.42</v>
      </c>
      <c r="I90" s="33">
        <v>1532.26</v>
      </c>
      <c r="J90" s="33">
        <v>1543.8</v>
      </c>
      <c r="K90" s="31"/>
      <c r="L90" s="31"/>
      <c r="M90" s="31"/>
      <c r="N90" s="31"/>
      <c r="O90" s="31"/>
      <c r="P90" s="31"/>
      <c r="Q90" s="31"/>
    </row>
    <row r="91" spans="1:17">
      <c r="A91" s="40">
        <v>46158</v>
      </c>
      <c r="B91" s="41" t="s">
        <v>986</v>
      </c>
      <c r="C91" s="41" t="s">
        <v>976</v>
      </c>
      <c r="D91" s="41" t="e" vm="230">
        <v>#VALUE!</v>
      </c>
      <c r="E91" s="42">
        <f t="array" aca="1" ref="E91" ca="1">_FV(D91,"Price")</f>
        <v>262.75</v>
      </c>
      <c r="F91" s="43">
        <f t="array" aca="1" ref="F91" ca="1">_FV(D91,"Previous close",TRUE)</f>
        <v>264.25</v>
      </c>
      <c r="G91" s="33">
        <v>259.86</v>
      </c>
      <c r="H91" s="33">
        <v>241.39</v>
      </c>
      <c r="I91" s="33">
        <v>237.26</v>
      </c>
      <c r="J91" s="33">
        <v>220.87</v>
      </c>
      <c r="K91" s="31"/>
      <c r="L91" s="31"/>
      <c r="M91" s="31"/>
      <c r="N91" s="31"/>
      <c r="O91" s="31"/>
      <c r="P91" s="31"/>
      <c r="Q91" s="31"/>
    </row>
    <row r="92" spans="1:17">
      <c r="A92" s="40">
        <v>46158</v>
      </c>
      <c r="B92" s="41" t="s">
        <v>987</v>
      </c>
      <c r="C92" s="41" t="s">
        <v>976</v>
      </c>
      <c r="D92" s="41" t="e" vm="231">
        <v>#VALUE!</v>
      </c>
      <c r="E92" s="42">
        <f t="array" aca="1" ref="E92" ca="1">_FV(D92,"Price")</f>
        <v>2223.4</v>
      </c>
      <c r="F92" s="43">
        <f t="array" aca="1" ref="F92" ca="1">_FV(D92,"Previous close",TRUE)</f>
        <v>2223</v>
      </c>
      <c r="G92" s="33">
        <v>2056.3000000000002</v>
      </c>
      <c r="H92" s="33">
        <v>1856.64</v>
      </c>
      <c r="I92" s="33">
        <v>1805.85</v>
      </c>
      <c r="J92" s="33">
        <v>1655.28</v>
      </c>
      <c r="K92" s="31"/>
      <c r="L92" s="31"/>
      <c r="M92" s="31"/>
      <c r="N92" s="31"/>
      <c r="O92" s="31"/>
      <c r="P92" s="31"/>
      <c r="Q92" s="31"/>
    </row>
    <row r="93" spans="1:17">
      <c r="A93" s="40">
        <v>46158</v>
      </c>
      <c r="B93" s="41" t="s">
        <v>818</v>
      </c>
      <c r="C93" s="41" t="s">
        <v>976</v>
      </c>
      <c r="D93" s="41" t="e" vm="126">
        <v>#VALUE!</v>
      </c>
      <c r="E93" s="42">
        <f t="array" aca="1" ref="E93" ca="1">_FV(D93,"Price")</f>
        <v>747.05</v>
      </c>
      <c r="F93" s="43">
        <f t="array" aca="1" ref="F93" ca="1">_FV(D93,"Previous close",TRUE)</f>
        <v>754.2</v>
      </c>
      <c r="G93" s="33">
        <v>744.55</v>
      </c>
      <c r="H93" s="33">
        <v>772.92</v>
      </c>
      <c r="I93" s="33">
        <v>780.95</v>
      </c>
      <c r="J93" s="33">
        <v>819.89</v>
      </c>
      <c r="K93" s="31"/>
      <c r="L93" s="31"/>
      <c r="M93" s="31"/>
      <c r="N93" s="31"/>
      <c r="O93" s="31"/>
      <c r="P93" s="31"/>
      <c r="Q93" s="31"/>
    </row>
    <row r="94" spans="1:17">
      <c r="A94" s="40">
        <v>46158</v>
      </c>
      <c r="B94" s="41" t="s">
        <v>141</v>
      </c>
      <c r="C94" s="41" t="s">
        <v>976</v>
      </c>
      <c r="D94" s="41" t="e" vm="232">
        <v>#VALUE!</v>
      </c>
      <c r="E94" s="42">
        <f t="array" aca="1" ref="E94" ca="1">_FV(D94,"Price")</f>
        <v>3501.9</v>
      </c>
      <c r="F94" s="43">
        <f t="array" aca="1" ref="F94" ca="1">_FV(D94,"Previous close",TRUE)</f>
        <v>3537.6</v>
      </c>
      <c r="G94" s="33">
        <v>2903.5</v>
      </c>
      <c r="H94" s="33">
        <v>2586.73</v>
      </c>
      <c r="I94" s="33">
        <v>2487.0700000000002</v>
      </c>
      <c r="J94" s="33">
        <v>2162.4499999999998</v>
      </c>
      <c r="K94" s="31"/>
      <c r="L94" s="31"/>
      <c r="M94" s="31"/>
      <c r="N94" s="31"/>
      <c r="O94" s="31"/>
      <c r="P94" s="31"/>
      <c r="Q94" s="31"/>
    </row>
    <row r="95" spans="1:17">
      <c r="A95" s="40">
        <v>46166</v>
      </c>
      <c r="B95" s="49" t="s">
        <v>57</v>
      </c>
      <c r="C95" s="49" t="s">
        <v>856</v>
      </c>
      <c r="D95" s="49" t="e" vm="73">
        <v>#VALUE!</v>
      </c>
      <c r="E95" s="42">
        <f t="array" aca="1" ref="E95" ca="1">_FV(D95,"Price")</f>
        <v>2043.3</v>
      </c>
      <c r="F95" s="43">
        <f t="array" aca="1" ref="F95" ca="1">_FV(D95,"Previous close",TRUE)</f>
        <v>2099.9</v>
      </c>
      <c r="G95" s="33">
        <v>1775.6</v>
      </c>
      <c r="H95" s="33">
        <v>1603.27</v>
      </c>
      <c r="I95" s="33">
        <v>1545.71</v>
      </c>
      <c r="J95" s="33">
        <v>1400.99</v>
      </c>
      <c r="K95" s="31"/>
      <c r="L95" s="31"/>
      <c r="M95" s="31"/>
      <c r="N95" s="31"/>
      <c r="O95" s="31"/>
      <c r="P95" s="31"/>
      <c r="Q95" s="31"/>
    </row>
    <row r="96" spans="1:17">
      <c r="A96" s="40">
        <v>46166</v>
      </c>
      <c r="B96" s="49" t="s">
        <v>95</v>
      </c>
      <c r="C96" s="49" t="s">
        <v>856</v>
      </c>
      <c r="D96" s="49" t="e" vm="172">
        <v>#VALUE!</v>
      </c>
      <c r="E96" s="42">
        <f t="array" aca="1" ref="E96" ca="1">_FV(D96,"Price")</f>
        <v>642.75</v>
      </c>
      <c r="F96" s="43">
        <f t="array" aca="1" ref="F96" ca="1">_FV(D96,"Previous close",TRUE)</f>
        <v>623.15</v>
      </c>
      <c r="G96" s="33">
        <v>605</v>
      </c>
      <c r="H96" s="33">
        <v>588.66999999999996</v>
      </c>
      <c r="I96" s="33">
        <v>582.51</v>
      </c>
      <c r="J96" s="33">
        <v>575.65</v>
      </c>
      <c r="K96" s="31"/>
      <c r="L96" s="31"/>
      <c r="M96" s="31"/>
      <c r="N96" s="31"/>
      <c r="O96" s="31"/>
      <c r="P96" s="31"/>
      <c r="Q96" s="31"/>
    </row>
    <row r="97" spans="1:17">
      <c r="A97" s="40">
        <v>46166</v>
      </c>
      <c r="B97" s="49" t="s">
        <v>201</v>
      </c>
      <c r="C97" s="49" t="s">
        <v>856</v>
      </c>
      <c r="D97" s="49" t="e" vm="164">
        <v>#VALUE!</v>
      </c>
      <c r="E97" s="42">
        <f t="array" aca="1" ref="E97" ca="1">_FV(D97,"Price")</f>
        <v>187.23</v>
      </c>
      <c r="F97" s="43">
        <f t="array" aca="1" ref="F97" ca="1">_FV(D97,"Previous close",TRUE)</f>
        <v>197.08</v>
      </c>
      <c r="G97" s="33">
        <v>179.94</v>
      </c>
      <c r="H97" s="33">
        <v>141.05000000000001</v>
      </c>
      <c r="I97" s="33">
        <v>133.63999999999999</v>
      </c>
      <c r="J97" s="33">
        <v>111.49</v>
      </c>
      <c r="K97" s="31"/>
      <c r="L97" s="31"/>
      <c r="M97" s="31"/>
      <c r="N97" s="31"/>
      <c r="O97" s="31"/>
      <c r="P97" s="31"/>
      <c r="Q97" s="31"/>
    </row>
    <row r="98" spans="1:17">
      <c r="A98" s="40">
        <v>46166</v>
      </c>
      <c r="B98" s="49" t="s">
        <v>232</v>
      </c>
      <c r="C98" s="49" t="s">
        <v>856</v>
      </c>
      <c r="D98" s="49" t="e" vm="29">
        <v>#VALUE!</v>
      </c>
      <c r="E98" s="42">
        <f t="array" aca="1" ref="E98" ca="1">_FV(D98,"Price")</f>
        <v>686.9</v>
      </c>
      <c r="F98" s="43">
        <f t="array" aca="1" ref="F98" ca="1">_FV(D98,"Previous close",TRUE)</f>
        <v>693.4</v>
      </c>
      <c r="G98" s="33">
        <v>741.5</v>
      </c>
      <c r="H98" s="33">
        <v>625.5</v>
      </c>
      <c r="I98" s="33">
        <v>610.21</v>
      </c>
      <c r="J98" s="33">
        <v>569.82000000000005</v>
      </c>
      <c r="K98" s="31"/>
      <c r="L98" s="31"/>
      <c r="M98" s="31"/>
      <c r="N98" s="31"/>
      <c r="O98" s="31"/>
      <c r="P98" s="31"/>
      <c r="Q98" s="31"/>
    </row>
    <row r="99" spans="1:17">
      <c r="A99" s="40">
        <v>46166</v>
      </c>
      <c r="B99" s="49" t="s">
        <v>988</v>
      </c>
      <c r="C99" s="49" t="s">
        <v>856</v>
      </c>
      <c r="D99" s="49" t="e" vm="233">
        <v>#VALUE!</v>
      </c>
      <c r="E99" s="42">
        <f t="array" aca="1" ref="E99" ca="1">_FV(D99,"Price")</f>
        <v>1590.4</v>
      </c>
      <c r="F99" s="43">
        <f t="array" aca="1" ref="F99" ca="1">_FV(D99,"Previous close",TRUE)</f>
        <v>1501.6</v>
      </c>
      <c r="G99" s="33">
        <v>1442.9</v>
      </c>
      <c r="H99" s="33">
        <v>1257.46</v>
      </c>
      <c r="I99" s="33">
        <v>1224.78</v>
      </c>
      <c r="J99" s="33">
        <v>1162.33</v>
      </c>
      <c r="K99" s="31"/>
      <c r="L99" s="31"/>
      <c r="M99" s="31"/>
      <c r="N99" s="31"/>
      <c r="O99" s="31"/>
      <c r="P99" s="31"/>
      <c r="Q99" s="31"/>
    </row>
    <row r="100" spans="1:17">
      <c r="A100" s="40">
        <v>46166</v>
      </c>
      <c r="B100" s="49" t="s">
        <v>634</v>
      </c>
      <c r="C100" s="49" t="s">
        <v>856</v>
      </c>
      <c r="D100" s="49" t="e" vm="6">
        <v>#VALUE!</v>
      </c>
      <c r="E100" s="42">
        <f t="array" aca="1" ref="E100" ca="1">_FV(D100,"Price")</f>
        <v>523.29999999999995</v>
      </c>
      <c r="F100" s="43">
        <f t="array" aca="1" ref="F100" ca="1">_FV(D100,"Previous close",TRUE)</f>
        <v>528.4</v>
      </c>
      <c r="G100" s="33">
        <v>528</v>
      </c>
      <c r="H100" s="33">
        <v>501.86</v>
      </c>
      <c r="I100" s="33">
        <v>495.89</v>
      </c>
      <c r="J100" s="33">
        <v>480.7</v>
      </c>
      <c r="K100" s="31"/>
      <c r="L100" s="31"/>
      <c r="M100" s="31"/>
      <c r="N100" s="31"/>
      <c r="O100" s="31"/>
      <c r="P100" s="31"/>
      <c r="Q100" s="31"/>
    </row>
    <row r="101" spans="1:17">
      <c r="A101" s="40">
        <v>46166</v>
      </c>
      <c r="B101" s="49" t="s">
        <v>868</v>
      </c>
      <c r="C101" s="49" t="s">
        <v>856</v>
      </c>
      <c r="D101" s="49" t="e" vm="159">
        <v>#VALUE!</v>
      </c>
      <c r="E101" s="42">
        <f t="array" aca="1" ref="E101" ca="1">_FV(D101,"Price")</f>
        <v>1958.2</v>
      </c>
      <c r="F101" s="43">
        <f t="array" aca="1" ref="F101" ca="1">_FV(D101,"Previous close",TRUE)</f>
        <v>1921.4</v>
      </c>
      <c r="G101" s="33">
        <v>1839.8</v>
      </c>
      <c r="H101" s="33">
        <v>1767.55</v>
      </c>
      <c r="I101" s="33">
        <v>1740.1</v>
      </c>
      <c r="J101" s="33">
        <v>1671</v>
      </c>
      <c r="K101" s="31"/>
      <c r="L101" s="31"/>
      <c r="M101" s="31"/>
      <c r="N101" s="31"/>
      <c r="O101" s="31"/>
      <c r="P101" s="31"/>
      <c r="Q101" s="31"/>
    </row>
    <row r="102" spans="1:17">
      <c r="A102" s="40">
        <v>46166</v>
      </c>
      <c r="B102" s="49" t="s">
        <v>860</v>
      </c>
      <c r="C102" s="49" t="s">
        <v>856</v>
      </c>
      <c r="D102" s="49" t="e" vm="157">
        <v>#VALUE!</v>
      </c>
      <c r="E102" s="42">
        <f t="array" aca="1" ref="E102" ca="1">_FV(D102,"Price")</f>
        <v>945</v>
      </c>
      <c r="F102" s="43">
        <f t="array" aca="1" ref="F102" ca="1">_FV(D102,"Previous close",TRUE)</f>
        <v>900</v>
      </c>
      <c r="G102" s="33">
        <v>845</v>
      </c>
      <c r="H102" s="33">
        <v>731.07</v>
      </c>
      <c r="I102" s="33">
        <v>698.54</v>
      </c>
      <c r="J102" s="33">
        <v>605.83000000000004</v>
      </c>
      <c r="K102" s="31"/>
      <c r="L102" s="31"/>
      <c r="M102" s="31"/>
      <c r="N102" s="31"/>
      <c r="O102" s="31"/>
      <c r="P102" s="31"/>
      <c r="Q102" s="31"/>
    </row>
    <row r="103" spans="1:17">
      <c r="A103" s="40">
        <v>46166</v>
      </c>
      <c r="B103" s="49" t="s">
        <v>97</v>
      </c>
      <c r="C103" s="49" t="s">
        <v>856</v>
      </c>
      <c r="D103" s="49" t="e" vm="168">
        <v>#VALUE!</v>
      </c>
      <c r="E103" s="42">
        <f t="array" aca="1" ref="E103" ca="1">_FV(D103,"Price")</f>
        <v>1089</v>
      </c>
      <c r="F103" s="43">
        <f t="array" aca="1" ref="F103" ca="1">_FV(D103,"Previous close",TRUE)</f>
        <v>1084.5999999999999</v>
      </c>
      <c r="G103" s="33">
        <v>1077.7</v>
      </c>
      <c r="H103" s="33">
        <v>1001.26</v>
      </c>
      <c r="I103" s="33">
        <v>989.32</v>
      </c>
      <c r="J103" s="33">
        <v>960.18</v>
      </c>
      <c r="K103" s="31"/>
      <c r="L103" s="31"/>
      <c r="M103" s="31"/>
      <c r="N103" s="31"/>
      <c r="O103" s="31"/>
      <c r="P103" s="31"/>
      <c r="Q103" s="31"/>
    </row>
    <row r="104" spans="1:17">
      <c r="A104" s="40">
        <v>46166</v>
      </c>
      <c r="B104" s="49" t="s">
        <v>989</v>
      </c>
      <c r="C104" s="49" t="s">
        <v>856</v>
      </c>
      <c r="D104" s="49" t="e" vm="234">
        <v>#VALUE!</v>
      </c>
      <c r="E104" s="42">
        <f t="array" aca="1" ref="E104" ca="1">_FV(D104,"Price")</f>
        <v>2273</v>
      </c>
      <c r="F104" s="43">
        <f t="array" aca="1" ref="F104" ca="1">_FV(D104,"Previous close",TRUE)</f>
        <v>2219.5</v>
      </c>
      <c r="G104" s="33">
        <v>2250</v>
      </c>
      <c r="H104" s="33">
        <v>2028.73</v>
      </c>
      <c r="I104" s="33">
        <v>1991.7</v>
      </c>
      <c r="J104" s="33">
        <v>1897.95</v>
      </c>
      <c r="K104" s="31"/>
      <c r="L104" s="31"/>
      <c r="M104" s="31"/>
      <c r="N104" s="31"/>
      <c r="O104" s="31"/>
      <c r="P104" s="31"/>
      <c r="Q104" s="31"/>
    </row>
    <row r="105" spans="1:17">
      <c r="A105" s="40">
        <v>46166</v>
      </c>
      <c r="B105" s="49" t="s">
        <v>146</v>
      </c>
      <c r="C105" s="49" t="s">
        <v>856</v>
      </c>
      <c r="D105" s="49" t="e" vm="235">
        <v>#VALUE!</v>
      </c>
      <c r="E105" s="42">
        <f t="array" aca="1" ref="E105" ca="1">_FV(D105,"Price")</f>
        <v>77.61</v>
      </c>
      <c r="F105" s="43">
        <f t="array" aca="1" ref="F105" ca="1">_FV(D105,"Previous close",TRUE)</f>
        <v>76.89</v>
      </c>
      <c r="G105" s="33">
        <v>67.77</v>
      </c>
      <c r="H105" s="33">
        <v>60.21</v>
      </c>
      <c r="I105" s="33">
        <v>58</v>
      </c>
      <c r="J105" s="33">
        <v>51.36</v>
      </c>
      <c r="K105" s="31"/>
      <c r="L105" s="31"/>
      <c r="M105" s="31"/>
      <c r="N105" s="31"/>
      <c r="O105" s="31"/>
      <c r="P105" s="31"/>
      <c r="Q105" s="31"/>
    </row>
    <row r="106" spans="1:17">
      <c r="A106" s="40">
        <v>46166</v>
      </c>
      <c r="B106" s="49" t="s">
        <v>640</v>
      </c>
      <c r="C106" s="49" t="s">
        <v>856</v>
      </c>
      <c r="D106" s="49" t="e" vm="8">
        <v>#VALUE!</v>
      </c>
      <c r="E106" s="42">
        <f t="array" aca="1" ref="E106" ca="1">_FV(D106,"Price")</f>
        <v>690.95</v>
      </c>
      <c r="F106" s="43">
        <f t="array" aca="1" ref="F106" ca="1">_FV(D106,"Previous close",TRUE)</f>
        <v>672.1</v>
      </c>
      <c r="G106" s="33">
        <v>662.45</v>
      </c>
      <c r="H106" s="33">
        <v>640.91999999999996</v>
      </c>
      <c r="I106" s="33">
        <v>630.85</v>
      </c>
      <c r="J106" s="33">
        <v>599.95000000000005</v>
      </c>
      <c r="K106" s="31"/>
      <c r="L106" s="31"/>
      <c r="M106" s="31"/>
      <c r="N106" s="31"/>
      <c r="O106" s="31"/>
      <c r="P106" s="31"/>
      <c r="Q106" s="31"/>
    </row>
    <row r="107" spans="1:17">
      <c r="A107" s="40">
        <v>46166</v>
      </c>
      <c r="B107" s="49" t="s">
        <v>990</v>
      </c>
      <c r="C107" s="49" t="s">
        <v>856</v>
      </c>
      <c r="D107" s="49" t="e" vm="236">
        <v>#VALUE!</v>
      </c>
      <c r="E107" s="42">
        <f t="array" aca="1" ref="E107" ca="1">_FV(D107,"Price")</f>
        <v>685.65</v>
      </c>
      <c r="F107" s="43">
        <f t="array" aca="1" ref="F107" ca="1">_FV(D107,"Previous close",TRUE)</f>
        <v>684.4</v>
      </c>
      <c r="G107" s="33">
        <v>690.55</v>
      </c>
      <c r="H107" s="33">
        <v>584.4</v>
      </c>
      <c r="I107" s="33">
        <v>571.65</v>
      </c>
      <c r="J107" s="33">
        <v>542.86</v>
      </c>
      <c r="K107" s="31"/>
      <c r="L107" s="31"/>
      <c r="M107" s="31"/>
      <c r="N107" s="31"/>
      <c r="O107" s="31"/>
      <c r="P107" s="31"/>
      <c r="Q107" s="31"/>
    </row>
    <row r="108" spans="1:17">
      <c r="A108" s="40">
        <v>46166</v>
      </c>
      <c r="B108" s="49" t="s">
        <v>991</v>
      </c>
      <c r="C108" s="49" t="s">
        <v>856</v>
      </c>
      <c r="D108" s="49" t="e" vm="237">
        <v>#VALUE!</v>
      </c>
      <c r="E108" s="42">
        <f t="array" aca="1" ref="E108" ca="1">_FV(D108,"Price")</f>
        <v>373.15</v>
      </c>
      <c r="F108" s="43">
        <f t="array" aca="1" ref="F108" ca="1">_FV(D108,"Previous close",TRUE)</f>
        <v>366.75</v>
      </c>
      <c r="G108" s="33">
        <v>364.05</v>
      </c>
      <c r="H108" s="33">
        <v>332.68</v>
      </c>
      <c r="I108" s="33">
        <v>327.14999999999998</v>
      </c>
      <c r="J108" s="33">
        <v>315.8</v>
      </c>
      <c r="K108" s="31"/>
      <c r="L108" s="31"/>
      <c r="M108" s="31"/>
      <c r="N108" s="31"/>
      <c r="O108" s="31"/>
      <c r="P108" s="31"/>
      <c r="Q108" s="31"/>
    </row>
    <row r="109" spans="1:17">
      <c r="A109" s="40">
        <v>46166</v>
      </c>
      <c r="B109" s="49" t="s">
        <v>992</v>
      </c>
      <c r="C109" s="49" t="s">
        <v>856</v>
      </c>
      <c r="D109" s="49" t="e" vm="238">
        <v>#VALUE!</v>
      </c>
      <c r="E109" s="42">
        <f t="array" aca="1" ref="E109" ca="1">_FV(D109,"Price")</f>
        <v>703.1</v>
      </c>
      <c r="F109" s="43">
        <f t="array" aca="1" ref="F109" ca="1">_FV(D109,"Previous close",TRUE)</f>
        <v>711.75</v>
      </c>
      <c r="G109" s="33">
        <v>674.75</v>
      </c>
      <c r="H109" s="33">
        <v>584.37</v>
      </c>
      <c r="I109" s="33">
        <v>572.29</v>
      </c>
      <c r="J109" s="33">
        <v>543.63</v>
      </c>
      <c r="K109" s="31"/>
      <c r="L109" s="31"/>
      <c r="M109" s="31"/>
      <c r="N109" s="31"/>
      <c r="O109" s="31"/>
      <c r="P109" s="31"/>
      <c r="Q109" s="31"/>
    </row>
    <row r="110" spans="1:17">
      <c r="A110" s="40">
        <v>46166</v>
      </c>
      <c r="B110" s="49" t="s">
        <v>993</v>
      </c>
      <c r="C110" s="49" t="s">
        <v>856</v>
      </c>
      <c r="D110" s="49" t="e" vm="239">
        <v>#VALUE!</v>
      </c>
      <c r="E110" s="42">
        <f t="array" aca="1" ref="E110" ca="1">_FV(D110,"Price")</f>
        <v>631.20000000000005</v>
      </c>
      <c r="F110" s="43">
        <f t="array" aca="1" ref="F110" ca="1">_FV(D110,"Previous close",TRUE)</f>
        <v>631.1</v>
      </c>
      <c r="G110" s="33">
        <v>593.15</v>
      </c>
      <c r="H110" s="33">
        <v>580.23</v>
      </c>
      <c r="I110" s="33">
        <v>571.82000000000005</v>
      </c>
      <c r="J110" s="33">
        <v>553.37</v>
      </c>
      <c r="K110" s="31"/>
      <c r="L110" s="31"/>
      <c r="M110" s="31"/>
      <c r="N110" s="31"/>
      <c r="O110" s="31"/>
      <c r="P110" s="31"/>
      <c r="Q110" s="31"/>
    </row>
    <row r="111" spans="1:17">
      <c r="A111" s="40">
        <v>46166</v>
      </c>
      <c r="B111" s="49" t="s">
        <v>994</v>
      </c>
      <c r="C111" s="49" t="s">
        <v>856</v>
      </c>
      <c r="D111" s="49" t="e" vm="240">
        <v>#VALUE!</v>
      </c>
      <c r="E111" s="42">
        <f t="array" aca="1" ref="E111" ca="1">_FV(D111,"Price")</f>
        <v>758.7</v>
      </c>
      <c r="F111" s="43">
        <f t="array" aca="1" ref="F111" ca="1">_FV(D111,"Previous close",TRUE)</f>
        <v>771</v>
      </c>
      <c r="G111" s="33">
        <v>746.45</v>
      </c>
      <c r="H111" s="33">
        <v>661.92</v>
      </c>
      <c r="I111" s="33">
        <v>648.86</v>
      </c>
      <c r="J111" s="33">
        <v>619.69000000000005</v>
      </c>
      <c r="K111" s="31"/>
      <c r="L111" s="31"/>
      <c r="M111" s="31"/>
      <c r="N111" s="31"/>
      <c r="O111" s="31"/>
      <c r="P111" s="31"/>
      <c r="Q111" s="31"/>
    </row>
    <row r="112" spans="1:17">
      <c r="A112" s="40">
        <v>46166</v>
      </c>
      <c r="B112" s="49" t="s">
        <v>210</v>
      </c>
      <c r="C112" s="49" t="s">
        <v>856</v>
      </c>
      <c r="D112" s="49" t="e" vm="241">
        <v>#VALUE!</v>
      </c>
      <c r="E112" s="42">
        <f t="array" aca="1" ref="E112" ca="1">_FV(D112,"Price")</f>
        <v>947.95</v>
      </c>
      <c r="F112" s="43">
        <f t="array" aca="1" ref="F112" ca="1">_FV(D112,"Previous close",TRUE)</f>
        <v>952.1</v>
      </c>
      <c r="G112" s="33">
        <v>968.7</v>
      </c>
      <c r="H112" s="33">
        <v>783.88</v>
      </c>
      <c r="I112" s="33">
        <v>765.79</v>
      </c>
      <c r="J112" s="33">
        <v>726.97</v>
      </c>
      <c r="K112" s="31"/>
      <c r="L112" s="31"/>
      <c r="M112" s="31"/>
      <c r="N112" s="31"/>
      <c r="O112" s="31"/>
      <c r="P112" s="31"/>
      <c r="Q112" s="31"/>
    </row>
    <row r="113" spans="1:17">
      <c r="A113" s="40">
        <v>46166</v>
      </c>
      <c r="B113" s="49" t="s">
        <v>208</v>
      </c>
      <c r="C113" s="49" t="s">
        <v>856</v>
      </c>
      <c r="D113" s="49" t="e" vm="242">
        <v>#VALUE!</v>
      </c>
      <c r="E113" s="42">
        <f t="array" aca="1" ref="E113" ca="1">_FV(D113,"Price")</f>
        <v>212.82</v>
      </c>
      <c r="F113" s="43">
        <f t="array" aca="1" ref="F113" ca="1">_FV(D113,"Previous close",TRUE)</f>
        <v>212.97</v>
      </c>
      <c r="G113" s="33">
        <v>212.11</v>
      </c>
      <c r="H113" s="33">
        <v>178.81</v>
      </c>
      <c r="I113" s="33">
        <v>173.14</v>
      </c>
      <c r="J113" s="33">
        <v>157.86000000000001</v>
      </c>
      <c r="K113" s="31"/>
      <c r="L113" s="31"/>
      <c r="M113" s="31"/>
      <c r="N113" s="31"/>
      <c r="O113" s="31"/>
      <c r="P113" s="31"/>
      <c r="Q113" s="31"/>
    </row>
    <row r="114" spans="1:17">
      <c r="A114" s="40">
        <v>46166</v>
      </c>
      <c r="B114" s="49" t="s">
        <v>864</v>
      </c>
      <c r="C114" s="49" t="s">
        <v>856</v>
      </c>
      <c r="D114" s="49" t="e" vm="158">
        <v>#VALUE!</v>
      </c>
      <c r="E114" s="42">
        <f t="array" aca="1" ref="E114" ca="1">_FV(D114,"Price")</f>
        <v>483.35</v>
      </c>
      <c r="F114" s="43">
        <f t="array" aca="1" ref="F114" ca="1">_FV(D114,"Previous close",TRUE)</f>
        <v>488.9</v>
      </c>
      <c r="G114" s="33">
        <v>476.15</v>
      </c>
      <c r="H114" s="33">
        <v>482.93</v>
      </c>
      <c r="I114" s="33">
        <v>481.21</v>
      </c>
      <c r="J114" s="33">
        <v>470.64</v>
      </c>
      <c r="K114" s="31"/>
      <c r="L114" s="31"/>
      <c r="M114" s="31"/>
      <c r="N114" s="31"/>
      <c r="O114" s="31"/>
      <c r="P114" s="31"/>
      <c r="Q114" s="31"/>
    </row>
    <row r="115" spans="1:17">
      <c r="A115" s="40">
        <v>46166</v>
      </c>
      <c r="B115" s="49" t="s">
        <v>808</v>
      </c>
      <c r="C115" s="49" t="s">
        <v>856</v>
      </c>
      <c r="D115" s="49" t="e" vm="115">
        <v>#VALUE!</v>
      </c>
      <c r="E115" s="42">
        <f t="array" aca="1" ref="E115" ca="1">_FV(D115,"Price")</f>
        <v>458.05</v>
      </c>
      <c r="F115" s="43">
        <f t="array" aca="1" ref="F115" ca="1">_FV(D115,"Previous close",TRUE)</f>
        <v>460.1</v>
      </c>
      <c r="G115" s="33">
        <v>475</v>
      </c>
      <c r="H115" s="33">
        <v>462.72</v>
      </c>
      <c r="I115" s="33">
        <v>459.01</v>
      </c>
      <c r="J115" s="33">
        <v>442.49</v>
      </c>
      <c r="K115" s="31"/>
      <c r="L115" s="31"/>
      <c r="M115" s="31"/>
      <c r="N115" s="31"/>
      <c r="O115" s="31"/>
      <c r="P115" s="31"/>
      <c r="Q115" s="31"/>
    </row>
    <row r="116" spans="1:17">
      <c r="A116" s="40">
        <v>46166</v>
      </c>
      <c r="B116" s="49" t="s">
        <v>995</v>
      </c>
      <c r="C116" s="49" t="s">
        <v>856</v>
      </c>
      <c r="D116" s="49" t="e" vm="243">
        <v>#VALUE!</v>
      </c>
      <c r="E116" s="42">
        <f t="array" aca="1" ref="E116" ca="1">_FV(D116,"Price")</f>
        <v>584.20000000000005</v>
      </c>
      <c r="F116" s="43">
        <f t="array" aca="1" ref="F116" ca="1">_FV(D116,"Previous close",TRUE)</f>
        <v>590.04999999999995</v>
      </c>
      <c r="G116" s="33">
        <v>593.03</v>
      </c>
      <c r="H116" s="33">
        <v>551</v>
      </c>
      <c r="I116" s="33">
        <v>545.15</v>
      </c>
      <c r="J116" s="33">
        <v>527.73</v>
      </c>
      <c r="K116" s="31"/>
      <c r="L116" s="31"/>
      <c r="M116" s="31"/>
      <c r="N116" s="31"/>
      <c r="O116" s="31"/>
      <c r="P116" s="31"/>
      <c r="Q116" s="31"/>
    </row>
    <row r="117" spans="1:17">
      <c r="A117" s="40">
        <v>46166</v>
      </c>
      <c r="B117" s="49" t="s">
        <v>682</v>
      </c>
      <c r="C117" s="49" t="s">
        <v>856</v>
      </c>
      <c r="D117" s="49" t="e" vm="23">
        <v>#VALUE!</v>
      </c>
      <c r="E117" s="42">
        <f t="array" aca="1" ref="E117" ca="1">_FV(D117,"Price")</f>
        <v>3643.6</v>
      </c>
      <c r="F117" s="43">
        <f t="array" aca="1" ref="F117" ca="1">_FV(D117,"Previous close",TRUE)</f>
        <v>3571.3</v>
      </c>
      <c r="G117" s="33">
        <v>3630.4</v>
      </c>
      <c r="H117" s="33">
        <v>3557.76</v>
      </c>
      <c r="I117" s="33">
        <v>3529.22</v>
      </c>
      <c r="J117" s="33">
        <v>3412.35</v>
      </c>
      <c r="K117" s="31"/>
      <c r="L117" s="31"/>
      <c r="M117" s="31"/>
      <c r="N117" s="31"/>
      <c r="O117" s="31"/>
      <c r="P117" s="31"/>
      <c r="Q117" s="31"/>
    </row>
    <row r="118" spans="1:17">
      <c r="A118" s="40">
        <v>46166</v>
      </c>
      <c r="B118" s="49" t="s">
        <v>692</v>
      </c>
      <c r="C118" s="49" t="s">
        <v>856</v>
      </c>
      <c r="D118" s="49" t="e" vm="28">
        <v>#VALUE!</v>
      </c>
      <c r="E118" s="42">
        <f t="array" aca="1" ref="E118" ca="1">_FV(D118,"Price")</f>
        <v>2033.1</v>
      </c>
      <c r="F118" s="43">
        <f t="array" aca="1" ref="F118" ca="1">_FV(D118,"Previous close",TRUE)</f>
        <v>2019.7</v>
      </c>
      <c r="G118" s="33">
        <v>2024.5</v>
      </c>
      <c r="H118" s="33">
        <v>1900.51</v>
      </c>
      <c r="I118" s="33">
        <v>1878.31</v>
      </c>
      <c r="J118" s="33">
        <v>1840.95</v>
      </c>
      <c r="K118" s="31"/>
      <c r="L118" s="31"/>
      <c r="M118" s="31"/>
      <c r="N118" s="31"/>
      <c r="O118" s="31"/>
      <c r="P118" s="31"/>
      <c r="Q118" s="31"/>
    </row>
    <row r="119" spans="1:17">
      <c r="A119" s="40">
        <v>46166</v>
      </c>
      <c r="B119" s="49" t="s">
        <v>212</v>
      </c>
      <c r="C119" s="49" t="s">
        <v>856</v>
      </c>
      <c r="D119" s="49" t="e" vm="244">
        <v>#VALUE!</v>
      </c>
      <c r="E119" s="42">
        <f t="array" aca="1" ref="E119" ca="1">_FV(D119,"Price")</f>
        <v>237.35</v>
      </c>
      <c r="F119" s="43">
        <f t="array" aca="1" ref="F119" ca="1">_FV(D119,"Previous close",TRUE)</f>
        <v>266.35000000000002</v>
      </c>
      <c r="G119" s="33">
        <v>279.33999999999997</v>
      </c>
      <c r="H119" s="33">
        <v>224.76</v>
      </c>
      <c r="I119" s="33">
        <v>217.97</v>
      </c>
      <c r="J119" s="33">
        <v>199.25</v>
      </c>
      <c r="K119" s="31"/>
      <c r="L119" s="31"/>
      <c r="M119" s="31"/>
      <c r="N119" s="31"/>
      <c r="O119" s="31"/>
      <c r="P119" s="31"/>
      <c r="Q119" s="31"/>
    </row>
    <row r="120" spans="1:17">
      <c r="A120" s="40">
        <v>46166</v>
      </c>
      <c r="B120" s="49" t="s">
        <v>996</v>
      </c>
      <c r="C120" s="49" t="s">
        <v>856</v>
      </c>
      <c r="D120" s="49" t="e" vm="245">
        <v>#VALUE!</v>
      </c>
      <c r="E120" s="42">
        <f t="array" aca="1" ref="E120" ca="1">_FV(D120,"Price")</f>
        <v>1425.8</v>
      </c>
      <c r="F120" s="43">
        <f t="array" aca="1" ref="F120" ca="1">_FV(D120,"Previous close",TRUE)</f>
        <v>1420.6</v>
      </c>
      <c r="G120" s="33">
        <v>1410.1</v>
      </c>
      <c r="H120" s="33">
        <v>1313.68</v>
      </c>
      <c r="I120" s="33">
        <v>1289.03</v>
      </c>
      <c r="J120" s="33">
        <v>1238.8800000000001</v>
      </c>
      <c r="K120" s="31"/>
      <c r="L120" s="31"/>
      <c r="M120" s="31"/>
      <c r="N120" s="31"/>
      <c r="O120" s="31"/>
      <c r="P120" s="31"/>
      <c r="Q120" s="31"/>
    </row>
    <row r="121" spans="1:17">
      <c r="A121" s="40">
        <v>46166</v>
      </c>
      <c r="B121" s="49" t="s">
        <v>879</v>
      </c>
      <c r="C121" s="49" t="s">
        <v>856</v>
      </c>
      <c r="D121" s="49" t="e" vm="161">
        <v>#VALUE!</v>
      </c>
      <c r="E121" s="42">
        <f t="array" aca="1" ref="E121" ca="1">_FV(D121,"Price")</f>
        <v>497.85</v>
      </c>
      <c r="F121" s="43">
        <f t="array" aca="1" ref="F121" ca="1">_FV(D121,"Previous close",TRUE)</f>
        <v>480</v>
      </c>
      <c r="G121" s="33">
        <v>508.85</v>
      </c>
      <c r="H121" s="33">
        <v>479.34</v>
      </c>
      <c r="I121" s="33">
        <v>469.31</v>
      </c>
      <c r="J121" s="33">
        <v>430.81</v>
      </c>
      <c r="K121" s="31"/>
      <c r="L121" s="31"/>
      <c r="M121" s="31"/>
      <c r="N121" s="31"/>
      <c r="O121" s="31"/>
      <c r="P121" s="31"/>
      <c r="Q121" s="31"/>
    </row>
    <row r="122" spans="1:17">
      <c r="A122" s="40">
        <v>46166</v>
      </c>
      <c r="B122" s="49" t="s">
        <v>61</v>
      </c>
      <c r="C122" s="49" t="s">
        <v>856</v>
      </c>
      <c r="D122" s="49" t="e" vm="246">
        <v>#VALUE!</v>
      </c>
      <c r="E122" s="42">
        <f t="array" aca="1" ref="E122" ca="1">_FV(D122,"Price")</f>
        <v>4832.1000000000004</v>
      </c>
      <c r="F122" s="43">
        <f t="array" aca="1" ref="F122" ca="1">_FV(D122,"Previous close",TRUE)</f>
        <v>4875.8999999999996</v>
      </c>
      <c r="G122" s="33">
        <v>4982.7</v>
      </c>
      <c r="H122" s="33">
        <v>4374.79</v>
      </c>
      <c r="I122" s="33">
        <v>4261.8100000000004</v>
      </c>
      <c r="J122" s="33">
        <v>3888.28</v>
      </c>
      <c r="K122" s="31"/>
      <c r="L122" s="31"/>
      <c r="M122" s="31"/>
      <c r="N122" s="31"/>
      <c r="O122" s="31"/>
      <c r="P122" s="31"/>
      <c r="Q122" s="31"/>
    </row>
    <row r="123" spans="1:17">
      <c r="A123" s="40">
        <v>46166</v>
      </c>
      <c r="B123" s="49" t="s">
        <v>997</v>
      </c>
      <c r="C123" s="49" t="s">
        <v>856</v>
      </c>
      <c r="D123" s="49" t="e" vm="247">
        <v>#VALUE!</v>
      </c>
      <c r="E123" s="42">
        <f t="array" aca="1" ref="E123" ca="1">_FV(D123,"Price")</f>
        <v>262</v>
      </c>
      <c r="F123" s="43">
        <f t="array" aca="1" ref="F123" ca="1">_FV(D123,"Previous close",TRUE)</f>
        <v>262.89999999999998</v>
      </c>
      <c r="G123" s="33">
        <v>269.35000000000002</v>
      </c>
      <c r="H123" s="33">
        <v>253.68</v>
      </c>
      <c r="I123" s="33">
        <v>250.16</v>
      </c>
      <c r="J123" s="33">
        <v>235.28</v>
      </c>
      <c r="K123" s="31"/>
      <c r="L123" s="31"/>
      <c r="M123" s="31"/>
      <c r="N123" s="31"/>
      <c r="O123" s="31"/>
      <c r="P123" s="31"/>
      <c r="Q123" s="31"/>
    </row>
    <row r="124" spans="1:17">
      <c r="A124" s="40">
        <v>46166</v>
      </c>
      <c r="B124" s="49" t="s">
        <v>872</v>
      </c>
      <c r="C124" s="49" t="s">
        <v>856</v>
      </c>
      <c r="D124" s="49" t="e" vm="160">
        <v>#VALUE!</v>
      </c>
      <c r="E124" s="42">
        <f t="array" aca="1" ref="E124" ca="1">_FV(D124,"Price")</f>
        <v>264.75</v>
      </c>
      <c r="F124" s="43">
        <f t="array" aca="1" ref="F124" ca="1">_FV(D124,"Previous close",TRUE)</f>
        <v>267.55</v>
      </c>
      <c r="G124" s="33">
        <v>265.39999999999998</v>
      </c>
      <c r="H124" s="33">
        <v>278.58999999999997</v>
      </c>
      <c r="I124" s="33">
        <v>278.23</v>
      </c>
      <c r="J124" s="33">
        <v>272.17</v>
      </c>
      <c r="K124" s="31"/>
      <c r="L124" s="31"/>
      <c r="M124" s="31"/>
      <c r="N124" s="31"/>
      <c r="O124" s="31"/>
      <c r="P124" s="31"/>
      <c r="Q124" s="31"/>
    </row>
    <row r="125" spans="1:17">
      <c r="A125" s="40">
        <v>46166</v>
      </c>
      <c r="B125" s="49" t="s">
        <v>63</v>
      </c>
      <c r="C125" s="49" t="s">
        <v>856</v>
      </c>
      <c r="D125" s="49" t="e" vm="165">
        <v>#VALUE!</v>
      </c>
      <c r="E125" s="42">
        <f t="array" aca="1" ref="E125" ca="1">_FV(D125,"Price")</f>
        <v>1462.3</v>
      </c>
      <c r="F125" s="43">
        <f t="array" aca="1" ref="F125" ca="1">_FV(D125,"Previous close",TRUE)</f>
        <v>1463.6</v>
      </c>
      <c r="G125" s="33">
        <v>1426.4</v>
      </c>
      <c r="H125" s="33">
        <v>1422.89</v>
      </c>
      <c r="I125" s="33">
        <v>1408.26</v>
      </c>
      <c r="J125" s="33">
        <v>1346.74</v>
      </c>
      <c r="K125" s="31"/>
      <c r="L125" s="31"/>
      <c r="M125" s="31"/>
      <c r="N125" s="31"/>
      <c r="O125" s="31"/>
      <c r="P125" s="31"/>
      <c r="Q125" s="31"/>
    </row>
    <row r="126" spans="1:17">
      <c r="A126" s="40">
        <v>46166</v>
      </c>
      <c r="B126" s="49" t="s">
        <v>197</v>
      </c>
      <c r="C126" s="49" t="s">
        <v>856</v>
      </c>
      <c r="D126" s="49" t="e" vm="248">
        <v>#VALUE!</v>
      </c>
      <c r="E126" s="42">
        <f t="array" aca="1" ref="E126" ca="1">_FV(D126,"Price")</f>
        <v>1579</v>
      </c>
      <c r="F126" s="43">
        <f t="array" aca="1" ref="F126" ca="1">_FV(D126,"Previous close",TRUE)</f>
        <v>1520</v>
      </c>
      <c r="G126" s="33">
        <v>1513.3</v>
      </c>
      <c r="H126" s="33">
        <v>1361.65</v>
      </c>
      <c r="I126" s="33">
        <v>1326.85</v>
      </c>
      <c r="J126" s="33">
        <v>1208.67</v>
      </c>
      <c r="K126" s="31"/>
      <c r="L126" s="31"/>
      <c r="M126" s="31"/>
      <c r="N126" s="31"/>
      <c r="O126" s="31"/>
      <c r="P126" s="31"/>
      <c r="Q126" s="31"/>
    </row>
    <row r="127" spans="1:17">
      <c r="A127" s="40">
        <v>46166</v>
      </c>
      <c r="B127" s="49" t="s">
        <v>143</v>
      </c>
      <c r="C127" s="49" t="s">
        <v>949</v>
      </c>
      <c r="D127" s="49" t="e" vm="186">
        <v>#VALUE!</v>
      </c>
      <c r="E127" s="42">
        <f t="array" aca="1" ref="E127" ca="1">_FV(D127,"Price")</f>
        <v>619.25</v>
      </c>
      <c r="F127" s="43">
        <f t="array" aca="1" ref="F127" ca="1">_FV(D127,"Previous close",TRUE)</f>
        <v>651.6</v>
      </c>
      <c r="G127" s="33">
        <v>536.15</v>
      </c>
      <c r="H127" s="33">
        <v>414.35</v>
      </c>
      <c r="I127" s="33">
        <v>386.56</v>
      </c>
      <c r="J127" s="33">
        <v>299.27</v>
      </c>
      <c r="K127" s="31"/>
      <c r="L127" s="31"/>
      <c r="M127" s="31"/>
      <c r="N127" s="31"/>
      <c r="O127" s="31"/>
      <c r="P127" s="31"/>
      <c r="Q127" s="31"/>
    </row>
    <row r="128" spans="1:17">
      <c r="A128" s="40">
        <v>46166</v>
      </c>
      <c r="B128" s="49" t="s">
        <v>950</v>
      </c>
      <c r="C128" s="49" t="s">
        <v>949</v>
      </c>
      <c r="D128" s="49" t="e" vm="182">
        <v>#VALUE!</v>
      </c>
      <c r="E128" s="42">
        <f t="array" aca="1" ref="E128" ca="1">_FV(D128,"Price")</f>
        <v>7535.5</v>
      </c>
      <c r="F128" s="43">
        <f t="array" aca="1" ref="F128" ca="1">_FV(D128,"Previous close",TRUE)</f>
        <v>7755.5</v>
      </c>
      <c r="G128" s="33">
        <v>7879.5</v>
      </c>
      <c r="H128" s="33">
        <v>6570.37</v>
      </c>
      <c r="I128" s="33">
        <v>6263.29</v>
      </c>
      <c r="J128" s="33">
        <v>5163.9799999999996</v>
      </c>
      <c r="K128" s="31"/>
      <c r="L128" s="31"/>
      <c r="M128" s="31"/>
      <c r="N128" s="31"/>
      <c r="O128" s="31"/>
      <c r="P128" s="31"/>
      <c r="Q128" s="31"/>
    </row>
    <row r="129" spans="1:17">
      <c r="A129" s="40">
        <v>46166</v>
      </c>
      <c r="B129" s="49" t="s">
        <v>522</v>
      </c>
      <c r="C129" s="49" t="s">
        <v>949</v>
      </c>
      <c r="D129" s="49" t="e" vm="24">
        <v>#VALUE!</v>
      </c>
      <c r="E129" s="42">
        <f t="array" aca="1" ref="E129" ca="1">_FV(D129,"Price")</f>
        <v>18441</v>
      </c>
      <c r="F129" s="43">
        <f t="array" aca="1" ref="F129" ca="1">_FV(D129,"Previous close",TRUE)</f>
        <v>18293</v>
      </c>
      <c r="G129" s="33">
        <v>18247</v>
      </c>
      <c r="H129" s="33">
        <v>16708.240000000002</v>
      </c>
      <c r="I129" s="33">
        <v>16365.85</v>
      </c>
      <c r="J129" s="33">
        <v>15327.98</v>
      </c>
      <c r="K129" s="31"/>
      <c r="L129" s="31"/>
      <c r="M129" s="31"/>
      <c r="N129" s="31"/>
      <c r="O129" s="31"/>
      <c r="P129" s="31"/>
      <c r="Q129" s="31"/>
    </row>
    <row r="130" spans="1:17">
      <c r="A130" s="40">
        <v>46166</v>
      </c>
      <c r="B130" s="49" t="s">
        <v>80</v>
      </c>
      <c r="C130" s="49" t="s">
        <v>949</v>
      </c>
      <c r="D130" s="49" t="e" vm="154">
        <v>#VALUE!</v>
      </c>
      <c r="E130" s="42">
        <f t="array" aca="1" ref="E130" ca="1">_FV(D130,"Price")</f>
        <v>3880</v>
      </c>
      <c r="F130" s="43">
        <f t="array" aca="1" ref="F130" ca="1">_FV(D130,"Previous close",TRUE)</f>
        <v>4033.4</v>
      </c>
      <c r="G130" s="33">
        <v>4146.1000000000004</v>
      </c>
      <c r="H130" s="33">
        <v>3758.69</v>
      </c>
      <c r="I130" s="33">
        <v>3675.85</v>
      </c>
      <c r="J130" s="33">
        <v>3370.62</v>
      </c>
      <c r="K130" s="31"/>
      <c r="L130" s="31"/>
      <c r="M130" s="31"/>
      <c r="N130" s="31"/>
      <c r="O130" s="31"/>
      <c r="P130" s="31"/>
      <c r="Q130" s="31"/>
    </row>
    <row r="131" spans="1:17">
      <c r="A131" s="40">
        <v>46166</v>
      </c>
      <c r="B131" s="49" t="s">
        <v>953</v>
      </c>
      <c r="C131" s="49" t="s">
        <v>949</v>
      </c>
      <c r="D131" s="49" t="e" vm="185">
        <v>#VALUE!</v>
      </c>
      <c r="E131" s="42">
        <f t="array" aca="1" ref="E131" ca="1">_FV(D131,"Price")</f>
        <v>1487.7</v>
      </c>
      <c r="F131" s="43">
        <f t="array" aca="1" ref="F131" ca="1">_FV(D131,"Previous close",TRUE)</f>
        <v>1528.7</v>
      </c>
      <c r="G131" s="33">
        <v>1575.8</v>
      </c>
      <c r="H131" s="33">
        <v>1365.27</v>
      </c>
      <c r="I131" s="33">
        <v>1320.37</v>
      </c>
      <c r="J131" s="33">
        <v>1168.95</v>
      </c>
      <c r="K131" s="31"/>
      <c r="L131" s="31"/>
      <c r="M131" s="31"/>
      <c r="N131" s="31"/>
      <c r="O131" s="31"/>
      <c r="P131" s="31"/>
      <c r="Q131" s="31"/>
    </row>
    <row r="132" spans="1:17">
      <c r="A132" s="40">
        <v>46166</v>
      </c>
      <c r="B132" s="49" t="s">
        <v>136</v>
      </c>
      <c r="C132" s="49" t="s">
        <v>949</v>
      </c>
      <c r="D132" s="49" t="e" vm="188">
        <v>#VALUE!</v>
      </c>
      <c r="E132" s="42">
        <f t="array" aca="1" ref="E132" ca="1">_FV(D132,"Price")</f>
        <v>1446.8</v>
      </c>
      <c r="F132" s="43">
        <f t="array" aca="1" ref="F132" ca="1">_FV(D132,"Previous close",TRUE)</f>
        <v>1427.2</v>
      </c>
      <c r="G132" s="33">
        <v>1362</v>
      </c>
      <c r="H132" s="33">
        <v>1266.8599999999999</v>
      </c>
      <c r="I132" s="33">
        <v>1240.3699999999999</v>
      </c>
      <c r="J132" s="33">
        <v>1153.67</v>
      </c>
      <c r="K132" s="31"/>
      <c r="L132" s="31"/>
      <c r="M132" s="31"/>
      <c r="N132" s="31"/>
      <c r="O132" s="31"/>
      <c r="P132" s="31"/>
      <c r="Q132" s="31"/>
    </row>
    <row r="133" spans="1:17">
      <c r="A133" s="40">
        <v>46166</v>
      </c>
      <c r="B133" s="49" t="s">
        <v>952</v>
      </c>
      <c r="C133" s="49" t="s">
        <v>949</v>
      </c>
      <c r="D133" s="49" t="e" vm="184">
        <v>#VALUE!</v>
      </c>
      <c r="E133" s="42">
        <f t="array" aca="1" ref="E133" ca="1">_FV(D133,"Price")</f>
        <v>1072.9000000000001</v>
      </c>
      <c r="F133" s="43">
        <f t="array" aca="1" ref="F133" ca="1">_FV(D133,"Previous close",TRUE)</f>
        <v>1078.2</v>
      </c>
      <c r="G133" s="33">
        <v>1037.1500000000001</v>
      </c>
      <c r="H133" s="33">
        <v>831.9</v>
      </c>
      <c r="I133" s="33">
        <v>794.44</v>
      </c>
      <c r="J133" s="33">
        <v>688.82</v>
      </c>
      <c r="K133" s="31"/>
      <c r="L133" s="31"/>
      <c r="M133" s="31"/>
      <c r="N133" s="31"/>
      <c r="O133" s="31"/>
      <c r="P133" s="31"/>
      <c r="Q133" s="31"/>
    </row>
    <row r="134" spans="1:17">
      <c r="A134" s="40">
        <v>46166</v>
      </c>
      <c r="B134" s="49" t="s">
        <v>998</v>
      </c>
      <c r="C134" s="49" t="s">
        <v>949</v>
      </c>
      <c r="D134" s="49" t="e" vm="249">
        <v>#VALUE!</v>
      </c>
      <c r="E134" s="42">
        <f t="array" aca="1" ref="E134" ca="1">_FV(D134,"Price")</f>
        <v>8304.5</v>
      </c>
      <c r="F134" s="43">
        <f t="array" aca="1" ref="F134" ca="1">_FV(D134,"Previous close",TRUE)</f>
        <v>8249</v>
      </c>
      <c r="G134" s="33">
        <v>8176.5</v>
      </c>
      <c r="H134" s="33">
        <v>8010.16</v>
      </c>
      <c r="I134" s="33">
        <v>7950.47</v>
      </c>
      <c r="J134" s="33">
        <v>7756.48</v>
      </c>
      <c r="K134" s="31"/>
      <c r="L134" s="31"/>
      <c r="M134" s="31"/>
      <c r="N134" s="31"/>
      <c r="O134" s="31"/>
      <c r="P134" s="31"/>
      <c r="Q134" s="31"/>
    </row>
    <row r="135" spans="1:17">
      <c r="A135" s="40">
        <v>46166</v>
      </c>
      <c r="B135" s="49" t="s">
        <v>72</v>
      </c>
      <c r="C135" s="49" t="s">
        <v>949</v>
      </c>
      <c r="D135" s="49" t="e" vm="30">
        <v>#VALUE!</v>
      </c>
      <c r="E135" s="42">
        <f t="array" aca="1" ref="E135" ca="1">_FV(D135,"Price")</f>
        <v>1312.8</v>
      </c>
      <c r="F135" s="43">
        <f t="array" aca="1" ref="F135" ca="1">_FV(D135,"Previous close",TRUE)</f>
        <v>1325.5</v>
      </c>
      <c r="G135" s="33">
        <v>1318.6</v>
      </c>
      <c r="H135" s="33">
        <v>1191.67</v>
      </c>
      <c r="I135" s="33">
        <v>1156.77</v>
      </c>
      <c r="J135" s="33">
        <v>1025.5899999999999</v>
      </c>
      <c r="K135" s="31"/>
      <c r="L135" s="31"/>
      <c r="M135" s="31"/>
      <c r="N135" s="31"/>
      <c r="O135" s="31"/>
      <c r="P135" s="31"/>
      <c r="Q135" s="31"/>
    </row>
    <row r="136" spans="1:17">
      <c r="A136" s="40">
        <v>46166</v>
      </c>
      <c r="B136" s="49" t="s">
        <v>961</v>
      </c>
      <c r="C136" s="49" t="s">
        <v>949</v>
      </c>
      <c r="D136" s="49" t="e" vm="198">
        <v>#VALUE!</v>
      </c>
      <c r="E136" s="42">
        <f t="array" aca="1" ref="E136" ca="1">_FV(D136,"Price")</f>
        <v>1464</v>
      </c>
      <c r="F136" s="43">
        <f t="array" aca="1" ref="F136" ca="1">_FV(D136,"Previous close",TRUE)</f>
        <v>1492</v>
      </c>
      <c r="G136" s="33">
        <v>1418.9</v>
      </c>
      <c r="H136" s="33">
        <v>1481.05</v>
      </c>
      <c r="I136" s="33">
        <v>1467.35</v>
      </c>
      <c r="J136" s="33">
        <v>1389.62</v>
      </c>
      <c r="K136" s="31"/>
      <c r="L136" s="31"/>
      <c r="M136" s="31"/>
      <c r="N136" s="31"/>
      <c r="O136" s="31"/>
      <c r="P136" s="31"/>
      <c r="Q136" s="31"/>
    </row>
    <row r="137" spans="1:17">
      <c r="A137" s="40">
        <v>46166</v>
      </c>
      <c r="B137" s="49" t="s">
        <v>55</v>
      </c>
      <c r="C137" s="49" t="s">
        <v>949</v>
      </c>
      <c r="D137" s="49" t="e" vm="187">
        <v>#VALUE!</v>
      </c>
      <c r="E137" s="42">
        <f t="array" aca="1" ref="E137" ca="1">_FV(D137,"Price")</f>
        <v>137.1</v>
      </c>
      <c r="F137" s="43">
        <f t="array" aca="1" ref="F137" ca="1">_FV(D137,"Previous close",TRUE)</f>
        <v>133.09</v>
      </c>
      <c r="G137" s="33">
        <v>129.06</v>
      </c>
      <c r="H137" s="33">
        <v>119.05</v>
      </c>
      <c r="I137" s="33">
        <v>115.67</v>
      </c>
      <c r="J137" s="33">
        <v>102.37</v>
      </c>
      <c r="K137" s="31"/>
      <c r="L137" s="31"/>
      <c r="M137" s="31"/>
      <c r="N137" s="31"/>
      <c r="O137" s="31"/>
      <c r="P137" s="31"/>
      <c r="Q137" s="31"/>
    </row>
    <row r="138" spans="1:17">
      <c r="A138" s="40">
        <v>46166</v>
      </c>
      <c r="B138" s="49" t="s">
        <v>628</v>
      </c>
      <c r="C138" s="49" t="s">
        <v>949</v>
      </c>
      <c r="D138" s="49" t="e" vm="4">
        <v>#VALUE!</v>
      </c>
      <c r="E138" s="42">
        <f t="array" aca="1" ref="E138" ca="1">_FV(D138,"Price")</f>
        <v>36870</v>
      </c>
      <c r="F138" s="43">
        <f t="array" aca="1" ref="F138" ca="1">_FV(D138,"Previous close",TRUE)</f>
        <v>36525</v>
      </c>
      <c r="G138" s="33">
        <v>38445</v>
      </c>
      <c r="H138" s="33">
        <v>33449.26</v>
      </c>
      <c r="I138" s="33">
        <v>32506.07</v>
      </c>
      <c r="J138" s="33">
        <v>28955.26</v>
      </c>
      <c r="K138" s="31"/>
      <c r="L138" s="31"/>
      <c r="M138" s="31"/>
      <c r="N138" s="31"/>
      <c r="O138" s="31"/>
      <c r="P138" s="31"/>
      <c r="Q138" s="31"/>
    </row>
    <row r="139" spans="1:17">
      <c r="A139" s="40">
        <v>46166</v>
      </c>
      <c r="B139" s="49" t="s">
        <v>745</v>
      </c>
      <c r="C139" s="49" t="s">
        <v>949</v>
      </c>
      <c r="D139" s="49" t="e" vm="42">
        <v>#VALUE!</v>
      </c>
      <c r="E139" s="42">
        <f t="array" aca="1" ref="E139" ca="1">_FV(D139,"Price")</f>
        <v>4212.6000000000004</v>
      </c>
      <c r="F139" s="43">
        <f t="array" aca="1" ref="F139" ca="1">_FV(D139,"Previous close",TRUE)</f>
        <v>4192.3999999999996</v>
      </c>
      <c r="G139" s="33">
        <v>4043.1</v>
      </c>
      <c r="H139" s="33">
        <v>3879.77</v>
      </c>
      <c r="I139" s="33">
        <v>3804.98</v>
      </c>
      <c r="J139" s="33">
        <v>3513.83</v>
      </c>
      <c r="K139" s="31"/>
      <c r="L139" s="31"/>
      <c r="M139" s="31"/>
      <c r="N139" s="31"/>
      <c r="O139" s="31"/>
      <c r="P139" s="31"/>
      <c r="Q139" s="31"/>
    </row>
    <row r="140" spans="1:17">
      <c r="A140" s="40">
        <v>46166</v>
      </c>
      <c r="B140" s="49" t="s">
        <v>650</v>
      </c>
      <c r="C140" s="49" t="s">
        <v>949</v>
      </c>
      <c r="D140" s="49" t="e" vm="12">
        <v>#VALUE!</v>
      </c>
      <c r="E140" s="42">
        <f t="array" aca="1" ref="E140" ca="1">_FV(D140,"Price")</f>
        <v>13878</v>
      </c>
      <c r="F140" s="43">
        <f t="array" aca="1" ref="F140" ca="1">_FV(D140,"Previous close",TRUE)</f>
        <v>13709</v>
      </c>
      <c r="G140" s="33">
        <v>13118</v>
      </c>
      <c r="H140" s="33">
        <v>12440.01</v>
      </c>
      <c r="I140" s="33">
        <v>12179.37</v>
      </c>
      <c r="J140" s="33">
        <v>11207.88</v>
      </c>
      <c r="K140" s="31"/>
      <c r="L140" s="31"/>
      <c r="M140" s="31"/>
      <c r="N140" s="31"/>
      <c r="O140" s="31"/>
      <c r="P140" s="31"/>
      <c r="Q140" s="31"/>
    </row>
    <row r="141" spans="1:17">
      <c r="A141" s="40">
        <v>46166</v>
      </c>
      <c r="B141" s="49" t="s">
        <v>951</v>
      </c>
      <c r="C141" s="49" t="s">
        <v>949</v>
      </c>
      <c r="D141" s="49" t="e" vm="183">
        <v>#VALUE!</v>
      </c>
      <c r="E141" s="42">
        <f t="array" aca="1" ref="E141" ca="1">_FV(D141,"Price")</f>
        <v>2795</v>
      </c>
      <c r="F141" s="43">
        <f t="array" aca="1" ref="F141" ca="1">_FV(D141,"Previous close",TRUE)</f>
        <v>2893.5</v>
      </c>
      <c r="G141" s="33">
        <v>2954.5</v>
      </c>
      <c r="H141" s="33">
        <v>2923.62</v>
      </c>
      <c r="I141" s="33">
        <v>2883.32</v>
      </c>
      <c r="J141" s="33">
        <v>2682.86</v>
      </c>
      <c r="K141" s="31"/>
      <c r="L141" s="31"/>
      <c r="M141" s="31"/>
      <c r="N141" s="31"/>
      <c r="O141" s="31"/>
      <c r="P141" s="31"/>
      <c r="Q141" s="31"/>
    </row>
    <row r="142" spans="1:17">
      <c r="A142" s="40">
        <v>46166</v>
      </c>
      <c r="B142" s="49" t="s">
        <v>311</v>
      </c>
      <c r="C142" s="49" t="s">
        <v>949</v>
      </c>
      <c r="D142" s="49" t="e" vm="250">
        <v>#VALUE!</v>
      </c>
      <c r="E142" s="42">
        <f t="array" aca="1" ref="E142" ca="1">_FV(D142,"Price")</f>
        <v>417.05</v>
      </c>
      <c r="F142" s="43">
        <f t="array" aca="1" ref="F142" ca="1">_FV(D142,"Previous close",TRUE)</f>
        <v>431.4</v>
      </c>
      <c r="G142" s="33">
        <v>420.35</v>
      </c>
      <c r="H142" s="33">
        <v>390.93</v>
      </c>
      <c r="I142" s="33">
        <v>381.9</v>
      </c>
      <c r="J142" s="33">
        <v>343.51</v>
      </c>
      <c r="K142" s="31"/>
      <c r="L142" s="31"/>
      <c r="M142" s="31"/>
      <c r="N142" s="31"/>
      <c r="O142" s="31"/>
      <c r="P142" s="31"/>
      <c r="Q142" s="31"/>
    </row>
    <row r="143" spans="1:17">
      <c r="A143" s="40">
        <v>46166</v>
      </c>
      <c r="B143" s="49" t="s">
        <v>999</v>
      </c>
      <c r="C143" s="49" t="s">
        <v>949</v>
      </c>
      <c r="D143" s="49" t="e" vm="251">
        <v>#VALUE!</v>
      </c>
      <c r="E143" s="42">
        <f t="array" aca="1" ref="E143" ca="1">_FV(D143,"Price")</f>
        <v>2945.1</v>
      </c>
      <c r="F143" s="43">
        <f t="array" aca="1" ref="F143" ca="1">_FV(D143,"Previous close",TRUE)</f>
        <v>2925.8</v>
      </c>
      <c r="G143" s="33">
        <v>2861</v>
      </c>
      <c r="H143" s="33">
        <v>2619.19</v>
      </c>
      <c r="I143" s="33">
        <v>2562.08</v>
      </c>
      <c r="J143" s="33">
        <v>2337.36</v>
      </c>
      <c r="K143" s="31"/>
      <c r="L143" s="31"/>
      <c r="M143" s="31"/>
      <c r="N143" s="31"/>
      <c r="O143" s="31"/>
      <c r="P143" s="31"/>
      <c r="Q143" s="31"/>
    </row>
    <row r="144" spans="1:17">
      <c r="A144" s="40">
        <v>46166</v>
      </c>
      <c r="B144" s="49" t="s">
        <v>956</v>
      </c>
      <c r="C144" s="49" t="s">
        <v>949</v>
      </c>
      <c r="D144" s="49" t="e" vm="192">
        <v>#VALUE!</v>
      </c>
      <c r="E144" s="42">
        <f t="array" aca="1" ref="E144" ca="1">_FV(D144,"Price")</f>
        <v>773.2</v>
      </c>
      <c r="F144" s="43">
        <f t="array" aca="1" ref="F144" ca="1">_FV(D144,"Previous close",TRUE)</f>
        <v>814.85</v>
      </c>
      <c r="G144" s="33">
        <v>796.5</v>
      </c>
      <c r="H144" s="33">
        <v>681.03</v>
      </c>
      <c r="I144" s="33">
        <v>660.84</v>
      </c>
      <c r="J144" s="33">
        <v>587.32000000000005</v>
      </c>
      <c r="K144" s="31"/>
      <c r="L144" s="31"/>
      <c r="M144" s="31"/>
      <c r="N144" s="31"/>
      <c r="O144" s="31"/>
      <c r="P144" s="31"/>
      <c r="Q144" s="31"/>
    </row>
    <row r="145" spans="1:17">
      <c r="A145" s="40">
        <v>46166</v>
      </c>
      <c r="B145" s="49" t="s">
        <v>1000</v>
      </c>
      <c r="C145" s="49" t="s">
        <v>949</v>
      </c>
      <c r="D145" s="49" t="e" vm="252">
        <v>#VALUE!</v>
      </c>
      <c r="E145" s="42">
        <f t="array" aca="1" ref="E145" ca="1">_FV(D145,"Price")</f>
        <v>190.56</v>
      </c>
      <c r="F145" s="43">
        <f t="array" aca="1" ref="F145" ca="1">_FV(D145,"Previous close",TRUE)</f>
        <v>197.31</v>
      </c>
      <c r="G145" s="33">
        <v>204.37</v>
      </c>
      <c r="H145" s="33">
        <v>186.24</v>
      </c>
      <c r="I145" s="33">
        <v>183.18</v>
      </c>
      <c r="J145" s="33">
        <v>171.36</v>
      </c>
      <c r="K145" s="31"/>
      <c r="L145" s="31"/>
      <c r="M145" s="31"/>
      <c r="N145" s="31"/>
      <c r="O145" s="31"/>
      <c r="P145" s="31"/>
      <c r="Q145" s="31"/>
    </row>
    <row r="146" spans="1:17">
      <c r="A146" s="40">
        <v>46166</v>
      </c>
      <c r="B146" s="49" t="s">
        <v>1001</v>
      </c>
      <c r="C146" s="49" t="s">
        <v>949</v>
      </c>
      <c r="D146" s="49" t="e" vm="253">
        <v>#VALUE!</v>
      </c>
      <c r="E146" s="42">
        <f t="array" aca="1" ref="E146" ca="1">_FV(D146,"Price")</f>
        <v>1339.6</v>
      </c>
      <c r="F146" s="43">
        <f t="array" aca="1" ref="F146" ca="1">_FV(D146,"Previous close",TRUE)</f>
        <v>1344.5</v>
      </c>
      <c r="G146" s="33">
        <v>1295.4000000000001</v>
      </c>
      <c r="H146" s="33">
        <v>1287.82</v>
      </c>
      <c r="I146" s="33">
        <v>1269.93</v>
      </c>
      <c r="J146" s="33">
        <v>1212.6300000000001</v>
      </c>
      <c r="K146" s="31"/>
      <c r="L146" s="31"/>
      <c r="M146" s="31"/>
      <c r="N146" s="31"/>
      <c r="O146" s="31"/>
      <c r="P146" s="31"/>
      <c r="Q146" s="31"/>
    </row>
    <row r="147" spans="1:17">
      <c r="A147" s="40">
        <v>46166</v>
      </c>
      <c r="B147" s="49" t="s">
        <v>960</v>
      </c>
      <c r="C147" s="49" t="s">
        <v>949</v>
      </c>
      <c r="D147" s="49" t="e" vm="197">
        <v>#VALUE!</v>
      </c>
      <c r="E147" s="42">
        <f t="array" aca="1" ref="E147" ca="1">_FV(D147,"Price")</f>
        <v>395.7</v>
      </c>
      <c r="F147" s="43">
        <f t="array" aca="1" ref="F147" ca="1">_FV(D147,"Previous close",TRUE)</f>
        <v>414</v>
      </c>
      <c r="G147" s="33">
        <v>424.45</v>
      </c>
      <c r="H147" s="33">
        <v>404.29</v>
      </c>
      <c r="I147" s="33">
        <v>401.14</v>
      </c>
      <c r="J147" s="33">
        <v>378.19</v>
      </c>
      <c r="K147" s="31"/>
      <c r="L147" s="31"/>
      <c r="M147" s="31"/>
      <c r="N147" s="31"/>
      <c r="O147" s="31"/>
      <c r="P147" s="31"/>
      <c r="Q147" s="31"/>
    </row>
    <row r="148" spans="1:17">
      <c r="A148" s="40">
        <v>46166</v>
      </c>
      <c r="B148" s="49" t="s">
        <v>378</v>
      </c>
      <c r="C148" s="49" t="s">
        <v>949</v>
      </c>
      <c r="D148" s="49" t="e" vm="195">
        <v>#VALUE!</v>
      </c>
      <c r="E148" s="42">
        <f t="array" aca="1" ref="E148" ca="1">_FV(D148,"Price")</f>
        <v>1929.8</v>
      </c>
      <c r="F148" s="43">
        <f t="array" aca="1" ref="F148" ca="1">_FV(D148,"Previous close",TRUE)</f>
        <v>1937.5</v>
      </c>
      <c r="G148" s="33">
        <v>1957.2</v>
      </c>
      <c r="H148" s="33">
        <v>1886.42</v>
      </c>
      <c r="I148" s="33">
        <v>1867.15</v>
      </c>
      <c r="J148" s="33">
        <v>1768.92</v>
      </c>
      <c r="K148" s="31"/>
      <c r="L148" s="31"/>
      <c r="M148" s="31"/>
      <c r="N148" s="31"/>
      <c r="O148" s="31"/>
      <c r="P148" s="31"/>
      <c r="Q148" s="31"/>
    </row>
    <row r="149" spans="1:17">
      <c r="A149" s="40">
        <v>46166</v>
      </c>
      <c r="B149" s="49" t="s">
        <v>962</v>
      </c>
      <c r="C149" s="49" t="s">
        <v>949</v>
      </c>
      <c r="D149" s="49" t="e" vm="199">
        <v>#VALUE!</v>
      </c>
      <c r="E149" s="42">
        <f t="array" aca="1" ref="E149" ca="1">_FV(D149,"Price")</f>
        <v>1033.5999999999999</v>
      </c>
      <c r="F149" s="43">
        <f t="array" aca="1" ref="F149" ca="1">_FV(D149,"Previous close",TRUE)</f>
        <v>988.15</v>
      </c>
      <c r="G149" s="33">
        <v>964.1</v>
      </c>
      <c r="H149" s="33">
        <v>915.44</v>
      </c>
      <c r="I149" s="33">
        <v>897.54</v>
      </c>
      <c r="J149" s="33">
        <v>825.79</v>
      </c>
      <c r="K149" s="31"/>
      <c r="L149" s="31"/>
      <c r="M149" s="31"/>
      <c r="N149" s="31"/>
      <c r="O149" s="31"/>
      <c r="P149" s="31"/>
      <c r="Q149" s="31"/>
    </row>
    <row r="150" spans="1:17">
      <c r="A150" s="40">
        <v>46166</v>
      </c>
      <c r="B150" s="49" t="s">
        <v>1002</v>
      </c>
      <c r="C150" s="49" t="s">
        <v>949</v>
      </c>
      <c r="D150" s="49" t="e" vm="254">
        <v>#VALUE!</v>
      </c>
      <c r="E150" s="42">
        <f t="array" aca="1" ref="E150" ca="1">_FV(D150,"Price")</f>
        <v>1172.2</v>
      </c>
      <c r="F150" s="43">
        <f t="array" aca="1" ref="F150" ca="1">_FV(D150,"Previous close",TRUE)</f>
        <v>1109.8</v>
      </c>
      <c r="G150" s="33">
        <v>1308.8</v>
      </c>
      <c r="H150" s="33">
        <v>1187.03</v>
      </c>
      <c r="I150" s="33">
        <v>1159.6199999999999</v>
      </c>
      <c r="J150" s="33">
        <v>1052.44</v>
      </c>
      <c r="K150" s="31"/>
      <c r="L150" s="31"/>
      <c r="M150" s="31"/>
      <c r="N150" s="31"/>
      <c r="O150" s="31"/>
      <c r="P150" s="31"/>
      <c r="Q150" s="31"/>
    </row>
    <row r="151" spans="1:17">
      <c r="A151" s="40">
        <v>46166</v>
      </c>
      <c r="B151" s="49" t="s">
        <v>1003</v>
      </c>
      <c r="C151" s="49" t="s">
        <v>949</v>
      </c>
      <c r="D151" s="49" t="e" vm="255">
        <v>#VALUE!</v>
      </c>
      <c r="E151" s="42">
        <f t="array" aca="1" ref="E151" ca="1">_FV(D151,"Price")</f>
        <v>232.6</v>
      </c>
      <c r="F151" s="43">
        <f t="array" aca="1" ref="F151" ca="1">_FV(D151,"Previous close",TRUE)</f>
        <v>230.03</v>
      </c>
      <c r="G151" s="33">
        <v>243.37</v>
      </c>
      <c r="H151" s="33">
        <v>214.58</v>
      </c>
      <c r="I151" s="33">
        <v>208.9</v>
      </c>
      <c r="J151" s="33">
        <v>188.52</v>
      </c>
      <c r="K151" s="31"/>
      <c r="L151" s="31"/>
      <c r="M151" s="31"/>
      <c r="N151" s="31"/>
      <c r="O151" s="31"/>
      <c r="P151" s="31"/>
      <c r="Q151" s="31"/>
    </row>
    <row r="152" spans="1:17">
      <c r="A152" s="40">
        <v>46166</v>
      </c>
      <c r="B152" s="49" t="s">
        <v>1004</v>
      </c>
      <c r="C152" s="49" t="s">
        <v>949</v>
      </c>
      <c r="D152" s="49" t="e" vm="256">
        <v>#VALUE!</v>
      </c>
      <c r="E152" s="42">
        <f t="array" aca="1" ref="E152" ca="1">_FV(D152,"Price")</f>
        <v>386.95</v>
      </c>
      <c r="F152" s="43">
        <f t="array" aca="1" ref="F152" ca="1">_FV(D152,"Previous close",TRUE)</f>
        <v>389.2</v>
      </c>
      <c r="G152" s="33">
        <v>416.75</v>
      </c>
      <c r="H152" s="33">
        <v>368.56</v>
      </c>
      <c r="I152" s="33">
        <v>359</v>
      </c>
      <c r="J152" s="33">
        <v>326.83999999999997</v>
      </c>
      <c r="K152" s="31"/>
      <c r="L152" s="31"/>
      <c r="M152" s="31"/>
      <c r="N152" s="31"/>
      <c r="O152" s="31"/>
      <c r="P152" s="31"/>
      <c r="Q152" s="31"/>
    </row>
    <row r="153" spans="1:17">
      <c r="A153" s="40">
        <v>46166</v>
      </c>
      <c r="B153" s="49" t="s">
        <v>964</v>
      </c>
      <c r="C153" s="49" t="s">
        <v>949</v>
      </c>
      <c r="D153" s="49" t="e" vm="201">
        <v>#VALUE!</v>
      </c>
      <c r="E153" s="42">
        <f t="array" aca="1" ref="E153" ca="1">_FV(D153,"Price")</f>
        <v>315.60000000000002</v>
      </c>
      <c r="F153" s="43">
        <f t="array" aca="1" ref="F153" ca="1">_FV(D153,"Previous close",TRUE)</f>
        <v>327.5</v>
      </c>
      <c r="G153" s="33">
        <v>352.6</v>
      </c>
      <c r="H153" s="33">
        <v>423.15</v>
      </c>
      <c r="I153" s="33">
        <v>447.6</v>
      </c>
      <c r="J153" s="33">
        <v>508.7</v>
      </c>
      <c r="K153" s="31"/>
      <c r="L153" s="31"/>
      <c r="M153" s="31"/>
      <c r="N153" s="31"/>
      <c r="O153" s="31"/>
      <c r="P153" s="31"/>
      <c r="Q153" s="31"/>
    </row>
    <row r="154" spans="1:17">
      <c r="A154" s="40">
        <v>46166</v>
      </c>
      <c r="B154" s="49" t="s">
        <v>73</v>
      </c>
      <c r="C154" s="49" t="s">
        <v>949</v>
      </c>
      <c r="D154" s="49" t="e" vm="19">
        <v>#VALUE!</v>
      </c>
      <c r="E154" s="42">
        <f t="array" aca="1" ref="E154" ca="1">_FV(D154,"Price")</f>
        <v>9699</v>
      </c>
      <c r="F154" s="43">
        <f t="array" aca="1" ref="F154" ca="1">_FV(D154,"Previous close",TRUE)</f>
        <v>9717.5</v>
      </c>
      <c r="G154" s="33">
        <v>9477.5</v>
      </c>
      <c r="H154" s="33">
        <v>8869.75</v>
      </c>
      <c r="I154" s="33">
        <v>8726.48</v>
      </c>
      <c r="J154" s="33">
        <v>8272.7199999999993</v>
      </c>
      <c r="K154" s="31"/>
      <c r="L154" s="31"/>
      <c r="M154" s="31"/>
      <c r="N154" s="31"/>
      <c r="O154" s="31"/>
      <c r="P154" s="31"/>
      <c r="Q154" s="31"/>
    </row>
    <row r="155" spans="1:17">
      <c r="A155" s="40">
        <v>46166</v>
      </c>
      <c r="B155" s="49" t="s">
        <v>1005</v>
      </c>
      <c r="C155" s="49" t="s">
        <v>949</v>
      </c>
      <c r="D155" s="49" t="e" vm="257">
        <v>#VALUE!</v>
      </c>
      <c r="E155" s="42">
        <f t="array" aca="1" ref="E155" ca="1">_FV(D155,"Price")</f>
        <v>884.1</v>
      </c>
      <c r="F155" s="43">
        <f t="array" aca="1" ref="F155" ca="1">_FV(D155,"Previous close",TRUE)</f>
        <v>907.55</v>
      </c>
      <c r="G155" s="33">
        <v>865.15</v>
      </c>
      <c r="H155" s="33">
        <v>692.52</v>
      </c>
      <c r="I155" s="33">
        <v>661.57</v>
      </c>
      <c r="J155" s="33">
        <v>561.55999999999995</v>
      </c>
      <c r="K155" s="31"/>
      <c r="L155" s="31"/>
      <c r="M155" s="31"/>
      <c r="N155" s="31"/>
      <c r="O155" s="31"/>
      <c r="P155" s="31"/>
      <c r="Q155" s="31"/>
    </row>
    <row r="156" spans="1:17">
      <c r="A156" s="40">
        <v>46166</v>
      </c>
      <c r="B156" s="49" t="s">
        <v>955</v>
      </c>
      <c r="C156" s="49" t="s">
        <v>949</v>
      </c>
      <c r="D156" s="49" t="e" vm="191">
        <v>#VALUE!</v>
      </c>
      <c r="E156" s="42">
        <f t="array" aca="1" ref="E156" ca="1">_FV(D156,"Price")</f>
        <v>1824.2</v>
      </c>
      <c r="F156" s="43">
        <f t="array" aca="1" ref="F156" ca="1">_FV(D156,"Previous close",TRUE)</f>
        <v>1790.9</v>
      </c>
      <c r="G156" s="33">
        <v>1804.6</v>
      </c>
      <c r="H156" s="33">
        <v>1707.02</v>
      </c>
      <c r="I156" s="33">
        <v>1680.96</v>
      </c>
      <c r="J156" s="33">
        <v>1598.69</v>
      </c>
      <c r="K156" s="31"/>
      <c r="L156" s="31"/>
      <c r="M156" s="31"/>
      <c r="N156" s="31"/>
      <c r="O156" s="31"/>
      <c r="P156" s="31"/>
      <c r="Q156" s="31"/>
    </row>
    <row r="157" spans="1:17">
      <c r="A157" s="40">
        <v>46166</v>
      </c>
      <c r="B157" s="49" t="s">
        <v>59</v>
      </c>
      <c r="C157" s="49" t="s">
        <v>906</v>
      </c>
      <c r="D157" s="49" t="e" vm="208">
        <v>#VALUE!</v>
      </c>
      <c r="E157" s="42">
        <f t="array" aca="1" ref="E157" ca="1">_FV(D157,"Price")</f>
        <v>385.65</v>
      </c>
      <c r="F157" s="43">
        <f t="array" aca="1" ref="F157" ca="1">_FV(D157,"Previous close",TRUE)</f>
        <v>371.6</v>
      </c>
      <c r="G157" s="33">
        <v>370</v>
      </c>
      <c r="H157" s="33">
        <v>332.97</v>
      </c>
      <c r="I157" s="33">
        <v>324.45</v>
      </c>
      <c r="J157" s="33">
        <v>300.92</v>
      </c>
      <c r="K157" s="31"/>
      <c r="L157" s="31"/>
      <c r="M157" s="31"/>
      <c r="N157" s="31"/>
      <c r="O157" s="31"/>
      <c r="P157" s="31"/>
      <c r="Q157" s="31"/>
    </row>
    <row r="158" spans="1:17">
      <c r="A158" s="40">
        <v>46166</v>
      </c>
      <c r="B158" s="49" t="s">
        <v>79</v>
      </c>
      <c r="C158" s="49" t="s">
        <v>906</v>
      </c>
      <c r="D158" s="49" t="e" vm="31">
        <v>#VALUE!</v>
      </c>
      <c r="E158" s="42">
        <f t="array" aca="1" ref="E158" ca="1">_FV(D158,"Price")</f>
        <v>5067</v>
      </c>
      <c r="F158" s="43">
        <f t="array" aca="1" ref="F158" ca="1">_FV(D158,"Previous close",TRUE)</f>
        <v>5086.5</v>
      </c>
      <c r="G158" s="33">
        <v>5148.6000000000004</v>
      </c>
      <c r="H158" s="33">
        <v>4612.1099999999997</v>
      </c>
      <c r="I158" s="33">
        <v>4510.2</v>
      </c>
      <c r="J158" s="33">
        <v>4111.72</v>
      </c>
      <c r="K158" s="31"/>
      <c r="L158" s="31"/>
      <c r="M158" s="31"/>
      <c r="N158" s="31"/>
      <c r="O158" s="31"/>
      <c r="P158" s="31"/>
      <c r="Q158" s="31"/>
    </row>
    <row r="159" spans="1:17">
      <c r="A159" s="40">
        <v>46166</v>
      </c>
      <c r="B159" s="49" t="s">
        <v>56</v>
      </c>
      <c r="C159" s="49" t="s">
        <v>906</v>
      </c>
      <c r="D159" s="49" t="e" vm="163">
        <v>#VALUE!</v>
      </c>
      <c r="E159" s="42">
        <f t="array" aca="1" ref="E159" ca="1">_FV(D159,"Price")</f>
        <v>421.35</v>
      </c>
      <c r="F159" s="43">
        <f t="array" aca="1" ref="F159" ca="1">_FV(D159,"Previous close",TRUE)</f>
        <v>419.2</v>
      </c>
      <c r="G159" s="33">
        <v>409</v>
      </c>
      <c r="H159" s="33">
        <v>334.75</v>
      </c>
      <c r="I159" s="33">
        <v>322.93</v>
      </c>
      <c r="J159" s="33">
        <v>291.18</v>
      </c>
      <c r="K159" s="31"/>
      <c r="L159" s="31"/>
      <c r="M159" s="31"/>
      <c r="N159" s="31"/>
      <c r="O159" s="31"/>
      <c r="P159" s="31"/>
      <c r="Q159" s="31"/>
    </row>
    <row r="160" spans="1:17">
      <c r="A160" s="40">
        <v>46166</v>
      </c>
      <c r="B160" s="49" t="s">
        <v>206</v>
      </c>
      <c r="C160" s="49" t="s">
        <v>906</v>
      </c>
      <c r="D160" s="49" t="e" vm="211">
        <v>#VALUE!</v>
      </c>
      <c r="E160" s="42">
        <f t="array" aca="1" ref="E160" ca="1">_FV(D160,"Price")</f>
        <v>538.04999999999995</v>
      </c>
      <c r="F160" s="43">
        <f t="array" aca="1" ref="F160" ca="1">_FV(D160,"Previous close",TRUE)</f>
        <v>525.79999999999995</v>
      </c>
      <c r="G160" s="33">
        <v>498.95</v>
      </c>
      <c r="H160" s="33">
        <v>460.15</v>
      </c>
      <c r="I160" s="33">
        <v>447.94</v>
      </c>
      <c r="J160" s="33">
        <v>411.32</v>
      </c>
      <c r="K160" s="31"/>
      <c r="L160" s="31"/>
      <c r="M160" s="31"/>
      <c r="N160" s="31"/>
      <c r="O160" s="31"/>
      <c r="P160" s="31"/>
      <c r="Q160" s="31"/>
    </row>
    <row r="161" spans="1:17">
      <c r="A161" s="40">
        <v>46166</v>
      </c>
      <c r="B161" s="49" t="s">
        <v>81</v>
      </c>
      <c r="C161" s="49" t="s">
        <v>906</v>
      </c>
      <c r="D161" s="49" t="e" vm="27">
        <v>#VALUE!</v>
      </c>
      <c r="E161" s="42">
        <f t="array" aca="1" ref="E161" ca="1">_FV(D161,"Price")</f>
        <v>2742.6</v>
      </c>
      <c r="F161" s="43">
        <f t="array" aca="1" ref="F161" ca="1">_FV(D161,"Previous close",TRUE)</f>
        <v>2581.6999999999998</v>
      </c>
      <c r="G161" s="33">
        <v>2785.1</v>
      </c>
      <c r="H161" s="33">
        <v>2493.0300000000002</v>
      </c>
      <c r="I161" s="33">
        <v>2442.17</v>
      </c>
      <c r="J161" s="33">
        <v>2231.65</v>
      </c>
      <c r="K161" s="31"/>
      <c r="L161" s="31"/>
      <c r="M161" s="31"/>
      <c r="N161" s="31"/>
      <c r="O161" s="31"/>
      <c r="P161" s="31"/>
      <c r="Q161" s="31"/>
    </row>
    <row r="162" spans="1:17">
      <c r="A162" s="40">
        <v>46166</v>
      </c>
      <c r="B162" s="49" t="s">
        <v>1006</v>
      </c>
      <c r="C162" s="49" t="s">
        <v>906</v>
      </c>
      <c r="D162" s="49" t="e" vm="258">
        <v>#VALUE!</v>
      </c>
      <c r="E162" s="42">
        <f t="array" aca="1" ref="E162" ca="1">_FV(D162,"Price")</f>
        <v>1288.7</v>
      </c>
      <c r="F162" s="43">
        <f t="array" aca="1" ref="F162" ca="1">_FV(D162,"Previous close",TRUE)</f>
        <v>1356.5</v>
      </c>
      <c r="G162" s="33">
        <v>1745.9</v>
      </c>
      <c r="H162" s="33">
        <v>1332.18</v>
      </c>
      <c r="I162" s="33">
        <v>1291.3399999999999</v>
      </c>
      <c r="J162" s="33">
        <v>1168.8800000000001</v>
      </c>
      <c r="K162" s="31"/>
      <c r="L162" s="31"/>
      <c r="M162" s="31"/>
      <c r="N162" s="31"/>
      <c r="O162" s="31"/>
      <c r="P162" s="31"/>
      <c r="Q162" s="31"/>
    </row>
    <row r="163" spans="1:17">
      <c r="A163" s="40">
        <v>46166</v>
      </c>
      <c r="B163" s="49" t="s">
        <v>58</v>
      </c>
      <c r="C163" s="49" t="s">
        <v>906</v>
      </c>
      <c r="D163" s="49" t="e" vm="214">
        <v>#VALUE!</v>
      </c>
      <c r="E163" s="42">
        <f t="array" aca="1" ref="E163" ca="1">_FV(D163,"Price")</f>
        <v>937.85</v>
      </c>
      <c r="F163" s="43">
        <f t="array" aca="1" ref="F163" ca="1">_FV(D163,"Previous close",TRUE)</f>
        <v>937.9</v>
      </c>
      <c r="G163" s="33">
        <v>917.45</v>
      </c>
      <c r="H163" s="33">
        <v>847.31</v>
      </c>
      <c r="I163" s="33">
        <v>831.22</v>
      </c>
      <c r="J163" s="33">
        <v>779.63</v>
      </c>
      <c r="K163" s="31"/>
      <c r="L163" s="31"/>
      <c r="M163" s="31"/>
      <c r="N163" s="31"/>
      <c r="O163" s="31"/>
      <c r="P163" s="31"/>
      <c r="Q163" s="31"/>
    </row>
    <row r="164" spans="1:17">
      <c r="A164" s="40">
        <v>46166</v>
      </c>
      <c r="B164" s="49" t="s">
        <v>185</v>
      </c>
      <c r="C164" s="49" t="s">
        <v>906</v>
      </c>
      <c r="D164" s="49" t="e" vm="216">
        <v>#VALUE!</v>
      </c>
      <c r="E164" s="42">
        <f t="array" aca="1" ref="E164" ca="1">_FV(D164,"Price")</f>
        <v>1419.5</v>
      </c>
      <c r="F164" s="43">
        <f t="array" aca="1" ref="F164" ca="1">_FV(D164,"Previous close",TRUE)</f>
        <v>1377.7</v>
      </c>
      <c r="G164" s="33">
        <v>1401.7</v>
      </c>
      <c r="H164" s="33">
        <v>1204.3599999999999</v>
      </c>
      <c r="I164" s="33">
        <v>1176.78</v>
      </c>
      <c r="J164" s="33">
        <v>1099.03</v>
      </c>
      <c r="K164" s="31"/>
      <c r="L164" s="31"/>
      <c r="M164" s="31"/>
      <c r="N164" s="31"/>
      <c r="O164" s="31"/>
      <c r="P164" s="31"/>
      <c r="Q164" s="31"/>
    </row>
    <row r="165" spans="1:17">
      <c r="A165" s="40">
        <v>46166</v>
      </c>
      <c r="B165" s="49" t="s">
        <v>203</v>
      </c>
      <c r="C165" s="49" t="s">
        <v>906</v>
      </c>
      <c r="D165" s="49" t="e" vm="259">
        <v>#VALUE!</v>
      </c>
      <c r="E165" s="42">
        <f t="array" aca="1" ref="E165" ca="1">_FV(D165,"Price")</f>
        <v>733.65</v>
      </c>
      <c r="F165" s="43">
        <f t="array" aca="1" ref="F165" ca="1">_FV(D165,"Previous close",TRUE)</f>
        <v>734.4</v>
      </c>
      <c r="G165" s="33">
        <v>754.45</v>
      </c>
      <c r="H165" s="33">
        <v>651.89</v>
      </c>
      <c r="I165" s="33">
        <v>637.41</v>
      </c>
      <c r="J165" s="33">
        <v>595.02</v>
      </c>
      <c r="K165" s="31"/>
      <c r="L165" s="31"/>
      <c r="M165" s="31"/>
      <c r="N165" s="31"/>
      <c r="O165" s="31"/>
      <c r="P165" s="31"/>
      <c r="Q165" s="31"/>
    </row>
    <row r="166" spans="1:17">
      <c r="A166" s="40">
        <v>46166</v>
      </c>
      <c r="B166" s="49" t="s">
        <v>1007</v>
      </c>
      <c r="C166" s="49" t="s">
        <v>906</v>
      </c>
      <c r="D166" s="49" t="e" vm="260">
        <v>#VALUE!</v>
      </c>
      <c r="E166" s="42">
        <f t="array" aca="1" ref="E166" ca="1">_FV(D166,"Price")</f>
        <v>1739.25</v>
      </c>
      <c r="F166" s="43">
        <f t="array" aca="1" ref="F166" ca="1">_FV(D166,"Previous close",TRUE)</f>
        <v>1744.1</v>
      </c>
      <c r="G166" s="33">
        <v>3122.4</v>
      </c>
      <c r="H166" s="33">
        <v>2956.93</v>
      </c>
      <c r="I166" s="33">
        <v>2930.02</v>
      </c>
      <c r="J166" s="33">
        <v>2860.43</v>
      </c>
      <c r="K166" s="31"/>
      <c r="L166" s="31"/>
      <c r="M166" s="31"/>
      <c r="N166" s="31"/>
      <c r="O166" s="31"/>
      <c r="P166" s="31"/>
      <c r="Q166" s="31"/>
    </row>
    <row r="167" spans="1:17">
      <c r="A167" s="40">
        <v>46166</v>
      </c>
      <c r="B167" s="49" t="s">
        <v>984</v>
      </c>
      <c r="C167" s="49" t="s">
        <v>906</v>
      </c>
      <c r="D167" s="49" t="e" vm="228">
        <v>#VALUE!</v>
      </c>
      <c r="E167" s="42">
        <f t="array" aca="1" ref="E167" ca="1">_FV(D167,"Price")</f>
        <v>552.04999999999995</v>
      </c>
      <c r="F167" s="43">
        <f t="array" aca="1" ref="F167" ca="1">_FV(D167,"Previous close",TRUE)</f>
        <v>558.79999999999995</v>
      </c>
      <c r="G167" s="33">
        <v>552.79999999999995</v>
      </c>
      <c r="H167" s="33">
        <v>506.64</v>
      </c>
      <c r="I167" s="33">
        <v>492.22</v>
      </c>
      <c r="J167" s="33">
        <v>435.89</v>
      </c>
      <c r="K167" s="31"/>
      <c r="L167" s="31"/>
      <c r="M167" s="31"/>
      <c r="N167" s="31"/>
      <c r="O167" s="31"/>
      <c r="P167" s="31"/>
      <c r="Q167" s="31"/>
    </row>
    <row r="168" spans="1:17">
      <c r="A168" s="40">
        <v>46166</v>
      </c>
      <c r="B168" s="49" t="s">
        <v>843</v>
      </c>
      <c r="C168" s="49" t="s">
        <v>906</v>
      </c>
      <c r="D168" s="49" t="e" vm="151">
        <v>#VALUE!</v>
      </c>
      <c r="E168" s="42">
        <f t="array" aca="1" ref="E168" ca="1">_FV(D168,"Price")</f>
        <v>332.6</v>
      </c>
      <c r="F168" s="43">
        <f t="array" aca="1" ref="F168" ca="1">_FV(D168,"Previous close",TRUE)</f>
        <v>337.7</v>
      </c>
      <c r="G168" s="33">
        <v>337.3</v>
      </c>
      <c r="H168" s="33">
        <v>313.51</v>
      </c>
      <c r="I168" s="33">
        <v>307.61</v>
      </c>
      <c r="J168" s="33">
        <v>287.95999999999998</v>
      </c>
      <c r="K168" s="31"/>
      <c r="L168" s="31"/>
      <c r="M168" s="31"/>
      <c r="N168" s="31"/>
      <c r="O168" s="31"/>
      <c r="P168" s="31"/>
      <c r="Q168" s="31"/>
    </row>
    <row r="169" spans="1:17">
      <c r="A169" s="40">
        <v>46166</v>
      </c>
      <c r="B169" s="49" t="s">
        <v>1008</v>
      </c>
      <c r="C169" s="49" t="s">
        <v>906</v>
      </c>
      <c r="D169" s="49" t="e" vm="261">
        <v>#VALUE!</v>
      </c>
      <c r="E169" s="42">
        <f t="array" aca="1" ref="E169" ca="1">_FV(D169,"Price")</f>
        <v>350.75</v>
      </c>
      <c r="F169" s="43">
        <f t="array" aca="1" ref="F169" ca="1">_FV(D169,"Previous close",TRUE)</f>
        <v>354.3</v>
      </c>
      <c r="G169" s="33">
        <v>345.35</v>
      </c>
      <c r="H169" s="33">
        <v>321.42</v>
      </c>
      <c r="I169" s="33">
        <v>315.08</v>
      </c>
      <c r="J169" s="33">
        <v>297.69</v>
      </c>
      <c r="K169" s="31"/>
      <c r="L169" s="31"/>
      <c r="M169" s="31"/>
      <c r="N169" s="31"/>
      <c r="O169" s="31"/>
      <c r="P169" s="31"/>
      <c r="Q169" s="31"/>
    </row>
    <row r="170" spans="1:17">
      <c r="A170" s="40">
        <v>46166</v>
      </c>
      <c r="B170" s="49" t="s">
        <v>623</v>
      </c>
      <c r="C170" s="49" t="s">
        <v>906</v>
      </c>
      <c r="D170" s="49" t="e" vm="1">
        <v>#VALUE!</v>
      </c>
      <c r="E170" s="42">
        <f t="array" aca="1" ref="E170" ca="1">_FV(D170,"Price")</f>
        <v>1102</v>
      </c>
      <c r="F170" s="43">
        <f t="array" aca="1" ref="F170" ca="1">_FV(D170,"Previous close",TRUE)</f>
        <v>1095.2</v>
      </c>
      <c r="G170" s="33">
        <v>1077.55</v>
      </c>
      <c r="H170" s="33">
        <v>986.78</v>
      </c>
      <c r="I170" s="33">
        <v>970.83</v>
      </c>
      <c r="J170" s="33">
        <v>930.01</v>
      </c>
      <c r="K170" s="31"/>
      <c r="L170" s="31"/>
      <c r="M170" s="31"/>
      <c r="N170" s="31"/>
      <c r="O170" s="31"/>
      <c r="P170" s="31"/>
      <c r="Q170" s="31"/>
    </row>
    <row r="171" spans="1:17">
      <c r="A171" s="40">
        <v>46166</v>
      </c>
      <c r="B171" s="49" t="s">
        <v>129</v>
      </c>
      <c r="C171" s="49" t="s">
        <v>906</v>
      </c>
      <c r="D171" s="49" t="e" vm="262">
        <v>#VALUE!</v>
      </c>
      <c r="E171" s="42">
        <f t="array" aca="1" ref="E171" ca="1">_FV(D171,"Price")</f>
        <v>1586.1</v>
      </c>
      <c r="F171" s="43">
        <f t="array" aca="1" ref="F171" ca="1">_FV(D171,"Previous close",TRUE)</f>
        <v>1634.2</v>
      </c>
      <c r="G171" s="33">
        <v>1614.6</v>
      </c>
      <c r="H171" s="33">
        <v>1541.19</v>
      </c>
      <c r="I171" s="33">
        <v>1521</v>
      </c>
      <c r="J171" s="33">
        <v>1417.57</v>
      </c>
      <c r="K171" s="31"/>
      <c r="L171" s="31"/>
      <c r="M171" s="31"/>
      <c r="N171" s="31"/>
      <c r="O171" s="31"/>
      <c r="P171" s="31"/>
      <c r="Q171" s="31"/>
    </row>
    <row r="172" spans="1:17">
      <c r="A172" s="40">
        <v>46166</v>
      </c>
      <c r="B172" s="49" t="s">
        <v>970</v>
      </c>
      <c r="C172" s="49" t="s">
        <v>906</v>
      </c>
      <c r="D172" s="49" t="e" vm="209">
        <v>#VALUE!</v>
      </c>
      <c r="E172" s="42">
        <f t="array" aca="1" ref="E172" ca="1">_FV(D172,"Price")</f>
        <v>3062.9</v>
      </c>
      <c r="F172" s="43">
        <f t="array" aca="1" ref="F172" ca="1">_FV(D172,"Previous close",TRUE)</f>
        <v>3067.4</v>
      </c>
      <c r="G172" s="33">
        <v>2989.5</v>
      </c>
      <c r="H172" s="33">
        <v>2662.38</v>
      </c>
      <c r="I172" s="33">
        <v>2600.4</v>
      </c>
      <c r="J172" s="33">
        <v>2426.56</v>
      </c>
      <c r="K172" s="31"/>
      <c r="L172" s="31"/>
      <c r="M172" s="31"/>
      <c r="N172" s="31"/>
      <c r="O172" s="31"/>
      <c r="P172" s="31"/>
      <c r="Q172" s="31"/>
    </row>
    <row r="173" spans="1:17">
      <c r="A173" s="40">
        <v>46166</v>
      </c>
      <c r="B173" s="49" t="s">
        <v>135</v>
      </c>
      <c r="C173" s="49" t="s">
        <v>906</v>
      </c>
      <c r="D173" s="49" t="e" vm="263">
        <v>#VALUE!</v>
      </c>
      <c r="E173" s="42">
        <f t="array" aca="1" ref="E173" ca="1">_FV(D173,"Price")</f>
        <v>4666</v>
      </c>
      <c r="F173" s="43">
        <f t="array" aca="1" ref="F173" ca="1">_FV(D173,"Previous close",TRUE)</f>
        <v>4934.2</v>
      </c>
      <c r="G173" s="33">
        <v>4670.7</v>
      </c>
      <c r="H173" s="33">
        <v>4105.45</v>
      </c>
      <c r="I173" s="33">
        <v>4023.27</v>
      </c>
      <c r="J173" s="33">
        <v>3751.5</v>
      </c>
      <c r="K173" s="31"/>
      <c r="L173" s="31"/>
      <c r="M173" s="31"/>
      <c r="N173" s="31"/>
      <c r="O173" s="31"/>
      <c r="P173" s="31"/>
      <c r="Q173" s="31"/>
    </row>
    <row r="174" spans="1:17">
      <c r="A174" s="40">
        <v>46166</v>
      </c>
      <c r="B174" s="49" t="s">
        <v>175</v>
      </c>
      <c r="C174" s="49" t="s">
        <v>906</v>
      </c>
      <c r="D174" s="49" t="e" vm="212">
        <v>#VALUE!</v>
      </c>
      <c r="E174" s="42">
        <f t="array" aca="1" ref="E174" ca="1">_FV(D174,"Price")</f>
        <v>92.9</v>
      </c>
      <c r="F174" s="43">
        <f t="array" aca="1" ref="F174" ca="1">_FV(D174,"Previous close",TRUE)</f>
        <v>94.7</v>
      </c>
      <c r="G174" s="33">
        <v>87.99</v>
      </c>
      <c r="H174" s="33">
        <v>88.33</v>
      </c>
      <c r="I174" s="33">
        <v>87.58</v>
      </c>
      <c r="J174" s="33">
        <v>84.4</v>
      </c>
      <c r="K174" s="31"/>
      <c r="L174" s="31"/>
      <c r="M174" s="31"/>
      <c r="N174" s="31"/>
      <c r="O174" s="31"/>
      <c r="P174" s="31"/>
      <c r="Q174" s="31"/>
    </row>
    <row r="175" spans="1:17">
      <c r="A175" s="40">
        <v>46166</v>
      </c>
      <c r="B175" s="49" t="s">
        <v>986</v>
      </c>
      <c r="C175" s="49" t="s">
        <v>976</v>
      </c>
      <c r="D175" s="49" t="e" vm="230">
        <v>#VALUE!</v>
      </c>
      <c r="E175" s="42">
        <f t="array" aca="1" ref="E175" ca="1">_FV(D175,"Price")</f>
        <v>262.75</v>
      </c>
      <c r="F175" s="43">
        <f t="array" aca="1" ref="F175" ca="1">_FV(D175,"Previous close",TRUE)</f>
        <v>264.25</v>
      </c>
      <c r="G175" s="33">
        <v>259.86</v>
      </c>
      <c r="H175" s="33">
        <v>241.39</v>
      </c>
      <c r="I175" s="33">
        <v>237.26</v>
      </c>
      <c r="J175" s="33">
        <v>220.87</v>
      </c>
      <c r="K175" s="31"/>
      <c r="L175" s="31"/>
      <c r="M175" s="31"/>
      <c r="N175" s="31"/>
      <c r="O175" s="31"/>
      <c r="P175" s="31"/>
      <c r="Q175" s="31"/>
    </row>
    <row r="176" spans="1:17">
      <c r="A176" s="40">
        <v>46166</v>
      </c>
      <c r="B176" s="49" t="s">
        <v>1009</v>
      </c>
      <c r="C176" s="49" t="s">
        <v>976</v>
      </c>
      <c r="D176" s="49" t="e" vm="264">
        <v>#VALUE!</v>
      </c>
      <c r="E176" s="42">
        <f t="array" aca="1" ref="E176" ca="1">_FV(D176,"Price")</f>
        <v>960.15</v>
      </c>
      <c r="F176" s="43">
        <f t="array" aca="1" ref="F176" ca="1">_FV(D176,"Previous close",TRUE)</f>
        <v>893.8</v>
      </c>
      <c r="G176" s="33">
        <v>819.35</v>
      </c>
      <c r="H176" s="33">
        <v>813.19</v>
      </c>
      <c r="I176" s="33">
        <v>798.54</v>
      </c>
      <c r="J176" s="33">
        <v>756.27</v>
      </c>
      <c r="K176" s="31"/>
      <c r="L176" s="31"/>
      <c r="M176" s="31"/>
      <c r="N176" s="31"/>
      <c r="O176" s="31"/>
      <c r="P176" s="31"/>
      <c r="Q176" s="31"/>
    </row>
    <row r="177" spans="1:17">
      <c r="A177" s="40">
        <v>46166</v>
      </c>
      <c r="B177" s="49" t="s">
        <v>981</v>
      </c>
      <c r="C177" s="49" t="s">
        <v>976</v>
      </c>
      <c r="D177" s="49" t="e" vm="225">
        <v>#VALUE!</v>
      </c>
      <c r="E177" s="42">
        <f t="array" aca="1" ref="E177" ca="1">_FV(D177,"Price")</f>
        <v>472.3</v>
      </c>
      <c r="F177" s="43">
        <f t="array" aca="1" ref="F177" ca="1">_FV(D177,"Previous close",TRUE)</f>
        <v>481.65</v>
      </c>
      <c r="G177" s="33">
        <v>457.9</v>
      </c>
      <c r="H177" s="33">
        <v>458.56</v>
      </c>
      <c r="I177" s="33">
        <v>456.17</v>
      </c>
      <c r="J177" s="33">
        <v>443.27</v>
      </c>
      <c r="K177" s="31"/>
      <c r="L177" s="31"/>
      <c r="M177" s="31"/>
      <c r="N177" s="31"/>
      <c r="O177" s="31"/>
      <c r="P177" s="31"/>
      <c r="Q177" s="31"/>
    </row>
    <row r="178" spans="1:17">
      <c r="A178" s="40">
        <v>46166</v>
      </c>
      <c r="B178" s="49" t="s">
        <v>982</v>
      </c>
      <c r="C178" s="49" t="s">
        <v>976</v>
      </c>
      <c r="D178" s="49" t="e" vm="226">
        <v>#VALUE!</v>
      </c>
      <c r="E178" s="42">
        <f t="array" aca="1" ref="E178" ca="1">_FV(D178,"Price")</f>
        <v>1110.5999999999999</v>
      </c>
      <c r="F178" s="43">
        <f t="array" aca="1" ref="F178" ca="1">_FV(D178,"Previous close",TRUE)</f>
        <v>1126.4000000000001</v>
      </c>
      <c r="G178" s="33">
        <v>1203.5999999999999</v>
      </c>
      <c r="H178" s="33">
        <v>1267.04</v>
      </c>
      <c r="I178" s="33">
        <v>1264.28</v>
      </c>
      <c r="J178" s="33">
        <v>1198.6300000000001</v>
      </c>
      <c r="K178" s="31"/>
      <c r="L178" s="31"/>
      <c r="M178" s="31"/>
      <c r="N178" s="31"/>
      <c r="O178" s="31"/>
      <c r="P178" s="31"/>
      <c r="Q178" s="31"/>
    </row>
    <row r="179" spans="1:17">
      <c r="A179" s="40">
        <v>46166</v>
      </c>
      <c r="B179" s="49" t="s">
        <v>1010</v>
      </c>
      <c r="C179" s="49" t="s">
        <v>976</v>
      </c>
      <c r="D179" s="49" t="e" vm="265">
        <v>#VALUE!</v>
      </c>
      <c r="E179" s="42">
        <f t="array" aca="1" ref="E179" ca="1">_FV(D179,"Price")</f>
        <v>306.14999999999998</v>
      </c>
      <c r="F179" s="43">
        <f t="array" aca="1" ref="F179" ca="1">_FV(D179,"Previous close",TRUE)</f>
        <v>305.85000000000002</v>
      </c>
      <c r="G179" s="33">
        <v>1674</v>
      </c>
      <c r="H179" s="33">
        <v>1638.99</v>
      </c>
      <c r="I179" s="33">
        <v>1640.31</v>
      </c>
      <c r="J179" s="33">
        <v>1642.09</v>
      </c>
      <c r="K179" s="31"/>
      <c r="L179" s="31"/>
      <c r="M179" s="31"/>
      <c r="N179" s="31"/>
      <c r="O179" s="31"/>
      <c r="P179" s="31"/>
      <c r="Q179" s="31"/>
    </row>
    <row r="180" spans="1:17">
      <c r="A180" s="40">
        <v>46166</v>
      </c>
      <c r="B180" s="49" t="s">
        <v>975</v>
      </c>
      <c r="C180" s="49" t="s">
        <v>976</v>
      </c>
      <c r="D180" s="49" t="e" vm="219">
        <v>#VALUE!</v>
      </c>
      <c r="E180" s="42">
        <f t="array" aca="1" ref="E180" ca="1">_FV(D180,"Price")</f>
        <v>412.3</v>
      </c>
      <c r="F180" s="43">
        <f t="array" aca="1" ref="F180" ca="1">_FV(D180,"Previous close",TRUE)</f>
        <v>416.05</v>
      </c>
      <c r="G180" s="33">
        <v>428.65</v>
      </c>
      <c r="H180" s="33">
        <v>400.2</v>
      </c>
      <c r="I180" s="33">
        <v>396.66</v>
      </c>
      <c r="J180" s="33">
        <v>387.58</v>
      </c>
      <c r="K180" s="31"/>
      <c r="L180" s="31"/>
      <c r="M180" s="31"/>
      <c r="N180" s="31"/>
      <c r="O180" s="31"/>
      <c r="P180" s="31"/>
      <c r="Q180" s="31"/>
    </row>
    <row r="181" spans="1:17">
      <c r="A181" s="40">
        <v>46166</v>
      </c>
      <c r="B181" s="49" t="s">
        <v>1011</v>
      </c>
      <c r="C181" s="49" t="s">
        <v>976</v>
      </c>
      <c r="D181" s="49" t="e" vm="266">
        <v>#VALUE!</v>
      </c>
      <c r="E181" s="42">
        <f t="array" aca="1" ref="E181" ca="1">_FV(D181,"Price")</f>
        <v>531.79999999999995</v>
      </c>
      <c r="F181" s="43">
        <f t="array" aca="1" ref="F181" ca="1">_FV(D181,"Previous close",TRUE)</f>
        <v>532.20000000000005</v>
      </c>
      <c r="G181" s="33">
        <v>514.79999999999995</v>
      </c>
      <c r="H181" s="33">
        <v>516.65</v>
      </c>
      <c r="I181" s="33">
        <v>512.39</v>
      </c>
      <c r="J181" s="33">
        <v>497.92</v>
      </c>
      <c r="K181" s="31"/>
      <c r="L181" s="31"/>
      <c r="M181" s="31"/>
      <c r="N181" s="31"/>
      <c r="O181" s="31"/>
      <c r="P181" s="31"/>
      <c r="Q181" s="31"/>
    </row>
    <row r="182" spans="1:17">
      <c r="A182" s="40">
        <v>46166</v>
      </c>
      <c r="B182" s="49" t="s">
        <v>1012</v>
      </c>
      <c r="C182" s="49" t="s">
        <v>976</v>
      </c>
      <c r="D182" s="49" t="e" vm="267">
        <v>#VALUE!</v>
      </c>
      <c r="E182" s="42">
        <f t="array" aca="1" ref="E182" ca="1">_FV(D182,"Price")</f>
        <v>344.75</v>
      </c>
      <c r="F182" s="43">
        <f t="array" aca="1" ref="F182" ca="1">_FV(D182,"Previous close",TRUE)</f>
        <v>349.6</v>
      </c>
      <c r="G182" s="33">
        <v>329.05</v>
      </c>
      <c r="H182" s="33">
        <v>310.19</v>
      </c>
      <c r="I182" s="33">
        <v>305.95</v>
      </c>
      <c r="J182" s="33">
        <v>297.14</v>
      </c>
      <c r="K182" s="31"/>
      <c r="L182" s="31"/>
      <c r="M182" s="31"/>
      <c r="N182" s="31"/>
      <c r="O182" s="31"/>
      <c r="P182" s="31"/>
      <c r="Q182" s="31"/>
    </row>
    <row r="183" spans="1:17">
      <c r="A183" s="40">
        <v>46166</v>
      </c>
      <c r="B183" s="49" t="s">
        <v>1013</v>
      </c>
      <c r="C183" s="49" t="s">
        <v>976</v>
      </c>
      <c r="D183" s="49" t="e" vm="268">
        <v>#VALUE!</v>
      </c>
      <c r="E183" s="42">
        <f t="array" aca="1" ref="E183" ca="1">_FV(D183,"Price")</f>
        <v>64.58</v>
      </c>
      <c r="F183" s="43">
        <f t="array" aca="1" ref="F183" ca="1">_FV(D183,"Previous close",TRUE)</f>
        <v>64.52</v>
      </c>
      <c r="G183" s="33">
        <v>60.05</v>
      </c>
      <c r="H183" s="33">
        <v>57.97</v>
      </c>
      <c r="I183" s="33">
        <v>57.33</v>
      </c>
      <c r="J183" s="33">
        <v>56.81</v>
      </c>
      <c r="K183" s="31"/>
      <c r="L183" s="31"/>
      <c r="M183" s="31"/>
      <c r="N183" s="31"/>
      <c r="O183" s="31"/>
      <c r="P183" s="31"/>
      <c r="Q183" s="31"/>
    </row>
    <row r="184" spans="1:17">
      <c r="A184" s="40">
        <v>46166</v>
      </c>
      <c r="B184" s="49" t="s">
        <v>978</v>
      </c>
      <c r="C184" s="49" t="s">
        <v>976</v>
      </c>
      <c r="D184" s="49" t="e" vm="222">
        <v>#VALUE!</v>
      </c>
      <c r="E184" s="42">
        <f t="array" aca="1" ref="E184" ca="1">_FV(D184,"Price")</f>
        <v>2658.7</v>
      </c>
      <c r="F184" s="43">
        <f t="array" aca="1" ref="F184" ca="1">_FV(D184,"Previous close",TRUE)</f>
        <v>2676.5</v>
      </c>
      <c r="G184" s="33">
        <v>2654.8</v>
      </c>
      <c r="H184" s="33">
        <v>2680.2</v>
      </c>
      <c r="I184" s="33">
        <v>2663.91</v>
      </c>
      <c r="J184" s="33">
        <v>2604.33</v>
      </c>
      <c r="K184" s="31"/>
      <c r="L184" s="31"/>
      <c r="M184" s="31"/>
      <c r="N184" s="31"/>
      <c r="O184" s="31"/>
      <c r="P184" s="31"/>
      <c r="Q184" s="31"/>
    </row>
    <row r="185" spans="1:17">
      <c r="A185" s="40">
        <v>46166</v>
      </c>
      <c r="B185" s="49" t="s">
        <v>1014</v>
      </c>
      <c r="C185" s="49" t="s">
        <v>976</v>
      </c>
      <c r="D185" s="49" t="e" vm="269">
        <v>#VALUE!</v>
      </c>
      <c r="E185" s="42">
        <f t="array" aca="1" ref="E185" ca="1">_FV(D185,"Price")</f>
        <v>37.72</v>
      </c>
      <c r="F185" s="43">
        <f t="array" aca="1" ref="F185" ca="1">_FV(D185,"Previous close",TRUE)</f>
        <v>36.590000000000003</v>
      </c>
      <c r="G185" s="33">
        <v>37.22</v>
      </c>
      <c r="H185" s="33">
        <v>35.880000000000003</v>
      </c>
      <c r="I185" s="33">
        <v>35.39</v>
      </c>
      <c r="J185" s="33">
        <v>33.049999999999997</v>
      </c>
      <c r="K185" s="31"/>
      <c r="L185" s="31"/>
      <c r="M185" s="31"/>
      <c r="N185" s="31"/>
      <c r="O185" s="31"/>
      <c r="P185" s="31"/>
      <c r="Q185" s="31"/>
    </row>
    <row r="186" spans="1:17">
      <c r="A186" s="40">
        <v>46172</v>
      </c>
      <c r="B186" s="50" t="s">
        <v>61</v>
      </c>
      <c r="C186" s="50" t="s">
        <v>1015</v>
      </c>
      <c r="D186" s="50" t="e" vm="246">
        <v>#VALUE!</v>
      </c>
      <c r="E186" s="42">
        <f t="array" aca="1" ref="E186" ca="1">_FV(D186,"Price")</f>
        <v>4832.1000000000004</v>
      </c>
      <c r="F186" s="43">
        <f t="array" aca="1" ref="F186" ca="1">_FV(D186,"Previous close",TRUE)</f>
        <v>4875.8999999999996</v>
      </c>
      <c r="G186" s="33">
        <v>4982.7</v>
      </c>
      <c r="H186" s="33">
        <v>4374.79</v>
      </c>
      <c r="I186" s="33">
        <v>4261.8100000000004</v>
      </c>
      <c r="J186" s="33">
        <v>3888.28</v>
      </c>
      <c r="K186" s="31"/>
      <c r="L186" s="31"/>
      <c r="M186" s="31"/>
      <c r="N186" s="31"/>
      <c r="O186" s="31"/>
      <c r="P186" s="31"/>
      <c r="Q186" s="31"/>
    </row>
    <row r="187" spans="1:17">
      <c r="A187" s="40">
        <v>46172</v>
      </c>
      <c r="B187" s="50" t="s">
        <v>232</v>
      </c>
      <c r="C187" s="50" t="s">
        <v>1015</v>
      </c>
      <c r="D187" s="50" t="e" vm="29">
        <v>#VALUE!</v>
      </c>
      <c r="E187" s="42">
        <f t="array" aca="1" ref="E187" ca="1">_FV(D187,"Price")</f>
        <v>686.9</v>
      </c>
      <c r="F187" s="43">
        <f t="array" aca="1" ref="F187" ca="1">_FV(D187,"Previous close",TRUE)</f>
        <v>693.4</v>
      </c>
      <c r="G187" s="33">
        <v>741.5</v>
      </c>
      <c r="H187" s="33">
        <v>625.5</v>
      </c>
      <c r="I187" s="33">
        <v>610.21</v>
      </c>
      <c r="J187" s="33">
        <v>569.82000000000005</v>
      </c>
      <c r="K187" s="31"/>
      <c r="L187" s="31"/>
      <c r="M187" s="31"/>
      <c r="N187" s="31"/>
      <c r="O187" s="31"/>
      <c r="P187" s="31"/>
      <c r="Q187" s="31"/>
    </row>
    <row r="188" spans="1:17">
      <c r="A188" s="40">
        <v>46172</v>
      </c>
      <c r="B188" s="50" t="s">
        <v>82</v>
      </c>
      <c r="C188" s="50" t="s">
        <v>1015</v>
      </c>
      <c r="D188" s="50" t="e" vm="15">
        <v>#VALUE!</v>
      </c>
      <c r="E188" s="42">
        <f t="array" aca="1" ref="E188" ca="1">_FV(D188,"Price")</f>
        <v>40.729999999999997</v>
      </c>
      <c r="F188" s="43">
        <f t="array" aca="1" ref="F188" ca="1">_FV(D188,"Previous close",TRUE)</f>
        <v>41.03</v>
      </c>
      <c r="G188" s="33">
        <v>39.99</v>
      </c>
      <c r="H188" s="33">
        <v>31.14</v>
      </c>
      <c r="I188" s="33">
        <v>30.03</v>
      </c>
      <c r="J188" s="33">
        <v>27.34</v>
      </c>
      <c r="K188" s="31"/>
      <c r="L188" s="31"/>
      <c r="M188" s="31"/>
      <c r="N188" s="31"/>
      <c r="O188" s="31"/>
      <c r="P188" s="31"/>
      <c r="Q188" s="31"/>
    </row>
    <row r="189" spans="1:17">
      <c r="A189" s="40">
        <v>46172</v>
      </c>
      <c r="B189" s="50" t="s">
        <v>1016</v>
      </c>
      <c r="C189" s="50" t="s">
        <v>1015</v>
      </c>
      <c r="D189" s="50" t="e" vm="270">
        <v>#VALUE!</v>
      </c>
      <c r="E189" s="42">
        <f t="array" aca="1" ref="E189" ca="1">_FV(D189,"Price")</f>
        <v>248.85</v>
      </c>
      <c r="F189" s="43">
        <f t="array" aca="1" ref="F189" ca="1">_FV(D189,"Previous close",TRUE)</f>
        <v>250.15</v>
      </c>
      <c r="G189" s="33">
        <v>268.94</v>
      </c>
      <c r="H189" s="33">
        <v>230.93</v>
      </c>
      <c r="I189" s="33">
        <v>226.61</v>
      </c>
      <c r="J189" s="33">
        <v>215.28</v>
      </c>
      <c r="K189" s="31"/>
      <c r="L189" s="31"/>
      <c r="M189" s="31"/>
      <c r="N189" s="31"/>
      <c r="O189" s="31"/>
      <c r="P189" s="31"/>
      <c r="Q189" s="31"/>
    </row>
    <row r="190" spans="1:17">
      <c r="A190" s="40">
        <v>46172</v>
      </c>
      <c r="B190" s="50" t="s">
        <v>216</v>
      </c>
      <c r="C190" s="50" t="s">
        <v>1015</v>
      </c>
      <c r="D190" s="50" t="e" vm="271">
        <v>#VALUE!</v>
      </c>
      <c r="E190" s="42">
        <f t="array" aca="1" ref="E190" ca="1">_FV(D190,"Price")</f>
        <v>7167.5</v>
      </c>
      <c r="F190" s="43">
        <f t="array" aca="1" ref="F190" ca="1">_FV(D190,"Previous close",TRUE)</f>
        <v>7156</v>
      </c>
      <c r="G190" s="33">
        <v>7253</v>
      </c>
      <c r="H190" s="33">
        <v>6859.62</v>
      </c>
      <c r="I190" s="33">
        <v>6782.89</v>
      </c>
      <c r="J190" s="33">
        <v>6437.82</v>
      </c>
      <c r="K190" s="31"/>
      <c r="L190" s="31"/>
      <c r="M190" s="31"/>
      <c r="N190" s="31"/>
      <c r="O190" s="31"/>
      <c r="P190" s="31"/>
      <c r="Q190" s="31"/>
    </row>
    <row r="191" spans="1:17">
      <c r="A191" s="40">
        <v>46172</v>
      </c>
      <c r="B191" s="50" t="s">
        <v>97</v>
      </c>
      <c r="C191" s="50" t="s">
        <v>1015</v>
      </c>
      <c r="D191" s="50" t="e" vm="168">
        <v>#VALUE!</v>
      </c>
      <c r="E191" s="42">
        <f t="array" aca="1" ref="E191" ca="1">_FV(D191,"Price")</f>
        <v>1089</v>
      </c>
      <c r="F191" s="43">
        <f t="array" aca="1" ref="F191" ca="1">_FV(D191,"Previous close",TRUE)</f>
        <v>1084.5999999999999</v>
      </c>
      <c r="G191" s="33">
        <v>1077.7</v>
      </c>
      <c r="H191" s="33">
        <v>1001.26</v>
      </c>
      <c r="I191" s="33">
        <v>989.32</v>
      </c>
      <c r="J191" s="33">
        <v>960.18</v>
      </c>
      <c r="K191" s="31"/>
      <c r="L191" s="31"/>
      <c r="M191" s="31"/>
      <c r="N191" s="31"/>
      <c r="O191" s="31"/>
      <c r="P191" s="31"/>
      <c r="Q191" s="31"/>
    </row>
    <row r="192" spans="1:17">
      <c r="A192" s="40">
        <v>46172</v>
      </c>
      <c r="B192" s="50" t="s">
        <v>860</v>
      </c>
      <c r="C192" s="50" t="s">
        <v>1015</v>
      </c>
      <c r="D192" s="50" t="e" vm="157">
        <v>#VALUE!</v>
      </c>
      <c r="E192" s="42">
        <f t="array" aca="1" ref="E192" ca="1">_FV(D192,"Price")</f>
        <v>945</v>
      </c>
      <c r="F192" s="43">
        <f t="array" aca="1" ref="F192" ca="1">_FV(D192,"Previous close",TRUE)</f>
        <v>900</v>
      </c>
      <c r="G192" s="33">
        <v>845</v>
      </c>
      <c r="H192" s="33">
        <v>731.07</v>
      </c>
      <c r="I192" s="33">
        <v>698.54</v>
      </c>
      <c r="J192" s="33">
        <v>605.83000000000004</v>
      </c>
      <c r="K192" s="31"/>
      <c r="L192" s="31"/>
      <c r="M192" s="31"/>
      <c r="N192" s="31"/>
      <c r="O192" s="31"/>
      <c r="P192" s="31"/>
      <c r="Q192" s="31"/>
    </row>
    <row r="193" spans="1:17">
      <c r="A193" s="40">
        <v>46172</v>
      </c>
      <c r="B193" s="50" t="s">
        <v>138</v>
      </c>
      <c r="C193" s="50" t="s">
        <v>1015</v>
      </c>
      <c r="D193" s="50" t="e" vm="272">
        <v>#VALUE!</v>
      </c>
      <c r="E193" s="42">
        <f t="array" aca="1" ref="E193" ca="1">_FV(D193,"Price")</f>
        <v>399.55</v>
      </c>
      <c r="F193" s="43">
        <f t="array" aca="1" ref="F193" ca="1">_FV(D193,"Previous close",TRUE)</f>
        <v>403.4</v>
      </c>
      <c r="G193" s="33">
        <v>386.5</v>
      </c>
      <c r="H193" s="33">
        <v>359.22</v>
      </c>
      <c r="I193" s="33">
        <v>355.38</v>
      </c>
      <c r="J193" s="33">
        <v>349.56</v>
      </c>
      <c r="K193" s="31"/>
      <c r="L193" s="31"/>
      <c r="M193" s="31"/>
      <c r="N193" s="31"/>
      <c r="O193" s="31"/>
      <c r="P193" s="31"/>
      <c r="Q193" s="31"/>
    </row>
    <row r="194" spans="1:17">
      <c r="A194" s="40">
        <v>46172</v>
      </c>
      <c r="B194" s="50" t="s">
        <v>223</v>
      </c>
      <c r="C194" s="50" t="s">
        <v>1015</v>
      </c>
      <c r="D194" s="50" t="e" vm="273">
        <v>#VALUE!</v>
      </c>
      <c r="E194" s="42">
        <f t="array" aca="1" ref="E194" ca="1">_FV(D194,"Price")</f>
        <v>1057.5</v>
      </c>
      <c r="F194" s="43">
        <f t="array" aca="1" ref="F194" ca="1">_FV(D194,"Previous close",TRUE)</f>
        <v>1018.1</v>
      </c>
      <c r="G194" s="33">
        <v>1136.3</v>
      </c>
      <c r="H194" s="33">
        <v>1021.71</v>
      </c>
      <c r="I194" s="33">
        <v>1004.08</v>
      </c>
      <c r="J194" s="33">
        <v>942.95</v>
      </c>
      <c r="K194" s="31"/>
      <c r="L194" s="31"/>
      <c r="M194" s="31"/>
      <c r="N194" s="31"/>
      <c r="O194" s="31"/>
      <c r="P194" s="31"/>
      <c r="Q194" s="31"/>
    </row>
    <row r="195" spans="1:17">
      <c r="A195" s="40">
        <v>46172</v>
      </c>
      <c r="B195" s="50" t="s">
        <v>948</v>
      </c>
      <c r="C195" s="50" t="s">
        <v>1015</v>
      </c>
      <c r="D195" s="50" t="e" vm="181">
        <v>#VALUE!</v>
      </c>
      <c r="E195" s="42">
        <f t="array" aca="1" ref="E195" ca="1">_FV(D195,"Price")</f>
        <v>1815.3</v>
      </c>
      <c r="F195" s="43">
        <f t="array" aca="1" ref="F195" ca="1">_FV(D195,"Previous close",TRUE)</f>
        <v>1809.8</v>
      </c>
      <c r="G195" s="33">
        <v>1664.7</v>
      </c>
      <c r="H195" s="33">
        <v>1626.21</v>
      </c>
      <c r="I195" s="33">
        <v>1604.3</v>
      </c>
      <c r="J195" s="33">
        <v>1537.97</v>
      </c>
      <c r="K195" s="31"/>
      <c r="L195" s="31"/>
      <c r="M195" s="31"/>
      <c r="N195" s="31"/>
      <c r="O195" s="31"/>
      <c r="P195" s="31"/>
      <c r="Q195" s="31"/>
    </row>
    <row r="196" spans="1:17">
      <c r="A196" s="40">
        <v>46172</v>
      </c>
      <c r="B196" s="50" t="s">
        <v>149</v>
      </c>
      <c r="C196" s="50" t="s">
        <v>1015</v>
      </c>
      <c r="D196" s="50" t="e" vm="274">
        <v>#VALUE!</v>
      </c>
      <c r="E196" s="42">
        <f t="array" aca="1" ref="E196" ca="1">_FV(D196,"Price")</f>
        <v>452.9</v>
      </c>
      <c r="F196" s="43">
        <f t="array" aca="1" ref="F196" ca="1">_FV(D196,"Previous close",TRUE)</f>
        <v>431.36</v>
      </c>
      <c r="G196" s="33">
        <v>392.24</v>
      </c>
      <c r="H196" s="33">
        <v>344.26</v>
      </c>
      <c r="I196" s="33">
        <v>332.03</v>
      </c>
      <c r="J196" s="33">
        <v>298.51</v>
      </c>
      <c r="K196" s="31"/>
      <c r="L196" s="31"/>
      <c r="M196" s="31"/>
      <c r="N196" s="31"/>
      <c r="O196" s="31"/>
      <c r="P196" s="31"/>
      <c r="Q196" s="31"/>
    </row>
    <row r="197" spans="1:17">
      <c r="A197" s="40">
        <v>46172</v>
      </c>
      <c r="B197" s="50" t="s">
        <v>997</v>
      </c>
      <c r="C197" s="50" t="s">
        <v>1015</v>
      </c>
      <c r="D197" s="50" t="e" vm="247">
        <v>#VALUE!</v>
      </c>
      <c r="E197" s="42">
        <f t="array" aca="1" ref="E197" ca="1">_FV(D197,"Price")</f>
        <v>262</v>
      </c>
      <c r="F197" s="43">
        <f t="array" aca="1" ref="F197" ca="1">_FV(D197,"Previous close",TRUE)</f>
        <v>262.89999999999998</v>
      </c>
      <c r="G197" s="33">
        <v>269.35000000000002</v>
      </c>
      <c r="H197" s="33">
        <v>253.68</v>
      </c>
      <c r="I197" s="33">
        <v>250.16</v>
      </c>
      <c r="J197" s="33">
        <v>235.28</v>
      </c>
      <c r="K197" s="31"/>
      <c r="L197" s="31"/>
      <c r="M197" s="31"/>
      <c r="N197" s="31"/>
      <c r="O197" s="31"/>
      <c r="P197" s="31"/>
      <c r="Q197" s="31"/>
    </row>
    <row r="198" spans="1:17">
      <c r="A198" s="40">
        <v>46172</v>
      </c>
      <c r="B198" s="50" t="s">
        <v>146</v>
      </c>
      <c r="C198" s="50" t="s">
        <v>1015</v>
      </c>
      <c r="D198" s="50" t="e" vm="235">
        <v>#VALUE!</v>
      </c>
      <c r="E198" s="42">
        <f t="array" aca="1" ref="E198" ca="1">_FV(D198,"Price")</f>
        <v>77.61</v>
      </c>
      <c r="F198" s="43">
        <f t="array" aca="1" ref="F198" ca="1">_FV(D198,"Previous close",TRUE)</f>
        <v>76.89</v>
      </c>
      <c r="G198" s="33">
        <v>67.77</v>
      </c>
      <c r="H198" s="33">
        <v>60.21</v>
      </c>
      <c r="I198" s="33">
        <v>58</v>
      </c>
      <c r="J198" s="33">
        <v>51.36</v>
      </c>
      <c r="K198" s="31"/>
      <c r="L198" s="31"/>
      <c r="M198" s="31"/>
      <c r="N198" s="31"/>
      <c r="O198" s="31"/>
      <c r="P198" s="31"/>
      <c r="Q198" s="31"/>
    </row>
    <row r="199" spans="1:17">
      <c r="A199" s="40">
        <v>46172</v>
      </c>
      <c r="B199" s="50" t="s">
        <v>227</v>
      </c>
      <c r="C199" s="50" t="s">
        <v>1015</v>
      </c>
      <c r="D199" s="50" t="e" vm="95">
        <v>#VALUE!</v>
      </c>
      <c r="E199" s="42">
        <f t="array" aca="1" ref="E199" ca="1">_FV(D199,"Price")</f>
        <v>709</v>
      </c>
      <c r="F199" s="43">
        <f t="array" aca="1" ref="F199" ca="1">_FV(D199,"Previous close",TRUE)</f>
        <v>705.75</v>
      </c>
      <c r="G199" s="33">
        <v>702.6</v>
      </c>
      <c r="H199" s="33">
        <v>642.66</v>
      </c>
      <c r="I199" s="33">
        <v>632.05999999999995</v>
      </c>
      <c r="J199" s="33">
        <v>612.19000000000005</v>
      </c>
      <c r="K199" s="31"/>
      <c r="L199" s="31"/>
      <c r="M199" s="31"/>
      <c r="N199" s="31"/>
      <c r="O199" s="31"/>
      <c r="P199" s="31"/>
      <c r="Q199" s="31"/>
    </row>
    <row r="200" spans="1:17">
      <c r="A200" s="40">
        <v>46172</v>
      </c>
      <c r="B200" s="50" t="s">
        <v>988</v>
      </c>
      <c r="C200" s="50" t="s">
        <v>1015</v>
      </c>
      <c r="D200" s="50" t="e" vm="233">
        <v>#VALUE!</v>
      </c>
      <c r="E200" s="42">
        <f t="array" aca="1" ref="E200" ca="1">_FV(D200,"Price")</f>
        <v>1590.4</v>
      </c>
      <c r="F200" s="43">
        <f t="array" aca="1" ref="F200" ca="1">_FV(D200,"Previous close",TRUE)</f>
        <v>1501.6</v>
      </c>
      <c r="G200" s="33">
        <v>1442.9</v>
      </c>
      <c r="H200" s="33">
        <v>1257.46</v>
      </c>
      <c r="I200" s="33">
        <v>1224.78</v>
      </c>
      <c r="J200" s="33">
        <v>1162.33</v>
      </c>
      <c r="K200" s="31"/>
      <c r="L200" s="31"/>
      <c r="M200" s="31"/>
      <c r="N200" s="31"/>
      <c r="O200" s="31"/>
      <c r="P200" s="31"/>
      <c r="Q200" s="31"/>
    </row>
    <row r="201" spans="1:17">
      <c r="A201" s="40">
        <v>46172</v>
      </c>
      <c r="B201" s="50" t="s">
        <v>643</v>
      </c>
      <c r="C201" s="50" t="s">
        <v>1015</v>
      </c>
      <c r="D201" s="50" t="e" vm="9">
        <v>#VALUE!</v>
      </c>
      <c r="E201" s="42">
        <f t="array" aca="1" ref="E201" ca="1">_FV(D201,"Price")</f>
        <v>4630.7</v>
      </c>
      <c r="F201" s="43">
        <f t="array" aca="1" ref="F201" ca="1">_FV(D201,"Previous close",TRUE)</f>
        <v>4596.5</v>
      </c>
      <c r="G201" s="33">
        <v>4503.6000000000004</v>
      </c>
      <c r="H201" s="33">
        <v>4132.76</v>
      </c>
      <c r="I201" s="33">
        <v>4083.8</v>
      </c>
      <c r="J201" s="33">
        <v>3934.94</v>
      </c>
      <c r="K201" s="31"/>
      <c r="L201" s="31"/>
      <c r="M201" s="31"/>
      <c r="N201" s="31"/>
      <c r="O201" s="31"/>
      <c r="P201" s="31"/>
      <c r="Q201" s="31"/>
    </row>
    <row r="202" spans="1:17">
      <c r="A202" s="40">
        <v>46172</v>
      </c>
      <c r="B202" s="50" t="s">
        <v>137</v>
      </c>
      <c r="C202" s="50" t="s">
        <v>1015</v>
      </c>
      <c r="D202" s="50" t="e" vm="275">
        <v>#VALUE!</v>
      </c>
      <c r="E202" s="42">
        <f t="array" aca="1" ref="E202" ca="1">_FV(D202,"Price")</f>
        <v>556.6</v>
      </c>
      <c r="F202" s="43">
        <f t="array" aca="1" ref="F202" ca="1">_FV(D202,"Previous close",TRUE)</f>
        <v>574.65</v>
      </c>
      <c r="G202" s="33">
        <v>549.35</v>
      </c>
      <c r="H202" s="33">
        <v>478.17</v>
      </c>
      <c r="I202" s="33">
        <v>467.76</v>
      </c>
      <c r="J202" s="33">
        <v>445.11</v>
      </c>
      <c r="K202" s="31"/>
      <c r="L202" s="31"/>
      <c r="M202" s="31"/>
      <c r="N202" s="31"/>
      <c r="O202" s="31"/>
      <c r="P202" s="31"/>
      <c r="Q202" s="31"/>
    </row>
    <row r="203" spans="1:17">
      <c r="A203" s="40">
        <v>46172</v>
      </c>
      <c r="B203" s="50" t="s">
        <v>225</v>
      </c>
      <c r="C203" s="50" t="s">
        <v>1015</v>
      </c>
      <c r="D203" s="50" t="e" vm="177">
        <v>#VALUE!</v>
      </c>
      <c r="E203" s="42">
        <f t="array" aca="1" ref="E203" ca="1">_FV(D203,"Price")</f>
        <v>233.19</v>
      </c>
      <c r="F203" s="43">
        <f t="array" aca="1" ref="F203" ca="1">_FV(D203,"Previous close",TRUE)</f>
        <v>239.14</v>
      </c>
      <c r="G203" s="33">
        <v>246.19</v>
      </c>
      <c r="H203" s="33">
        <v>209.03</v>
      </c>
      <c r="I203" s="33">
        <v>204.9</v>
      </c>
      <c r="J203" s="33">
        <v>194.71</v>
      </c>
      <c r="K203" s="31"/>
      <c r="L203" s="31"/>
      <c r="M203" s="31"/>
      <c r="N203" s="31"/>
      <c r="O203" s="31"/>
      <c r="P203" s="31"/>
      <c r="Q203" s="31"/>
    </row>
    <row r="204" spans="1:17">
      <c r="A204" s="40">
        <v>46172</v>
      </c>
      <c r="B204" s="50" t="s">
        <v>57</v>
      </c>
      <c r="C204" s="50" t="s">
        <v>1015</v>
      </c>
      <c r="D204" s="50" t="e" vm="73">
        <v>#VALUE!</v>
      </c>
      <c r="E204" s="42">
        <f t="array" aca="1" ref="E204" ca="1">_FV(D204,"Price")</f>
        <v>2043.3</v>
      </c>
      <c r="F204" s="43">
        <f t="array" aca="1" ref="F204" ca="1">_FV(D204,"Previous close",TRUE)</f>
        <v>2099.9</v>
      </c>
      <c r="G204" s="33">
        <v>1775.6</v>
      </c>
      <c r="H204" s="33">
        <v>1603.27</v>
      </c>
      <c r="I204" s="33">
        <v>1545.71</v>
      </c>
      <c r="J204" s="33">
        <v>1400.99</v>
      </c>
      <c r="K204" s="31"/>
      <c r="L204" s="31"/>
      <c r="M204" s="31"/>
      <c r="N204" s="31"/>
      <c r="O204" s="31"/>
      <c r="P204" s="31"/>
      <c r="Q204" s="31"/>
    </row>
    <row r="205" spans="1:17">
      <c r="A205" s="40">
        <v>46172</v>
      </c>
      <c r="B205" s="50" t="s">
        <v>974</v>
      </c>
      <c r="C205" s="50" t="s">
        <v>1015</v>
      </c>
      <c r="D205" s="50" t="e" vm="218">
        <v>#VALUE!</v>
      </c>
      <c r="E205" s="42">
        <f t="array" aca="1" ref="E205" ca="1">_FV(D205,"Price")</f>
        <v>685.05</v>
      </c>
      <c r="F205" s="43">
        <f t="array" aca="1" ref="F205" ca="1">_FV(D205,"Previous close",TRUE)</f>
        <v>642</v>
      </c>
      <c r="G205" s="33">
        <v>606.45000000000005</v>
      </c>
      <c r="H205" s="33">
        <v>589.1</v>
      </c>
      <c r="I205" s="33">
        <v>576.54999999999995</v>
      </c>
      <c r="J205" s="33">
        <v>537.64</v>
      </c>
      <c r="K205" s="31"/>
      <c r="L205" s="31"/>
      <c r="M205" s="31"/>
      <c r="N205" s="31"/>
      <c r="O205" s="31"/>
      <c r="P205" s="31"/>
      <c r="Q205" s="31"/>
    </row>
    <row r="206" spans="1:17">
      <c r="A206" s="40">
        <v>46172</v>
      </c>
      <c r="B206" s="50" t="s">
        <v>197</v>
      </c>
      <c r="C206" s="50" t="s">
        <v>1015</v>
      </c>
      <c r="D206" s="50" t="e" vm="248">
        <v>#VALUE!</v>
      </c>
      <c r="E206" s="42">
        <f t="array" aca="1" ref="E206" ca="1">_FV(D206,"Price")</f>
        <v>1579</v>
      </c>
      <c r="F206" s="43">
        <f t="array" aca="1" ref="F206" ca="1">_FV(D206,"Previous close",TRUE)</f>
        <v>1520</v>
      </c>
      <c r="G206" s="33">
        <v>1513.3</v>
      </c>
      <c r="H206" s="33">
        <v>1361.65</v>
      </c>
      <c r="I206" s="33">
        <v>1326.85</v>
      </c>
      <c r="J206" s="33">
        <v>1208.67</v>
      </c>
      <c r="K206" s="31"/>
      <c r="L206" s="31"/>
      <c r="M206" s="31"/>
      <c r="N206" s="31"/>
      <c r="O206" s="31"/>
      <c r="P206" s="31"/>
      <c r="Q206" s="31"/>
    </row>
    <row r="207" spans="1:17">
      <c r="A207" s="40">
        <v>46172</v>
      </c>
      <c r="B207" s="50" t="s">
        <v>868</v>
      </c>
      <c r="C207" s="50" t="s">
        <v>1015</v>
      </c>
      <c r="D207" s="50" t="e" vm="159">
        <v>#VALUE!</v>
      </c>
      <c r="E207" s="42">
        <f t="array" aca="1" ref="E207" ca="1">_FV(D207,"Price")</f>
        <v>1958.2</v>
      </c>
      <c r="F207" s="43">
        <f t="array" aca="1" ref="F207" ca="1">_FV(D207,"Previous close",TRUE)</f>
        <v>1921.4</v>
      </c>
      <c r="G207" s="33">
        <v>1839.8</v>
      </c>
      <c r="H207" s="33">
        <v>1767.55</v>
      </c>
      <c r="I207" s="33">
        <v>1740.1</v>
      </c>
      <c r="J207" s="33">
        <v>1671</v>
      </c>
      <c r="K207" s="31"/>
      <c r="L207" s="31"/>
      <c r="M207" s="31"/>
      <c r="N207" s="31"/>
      <c r="O207" s="31"/>
      <c r="P207" s="31"/>
      <c r="Q207" s="31"/>
    </row>
    <row r="208" spans="1:17">
      <c r="A208" s="40">
        <v>46172</v>
      </c>
      <c r="B208" s="50" t="s">
        <v>989</v>
      </c>
      <c r="C208" s="50" t="s">
        <v>1015</v>
      </c>
      <c r="D208" s="50" t="e" vm="234">
        <v>#VALUE!</v>
      </c>
      <c r="E208" s="42">
        <f t="array" aca="1" ref="E208" ca="1">_FV(D208,"Price")</f>
        <v>2273</v>
      </c>
      <c r="F208" s="43">
        <f t="array" aca="1" ref="F208" ca="1">_FV(D208,"Previous close",TRUE)</f>
        <v>2219.5</v>
      </c>
      <c r="G208" s="33">
        <v>2250</v>
      </c>
      <c r="H208" s="33">
        <v>2028.73</v>
      </c>
      <c r="I208" s="33">
        <v>1991.7</v>
      </c>
      <c r="J208" s="33">
        <v>1897.95</v>
      </c>
      <c r="K208" s="31"/>
      <c r="L208" s="31"/>
      <c r="M208" s="31"/>
      <c r="N208" s="31"/>
      <c r="O208" s="31"/>
      <c r="P208" s="31"/>
      <c r="Q208" s="31"/>
    </row>
    <row r="209" spans="1:17">
      <c r="A209" s="40">
        <v>46172</v>
      </c>
      <c r="B209" s="50" t="s">
        <v>201</v>
      </c>
      <c r="C209" s="50" t="s">
        <v>1017</v>
      </c>
      <c r="D209" s="50" t="e" vm="164">
        <v>#VALUE!</v>
      </c>
      <c r="E209" s="42">
        <f t="array" aca="1" ref="E209" ca="1">_FV(D209,"Price")</f>
        <v>187.23</v>
      </c>
      <c r="F209" s="43">
        <f t="array" aca="1" ref="F209" ca="1">_FV(D209,"Previous close",TRUE)</f>
        <v>197.08</v>
      </c>
      <c r="G209" s="33">
        <v>179.94</v>
      </c>
      <c r="H209" s="33">
        <v>141.05000000000001</v>
      </c>
      <c r="I209" s="33">
        <v>133.63999999999999</v>
      </c>
      <c r="J209" s="33">
        <v>111.49</v>
      </c>
      <c r="K209" s="31"/>
      <c r="L209" s="31"/>
      <c r="M209" s="31"/>
      <c r="N209" s="31"/>
      <c r="O209" s="31"/>
      <c r="P209" s="31"/>
      <c r="Q209" s="31"/>
    </row>
    <row r="210" spans="1:17">
      <c r="A210" s="40">
        <v>46172</v>
      </c>
      <c r="B210" s="50" t="s">
        <v>185</v>
      </c>
      <c r="C210" s="50" t="s">
        <v>1017</v>
      </c>
      <c r="D210" s="50" t="e" vm="216">
        <v>#VALUE!</v>
      </c>
      <c r="E210" s="42">
        <f t="array" aca="1" ref="E210" ca="1">_FV(D210,"Price")</f>
        <v>1419.5</v>
      </c>
      <c r="F210" s="43">
        <f t="array" aca="1" ref="F210" ca="1">_FV(D210,"Previous close",TRUE)</f>
        <v>1377.7</v>
      </c>
      <c r="G210" s="33">
        <v>1401.7</v>
      </c>
      <c r="H210" s="33">
        <v>1204.3599999999999</v>
      </c>
      <c r="I210" s="33">
        <v>1176.78</v>
      </c>
      <c r="J210" s="33">
        <v>1099.03</v>
      </c>
      <c r="K210" s="31"/>
      <c r="L210" s="31"/>
      <c r="M210" s="31"/>
      <c r="N210" s="31"/>
      <c r="O210" s="31"/>
      <c r="P210" s="31"/>
      <c r="Q210" s="31"/>
    </row>
    <row r="211" spans="1:17">
      <c r="A211" s="40">
        <v>46172</v>
      </c>
      <c r="B211" s="50" t="s">
        <v>143</v>
      </c>
      <c r="C211" s="50" t="s">
        <v>1017</v>
      </c>
      <c r="D211" s="50" t="e" vm="186">
        <v>#VALUE!</v>
      </c>
      <c r="E211" s="42">
        <f t="array" aca="1" ref="E211" ca="1">_FV(D211,"Price")</f>
        <v>619.25</v>
      </c>
      <c r="F211" s="43">
        <f t="array" aca="1" ref="F211" ca="1">_FV(D211,"Previous close",TRUE)</f>
        <v>651.6</v>
      </c>
      <c r="G211" s="33">
        <v>536.15</v>
      </c>
      <c r="H211" s="33">
        <v>414.35</v>
      </c>
      <c r="I211" s="33">
        <v>386.56</v>
      </c>
      <c r="J211" s="33">
        <v>299.27</v>
      </c>
      <c r="K211" s="31"/>
      <c r="L211" s="31"/>
      <c r="M211" s="31"/>
      <c r="N211" s="31"/>
      <c r="O211" s="31"/>
      <c r="P211" s="31"/>
      <c r="Q211" s="31"/>
    </row>
    <row r="212" spans="1:17">
      <c r="A212" s="40">
        <v>46172</v>
      </c>
      <c r="B212" s="50" t="s">
        <v>1018</v>
      </c>
      <c r="C212" s="50" t="s">
        <v>1017</v>
      </c>
      <c r="D212" s="50" t="e" vm="276">
        <v>#VALUE!</v>
      </c>
      <c r="E212" s="42">
        <f t="array" aca="1" ref="E212" ca="1">_FV(D212,"Price")</f>
        <v>1920.9</v>
      </c>
      <c r="F212" s="43">
        <f t="array" aca="1" ref="F212" ca="1">_FV(D212,"Previous close",TRUE)</f>
        <v>2072.9</v>
      </c>
      <c r="G212" s="33">
        <v>2031.4</v>
      </c>
      <c r="H212" s="33">
        <v>1641.11</v>
      </c>
      <c r="I212" s="33">
        <v>1601.79</v>
      </c>
      <c r="J212" s="33">
        <v>1503.11</v>
      </c>
      <c r="K212" s="31"/>
      <c r="L212" s="31"/>
      <c r="M212" s="31"/>
      <c r="N212" s="31"/>
      <c r="O212" s="31"/>
      <c r="P212" s="31"/>
      <c r="Q212" s="31"/>
    </row>
    <row r="213" spans="1:17">
      <c r="A213" s="40">
        <v>46172</v>
      </c>
      <c r="B213" s="50" t="s">
        <v>970</v>
      </c>
      <c r="C213" s="50" t="s">
        <v>1017</v>
      </c>
      <c r="D213" s="50" t="e" vm="209">
        <v>#VALUE!</v>
      </c>
      <c r="E213" s="42">
        <f t="array" aca="1" ref="E213" ca="1">_FV(D213,"Price")</f>
        <v>3062.9</v>
      </c>
      <c r="F213" s="43">
        <f t="array" aca="1" ref="F213" ca="1">_FV(D213,"Previous close",TRUE)</f>
        <v>3067.4</v>
      </c>
      <c r="G213" s="33">
        <v>2989.5</v>
      </c>
      <c r="H213" s="33">
        <v>2662.38</v>
      </c>
      <c r="I213" s="33">
        <v>2600.4</v>
      </c>
      <c r="J213" s="33">
        <v>2426.56</v>
      </c>
      <c r="K213" s="31"/>
      <c r="L213" s="31"/>
      <c r="M213" s="31"/>
      <c r="N213" s="31"/>
      <c r="O213" s="31"/>
      <c r="P213" s="31"/>
      <c r="Q213" s="31"/>
    </row>
    <row r="214" spans="1:17">
      <c r="A214" s="40">
        <v>46172</v>
      </c>
      <c r="B214" s="50" t="s">
        <v>958</v>
      </c>
      <c r="C214" s="50" t="s">
        <v>1017</v>
      </c>
      <c r="D214" s="50" t="e" vm="194">
        <v>#VALUE!</v>
      </c>
      <c r="E214" s="42">
        <f t="array" aca="1" ref="E214" ca="1">_FV(D214,"Price")</f>
        <v>1372.4</v>
      </c>
      <c r="F214" s="43">
        <f t="array" aca="1" ref="F214" ca="1">_FV(D214,"Previous close",TRUE)</f>
        <v>1359.4</v>
      </c>
      <c r="G214" s="33">
        <v>1308.5</v>
      </c>
      <c r="H214" s="33">
        <v>1212.95</v>
      </c>
      <c r="I214" s="33">
        <v>1186.93</v>
      </c>
      <c r="J214" s="33">
        <v>1113.1500000000001</v>
      </c>
      <c r="K214" s="31"/>
      <c r="L214" s="31"/>
      <c r="M214" s="31"/>
      <c r="N214" s="31"/>
      <c r="O214" s="31"/>
      <c r="P214" s="31"/>
      <c r="Q214" s="31"/>
    </row>
    <row r="215" spans="1:17">
      <c r="A215" s="40">
        <v>46172</v>
      </c>
      <c r="B215" s="50" t="s">
        <v>210</v>
      </c>
      <c r="C215" s="50" t="s">
        <v>1017</v>
      </c>
      <c r="D215" s="50" t="e" vm="241">
        <v>#VALUE!</v>
      </c>
      <c r="E215" s="42">
        <f t="array" aca="1" ref="E215" ca="1">_FV(D215,"Price")</f>
        <v>947.95</v>
      </c>
      <c r="F215" s="43">
        <f t="array" aca="1" ref="F215" ca="1">_FV(D215,"Previous close",TRUE)</f>
        <v>952.1</v>
      </c>
      <c r="G215" s="33">
        <v>968.7</v>
      </c>
      <c r="H215" s="33">
        <v>783.88</v>
      </c>
      <c r="I215" s="33">
        <v>765.79</v>
      </c>
      <c r="J215" s="33">
        <v>726.97</v>
      </c>
      <c r="K215" s="31"/>
      <c r="L215" s="31"/>
      <c r="M215" s="31"/>
      <c r="N215" s="31"/>
      <c r="O215" s="31"/>
      <c r="P215" s="31"/>
      <c r="Q215" s="31"/>
    </row>
    <row r="216" spans="1:17">
      <c r="A216" s="40">
        <v>46172</v>
      </c>
      <c r="B216" s="50" t="s">
        <v>56</v>
      </c>
      <c r="C216" s="50" t="s">
        <v>1017</v>
      </c>
      <c r="D216" s="50" t="e" vm="163">
        <v>#VALUE!</v>
      </c>
      <c r="E216" s="42">
        <f t="array" aca="1" ref="E216" ca="1">_FV(D216,"Price")</f>
        <v>421.35</v>
      </c>
      <c r="F216" s="43">
        <f t="array" aca="1" ref="F216" ca="1">_FV(D216,"Previous close",TRUE)</f>
        <v>419.2</v>
      </c>
      <c r="G216" s="33">
        <v>409</v>
      </c>
      <c r="H216" s="33">
        <v>334.75</v>
      </c>
      <c r="I216" s="33">
        <v>322.93</v>
      </c>
      <c r="J216" s="33">
        <v>291.18</v>
      </c>
      <c r="K216" s="31"/>
      <c r="L216" s="31"/>
      <c r="M216" s="31"/>
      <c r="N216" s="31"/>
      <c r="O216" s="31"/>
      <c r="P216" s="31"/>
      <c r="Q216" s="31"/>
    </row>
    <row r="217" spans="1:17">
      <c r="A217" s="40">
        <v>46172</v>
      </c>
      <c r="B217" s="50" t="s">
        <v>564</v>
      </c>
      <c r="C217" s="50" t="s">
        <v>1017</v>
      </c>
      <c r="D217" s="50" t="e" vm="10">
        <v>#VALUE!</v>
      </c>
      <c r="E217" s="42">
        <f t="array" aca="1" ref="E217" ca="1">_FV(D217,"Price")</f>
        <v>3328.3</v>
      </c>
      <c r="F217" s="43">
        <f t="array" aca="1" ref="F217" ca="1">_FV(D217,"Previous close",TRUE)</f>
        <v>3164.7</v>
      </c>
      <c r="G217" s="33">
        <v>3132.5</v>
      </c>
      <c r="H217" s="33">
        <v>2813.29</v>
      </c>
      <c r="I217" s="33">
        <v>2736.12</v>
      </c>
      <c r="J217" s="33">
        <v>2452.58</v>
      </c>
      <c r="K217" s="31"/>
      <c r="L217" s="31"/>
      <c r="M217" s="31"/>
      <c r="N217" s="31"/>
      <c r="O217" s="31"/>
      <c r="P217" s="31"/>
      <c r="Q217" s="31"/>
    </row>
    <row r="218" spans="1:17">
      <c r="A218" s="40">
        <v>46172</v>
      </c>
      <c r="B218" s="50" t="s">
        <v>1005</v>
      </c>
      <c r="C218" s="50" t="s">
        <v>1017</v>
      </c>
      <c r="D218" s="50" t="e" vm="257">
        <v>#VALUE!</v>
      </c>
      <c r="E218" s="42">
        <f t="array" aca="1" ref="E218" ca="1">_FV(D218,"Price")</f>
        <v>884.1</v>
      </c>
      <c r="F218" s="43">
        <f t="array" aca="1" ref="F218" ca="1">_FV(D218,"Previous close",TRUE)</f>
        <v>907.55</v>
      </c>
      <c r="G218" s="33">
        <v>865.15</v>
      </c>
      <c r="H218" s="33">
        <v>692.52</v>
      </c>
      <c r="I218" s="33">
        <v>661.57</v>
      </c>
      <c r="J218" s="33">
        <v>561.55999999999995</v>
      </c>
      <c r="K218" s="31"/>
      <c r="L218" s="31"/>
      <c r="M218" s="31"/>
      <c r="N218" s="31"/>
      <c r="O218" s="31"/>
      <c r="P218" s="31"/>
      <c r="Q218" s="31"/>
    </row>
    <row r="219" spans="1:17">
      <c r="A219" s="40">
        <v>46172</v>
      </c>
      <c r="B219" s="50" t="s">
        <v>628</v>
      </c>
      <c r="C219" s="50" t="s">
        <v>1017</v>
      </c>
      <c r="D219" s="50" t="e" vm="4">
        <v>#VALUE!</v>
      </c>
      <c r="E219" s="42">
        <f t="array" aca="1" ref="E219" ca="1">_FV(D219,"Price")</f>
        <v>36870</v>
      </c>
      <c r="F219" s="43">
        <f t="array" aca="1" ref="F219" ca="1">_FV(D219,"Previous close",TRUE)</f>
        <v>36525</v>
      </c>
      <c r="G219" s="33">
        <v>38445</v>
      </c>
      <c r="H219" s="33">
        <v>33449.26</v>
      </c>
      <c r="I219" s="33">
        <v>32506.07</v>
      </c>
      <c r="J219" s="33">
        <v>28955.26</v>
      </c>
      <c r="K219" s="31"/>
      <c r="L219" s="31"/>
      <c r="M219" s="31"/>
      <c r="N219" s="31"/>
      <c r="O219" s="31"/>
      <c r="P219" s="31"/>
      <c r="Q219" s="31"/>
    </row>
    <row r="220" spans="1:17">
      <c r="A220" s="40">
        <v>46172</v>
      </c>
      <c r="B220" s="50" t="s">
        <v>1004</v>
      </c>
      <c r="C220" s="50" t="s">
        <v>1017</v>
      </c>
      <c r="D220" s="50" t="e" vm="256">
        <v>#VALUE!</v>
      </c>
      <c r="E220" s="42">
        <f t="array" aca="1" ref="E220" ca="1">_FV(D220,"Price")</f>
        <v>386.95</v>
      </c>
      <c r="F220" s="43">
        <f t="array" aca="1" ref="F220" ca="1">_FV(D220,"Previous close",TRUE)</f>
        <v>389.2</v>
      </c>
      <c r="G220" s="33">
        <v>416.75</v>
      </c>
      <c r="H220" s="33">
        <v>368.56</v>
      </c>
      <c r="I220" s="33">
        <v>359</v>
      </c>
      <c r="J220" s="33">
        <v>326.83999999999997</v>
      </c>
      <c r="K220" s="31"/>
      <c r="L220" s="31"/>
      <c r="M220" s="31"/>
      <c r="N220" s="31"/>
      <c r="O220" s="31"/>
      <c r="P220" s="31"/>
      <c r="Q220" s="31"/>
    </row>
    <row r="221" spans="1:17">
      <c r="A221" s="40">
        <v>46172</v>
      </c>
      <c r="B221" s="50" t="s">
        <v>950</v>
      </c>
      <c r="C221" s="50" t="s">
        <v>1017</v>
      </c>
      <c r="D221" s="50" t="e" vm="182">
        <v>#VALUE!</v>
      </c>
      <c r="E221" s="42">
        <f t="array" aca="1" ref="E221" ca="1">_FV(D221,"Price")</f>
        <v>7535.5</v>
      </c>
      <c r="F221" s="43">
        <f t="array" aca="1" ref="F221" ca="1">_FV(D221,"Previous close",TRUE)</f>
        <v>7755.5</v>
      </c>
      <c r="G221" s="33">
        <v>7879.5</v>
      </c>
      <c r="H221" s="33">
        <v>6570.37</v>
      </c>
      <c r="I221" s="33">
        <v>6263.29</v>
      </c>
      <c r="J221" s="33">
        <v>5163.9799999999996</v>
      </c>
      <c r="K221" s="31"/>
      <c r="L221" s="31"/>
      <c r="M221" s="31"/>
      <c r="N221" s="31"/>
      <c r="O221" s="31"/>
      <c r="P221" s="31"/>
      <c r="Q221" s="31"/>
    </row>
    <row r="222" spans="1:17">
      <c r="A222" s="40">
        <v>46172</v>
      </c>
      <c r="B222" s="50" t="s">
        <v>522</v>
      </c>
      <c r="C222" s="50" t="s">
        <v>1017</v>
      </c>
      <c r="D222" s="50" t="e" vm="24">
        <v>#VALUE!</v>
      </c>
      <c r="E222" s="42">
        <f t="array" aca="1" ref="E222" ca="1">_FV(D222,"Price")</f>
        <v>18441</v>
      </c>
      <c r="F222" s="43">
        <f t="array" aca="1" ref="F222" ca="1">_FV(D222,"Previous close",TRUE)</f>
        <v>18293</v>
      </c>
      <c r="G222" s="33">
        <v>18247</v>
      </c>
      <c r="H222" s="33">
        <v>16708.240000000002</v>
      </c>
      <c r="I222" s="33">
        <v>16365.85</v>
      </c>
      <c r="J222" s="33">
        <v>15327.98</v>
      </c>
      <c r="K222" s="31"/>
      <c r="L222" s="31"/>
      <c r="M222" s="31"/>
      <c r="N222" s="31"/>
      <c r="O222" s="31"/>
      <c r="P222" s="31"/>
      <c r="Q222" s="31"/>
    </row>
    <row r="223" spans="1:17">
      <c r="A223" s="40">
        <v>46172</v>
      </c>
      <c r="B223" s="50" t="s">
        <v>962</v>
      </c>
      <c r="C223" s="50" t="s">
        <v>1017</v>
      </c>
      <c r="D223" s="50" t="e" vm="199">
        <v>#VALUE!</v>
      </c>
      <c r="E223" s="42">
        <f t="array" aca="1" ref="E223" ca="1">_FV(D223,"Price")</f>
        <v>1033.5999999999999</v>
      </c>
      <c r="F223" s="43">
        <f t="array" aca="1" ref="F223" ca="1">_FV(D223,"Previous close",TRUE)</f>
        <v>988.15</v>
      </c>
      <c r="G223" s="33">
        <v>964.1</v>
      </c>
      <c r="H223" s="33">
        <v>915.44</v>
      </c>
      <c r="I223" s="33">
        <v>897.54</v>
      </c>
      <c r="J223" s="33">
        <v>825.79</v>
      </c>
      <c r="K223" s="31"/>
      <c r="L223" s="31"/>
      <c r="M223" s="31"/>
      <c r="N223" s="31"/>
      <c r="O223" s="31"/>
      <c r="P223" s="31"/>
      <c r="Q223" s="31"/>
    </row>
    <row r="224" spans="1:17">
      <c r="A224" s="40">
        <v>46172</v>
      </c>
      <c r="B224" s="50" t="s">
        <v>58</v>
      </c>
      <c r="C224" s="50" t="s">
        <v>1017</v>
      </c>
      <c r="D224" s="50" t="e" vm="214">
        <v>#VALUE!</v>
      </c>
      <c r="E224" s="42">
        <f t="array" aca="1" ref="E224" ca="1">_FV(D224,"Price")</f>
        <v>937.85</v>
      </c>
      <c r="F224" s="43">
        <f t="array" aca="1" ref="F224" ca="1">_FV(D224,"Previous close",TRUE)</f>
        <v>937.9</v>
      </c>
      <c r="G224" s="33">
        <v>917.45</v>
      </c>
      <c r="H224" s="33">
        <v>847.31</v>
      </c>
      <c r="I224" s="33">
        <v>831.22</v>
      </c>
      <c r="J224" s="33">
        <v>779.63</v>
      </c>
      <c r="K224" s="31"/>
      <c r="L224" s="31"/>
      <c r="M224" s="31"/>
      <c r="N224" s="31"/>
      <c r="O224" s="31"/>
      <c r="P224" s="31"/>
      <c r="Q224" s="31"/>
    </row>
    <row r="225" spans="1:17">
      <c r="A225" s="40">
        <v>46172</v>
      </c>
      <c r="B225" s="50" t="s">
        <v>971</v>
      </c>
      <c r="C225" s="50" t="s">
        <v>1017</v>
      </c>
      <c r="D225" s="50" t="e" vm="213">
        <v>#VALUE!</v>
      </c>
      <c r="E225" s="42">
        <f t="array" aca="1" ref="E225" ca="1">_FV(D225,"Price")</f>
        <v>5893</v>
      </c>
      <c r="F225" s="43">
        <f t="array" aca="1" ref="F225" ca="1">_FV(D225,"Previous close",TRUE)</f>
        <v>5863.5</v>
      </c>
      <c r="G225" s="33">
        <v>6117.9</v>
      </c>
      <c r="H225" s="33">
        <v>5093.7299999999996</v>
      </c>
      <c r="I225" s="33">
        <v>4938.3</v>
      </c>
      <c r="J225" s="33">
        <v>4459.25</v>
      </c>
      <c r="K225" s="31"/>
      <c r="L225" s="31"/>
      <c r="M225" s="31"/>
      <c r="N225" s="31"/>
      <c r="O225" s="31"/>
      <c r="P225" s="31"/>
      <c r="Q225" s="31"/>
    </row>
    <row r="226" spans="1:17">
      <c r="A226" s="40">
        <v>46172</v>
      </c>
      <c r="B226" s="50" t="s">
        <v>631</v>
      </c>
      <c r="C226" s="50" t="s">
        <v>1017</v>
      </c>
      <c r="D226" s="50" t="e" vm="5">
        <v>#VALUE!</v>
      </c>
      <c r="E226" s="42">
        <f t="array" aca="1" ref="E226" ca="1">_FV(D226,"Price")</f>
        <v>1226.8</v>
      </c>
      <c r="F226" s="43">
        <f t="array" aca="1" ref="F226" ca="1">_FV(D226,"Previous close",TRUE)</f>
        <v>1221.5999999999999</v>
      </c>
      <c r="G226" s="33">
        <v>1088.55</v>
      </c>
      <c r="H226" s="33">
        <v>1036.1500000000001</v>
      </c>
      <c r="I226" s="33">
        <v>1012.18</v>
      </c>
      <c r="J226" s="33">
        <v>932.97</v>
      </c>
      <c r="K226" s="31"/>
      <c r="L226" s="31"/>
      <c r="M226" s="31"/>
      <c r="N226" s="31"/>
      <c r="O226" s="31"/>
      <c r="P226" s="31"/>
      <c r="Q226" s="31"/>
    </row>
    <row r="227" spans="1:17">
      <c r="A227" s="40">
        <v>46172</v>
      </c>
      <c r="B227" s="50" t="s">
        <v>72</v>
      </c>
      <c r="C227" s="50" t="s">
        <v>1017</v>
      </c>
      <c r="D227" s="50" t="e" vm="30">
        <v>#VALUE!</v>
      </c>
      <c r="E227" s="42">
        <f t="array" aca="1" ref="E227" ca="1">_FV(D227,"Price")</f>
        <v>1312.8</v>
      </c>
      <c r="F227" s="43">
        <f t="array" aca="1" ref="F227" ca="1">_FV(D227,"Previous close",TRUE)</f>
        <v>1325.5</v>
      </c>
      <c r="G227" s="33">
        <v>1318.6</v>
      </c>
      <c r="H227" s="33">
        <v>1191.67</v>
      </c>
      <c r="I227" s="33">
        <v>1156.77</v>
      </c>
      <c r="J227" s="33">
        <v>1025.5899999999999</v>
      </c>
      <c r="K227" s="31"/>
      <c r="L227" s="31"/>
      <c r="M227" s="31"/>
      <c r="N227" s="31"/>
      <c r="O227" s="31"/>
      <c r="P227" s="31"/>
      <c r="Q227" s="31"/>
    </row>
    <row r="228" spans="1:17">
      <c r="A228" s="40">
        <v>46172</v>
      </c>
      <c r="B228" s="50" t="s">
        <v>1006</v>
      </c>
      <c r="C228" s="50" t="s">
        <v>1017</v>
      </c>
      <c r="D228" s="50" t="e" vm="258">
        <v>#VALUE!</v>
      </c>
      <c r="E228" s="42">
        <f t="array" aca="1" ref="E228" ca="1">_FV(D228,"Price")</f>
        <v>1288.7</v>
      </c>
      <c r="F228" s="43">
        <f t="array" aca="1" ref="F228" ca="1">_FV(D228,"Previous close",TRUE)</f>
        <v>1356.5</v>
      </c>
      <c r="G228" s="33">
        <v>1745.9</v>
      </c>
      <c r="H228" s="33">
        <v>1332.18</v>
      </c>
      <c r="I228" s="33">
        <v>1291.3399999999999</v>
      </c>
      <c r="J228" s="33">
        <v>1168.8800000000001</v>
      </c>
      <c r="K228" s="31"/>
      <c r="L228" s="31"/>
      <c r="M228" s="31"/>
      <c r="N228" s="31"/>
      <c r="O228" s="31"/>
      <c r="P228" s="31"/>
      <c r="Q228" s="31"/>
    </row>
    <row r="229" spans="1:17">
      <c r="A229" s="40">
        <v>46172</v>
      </c>
      <c r="B229" s="50" t="s">
        <v>952</v>
      </c>
      <c r="C229" s="50" t="s">
        <v>1017</v>
      </c>
      <c r="D229" s="50" t="e" vm="184">
        <v>#VALUE!</v>
      </c>
      <c r="E229" s="42">
        <f t="array" aca="1" ref="E229" ca="1">_FV(D229,"Price")</f>
        <v>1072.9000000000001</v>
      </c>
      <c r="F229" s="43">
        <f t="array" aca="1" ref="F229" ca="1">_FV(D229,"Previous close",TRUE)</f>
        <v>1078.2</v>
      </c>
      <c r="G229" s="33">
        <v>1037.1500000000001</v>
      </c>
      <c r="H229" s="33">
        <v>831.9</v>
      </c>
      <c r="I229" s="33">
        <v>794.44</v>
      </c>
      <c r="J229" s="33">
        <v>688.82</v>
      </c>
      <c r="K229" s="31"/>
      <c r="L229" s="31"/>
      <c r="M229" s="31"/>
      <c r="N229" s="31"/>
      <c r="O229" s="31"/>
      <c r="P229" s="31"/>
      <c r="Q229" s="31"/>
    </row>
    <row r="230" spans="1:17">
      <c r="A230" s="40">
        <v>46172</v>
      </c>
      <c r="B230" s="50" t="s">
        <v>1019</v>
      </c>
      <c r="C230" s="50" t="s">
        <v>1017</v>
      </c>
      <c r="D230" s="50" t="e" vm="277">
        <v>#VALUE!</v>
      </c>
      <c r="E230" s="42">
        <f t="array" aca="1" ref="E230" ca="1">_FV(D230,"Price")</f>
        <v>1112.8</v>
      </c>
      <c r="F230" s="43">
        <f t="array" aca="1" ref="F230" ca="1">_FV(D230,"Previous close",TRUE)</f>
        <v>1127.3</v>
      </c>
      <c r="G230" s="33">
        <v>1071.1500000000001</v>
      </c>
      <c r="H230" s="33">
        <v>887.69</v>
      </c>
      <c r="I230" s="33">
        <v>857.12</v>
      </c>
      <c r="J230" s="33">
        <v>783.19</v>
      </c>
      <c r="K230" s="31"/>
      <c r="L230" s="31"/>
      <c r="M230" s="31"/>
      <c r="N230" s="31"/>
      <c r="O230" s="31"/>
      <c r="P230" s="31"/>
      <c r="Q230" s="31"/>
    </row>
    <row r="231" spans="1:17">
      <c r="A231" s="40">
        <v>46172</v>
      </c>
      <c r="B231" s="50" t="s">
        <v>378</v>
      </c>
      <c r="C231" s="50" t="s">
        <v>1017</v>
      </c>
      <c r="D231" s="50" t="e" vm="195">
        <v>#VALUE!</v>
      </c>
      <c r="E231" s="42">
        <f t="array" aca="1" ref="E231" ca="1">_FV(D231,"Price")</f>
        <v>1929.8</v>
      </c>
      <c r="F231" s="43">
        <f t="array" aca="1" ref="F231" ca="1">_FV(D231,"Previous close",TRUE)</f>
        <v>1937.5</v>
      </c>
      <c r="G231" s="33">
        <v>1957.2</v>
      </c>
      <c r="H231" s="33">
        <v>1886.42</v>
      </c>
      <c r="I231" s="33">
        <v>1867.15</v>
      </c>
      <c r="J231" s="33">
        <v>1768.92</v>
      </c>
      <c r="K231" s="31"/>
      <c r="L231" s="31"/>
      <c r="M231" s="31"/>
      <c r="N231" s="31"/>
      <c r="O231" s="31"/>
      <c r="P231" s="31"/>
      <c r="Q231" s="31"/>
    </row>
    <row r="232" spans="1:17">
      <c r="A232" s="40">
        <v>46172</v>
      </c>
      <c r="B232" s="50" t="s">
        <v>403</v>
      </c>
      <c r="C232" s="50" t="s">
        <v>1017</v>
      </c>
      <c r="D232" s="50" t="e" vm="189">
        <v>#VALUE!</v>
      </c>
      <c r="E232" s="42">
        <f t="array" aca="1" ref="E232" ca="1">_FV(D232,"Price")</f>
        <v>1913.3</v>
      </c>
      <c r="F232" s="43">
        <f t="array" aca="1" ref="F232" ca="1">_FV(D232,"Previous close",TRUE)</f>
        <v>1949.9</v>
      </c>
      <c r="G232" s="33">
        <v>1928</v>
      </c>
      <c r="H232" s="33">
        <v>1719.17</v>
      </c>
      <c r="I232" s="33">
        <v>1681.81</v>
      </c>
      <c r="J232" s="33">
        <v>1534.33</v>
      </c>
      <c r="K232" s="31"/>
      <c r="L232" s="31"/>
      <c r="M232" s="31"/>
      <c r="N232" s="31"/>
      <c r="O232" s="31"/>
      <c r="P232" s="31"/>
      <c r="Q232" s="31"/>
    </row>
    <row r="233" spans="1:17">
      <c r="A233" s="40">
        <v>46172</v>
      </c>
      <c r="B233" s="50" t="s">
        <v>964</v>
      </c>
      <c r="C233" s="50" t="s">
        <v>1017</v>
      </c>
      <c r="D233" s="50" t="e" vm="201">
        <v>#VALUE!</v>
      </c>
      <c r="E233" s="42">
        <f t="array" aca="1" ref="E233" ca="1">_FV(D233,"Price")</f>
        <v>315.60000000000002</v>
      </c>
      <c r="F233" s="43">
        <f t="array" aca="1" ref="F233" ca="1">_FV(D233,"Previous close",TRUE)</f>
        <v>327.5</v>
      </c>
      <c r="G233" s="33">
        <v>352.6</v>
      </c>
      <c r="H233" s="33">
        <v>423.15</v>
      </c>
      <c r="I233" s="33">
        <v>447.6</v>
      </c>
      <c r="J233" s="33">
        <v>508.7</v>
      </c>
      <c r="K233" s="31"/>
      <c r="L233" s="31"/>
      <c r="M233" s="31"/>
      <c r="N233" s="31"/>
      <c r="O233" s="31"/>
      <c r="P233" s="31"/>
      <c r="Q233" s="31"/>
    </row>
    <row r="234" spans="1:17">
      <c r="A234" s="40">
        <v>46172</v>
      </c>
      <c r="B234" s="50" t="s">
        <v>987</v>
      </c>
      <c r="C234" s="50" t="s">
        <v>1017</v>
      </c>
      <c r="D234" s="50" t="e" vm="231">
        <v>#VALUE!</v>
      </c>
      <c r="E234" s="42">
        <f t="array" aca="1" ref="E234" ca="1">_FV(D234,"Price")</f>
        <v>2223.4</v>
      </c>
      <c r="F234" s="43">
        <f t="array" aca="1" ref="F234" ca="1">_FV(D234,"Previous close",TRUE)</f>
        <v>2223</v>
      </c>
      <c r="G234" s="33">
        <v>2056.3000000000002</v>
      </c>
      <c r="H234" s="33">
        <v>1856.64</v>
      </c>
      <c r="I234" s="33">
        <v>1805.85</v>
      </c>
      <c r="J234" s="33">
        <v>1655.28</v>
      </c>
      <c r="K234" s="31"/>
      <c r="L234" s="31"/>
      <c r="M234" s="31"/>
      <c r="N234" s="31"/>
      <c r="O234" s="31"/>
      <c r="P234" s="31"/>
      <c r="Q234" s="31"/>
    </row>
    <row r="235" spans="1:17">
      <c r="A235" s="40">
        <v>46172</v>
      </c>
      <c r="B235" s="50" t="s">
        <v>1020</v>
      </c>
      <c r="C235" s="50" t="s">
        <v>1017</v>
      </c>
      <c r="D235" s="50" t="e" vm="278">
        <v>#VALUE!</v>
      </c>
      <c r="E235" s="42">
        <f t="array" aca="1" ref="E235" ca="1">_FV(D235,"Price")</f>
        <v>1388.8</v>
      </c>
      <c r="F235" s="43">
        <f t="array" aca="1" ref="F235" ca="1">_FV(D235,"Previous close",TRUE)</f>
        <v>1402.7</v>
      </c>
      <c r="G235" s="33">
        <v>1376.9</v>
      </c>
      <c r="H235" s="33">
        <v>1234.1500000000001</v>
      </c>
      <c r="I235" s="33">
        <v>1197.24</v>
      </c>
      <c r="J235" s="33">
        <v>1075.03</v>
      </c>
      <c r="K235" s="31"/>
      <c r="L235" s="31"/>
      <c r="M235" s="31"/>
      <c r="N235" s="31"/>
      <c r="O235" s="31"/>
      <c r="P235" s="31"/>
      <c r="Q235" s="31"/>
    </row>
    <row r="236" spans="1:17">
      <c r="A236" s="40">
        <v>46172</v>
      </c>
      <c r="B236" s="50" t="s">
        <v>1021</v>
      </c>
      <c r="C236" s="50" t="s">
        <v>1017</v>
      </c>
      <c r="D236" s="50" t="e" vm="279">
        <v>#VALUE!</v>
      </c>
      <c r="E236" s="42">
        <f t="array" aca="1" ref="E236" ca="1">_FV(D236,"Price")</f>
        <v>438.35</v>
      </c>
      <c r="F236" s="43">
        <f t="array" aca="1" ref="F236" ca="1">_FV(D236,"Previous close",TRUE)</f>
        <v>456.2</v>
      </c>
      <c r="G236" s="33">
        <v>425.3</v>
      </c>
      <c r="H236" s="33">
        <v>324.33</v>
      </c>
      <c r="I236" s="33">
        <v>310.60000000000002</v>
      </c>
      <c r="J236" s="33">
        <v>266.82</v>
      </c>
      <c r="K236" s="31"/>
      <c r="L236" s="31"/>
      <c r="M236" s="31"/>
      <c r="N236" s="31"/>
      <c r="O236" s="31"/>
      <c r="P236" s="31"/>
      <c r="Q236" s="31"/>
    </row>
    <row r="237" spans="1:17">
      <c r="A237" s="40">
        <v>46172</v>
      </c>
      <c r="B237" s="50" t="s">
        <v>1022</v>
      </c>
      <c r="C237" s="50" t="s">
        <v>1017</v>
      </c>
      <c r="D237" s="50" t="e" vm="280">
        <v>#VALUE!</v>
      </c>
      <c r="E237" s="42">
        <f t="array" aca="1" ref="E237" ca="1">_FV(D237,"Price")</f>
        <v>189.08</v>
      </c>
      <c r="F237" s="43">
        <f t="array" aca="1" ref="F237" ca="1">_FV(D237,"Previous close",TRUE)</f>
        <v>184.08</v>
      </c>
      <c r="G237" s="33">
        <v>206.27</v>
      </c>
      <c r="H237" s="33">
        <v>168.5</v>
      </c>
      <c r="I237" s="33">
        <v>164.71</v>
      </c>
      <c r="J237" s="33">
        <v>155.49</v>
      </c>
      <c r="K237" s="31"/>
      <c r="L237" s="31"/>
      <c r="M237" s="31"/>
      <c r="N237" s="31"/>
      <c r="O237" s="31"/>
      <c r="P237" s="31"/>
      <c r="Q237" s="31"/>
    </row>
    <row r="238" spans="1:17">
      <c r="A238" s="40">
        <v>46172</v>
      </c>
      <c r="B238" s="50" t="s">
        <v>142</v>
      </c>
      <c r="C238" s="50" t="s">
        <v>1017</v>
      </c>
      <c r="D238" s="50" t="e" vm="281">
        <v>#VALUE!</v>
      </c>
      <c r="E238" s="42">
        <f t="array" aca="1" ref="E238" ca="1">_FV(D238,"Price")</f>
        <v>223.9</v>
      </c>
      <c r="F238" s="43">
        <f t="array" aca="1" ref="F238" ca="1">_FV(D238,"Previous close",TRUE)</f>
        <v>235.68</v>
      </c>
      <c r="G238" s="33">
        <v>193.91</v>
      </c>
      <c r="H238" s="33">
        <v>173.55</v>
      </c>
      <c r="I238" s="33">
        <v>168.91</v>
      </c>
      <c r="J238" s="33">
        <v>157.66</v>
      </c>
      <c r="K238" s="31"/>
      <c r="L238" s="31"/>
      <c r="M238" s="31"/>
      <c r="N238" s="31"/>
      <c r="O238" s="31"/>
      <c r="P238" s="31"/>
      <c r="Q238" s="31"/>
    </row>
    <row r="239" spans="1:17">
      <c r="A239" s="40">
        <v>46172</v>
      </c>
      <c r="B239" s="50" t="s">
        <v>55</v>
      </c>
      <c r="C239" s="50" t="s">
        <v>1017</v>
      </c>
      <c r="D239" s="50" t="e" vm="187">
        <v>#VALUE!</v>
      </c>
      <c r="E239" s="42">
        <f t="array" aca="1" ref="E239" ca="1">_FV(D239,"Price")</f>
        <v>137.1</v>
      </c>
      <c r="F239" s="43">
        <f t="array" aca="1" ref="F239" ca="1">_FV(D239,"Previous close",TRUE)</f>
        <v>133.09</v>
      </c>
      <c r="G239" s="33">
        <v>129.06</v>
      </c>
      <c r="H239" s="33">
        <v>119.05</v>
      </c>
      <c r="I239" s="33">
        <v>115.67</v>
      </c>
      <c r="J239" s="33">
        <v>102.37</v>
      </c>
      <c r="K239" s="31"/>
      <c r="L239" s="31"/>
      <c r="M239" s="31"/>
      <c r="N239" s="31"/>
      <c r="O239" s="31"/>
      <c r="P239" s="31"/>
      <c r="Q239" s="31"/>
    </row>
    <row r="240" spans="1:17">
      <c r="A240" s="40">
        <v>46172</v>
      </c>
      <c r="B240" s="50" t="s">
        <v>136</v>
      </c>
      <c r="C240" s="50" t="s">
        <v>1017</v>
      </c>
      <c r="D240" s="50" t="e" vm="188">
        <v>#VALUE!</v>
      </c>
      <c r="E240" s="42">
        <f t="array" aca="1" ref="E240" ca="1">_FV(D240,"Price")</f>
        <v>1446.8</v>
      </c>
      <c r="F240" s="43">
        <f t="array" aca="1" ref="F240" ca="1">_FV(D240,"Previous close",TRUE)</f>
        <v>1427.2</v>
      </c>
      <c r="G240" s="33">
        <v>1362</v>
      </c>
      <c r="H240" s="33">
        <v>1266.8599999999999</v>
      </c>
      <c r="I240" s="33">
        <v>1240.3699999999999</v>
      </c>
      <c r="J240" s="33">
        <v>1153.67</v>
      </c>
      <c r="K240" s="31"/>
      <c r="L240" s="31"/>
      <c r="M240" s="31"/>
      <c r="N240" s="31"/>
      <c r="O240" s="31"/>
      <c r="P240" s="31"/>
      <c r="Q240" s="31"/>
    </row>
    <row r="241" spans="1:17">
      <c r="A241" s="40">
        <v>46172</v>
      </c>
      <c r="B241" s="50" t="s">
        <v>1023</v>
      </c>
      <c r="C241" s="50" t="s">
        <v>1017</v>
      </c>
      <c r="D241" s="50" t="e" vm="282">
        <v>#VALUE!</v>
      </c>
      <c r="E241" s="42">
        <f t="array" aca="1" ref="E241" ca="1">_FV(D241,"Price")</f>
        <v>2003.8</v>
      </c>
      <c r="F241" s="43">
        <f t="array" aca="1" ref="F241" ca="1">_FV(D241,"Previous close",TRUE)</f>
        <v>1989.8</v>
      </c>
      <c r="G241" s="33">
        <v>2105.1999999999998</v>
      </c>
      <c r="H241" s="33">
        <v>1906.49</v>
      </c>
      <c r="I241" s="33">
        <v>1880.86</v>
      </c>
      <c r="J241" s="33">
        <v>1793.46</v>
      </c>
      <c r="K241" s="31"/>
      <c r="L241" s="31"/>
      <c r="M241" s="31"/>
      <c r="N241" s="31"/>
      <c r="O241" s="31"/>
      <c r="P241" s="31"/>
      <c r="Q241" s="31"/>
    </row>
    <row r="242" spans="1:17">
      <c r="A242" s="40">
        <v>46172</v>
      </c>
      <c r="B242" s="50" t="s">
        <v>1024</v>
      </c>
      <c r="C242" s="50" t="s">
        <v>1017</v>
      </c>
      <c r="D242" s="50" t="e" vm="283">
        <v>#VALUE!</v>
      </c>
      <c r="E242" s="42">
        <f t="array" aca="1" ref="E242" ca="1">_FV(D242,"Price")</f>
        <v>789.85</v>
      </c>
      <c r="F242" s="43">
        <f t="array" aca="1" ref="F242" ca="1">_FV(D242,"Previous close",TRUE)</f>
        <v>791.35</v>
      </c>
      <c r="G242" s="33">
        <v>773.85</v>
      </c>
      <c r="H242" s="33">
        <v>725.39</v>
      </c>
      <c r="I242" s="33">
        <v>712.4</v>
      </c>
      <c r="J242" s="33">
        <v>666.82</v>
      </c>
      <c r="K242" s="31"/>
      <c r="L242" s="31"/>
      <c r="M242" s="31"/>
      <c r="N242" s="31"/>
      <c r="O242" s="31"/>
      <c r="P242" s="31"/>
      <c r="Q242" s="31"/>
    </row>
    <row r="243" spans="1:17">
      <c r="A243" s="40">
        <v>46172</v>
      </c>
      <c r="B243" s="50" t="s">
        <v>1025</v>
      </c>
      <c r="C243" s="50" t="s">
        <v>1017</v>
      </c>
      <c r="D243" s="50" t="e" vm="284">
        <v>#VALUE!</v>
      </c>
      <c r="E243" s="42">
        <f t="array" aca="1" ref="E243" ca="1">_FV(D243,"Price")</f>
        <v>3647.9</v>
      </c>
      <c r="F243" s="43">
        <f t="array" aca="1" ref="F243" ca="1">_FV(D243,"Previous close",TRUE)</f>
        <v>3700.9</v>
      </c>
      <c r="G243" s="33">
        <v>3872.1</v>
      </c>
      <c r="H243" s="33">
        <v>3343.26</v>
      </c>
      <c r="I243" s="33">
        <v>3280.75</v>
      </c>
      <c r="J243" s="33">
        <v>3110.24</v>
      </c>
      <c r="K243" s="31"/>
      <c r="L243" s="31"/>
      <c r="M243" s="31"/>
      <c r="N243" s="31"/>
      <c r="O243" s="31"/>
      <c r="P243" s="31"/>
      <c r="Q243" s="31"/>
    </row>
    <row r="244" spans="1:17">
      <c r="A244" s="40">
        <v>46172</v>
      </c>
      <c r="B244" s="50" t="s">
        <v>1026</v>
      </c>
      <c r="C244" s="50" t="s">
        <v>1017</v>
      </c>
      <c r="D244" s="50" t="e" vm="285">
        <v>#VALUE!</v>
      </c>
      <c r="E244" s="42">
        <f t="array" aca="1" ref="E244" ca="1">_FV(D244,"Price")</f>
        <v>435.8</v>
      </c>
      <c r="F244" s="43">
        <f t="array" aca="1" ref="F244" ca="1">_FV(D244,"Previous close",TRUE)</f>
        <v>458.7</v>
      </c>
      <c r="G244" s="33">
        <v>424.8</v>
      </c>
      <c r="H244" s="33">
        <v>326.52</v>
      </c>
      <c r="I244" s="33">
        <v>309.60000000000002</v>
      </c>
      <c r="J244" s="33">
        <v>259.48</v>
      </c>
      <c r="K244" s="31"/>
      <c r="L244" s="31"/>
      <c r="M244" s="31"/>
      <c r="N244" s="31"/>
      <c r="O244" s="31"/>
      <c r="P244" s="31"/>
      <c r="Q244" s="31"/>
    </row>
    <row r="245" spans="1:17">
      <c r="A245" s="40">
        <v>46172</v>
      </c>
      <c r="B245" s="50" t="s">
        <v>1027</v>
      </c>
      <c r="C245" s="50" t="s">
        <v>1017</v>
      </c>
      <c r="D245" s="50" t="e" vm="286">
        <v>#VALUE!</v>
      </c>
      <c r="E245" s="42">
        <f t="array" aca="1" ref="E245" ca="1">_FV(D245,"Price")</f>
        <v>518</v>
      </c>
      <c r="F245" s="43">
        <f t="array" aca="1" ref="F245" ca="1">_FV(D245,"Previous close",TRUE)</f>
        <v>520.75</v>
      </c>
      <c r="G245" s="33">
        <v>506.3</v>
      </c>
      <c r="H245" s="33">
        <v>459.04</v>
      </c>
      <c r="I245" s="33">
        <v>451.38</v>
      </c>
      <c r="J245" s="33">
        <v>433.59</v>
      </c>
      <c r="K245" s="31"/>
      <c r="L245" s="31"/>
      <c r="M245" s="31"/>
      <c r="N245" s="31"/>
      <c r="O245" s="31"/>
      <c r="P245" s="31"/>
      <c r="Q245" s="31"/>
    </row>
    <row r="246" spans="1:17">
      <c r="A246" s="40">
        <v>46172</v>
      </c>
      <c r="B246" s="50" t="s">
        <v>144</v>
      </c>
      <c r="C246" s="50" t="s">
        <v>1017</v>
      </c>
      <c r="D246" s="50" t="e" vm="287">
        <v>#VALUE!</v>
      </c>
      <c r="E246" s="42">
        <f t="array" aca="1" ref="E246" ca="1">_FV(D246,"Price")</f>
        <v>362.7</v>
      </c>
      <c r="F246" s="43">
        <f t="array" aca="1" ref="F246" ca="1">_FV(D246,"Previous close",TRUE)</f>
        <v>345.45</v>
      </c>
      <c r="G246" s="33">
        <v>284.60000000000002</v>
      </c>
      <c r="H246" s="33">
        <v>217.41</v>
      </c>
      <c r="I246" s="33">
        <v>206.26</v>
      </c>
      <c r="J246" s="33">
        <v>179.46</v>
      </c>
      <c r="K246" s="31"/>
      <c r="L246" s="31"/>
      <c r="M246" s="31"/>
      <c r="N246" s="31"/>
      <c r="O246" s="31"/>
      <c r="P246" s="31"/>
      <c r="Q246" s="31"/>
    </row>
    <row r="247" spans="1:17">
      <c r="A247" s="40">
        <v>46172</v>
      </c>
      <c r="B247" s="50" t="s">
        <v>650</v>
      </c>
      <c r="C247" s="50" t="s">
        <v>1017</v>
      </c>
      <c r="D247" s="50" t="e" vm="12">
        <v>#VALUE!</v>
      </c>
      <c r="E247" s="42">
        <f t="array" aca="1" ref="E247" ca="1">_FV(D247,"Price")</f>
        <v>13878</v>
      </c>
      <c r="F247" s="43">
        <f t="array" aca="1" ref="F247" ca="1">_FV(D247,"Previous close",TRUE)</f>
        <v>13709</v>
      </c>
      <c r="G247" s="33">
        <v>13118</v>
      </c>
      <c r="H247" s="33">
        <v>12440.01</v>
      </c>
      <c r="I247" s="33">
        <v>12179.37</v>
      </c>
      <c r="J247" s="33">
        <v>11207.88</v>
      </c>
      <c r="K247" s="31"/>
      <c r="L247" s="31"/>
      <c r="M247" s="31"/>
      <c r="N247" s="31"/>
      <c r="O247" s="31"/>
      <c r="P247" s="31"/>
      <c r="Q247" s="31"/>
    </row>
    <row r="248" spans="1:17">
      <c r="A248" s="40">
        <v>46172</v>
      </c>
      <c r="B248" s="50" t="s">
        <v>1028</v>
      </c>
      <c r="C248" s="50" t="s">
        <v>1017</v>
      </c>
      <c r="D248" s="50" t="e" vm="288">
        <v>#VALUE!</v>
      </c>
      <c r="E248" s="42">
        <f t="array" aca="1" ref="E248" ca="1">_FV(D248,"Price")</f>
        <v>1048.8</v>
      </c>
      <c r="F248" s="43">
        <f t="array" aca="1" ref="F248" ca="1">_FV(D248,"Previous close",TRUE)</f>
        <v>1034.2</v>
      </c>
      <c r="G248" s="33">
        <v>1064</v>
      </c>
      <c r="H248" s="33">
        <v>1023.87</v>
      </c>
      <c r="I248" s="33">
        <v>1013.06</v>
      </c>
      <c r="J248" s="33">
        <v>962.89</v>
      </c>
      <c r="K248" s="31"/>
      <c r="L248" s="31"/>
      <c r="M248" s="31"/>
      <c r="N248" s="31"/>
      <c r="O248" s="31"/>
      <c r="P248" s="31"/>
      <c r="Q248" s="31"/>
    </row>
    <row r="249" spans="1:17">
      <c r="A249" s="40">
        <v>46172</v>
      </c>
      <c r="B249" s="50" t="s">
        <v>80</v>
      </c>
      <c r="C249" s="50" t="s">
        <v>1017</v>
      </c>
      <c r="D249" s="50" t="e" vm="154">
        <v>#VALUE!</v>
      </c>
      <c r="E249" s="42">
        <f t="array" aca="1" ref="E249" ca="1">_FV(D249,"Price")</f>
        <v>3880</v>
      </c>
      <c r="F249" s="43">
        <f t="array" aca="1" ref="F249" ca="1">_FV(D249,"Previous close",TRUE)</f>
        <v>4033.4</v>
      </c>
      <c r="G249" s="33">
        <v>4146.1000000000004</v>
      </c>
      <c r="H249" s="33">
        <v>3758.69</v>
      </c>
      <c r="I249" s="33">
        <v>3675.85</v>
      </c>
      <c r="J249" s="33">
        <v>3370.62</v>
      </c>
      <c r="K249" s="31"/>
      <c r="L249" s="31"/>
      <c r="M249" s="31"/>
      <c r="N249" s="31"/>
      <c r="O249" s="31"/>
      <c r="P249" s="31"/>
      <c r="Q249" s="31"/>
    </row>
    <row r="250" spans="1:17">
      <c r="A250" s="40">
        <v>46172</v>
      </c>
      <c r="B250" s="50" t="s">
        <v>1003</v>
      </c>
      <c r="C250" s="50" t="s">
        <v>1017</v>
      </c>
      <c r="D250" s="50" t="e" vm="255">
        <v>#VALUE!</v>
      </c>
      <c r="E250" s="42">
        <f t="array" aca="1" ref="E250" ca="1">_FV(D250,"Price")</f>
        <v>232.6</v>
      </c>
      <c r="F250" s="43">
        <f t="array" aca="1" ref="F250" ca="1">_FV(D250,"Previous close",TRUE)</f>
        <v>230.03</v>
      </c>
      <c r="G250" s="33">
        <v>243.37</v>
      </c>
      <c r="H250" s="33">
        <v>214.58</v>
      </c>
      <c r="I250" s="33">
        <v>208.9</v>
      </c>
      <c r="J250" s="33">
        <v>188.52</v>
      </c>
      <c r="K250" s="31"/>
      <c r="L250" s="31"/>
      <c r="M250" s="31"/>
      <c r="N250" s="31"/>
      <c r="O250" s="31"/>
      <c r="P250" s="31"/>
      <c r="Q250" s="31"/>
    </row>
    <row r="251" spans="1:17">
      <c r="A251" s="40">
        <v>46172</v>
      </c>
      <c r="B251" s="50" t="s">
        <v>953</v>
      </c>
      <c r="C251" s="50" t="s">
        <v>1017</v>
      </c>
      <c r="D251" s="50" t="e" vm="185">
        <v>#VALUE!</v>
      </c>
      <c r="E251" s="42">
        <f t="array" aca="1" ref="E251" ca="1">_FV(D251,"Price")</f>
        <v>1487.7</v>
      </c>
      <c r="F251" s="43">
        <f t="array" aca="1" ref="F251" ca="1">_FV(D251,"Previous close",TRUE)</f>
        <v>1528.7</v>
      </c>
      <c r="G251" s="33">
        <v>1575.8</v>
      </c>
      <c r="H251" s="33">
        <v>1365.27</v>
      </c>
      <c r="I251" s="33">
        <v>1320.37</v>
      </c>
      <c r="J251" s="33">
        <v>1168.95</v>
      </c>
      <c r="K251" s="31"/>
      <c r="L251" s="31"/>
      <c r="M251" s="31"/>
      <c r="N251" s="31"/>
      <c r="O251" s="31"/>
      <c r="P251" s="31"/>
      <c r="Q251" s="31"/>
    </row>
    <row r="252" spans="1:17">
      <c r="A252" s="40">
        <v>46172</v>
      </c>
      <c r="B252" s="50" t="s">
        <v>1029</v>
      </c>
      <c r="C252" s="50" t="s">
        <v>1017</v>
      </c>
      <c r="D252" s="50" t="e" vm="289">
        <v>#VALUE!</v>
      </c>
      <c r="E252" s="42">
        <f t="array" aca="1" ref="E252" ca="1">_FV(D252,"Price")</f>
        <v>3459.9</v>
      </c>
      <c r="F252" s="43">
        <f t="array" aca="1" ref="F252" ca="1">_FV(D252,"Previous close",TRUE)</f>
        <v>3482.6</v>
      </c>
      <c r="G252" s="33">
        <v>3484</v>
      </c>
      <c r="H252" s="33">
        <v>3139.41</v>
      </c>
      <c r="I252" s="33">
        <v>3084.72</v>
      </c>
      <c r="J252" s="33">
        <v>2891.26</v>
      </c>
      <c r="K252" s="31"/>
      <c r="L252" s="31"/>
      <c r="M252" s="31"/>
      <c r="N252" s="31"/>
      <c r="O252" s="31"/>
      <c r="P252" s="31"/>
      <c r="Q252" s="31"/>
    </row>
    <row r="253" spans="1:17">
      <c r="A253" s="40">
        <v>46172</v>
      </c>
      <c r="B253" s="50" t="s">
        <v>1030</v>
      </c>
      <c r="C253" s="50" t="s">
        <v>1017</v>
      </c>
      <c r="D253" s="50" t="e" vm="290">
        <v>#VALUE!</v>
      </c>
      <c r="E253" s="42">
        <f t="array" aca="1" ref="E253" ca="1">_FV(D253,"Price")</f>
        <v>528.45000000000005</v>
      </c>
      <c r="F253" s="43">
        <f t="array" aca="1" ref="F253" ca="1">_FV(D253,"Previous close",TRUE)</f>
        <v>571.4</v>
      </c>
      <c r="G253" s="33">
        <v>521</v>
      </c>
      <c r="H253" s="33">
        <v>466.94</v>
      </c>
      <c r="I253" s="33">
        <v>455.19</v>
      </c>
      <c r="J253" s="33">
        <v>415.68</v>
      </c>
      <c r="K253" s="31"/>
      <c r="L253" s="31"/>
      <c r="M253" s="31"/>
      <c r="N253" s="31"/>
      <c r="O253" s="31"/>
      <c r="P253" s="31"/>
      <c r="Q253" s="31"/>
    </row>
    <row r="254" spans="1:17">
      <c r="A254" s="40">
        <v>46172</v>
      </c>
      <c r="B254" s="50" t="s">
        <v>135</v>
      </c>
      <c r="C254" s="50" t="s">
        <v>1031</v>
      </c>
      <c r="D254" s="50" t="e" vm="263">
        <v>#VALUE!</v>
      </c>
      <c r="E254" s="42">
        <f t="array" aca="1" ref="E254" ca="1">_FV(D254,"Price")</f>
        <v>4666</v>
      </c>
      <c r="F254" s="43">
        <f t="array" aca="1" ref="F254" ca="1">_FV(D254,"Previous close",TRUE)</f>
        <v>4934.2</v>
      </c>
      <c r="G254" s="33">
        <v>4670.7</v>
      </c>
      <c r="H254" s="33">
        <v>4105.45</v>
      </c>
      <c r="I254" s="33">
        <v>4023.27</v>
      </c>
      <c r="J254" s="33">
        <v>3751.5</v>
      </c>
      <c r="K254" s="31"/>
      <c r="L254" s="31"/>
      <c r="M254" s="31"/>
      <c r="N254" s="31"/>
      <c r="O254" s="31"/>
      <c r="P254" s="31"/>
      <c r="Q254" s="31"/>
    </row>
    <row r="255" spans="1:17">
      <c r="A255" s="40">
        <v>46172</v>
      </c>
      <c r="B255" s="50" t="s">
        <v>1032</v>
      </c>
      <c r="C255" s="50" t="s">
        <v>1031</v>
      </c>
      <c r="D255" s="50" t="s">
        <v>1032</v>
      </c>
      <c r="E255" s="42" t="e" vm="291">
        <f t="array" ref="E255">_FV(D255,"Price")</f>
        <v>#VALUE!</v>
      </c>
      <c r="F255" s="43" t="e" vm="292">
        <f t="array" ref="F255">_FV(D255,"Previous close",TRUE)</f>
        <v>#VALUE!</v>
      </c>
      <c r="G255" s="33">
        <v>449.35</v>
      </c>
      <c r="H255" s="33">
        <v>385.01</v>
      </c>
      <c r="I255" s="33">
        <v>378.71</v>
      </c>
      <c r="J255" s="33">
        <v>362.28</v>
      </c>
      <c r="K255" s="31"/>
      <c r="L255" s="31"/>
      <c r="M255" s="31"/>
      <c r="N255" s="31"/>
      <c r="O255" s="31"/>
      <c r="P255" s="31"/>
      <c r="Q255" s="31"/>
    </row>
    <row r="256" spans="1:17">
      <c r="A256" s="40">
        <v>46172</v>
      </c>
      <c r="B256" s="50" t="s">
        <v>147</v>
      </c>
      <c r="C256" s="50" t="s">
        <v>1031</v>
      </c>
      <c r="D256" s="50" t="e" vm="293">
        <v>#VALUE!</v>
      </c>
      <c r="E256" s="42">
        <f t="array" aca="1" ref="E256" ca="1">_FV(D256,"Price")</f>
        <v>1836.1</v>
      </c>
      <c r="F256" s="43">
        <f t="array" aca="1" ref="F256" ca="1">_FV(D256,"Previous close",TRUE)</f>
        <v>1890.1</v>
      </c>
      <c r="G256" s="33">
        <v>1689.9</v>
      </c>
      <c r="H256" s="33">
        <v>1466.63</v>
      </c>
      <c r="I256" s="33">
        <v>1424.75</v>
      </c>
      <c r="J256" s="33">
        <v>1311.64</v>
      </c>
      <c r="K256" s="31"/>
      <c r="L256" s="31"/>
      <c r="M256" s="31"/>
      <c r="N256" s="31"/>
      <c r="O256" s="31"/>
      <c r="P256" s="31"/>
      <c r="Q256" s="31"/>
    </row>
    <row r="257" spans="1:17">
      <c r="A257" s="40">
        <v>46172</v>
      </c>
      <c r="B257" s="50" t="s">
        <v>1033</v>
      </c>
      <c r="C257" s="50" t="s">
        <v>1031</v>
      </c>
      <c r="D257" s="50" t="e" vm="294">
        <v>#VALUE!</v>
      </c>
      <c r="E257" s="42">
        <f t="array" aca="1" ref="E257" ca="1">_FV(D257,"Price")</f>
        <v>143.56</v>
      </c>
      <c r="F257" s="43">
        <f t="array" aca="1" ref="F257" ca="1">_FV(D257,"Previous close",TRUE)</f>
        <v>144.31</v>
      </c>
      <c r="G257" s="33">
        <v>145.74</v>
      </c>
      <c r="H257" s="33">
        <v>132.88</v>
      </c>
      <c r="I257" s="33">
        <v>131.12</v>
      </c>
      <c r="J257" s="33">
        <v>125.32</v>
      </c>
      <c r="K257" s="31"/>
      <c r="L257" s="31"/>
      <c r="M257" s="31"/>
      <c r="N257" s="31"/>
      <c r="O257" s="31"/>
      <c r="P257" s="31"/>
      <c r="Q257" s="31"/>
    </row>
    <row r="258" spans="1:17">
      <c r="A258" s="40">
        <v>46172</v>
      </c>
      <c r="B258" s="50" t="s">
        <v>1034</v>
      </c>
      <c r="C258" s="50" t="s">
        <v>1031</v>
      </c>
      <c r="D258" s="50" t="e" vm="295">
        <v>#VALUE!</v>
      </c>
      <c r="E258" s="42">
        <f t="array" aca="1" ref="E258" ca="1">_FV(D258,"Price")</f>
        <v>643.4</v>
      </c>
      <c r="F258" s="43">
        <f t="array" aca="1" ref="F258" ca="1">_FV(D258,"Previous close",TRUE)</f>
        <v>645.29999999999995</v>
      </c>
      <c r="G258" s="33">
        <v>624.4</v>
      </c>
      <c r="H258" s="33">
        <v>572.34</v>
      </c>
      <c r="I258" s="33">
        <v>566.86</v>
      </c>
      <c r="J258" s="33">
        <v>557.11</v>
      </c>
      <c r="K258" s="31"/>
      <c r="L258" s="31"/>
      <c r="M258" s="31"/>
      <c r="N258" s="31"/>
      <c r="O258" s="31"/>
      <c r="P258" s="31"/>
      <c r="Q258" s="31"/>
    </row>
    <row r="259" spans="1:17">
      <c r="A259" s="40">
        <v>46172</v>
      </c>
      <c r="B259" s="50" t="s">
        <v>212</v>
      </c>
      <c r="C259" s="50" t="s">
        <v>1031</v>
      </c>
      <c r="D259" s="50" t="e" vm="244">
        <v>#VALUE!</v>
      </c>
      <c r="E259" s="42">
        <f t="array" aca="1" ref="E259" ca="1">_FV(D259,"Price")</f>
        <v>237.35</v>
      </c>
      <c r="F259" s="43">
        <f t="array" aca="1" ref="F259" ca="1">_FV(D259,"Previous close",TRUE)</f>
        <v>266.35000000000002</v>
      </c>
      <c r="G259" s="33">
        <v>279.33999999999997</v>
      </c>
      <c r="H259" s="33">
        <v>224.76</v>
      </c>
      <c r="I259" s="33">
        <v>217.97</v>
      </c>
      <c r="J259" s="33">
        <v>199.25</v>
      </c>
      <c r="K259" s="31"/>
      <c r="L259" s="31"/>
      <c r="M259" s="31"/>
      <c r="N259" s="31"/>
      <c r="O259" s="31"/>
      <c r="P259" s="31"/>
      <c r="Q259" s="31"/>
    </row>
    <row r="260" spans="1:17">
      <c r="A260" s="40">
        <v>46172</v>
      </c>
      <c r="B260" s="50" t="s">
        <v>112</v>
      </c>
      <c r="C260" s="50" t="s">
        <v>1031</v>
      </c>
      <c r="D260" s="50" t="e" vm="25">
        <v>#VALUE!</v>
      </c>
      <c r="E260" s="42">
        <f t="array" aca="1" ref="E260" ca="1">_FV(D260,"Price")</f>
        <v>533.20000000000005</v>
      </c>
      <c r="F260" s="43">
        <f t="array" aca="1" ref="F260" ca="1">_FV(D260,"Previous close",TRUE)</f>
        <v>544.15</v>
      </c>
      <c r="G260" s="33">
        <v>555.35</v>
      </c>
      <c r="H260" s="33">
        <v>512.07000000000005</v>
      </c>
      <c r="I260" s="33">
        <v>506.5</v>
      </c>
      <c r="J260" s="33">
        <v>492.33</v>
      </c>
      <c r="K260" s="31"/>
      <c r="L260" s="31"/>
      <c r="M260" s="31"/>
      <c r="N260" s="31"/>
      <c r="O260" s="31"/>
      <c r="P260" s="31"/>
      <c r="Q260" s="31"/>
    </row>
    <row r="261" spans="1:17">
      <c r="A261" s="40">
        <v>46172</v>
      </c>
      <c r="B261" s="50" t="s">
        <v>59</v>
      </c>
      <c r="C261" s="50" t="s">
        <v>1031</v>
      </c>
      <c r="D261" s="50" t="e" vm="208">
        <v>#VALUE!</v>
      </c>
      <c r="E261" s="42">
        <f t="array" aca="1" ref="E261" ca="1">_FV(D261,"Price")</f>
        <v>385.65</v>
      </c>
      <c r="F261" s="43">
        <f t="array" aca="1" ref="F261" ca="1">_FV(D261,"Previous close",TRUE)</f>
        <v>371.6</v>
      </c>
      <c r="G261" s="33">
        <v>370</v>
      </c>
      <c r="H261" s="33">
        <v>332.97</v>
      </c>
      <c r="I261" s="33">
        <v>324.45</v>
      </c>
      <c r="J261" s="33">
        <v>300.92</v>
      </c>
      <c r="K261" s="31"/>
      <c r="L261" s="31"/>
      <c r="M261" s="31"/>
      <c r="N261" s="31"/>
      <c r="O261" s="31"/>
      <c r="P261" s="31"/>
      <c r="Q261" s="31"/>
    </row>
    <row r="262" spans="1:17">
      <c r="A262" s="40">
        <v>46172</v>
      </c>
      <c r="B262" s="50" t="s">
        <v>1035</v>
      </c>
      <c r="C262" s="50" t="s">
        <v>1036</v>
      </c>
      <c r="D262" s="50" t="e" vm="296">
        <v>#VALUE!</v>
      </c>
      <c r="E262" s="42">
        <f t="array" aca="1" ref="E262" ca="1">_FV(D262,"Price")</f>
        <v>526</v>
      </c>
      <c r="F262" s="43">
        <f t="array" aca="1" ref="F262" ca="1">_FV(D262,"Previous close",TRUE)</f>
        <v>526.25</v>
      </c>
      <c r="G262" s="33">
        <v>527.95000000000005</v>
      </c>
      <c r="H262" s="33">
        <v>510.59</v>
      </c>
      <c r="I262" s="33">
        <v>506.37</v>
      </c>
      <c r="J262" s="33">
        <v>491.77</v>
      </c>
      <c r="K262" s="31"/>
      <c r="L262" s="31"/>
      <c r="M262" s="31"/>
      <c r="N262" s="31"/>
      <c r="O262" s="31"/>
      <c r="P262" s="31"/>
      <c r="Q262" s="31"/>
    </row>
    <row r="263" spans="1:17">
      <c r="A263" s="40">
        <v>46172</v>
      </c>
      <c r="B263" s="50" t="s">
        <v>978</v>
      </c>
      <c r="C263" s="50" t="s">
        <v>1036</v>
      </c>
      <c r="D263" s="50" t="e" vm="222">
        <v>#VALUE!</v>
      </c>
      <c r="E263" s="42">
        <f t="array" aca="1" ref="E263" ca="1">_FV(D263,"Price")</f>
        <v>2658.7</v>
      </c>
      <c r="F263" s="43">
        <f t="array" aca="1" ref="F263" ca="1">_FV(D263,"Previous close",TRUE)</f>
        <v>2676.5</v>
      </c>
      <c r="G263" s="33">
        <v>2654.8</v>
      </c>
      <c r="H263" s="33">
        <v>2680.2</v>
      </c>
      <c r="I263" s="33">
        <v>2663.91</v>
      </c>
      <c r="J263" s="33">
        <v>2604.33</v>
      </c>
      <c r="K263" s="31"/>
      <c r="L263" s="31"/>
      <c r="M263" s="31"/>
      <c r="N263" s="31"/>
      <c r="O263" s="31"/>
      <c r="P263" s="31"/>
      <c r="Q263" s="31"/>
    </row>
    <row r="264" spans="1:17">
      <c r="A264" s="40">
        <v>46172</v>
      </c>
      <c r="B264" s="50" t="s">
        <v>95</v>
      </c>
      <c r="C264" s="50" t="s">
        <v>1036</v>
      </c>
      <c r="D264" s="50" t="e" vm="172">
        <v>#VALUE!</v>
      </c>
      <c r="E264" s="42">
        <f t="array" aca="1" ref="E264" ca="1">_FV(D264,"Price")</f>
        <v>642.75</v>
      </c>
      <c r="F264" s="43">
        <f t="array" aca="1" ref="F264" ca="1">_FV(D264,"Previous close",TRUE)</f>
        <v>623.15</v>
      </c>
      <c r="G264" s="33">
        <v>605</v>
      </c>
      <c r="H264" s="33">
        <v>588.66999999999996</v>
      </c>
      <c r="I264" s="33">
        <v>582.51</v>
      </c>
      <c r="J264" s="33">
        <v>575.65</v>
      </c>
      <c r="K264" s="31"/>
      <c r="L264" s="31"/>
      <c r="M264" s="31"/>
      <c r="N264" s="31"/>
      <c r="O264" s="31"/>
      <c r="P264" s="31"/>
      <c r="Q264" s="31"/>
    </row>
    <row r="265" spans="1:17">
      <c r="A265" s="40">
        <v>46172</v>
      </c>
      <c r="B265" s="50" t="s">
        <v>980</v>
      </c>
      <c r="C265" s="50" t="s">
        <v>1036</v>
      </c>
      <c r="D265" s="50" t="e" vm="224">
        <v>#VALUE!</v>
      </c>
      <c r="E265" s="42">
        <f t="array" aca="1" ref="E265" ca="1">_FV(D265,"Price")</f>
        <v>1607.9</v>
      </c>
      <c r="F265" s="43">
        <f t="array" aca="1" ref="F265" ca="1">_FV(D265,"Previous close",TRUE)</f>
        <v>1637.7</v>
      </c>
      <c r="G265" s="33">
        <v>1520.5</v>
      </c>
      <c r="H265" s="33">
        <v>1336.14</v>
      </c>
      <c r="I265" s="33">
        <v>1294.6099999999999</v>
      </c>
      <c r="J265" s="33">
        <v>1171.26</v>
      </c>
      <c r="K265" s="31"/>
      <c r="L265" s="31"/>
      <c r="M265" s="31"/>
      <c r="N265" s="31"/>
      <c r="O265" s="31"/>
      <c r="P265" s="31"/>
      <c r="Q265" s="31"/>
    </row>
    <row r="266" spans="1:17">
      <c r="A266" s="40">
        <v>46172</v>
      </c>
      <c r="B266" s="50" t="s">
        <v>1037</v>
      </c>
      <c r="C266" s="50" t="s">
        <v>1036</v>
      </c>
      <c r="D266" s="50" t="e" vm="297">
        <v>#VALUE!</v>
      </c>
      <c r="E266" s="42">
        <f t="array" aca="1" ref="E266" ca="1">_FV(D266,"Price")</f>
        <v>1972.7</v>
      </c>
      <c r="F266" s="43">
        <f t="array" aca="1" ref="F266" ca="1">_FV(D266,"Previous close",TRUE)</f>
        <v>1985.9</v>
      </c>
      <c r="G266" s="33">
        <v>1965</v>
      </c>
      <c r="H266" s="33">
        <v>1760.4</v>
      </c>
      <c r="I266" s="33">
        <v>1732.3</v>
      </c>
      <c r="J266" s="33">
        <v>1679.72</v>
      </c>
      <c r="K266" s="31"/>
      <c r="L266" s="31"/>
      <c r="M266" s="31"/>
      <c r="N266" s="31"/>
      <c r="O266" s="31"/>
      <c r="P266" s="31"/>
      <c r="Q266" s="31"/>
    </row>
    <row r="267" spans="1:17">
      <c r="A267" s="40">
        <v>46172</v>
      </c>
      <c r="B267" s="50" t="s">
        <v>1038</v>
      </c>
      <c r="C267" s="50" t="s">
        <v>1036</v>
      </c>
      <c r="D267" s="50" t="e" vm="298">
        <v>#VALUE!</v>
      </c>
      <c r="E267" s="42">
        <f t="array" aca="1" ref="E267" ca="1">_FV(D267,"Price")</f>
        <v>1961.6</v>
      </c>
      <c r="F267" s="43">
        <f t="array" aca="1" ref="F267" ca="1">_FV(D267,"Previous close",TRUE)</f>
        <v>1922.4</v>
      </c>
      <c r="G267" s="33">
        <v>2009.2</v>
      </c>
      <c r="H267" s="33">
        <v>1766.88</v>
      </c>
      <c r="I267" s="33">
        <v>1733.6</v>
      </c>
      <c r="J267" s="33">
        <v>1662.44</v>
      </c>
      <c r="K267" s="31"/>
      <c r="L267" s="31"/>
      <c r="M267" s="31"/>
      <c r="N267" s="31"/>
      <c r="O267" s="31"/>
      <c r="P267" s="31"/>
      <c r="Q267" s="31"/>
    </row>
    <row r="268" spans="1:17">
      <c r="A268" s="40">
        <v>46172</v>
      </c>
      <c r="B268" s="50" t="s">
        <v>981</v>
      </c>
      <c r="C268" s="50" t="s">
        <v>1036</v>
      </c>
      <c r="D268" s="50" t="e" vm="225">
        <v>#VALUE!</v>
      </c>
      <c r="E268" s="42">
        <f t="array" aca="1" ref="E268" ca="1">_FV(D268,"Price")</f>
        <v>472.3</v>
      </c>
      <c r="F268" s="43">
        <f t="array" aca="1" ref="F268" ca="1">_FV(D268,"Previous close",TRUE)</f>
        <v>481.65</v>
      </c>
      <c r="G268" s="33">
        <v>457.9</v>
      </c>
      <c r="H268" s="33">
        <v>458.56</v>
      </c>
      <c r="I268" s="33">
        <v>456.17</v>
      </c>
      <c r="J268" s="33">
        <v>443.27</v>
      </c>
      <c r="K268" s="31"/>
      <c r="L268" s="31"/>
      <c r="M268" s="31"/>
      <c r="N268" s="31"/>
      <c r="O268" s="31"/>
      <c r="P268" s="31"/>
      <c r="Q268" s="31"/>
    </row>
    <row r="269" spans="1:17">
      <c r="A269" s="40">
        <v>46172</v>
      </c>
      <c r="B269" s="50" t="s">
        <v>539</v>
      </c>
      <c r="C269" s="50" t="s">
        <v>1036</v>
      </c>
      <c r="D269" s="50" t="e" vm="299">
        <v>#VALUE!</v>
      </c>
      <c r="E269" s="42">
        <f t="array" aca="1" ref="E269" ca="1">_FV(D269,"Price")</f>
        <v>9884.5</v>
      </c>
      <c r="F269" s="43">
        <f t="array" aca="1" ref="F269" ca="1">_FV(D269,"Previous close",TRUE)</f>
        <v>9468.5</v>
      </c>
      <c r="G269" s="33">
        <v>9497</v>
      </c>
      <c r="H269" s="33">
        <v>9632.36</v>
      </c>
      <c r="I269" s="33">
        <v>9557.98</v>
      </c>
      <c r="J269" s="33">
        <v>9164.2199999999993</v>
      </c>
      <c r="K269" s="31"/>
      <c r="L269" s="31"/>
      <c r="M269" s="31"/>
      <c r="N269" s="31"/>
      <c r="O269" s="31"/>
      <c r="P269" s="31"/>
      <c r="Q269" s="31"/>
    </row>
    <row r="270" spans="1:17">
      <c r="A270" s="40">
        <v>46172</v>
      </c>
      <c r="B270" s="50" t="s">
        <v>1014</v>
      </c>
      <c r="C270" s="50" t="s">
        <v>1036</v>
      </c>
      <c r="D270" s="50" t="e" vm="269">
        <v>#VALUE!</v>
      </c>
      <c r="E270" s="42">
        <f t="array" aca="1" ref="E270" ca="1">_FV(D270,"Price")</f>
        <v>37.72</v>
      </c>
      <c r="F270" s="43">
        <f t="array" aca="1" ref="F270" ca="1">_FV(D270,"Previous close",TRUE)</f>
        <v>36.590000000000003</v>
      </c>
      <c r="G270" s="33">
        <v>37.22</v>
      </c>
      <c r="H270" s="33">
        <v>35.880000000000003</v>
      </c>
      <c r="I270" s="33">
        <v>35.39</v>
      </c>
      <c r="J270" s="33">
        <v>33.049999999999997</v>
      </c>
      <c r="K270" s="31"/>
      <c r="L270" s="31"/>
      <c r="M270" s="31"/>
      <c r="N270" s="31"/>
      <c r="O270" s="31"/>
      <c r="P270" s="31"/>
      <c r="Q270" s="31"/>
    </row>
    <row r="271" spans="1:17">
      <c r="A271" s="40">
        <v>46172</v>
      </c>
      <c r="B271" s="50" t="s">
        <v>75</v>
      </c>
      <c r="C271" s="50" t="s">
        <v>1036</v>
      </c>
      <c r="D271" s="50" t="e" vm="58">
        <v>#VALUE!</v>
      </c>
      <c r="E271" s="42">
        <f t="array" aca="1" ref="E271" ca="1">_FV(D271,"Price")</f>
        <v>304.14999999999998</v>
      </c>
      <c r="F271" s="43">
        <f t="array" aca="1" ref="F271" ca="1">_FV(D271,"Previous close",TRUE)</f>
        <v>300.10000000000002</v>
      </c>
      <c r="G271" s="33">
        <v>288.95</v>
      </c>
      <c r="H271" s="33">
        <v>289.94</v>
      </c>
      <c r="I271" s="33">
        <v>288.52</v>
      </c>
      <c r="J271" s="33">
        <v>280.35000000000002</v>
      </c>
      <c r="K271" s="31"/>
      <c r="L271" s="31"/>
      <c r="M271" s="31"/>
      <c r="N271" s="31"/>
      <c r="O271" s="31"/>
      <c r="P271" s="31"/>
      <c r="Q271" s="31"/>
    </row>
    <row r="272" spans="1:17">
      <c r="A272" s="40">
        <v>46172</v>
      </c>
      <c r="B272" s="50" t="s">
        <v>784</v>
      </c>
      <c r="C272" s="50" t="s">
        <v>1036</v>
      </c>
      <c r="D272" s="50" t="e" vm="87">
        <v>#VALUE!</v>
      </c>
      <c r="E272" s="42">
        <f t="array" aca="1" ref="E272" ca="1">_FV(D272,"Price")</f>
        <v>1680.1</v>
      </c>
      <c r="F272" s="43">
        <f t="array" aca="1" ref="F272" ca="1">_FV(D272,"Previous close",TRUE)</f>
        <v>1676.7</v>
      </c>
      <c r="G272" s="33">
        <v>1682</v>
      </c>
      <c r="H272" s="33">
        <v>1682.05</v>
      </c>
      <c r="I272" s="33">
        <v>1669.93</v>
      </c>
      <c r="J272" s="33">
        <v>1647.62</v>
      </c>
      <c r="K272" s="31"/>
      <c r="L272" s="31"/>
      <c r="M272" s="31"/>
      <c r="N272" s="31"/>
      <c r="O272" s="31"/>
      <c r="P272" s="31"/>
      <c r="Q272" s="31"/>
    </row>
  </sheetData>
  <autoFilter ref="A1:J272" xr:uid="{00000000-0009-0000-0000-000006000000}"/>
  <conditionalFormatting sqref="F2:F272">
    <cfRule type="expression" dxfId="27" priority="3">
      <formula>$E2&gt;$F2</formula>
    </cfRule>
  </conditionalFormatting>
  <conditionalFormatting sqref="G2:G272">
    <cfRule type="expression" dxfId="26" priority="4">
      <formula>$F2&gt;$G2</formula>
    </cfRule>
  </conditionalFormatting>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X98"/>
  <sheetViews>
    <sheetView workbookViewId="0">
      <pane ySplit="1" topLeftCell="A2" activePane="bottomLeft" state="frozen"/>
      <selection pane="bottomLeft" sqref="A1:A98"/>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5" customWidth="1"/>
    <col min="16" max="17" width="16" customWidth="1"/>
    <col min="18" max="18" width="15" customWidth="1"/>
    <col min="19" max="19" width="29" customWidth="1"/>
    <col min="20" max="20" width="16" customWidth="1"/>
    <col min="21" max="21" width="25" customWidth="1"/>
    <col min="22" max="22" width="14" customWidth="1"/>
    <col min="23" max="23" width="10" customWidth="1"/>
  </cols>
  <sheetData>
    <row r="1" spans="1:76">
      <c r="A1" s="51" t="s">
        <v>47</v>
      </c>
      <c r="B1" s="51" t="s">
        <v>88</v>
      </c>
      <c r="C1" s="51" t="s">
        <v>703</v>
      </c>
      <c r="D1" s="51" t="s">
        <v>152</v>
      </c>
      <c r="E1" s="51" t="s">
        <v>704</v>
      </c>
      <c r="F1" s="51" t="s">
        <v>1039</v>
      </c>
      <c r="G1" s="51" t="s">
        <v>1040</v>
      </c>
      <c r="H1" s="51" t="s">
        <v>706</v>
      </c>
      <c r="I1" s="51" t="s">
        <v>1041</v>
      </c>
      <c r="J1" s="51" t="s">
        <v>1042</v>
      </c>
      <c r="K1" s="51" t="s">
        <v>1043</v>
      </c>
      <c r="L1" s="51" t="s">
        <v>705</v>
      </c>
      <c r="M1" s="51" t="s">
        <v>710</v>
      </c>
      <c r="N1" s="51" t="s">
        <v>90</v>
      </c>
      <c r="O1" s="51" t="s">
        <v>717</v>
      </c>
      <c r="P1" s="51" t="s">
        <v>1044</v>
      </c>
      <c r="Q1" s="51" t="s">
        <v>718</v>
      </c>
      <c r="R1" s="51" t="s">
        <v>1045</v>
      </c>
      <c r="S1" s="51" t="s">
        <v>1046</v>
      </c>
      <c r="T1" s="51" t="s">
        <v>720</v>
      </c>
      <c r="U1" s="51" t="s">
        <v>721</v>
      </c>
      <c r="V1" s="51" t="s">
        <v>722</v>
      </c>
      <c r="W1" s="51" t="s">
        <v>707</v>
      </c>
      <c r="AH1" t="s">
        <v>84</v>
      </c>
      <c r="AI1" t="s">
        <v>52</v>
      </c>
      <c r="AJ1" t="s">
        <v>348</v>
      </c>
      <c r="AK1" t="s">
        <v>358</v>
      </c>
      <c r="AL1" t="s">
        <v>285</v>
      </c>
      <c r="AM1" t="s">
        <v>398</v>
      </c>
      <c r="AN1" t="s">
        <v>403</v>
      </c>
      <c r="AO1" t="s">
        <v>136</v>
      </c>
      <c r="AP1" t="s">
        <v>83</v>
      </c>
      <c r="AQ1" t="s">
        <v>440</v>
      </c>
      <c r="AR1" t="s">
        <v>526</v>
      </c>
      <c r="AS1" t="s">
        <v>112</v>
      </c>
      <c r="AT1" t="s">
        <v>502</v>
      </c>
      <c r="AU1" t="s">
        <v>135</v>
      </c>
      <c r="AV1" t="s">
        <v>507</v>
      </c>
      <c r="AW1" t="s">
        <v>175</v>
      </c>
      <c r="AX1" t="s">
        <v>59</v>
      </c>
      <c r="AY1" t="s">
        <v>279</v>
      </c>
      <c r="AZ1" t="s">
        <v>434</v>
      </c>
      <c r="BA1" t="s">
        <v>168</v>
      </c>
      <c r="BB1" t="s">
        <v>73</v>
      </c>
      <c r="BC1" t="s">
        <v>308</v>
      </c>
      <c r="BD1" t="s">
        <v>311</v>
      </c>
      <c r="BE1" t="s">
        <v>480</v>
      </c>
      <c r="BF1" t="s">
        <v>361</v>
      </c>
      <c r="BG1" t="s">
        <v>129</v>
      </c>
      <c r="BH1" t="s">
        <v>95</v>
      </c>
      <c r="BI1" t="s">
        <v>137</v>
      </c>
      <c r="BJ1" t="s">
        <v>522</v>
      </c>
      <c r="BK1" t="s">
        <v>431</v>
      </c>
      <c r="BL1" t="s">
        <v>295</v>
      </c>
      <c r="BM1" t="s">
        <v>67</v>
      </c>
      <c r="BN1" t="s">
        <v>258</v>
      </c>
      <c r="BO1" t="s">
        <v>490</v>
      </c>
      <c r="BP1" t="s">
        <v>134</v>
      </c>
      <c r="BQ1" t="s">
        <v>72</v>
      </c>
      <c r="BR1" t="s">
        <v>61</v>
      </c>
      <c r="BS1" t="s">
        <v>261</v>
      </c>
      <c r="BT1" t="s">
        <v>232</v>
      </c>
      <c r="BU1" t="s">
        <v>381</v>
      </c>
      <c r="BV1" t="s">
        <v>276</v>
      </c>
      <c r="BW1" t="s">
        <v>539</v>
      </c>
      <c r="BX1" t="s">
        <v>97</v>
      </c>
    </row>
    <row r="2" spans="1:76">
      <c r="A2" s="31" t="s">
        <v>564</v>
      </c>
      <c r="B2" s="31" t="s">
        <v>32</v>
      </c>
      <c r="C2" s="31" t="s">
        <v>68</v>
      </c>
      <c r="D2" s="31" t="s">
        <v>54</v>
      </c>
      <c r="E2" s="31" t="s">
        <v>101</v>
      </c>
      <c r="F2" s="31">
        <v>28</v>
      </c>
      <c r="G2" s="33">
        <v>78477</v>
      </c>
      <c r="H2" s="33">
        <v>2802.75</v>
      </c>
      <c r="I2" s="31">
        <v>0</v>
      </c>
      <c r="J2" s="33">
        <v>0</v>
      </c>
      <c r="K2" s="33">
        <v>0</v>
      </c>
      <c r="L2" s="31">
        <v>28</v>
      </c>
      <c r="M2" s="33">
        <v>78477</v>
      </c>
      <c r="N2" s="33">
        <f ca="1">IFERROR(INDEX(Price_Update!$F:$F, MATCH(A2, Price_Update!$A:$A, 0)), 3328.3)</f>
        <v>3328.3</v>
      </c>
      <c r="O2" s="33">
        <f t="shared" ref="O2:O65" ca="1" si="0">L2*N2</f>
        <v>93192.400000000009</v>
      </c>
      <c r="P2" s="33">
        <v>0</v>
      </c>
      <c r="Q2" s="33">
        <f t="shared" ref="Q2:Q65" ca="1" si="1">O2-M2</f>
        <v>14715.400000000009</v>
      </c>
      <c r="R2" s="33">
        <f t="shared" ref="R2:R65" ca="1" si="2">P2+Q2</f>
        <v>14715.400000000009</v>
      </c>
      <c r="S2" s="36">
        <f t="shared" ref="S2:S65" ca="1" si="3">IF(G2&gt;0, R2/G2, 0)</f>
        <v>0.18751226473998761</v>
      </c>
      <c r="T2" s="31">
        <v>21</v>
      </c>
      <c r="U2" s="31"/>
      <c r="V2" s="31" t="s">
        <v>110</v>
      </c>
      <c r="W2" s="31" t="s">
        <v>1047</v>
      </c>
    </row>
    <row r="3" spans="1:76">
      <c r="A3" s="31" t="s">
        <v>188</v>
      </c>
      <c r="B3" s="31" t="s">
        <v>36</v>
      </c>
      <c r="C3" s="31" t="s">
        <v>64</v>
      </c>
      <c r="D3" s="31" t="s">
        <v>53</v>
      </c>
      <c r="E3" s="31" t="s">
        <v>103</v>
      </c>
      <c r="F3" s="31">
        <v>36</v>
      </c>
      <c r="G3" s="33">
        <v>102039.39939999999</v>
      </c>
      <c r="H3" s="33">
        <v>2834.43</v>
      </c>
      <c r="I3" s="31">
        <v>0</v>
      </c>
      <c r="J3" s="33">
        <v>0</v>
      </c>
      <c r="K3" s="33">
        <v>0</v>
      </c>
      <c r="L3" s="31">
        <v>36</v>
      </c>
      <c r="M3" s="33">
        <v>102039.48</v>
      </c>
      <c r="N3" s="33">
        <f ca="1">IFERROR(INDEX(Price_Update!$F:$F, MATCH(A3, Price_Update!$A:$A, 0)), 3048.2)</f>
        <v>3048.2</v>
      </c>
      <c r="O3" s="33">
        <f t="shared" ca="1" si="0"/>
        <v>109735.2</v>
      </c>
      <c r="P3" s="33">
        <v>0</v>
      </c>
      <c r="Q3" s="33">
        <f t="shared" ca="1" si="1"/>
        <v>7695.7200000000012</v>
      </c>
      <c r="R3" s="33">
        <f t="shared" ca="1" si="2"/>
        <v>7695.7200000000012</v>
      </c>
      <c r="S3" s="36">
        <f t="shared" ca="1" si="3"/>
        <v>7.5419103260617598E-2</v>
      </c>
      <c r="T3" s="31">
        <v>21</v>
      </c>
      <c r="U3" s="31"/>
      <c r="V3" s="31" t="s">
        <v>110</v>
      </c>
      <c r="W3" s="31" t="s">
        <v>1047</v>
      </c>
    </row>
    <row r="4" spans="1:76">
      <c r="A4" s="31" t="s">
        <v>643</v>
      </c>
      <c r="B4" s="31" t="s">
        <v>39</v>
      </c>
      <c r="C4" s="31" t="s">
        <v>64</v>
      </c>
      <c r="D4" s="31" t="s">
        <v>54</v>
      </c>
      <c r="E4" s="31" t="s">
        <v>100</v>
      </c>
      <c r="F4" s="31">
        <v>6</v>
      </c>
      <c r="G4" s="33">
        <v>27324.600600000002</v>
      </c>
      <c r="H4" s="33">
        <v>4554.1000000000004</v>
      </c>
      <c r="I4" s="31">
        <v>0</v>
      </c>
      <c r="J4" s="33">
        <v>0</v>
      </c>
      <c r="K4" s="33">
        <v>0</v>
      </c>
      <c r="L4" s="31">
        <v>6</v>
      </c>
      <c r="M4" s="33">
        <v>27324.6</v>
      </c>
      <c r="N4" s="33">
        <f ca="1">IFERROR(INDEX(Price_Update!$F:$F, MATCH(A4, Price_Update!$A:$A, 0)), 4630.7)</f>
        <v>4630.7</v>
      </c>
      <c r="O4" s="33">
        <f t="shared" ca="1" si="0"/>
        <v>27784.199999999997</v>
      </c>
      <c r="P4" s="33">
        <v>0</v>
      </c>
      <c r="Q4" s="33">
        <f t="shared" ca="1" si="1"/>
        <v>459.59999999999854</v>
      </c>
      <c r="R4" s="33">
        <f t="shared" ca="1" si="2"/>
        <v>459.59999999999854</v>
      </c>
      <c r="S4" s="36">
        <f t="shared" ca="1" si="3"/>
        <v>1.6820007974791717E-2</v>
      </c>
      <c r="T4" s="31">
        <v>3</v>
      </c>
      <c r="U4" s="31"/>
      <c r="V4" s="31" t="s">
        <v>110</v>
      </c>
      <c r="W4" s="31" t="s">
        <v>1047</v>
      </c>
    </row>
    <row r="5" spans="1:76">
      <c r="A5" s="31" t="s">
        <v>65</v>
      </c>
      <c r="B5" s="31" t="s">
        <v>39</v>
      </c>
      <c r="C5" s="31" t="s">
        <v>68</v>
      </c>
      <c r="D5" s="31" t="s">
        <v>53</v>
      </c>
      <c r="E5" s="31" t="s">
        <v>101</v>
      </c>
      <c r="F5" s="31">
        <v>14</v>
      </c>
      <c r="G5" s="33">
        <v>43885.2</v>
      </c>
      <c r="H5" s="33">
        <v>3134.66</v>
      </c>
      <c r="I5" s="31">
        <v>0</v>
      </c>
      <c r="J5" s="33">
        <v>0</v>
      </c>
      <c r="K5" s="33">
        <v>0</v>
      </c>
      <c r="L5" s="31">
        <v>14</v>
      </c>
      <c r="M5" s="33">
        <v>43885.24</v>
      </c>
      <c r="N5" s="33">
        <f ca="1">IFERROR(INDEX(Price_Update!$F:$F, MATCH(A5, Price_Update!$A:$A, 0)), 2976.5)</f>
        <v>2976.5</v>
      </c>
      <c r="O5" s="33">
        <f t="shared" ca="1" si="0"/>
        <v>41671</v>
      </c>
      <c r="P5" s="33">
        <v>0</v>
      </c>
      <c r="Q5" s="33">
        <f t="shared" ca="1" si="1"/>
        <v>-2214.239999999998</v>
      </c>
      <c r="R5" s="33">
        <f t="shared" ca="1" si="2"/>
        <v>-2214.239999999998</v>
      </c>
      <c r="S5" s="36">
        <f t="shared" ca="1" si="3"/>
        <v>-5.0455278772798075E-2</v>
      </c>
      <c r="T5" s="31">
        <v>151</v>
      </c>
      <c r="U5" s="31"/>
      <c r="V5" s="31" t="s">
        <v>110</v>
      </c>
      <c r="W5" s="31" t="s">
        <v>1047</v>
      </c>
    </row>
    <row r="6" spans="1:76">
      <c r="A6" s="31" t="s">
        <v>650</v>
      </c>
      <c r="B6" s="31" t="s">
        <v>39</v>
      </c>
      <c r="C6" s="31" t="s">
        <v>64</v>
      </c>
      <c r="D6" s="31" t="s">
        <v>54</v>
      </c>
      <c r="E6" s="31" t="s">
        <v>100</v>
      </c>
      <c r="F6" s="31">
        <v>4</v>
      </c>
      <c r="G6" s="33">
        <v>51316</v>
      </c>
      <c r="H6" s="33">
        <v>12829</v>
      </c>
      <c r="I6" s="31">
        <v>0</v>
      </c>
      <c r="J6" s="33">
        <v>0</v>
      </c>
      <c r="K6" s="33">
        <v>0</v>
      </c>
      <c r="L6" s="31">
        <v>4</v>
      </c>
      <c r="M6" s="33">
        <v>51316</v>
      </c>
      <c r="N6" s="33">
        <f ca="1">IFERROR(INDEX(Price_Update!$F:$F, MATCH(A6, Price_Update!$A:$A, 0)), 13878)</f>
        <v>13878</v>
      </c>
      <c r="O6" s="33">
        <f t="shared" ca="1" si="0"/>
        <v>55512</v>
      </c>
      <c r="P6" s="33">
        <v>0</v>
      </c>
      <c r="Q6" s="33">
        <f t="shared" ca="1" si="1"/>
        <v>4196</v>
      </c>
      <c r="R6" s="33">
        <f t="shared" ca="1" si="2"/>
        <v>4196</v>
      </c>
      <c r="S6" s="36">
        <f t="shared" ca="1" si="3"/>
        <v>8.176786967027827E-2</v>
      </c>
      <c r="T6" s="31">
        <v>3</v>
      </c>
      <c r="U6" s="31"/>
      <c r="V6" s="31" t="s">
        <v>110</v>
      </c>
      <c r="W6" s="31" t="s">
        <v>1047</v>
      </c>
    </row>
    <row r="7" spans="1:76">
      <c r="A7" s="31" t="s">
        <v>85</v>
      </c>
      <c r="B7" s="31" t="s">
        <v>39</v>
      </c>
      <c r="C7" s="31" t="s">
        <v>64</v>
      </c>
      <c r="D7" s="31" t="s">
        <v>54</v>
      </c>
      <c r="E7" s="31" t="s">
        <v>105</v>
      </c>
      <c r="F7" s="31">
        <v>96</v>
      </c>
      <c r="G7" s="33">
        <v>201677.10449999999</v>
      </c>
      <c r="H7" s="33">
        <v>2100.8000000000002</v>
      </c>
      <c r="I7" s="31">
        <v>0</v>
      </c>
      <c r="J7" s="33">
        <v>0</v>
      </c>
      <c r="K7" s="33">
        <v>0</v>
      </c>
      <c r="L7" s="31">
        <v>96</v>
      </c>
      <c r="M7" s="33">
        <v>201676.79999999999</v>
      </c>
      <c r="N7" s="33">
        <f ca="1">IFERROR(INDEX(Price_Update!$F:$F, MATCH(A7, Price_Update!$A:$A, 0)), 1822.6)</f>
        <v>1822.6</v>
      </c>
      <c r="O7" s="33">
        <f t="shared" ca="1" si="0"/>
        <v>174969.59999999998</v>
      </c>
      <c r="P7" s="33">
        <v>0</v>
      </c>
      <c r="Q7" s="33">
        <f t="shared" ca="1" si="1"/>
        <v>-26707.200000000012</v>
      </c>
      <c r="R7" s="33">
        <f t="shared" ca="1" si="2"/>
        <v>-26707.200000000012</v>
      </c>
      <c r="S7" s="36">
        <f t="shared" ca="1" si="3"/>
        <v>-0.13242554263267903</v>
      </c>
      <c r="T7" s="31">
        <v>116</v>
      </c>
      <c r="U7" s="31"/>
      <c r="V7" s="31" t="s">
        <v>110</v>
      </c>
      <c r="W7" s="31" t="s">
        <v>1047</v>
      </c>
    </row>
    <row r="8" spans="1:76">
      <c r="A8" s="31" t="s">
        <v>56</v>
      </c>
      <c r="B8" s="31" t="s">
        <v>32</v>
      </c>
      <c r="C8" s="31" t="s">
        <v>64</v>
      </c>
      <c r="D8" s="31" t="s">
        <v>53</v>
      </c>
      <c r="E8" s="31" t="s">
        <v>105</v>
      </c>
      <c r="F8" s="31">
        <v>556</v>
      </c>
      <c r="G8" s="33">
        <v>200389.45</v>
      </c>
      <c r="H8" s="33">
        <v>360.41</v>
      </c>
      <c r="I8" s="31">
        <v>0</v>
      </c>
      <c r="J8" s="33">
        <v>0</v>
      </c>
      <c r="K8" s="33">
        <v>0</v>
      </c>
      <c r="L8" s="31">
        <v>556</v>
      </c>
      <c r="M8" s="33">
        <v>200387.96</v>
      </c>
      <c r="N8" s="33">
        <f ca="1">IFERROR(INDEX(Price_Update!$F:$F, MATCH(A8, Price_Update!$A:$A, 0)), 421.35)</f>
        <v>421.35</v>
      </c>
      <c r="O8" s="33">
        <f t="shared" ca="1" si="0"/>
        <v>234270.6</v>
      </c>
      <c r="P8" s="33">
        <v>0</v>
      </c>
      <c r="Q8" s="33">
        <f t="shared" ca="1" si="1"/>
        <v>33882.640000000014</v>
      </c>
      <c r="R8" s="33">
        <f t="shared" ca="1" si="2"/>
        <v>33882.640000000014</v>
      </c>
      <c r="S8" s="36">
        <f t="shared" ca="1" si="3"/>
        <v>0.16908395127587811</v>
      </c>
      <c r="T8" s="31">
        <v>32</v>
      </c>
      <c r="U8" s="31"/>
      <c r="V8" s="31" t="s">
        <v>110</v>
      </c>
      <c r="W8" s="31" t="s">
        <v>1047</v>
      </c>
    </row>
    <row r="9" spans="1:76">
      <c r="A9" s="31" t="s">
        <v>185</v>
      </c>
      <c r="B9" s="31" t="s">
        <v>32</v>
      </c>
      <c r="C9" s="31" t="s">
        <v>64</v>
      </c>
      <c r="D9" s="31" t="s">
        <v>53</v>
      </c>
      <c r="E9" s="31" t="s">
        <v>103</v>
      </c>
      <c r="F9" s="31">
        <v>80</v>
      </c>
      <c r="G9" s="33">
        <v>100756.4</v>
      </c>
      <c r="H9" s="33">
        <v>1259.46</v>
      </c>
      <c r="I9" s="31">
        <v>0</v>
      </c>
      <c r="J9" s="33">
        <v>0</v>
      </c>
      <c r="K9" s="33">
        <v>0</v>
      </c>
      <c r="L9" s="31">
        <v>80</v>
      </c>
      <c r="M9" s="33">
        <v>100756.8</v>
      </c>
      <c r="N9" s="33">
        <f ca="1">IFERROR(INDEX(Price_Update!$F:$F, MATCH(A9, Price_Update!$A:$A, 0)), 1419.5)</f>
        <v>1419.5</v>
      </c>
      <c r="O9" s="33">
        <f t="shared" ca="1" si="0"/>
        <v>113560</v>
      </c>
      <c r="P9" s="33">
        <v>0</v>
      </c>
      <c r="Q9" s="33">
        <f t="shared" ca="1" si="1"/>
        <v>12803.199999999997</v>
      </c>
      <c r="R9" s="33">
        <f t="shared" ca="1" si="2"/>
        <v>12803.199999999997</v>
      </c>
      <c r="S9" s="36">
        <f t="shared" ca="1" si="3"/>
        <v>0.12707083619502085</v>
      </c>
      <c r="T9" s="31">
        <v>39</v>
      </c>
      <c r="U9" s="31"/>
      <c r="V9" s="31" t="s">
        <v>110</v>
      </c>
      <c r="W9" s="31" t="s">
        <v>1047</v>
      </c>
    </row>
    <row r="10" spans="1:76">
      <c r="A10" s="31" t="s">
        <v>63</v>
      </c>
      <c r="B10" s="31" t="s">
        <v>39</v>
      </c>
      <c r="C10" s="31" t="s">
        <v>68</v>
      </c>
      <c r="D10" s="31" t="s">
        <v>53</v>
      </c>
      <c r="E10" s="31" t="s">
        <v>100</v>
      </c>
      <c r="F10" s="31">
        <v>33</v>
      </c>
      <c r="G10" s="33">
        <v>49684.800000000003</v>
      </c>
      <c r="H10" s="33">
        <v>1505.6</v>
      </c>
      <c r="I10" s="31">
        <v>0</v>
      </c>
      <c r="J10" s="33">
        <v>0</v>
      </c>
      <c r="K10" s="33">
        <v>0</v>
      </c>
      <c r="L10" s="31">
        <v>33</v>
      </c>
      <c r="M10" s="33">
        <v>49684.800000000003</v>
      </c>
      <c r="N10" s="33">
        <f ca="1">IFERROR(INDEX(Price_Update!$F:$F, MATCH(A10, Price_Update!$A:$A, 0)), 1462.3)</f>
        <v>1462.3</v>
      </c>
      <c r="O10" s="33">
        <f t="shared" ca="1" si="0"/>
        <v>48255.9</v>
      </c>
      <c r="P10" s="33">
        <v>0</v>
      </c>
      <c r="Q10" s="33">
        <f t="shared" ca="1" si="1"/>
        <v>-1428.9000000000015</v>
      </c>
      <c r="R10" s="33">
        <f t="shared" ca="1" si="2"/>
        <v>-1428.9000000000015</v>
      </c>
      <c r="S10" s="36">
        <f t="shared" ca="1" si="3"/>
        <v>-2.8759298618490994E-2</v>
      </c>
      <c r="T10" s="31">
        <v>18</v>
      </c>
      <c r="U10" s="31"/>
      <c r="V10" s="31" t="s">
        <v>110</v>
      </c>
      <c r="W10" s="31" t="s">
        <v>1048</v>
      </c>
    </row>
    <row r="11" spans="1:76">
      <c r="A11" s="31" t="s">
        <v>269</v>
      </c>
      <c r="B11" s="31" t="s">
        <v>32</v>
      </c>
      <c r="C11" s="31" t="s">
        <v>70</v>
      </c>
      <c r="D11" s="31" t="s">
        <v>53</v>
      </c>
      <c r="E11" s="31"/>
      <c r="F11" s="31">
        <v>671</v>
      </c>
      <c r="G11" s="33">
        <v>129693.78</v>
      </c>
      <c r="H11" s="33">
        <v>193.28</v>
      </c>
      <c r="I11" s="31">
        <v>671</v>
      </c>
      <c r="J11" s="33">
        <v>120337.14</v>
      </c>
      <c r="K11" s="33">
        <v>179.34</v>
      </c>
      <c r="L11" s="31">
        <v>0</v>
      </c>
      <c r="M11" s="33">
        <v>0</v>
      </c>
      <c r="N11" s="33">
        <f>IFERROR(INDEX(Price_Update!$F:$F, MATCH(A11, Price_Update!$A:$A, 0)), 169.94)</f>
        <v>169.94</v>
      </c>
      <c r="O11" s="33">
        <f t="shared" si="0"/>
        <v>0</v>
      </c>
      <c r="P11" s="33">
        <v>-9353.74</v>
      </c>
      <c r="Q11" s="33">
        <f t="shared" si="1"/>
        <v>0</v>
      </c>
      <c r="R11" s="33">
        <f t="shared" si="2"/>
        <v>-9353.74</v>
      </c>
      <c r="S11" s="36">
        <f t="shared" si="3"/>
        <v>-7.2121731666699815E-2</v>
      </c>
      <c r="T11" s="31">
        <v>41</v>
      </c>
      <c r="U11" s="31"/>
      <c r="V11" s="31" t="s">
        <v>110</v>
      </c>
      <c r="W11" s="31" t="s">
        <v>1048</v>
      </c>
    </row>
    <row r="12" spans="1:76">
      <c r="A12" s="31" t="s">
        <v>637</v>
      </c>
      <c r="B12" s="31" t="s">
        <v>36</v>
      </c>
      <c r="C12" s="31" t="s">
        <v>66</v>
      </c>
      <c r="D12" s="31" t="s">
        <v>54</v>
      </c>
      <c r="E12" s="31" t="s">
        <v>100</v>
      </c>
      <c r="F12" s="31">
        <v>3</v>
      </c>
      <c r="G12" s="33">
        <v>31032</v>
      </c>
      <c r="H12" s="33">
        <v>10344</v>
      </c>
      <c r="I12" s="31">
        <v>0</v>
      </c>
      <c r="J12" s="33">
        <v>0</v>
      </c>
      <c r="K12" s="33">
        <v>0</v>
      </c>
      <c r="L12" s="31">
        <v>3</v>
      </c>
      <c r="M12" s="33">
        <v>31032</v>
      </c>
      <c r="N12" s="33">
        <f ca="1">IFERROR(INDEX(Price_Update!$F:$F, MATCH(A12, Price_Update!$A:$A, 0)), 10342)</f>
        <v>10342</v>
      </c>
      <c r="O12" s="33">
        <f t="shared" ca="1" si="0"/>
        <v>31026</v>
      </c>
      <c r="P12" s="33">
        <v>0</v>
      </c>
      <c r="Q12" s="33">
        <f t="shared" ca="1" si="1"/>
        <v>-6</v>
      </c>
      <c r="R12" s="33">
        <f t="shared" ca="1" si="2"/>
        <v>-6</v>
      </c>
      <c r="S12" s="36">
        <f t="shared" ca="1" si="3"/>
        <v>-1.9334880123743234E-4</v>
      </c>
      <c r="T12" s="31">
        <v>3</v>
      </c>
      <c r="U12" s="31"/>
      <c r="V12" s="31" t="s">
        <v>110</v>
      </c>
      <c r="W12" s="31" t="s">
        <v>1048</v>
      </c>
    </row>
    <row r="13" spans="1:76">
      <c r="A13" s="31" t="s">
        <v>324</v>
      </c>
      <c r="B13" s="31" t="s">
        <v>36</v>
      </c>
      <c r="C13" s="31" t="s">
        <v>69</v>
      </c>
      <c r="D13" s="31" t="s">
        <v>54</v>
      </c>
      <c r="E13" s="31"/>
      <c r="F13" s="31">
        <v>94</v>
      </c>
      <c r="G13" s="33">
        <v>100072.4</v>
      </c>
      <c r="H13" s="33">
        <v>1064.5999999999999</v>
      </c>
      <c r="I13" s="31">
        <v>94</v>
      </c>
      <c r="J13" s="33">
        <v>84426.099999999991</v>
      </c>
      <c r="K13" s="33">
        <v>898.15</v>
      </c>
      <c r="L13" s="31">
        <v>0</v>
      </c>
      <c r="M13" s="33">
        <v>0</v>
      </c>
      <c r="N13" s="33">
        <f>IFERROR(INDEX(Price_Update!$F:$F, MATCH(A13, Price_Update!$A:$A, 0)), 889.4)</f>
        <v>889.4</v>
      </c>
      <c r="O13" s="33">
        <f t="shared" si="0"/>
        <v>0</v>
      </c>
      <c r="P13" s="33">
        <v>-15646.3</v>
      </c>
      <c r="Q13" s="33">
        <f t="shared" si="1"/>
        <v>0</v>
      </c>
      <c r="R13" s="33">
        <f t="shared" si="2"/>
        <v>-15646.3</v>
      </c>
      <c r="S13" s="36">
        <f t="shared" si="3"/>
        <v>-0.15634980274281421</v>
      </c>
      <c r="T13" s="31">
        <v>109</v>
      </c>
      <c r="U13" s="31"/>
      <c r="V13" s="31" t="s">
        <v>110</v>
      </c>
      <c r="W13" s="31" t="s">
        <v>1047</v>
      </c>
    </row>
    <row r="14" spans="1:76">
      <c r="A14" s="31" t="s">
        <v>57</v>
      </c>
      <c r="B14" s="31" t="s">
        <v>32</v>
      </c>
      <c r="C14" s="31" t="s">
        <v>68</v>
      </c>
      <c r="D14" s="31" t="s">
        <v>53</v>
      </c>
      <c r="E14" s="31" t="s">
        <v>103</v>
      </c>
      <c r="F14" s="31">
        <v>56</v>
      </c>
      <c r="G14" s="33">
        <v>98687.7</v>
      </c>
      <c r="H14" s="33">
        <v>1762.28</v>
      </c>
      <c r="I14" s="31">
        <v>0</v>
      </c>
      <c r="J14" s="33">
        <v>0</v>
      </c>
      <c r="K14" s="33">
        <v>0</v>
      </c>
      <c r="L14" s="31">
        <v>56</v>
      </c>
      <c r="M14" s="33">
        <v>98687.679999999993</v>
      </c>
      <c r="N14" s="33">
        <f ca="1">IFERROR(INDEX(Price_Update!$F:$F, MATCH(A14, Price_Update!$A:$A, 0)), 2043.3)</f>
        <v>2043.3</v>
      </c>
      <c r="O14" s="33">
        <f t="shared" ca="1" si="0"/>
        <v>114424.8</v>
      </c>
      <c r="P14" s="33">
        <v>0</v>
      </c>
      <c r="Q14" s="33">
        <f t="shared" ca="1" si="1"/>
        <v>15737.12000000001</v>
      </c>
      <c r="R14" s="33">
        <f t="shared" ca="1" si="2"/>
        <v>15737.12000000001</v>
      </c>
      <c r="S14" s="36">
        <f t="shared" ca="1" si="3"/>
        <v>0.15946384402514205</v>
      </c>
      <c r="T14" s="31">
        <v>18</v>
      </c>
      <c r="U14" s="31"/>
      <c r="V14" s="31" t="s">
        <v>110</v>
      </c>
      <c r="W14" s="31" t="s">
        <v>1048</v>
      </c>
    </row>
    <row r="15" spans="1:76">
      <c r="A15" s="31" t="s">
        <v>364</v>
      </c>
      <c r="B15" s="31" t="s">
        <v>36</v>
      </c>
      <c r="C15" s="31" t="s">
        <v>69</v>
      </c>
      <c r="D15" s="31" t="s">
        <v>53</v>
      </c>
      <c r="E15" s="31"/>
      <c r="F15" s="31">
        <v>260</v>
      </c>
      <c r="G15" s="33">
        <v>75946</v>
      </c>
      <c r="H15" s="33">
        <v>292.10000000000002</v>
      </c>
      <c r="I15" s="31">
        <v>260</v>
      </c>
      <c r="J15" s="33">
        <v>70604.55</v>
      </c>
      <c r="K15" s="33">
        <v>271.56</v>
      </c>
      <c r="L15" s="31">
        <v>0</v>
      </c>
      <c r="M15" s="33">
        <v>0</v>
      </c>
      <c r="N15" s="33">
        <f>IFERROR(INDEX(Price_Update!$F:$F, MATCH(A15, Price_Update!$A:$A, 0)), 263.7)</f>
        <v>263.7</v>
      </c>
      <c r="O15" s="33">
        <f t="shared" si="0"/>
        <v>0</v>
      </c>
      <c r="P15" s="33">
        <v>-5341.45</v>
      </c>
      <c r="Q15" s="33">
        <f t="shared" si="1"/>
        <v>0</v>
      </c>
      <c r="R15" s="33">
        <f t="shared" si="2"/>
        <v>-5341.45</v>
      </c>
      <c r="S15" s="36">
        <f t="shared" si="3"/>
        <v>-7.0332209727964598E-2</v>
      </c>
      <c r="T15" s="31">
        <v>91</v>
      </c>
      <c r="U15" s="31"/>
      <c r="V15" s="31" t="s">
        <v>110</v>
      </c>
      <c r="W15" s="31" t="s">
        <v>1047</v>
      </c>
    </row>
    <row r="16" spans="1:76">
      <c r="A16" s="31" t="s">
        <v>437</v>
      </c>
      <c r="B16" s="31" t="s">
        <v>39</v>
      </c>
      <c r="C16" s="31" t="s">
        <v>69</v>
      </c>
      <c r="D16" s="31" t="s">
        <v>53</v>
      </c>
      <c r="E16" s="31"/>
      <c r="F16" s="31">
        <v>465</v>
      </c>
      <c r="G16" s="33">
        <v>75179.430000000008</v>
      </c>
      <c r="H16" s="33">
        <v>161.68</v>
      </c>
      <c r="I16" s="31">
        <v>465</v>
      </c>
      <c r="J16" s="33">
        <v>71056.850000000006</v>
      </c>
      <c r="K16" s="33">
        <v>152.81</v>
      </c>
      <c r="L16" s="31">
        <v>0</v>
      </c>
      <c r="M16" s="33">
        <v>0</v>
      </c>
      <c r="N16" s="33">
        <f>IFERROR(INDEX(Price_Update!$F:$F, MATCH(A16, Price_Update!$A:$A, 0)), 141.46)</f>
        <v>141.46</v>
      </c>
      <c r="O16" s="33">
        <f t="shared" si="0"/>
        <v>0</v>
      </c>
      <c r="P16" s="33">
        <v>-4124.3500000000004</v>
      </c>
      <c r="Q16" s="33">
        <f t="shared" si="1"/>
        <v>0</v>
      </c>
      <c r="R16" s="33">
        <f t="shared" si="2"/>
        <v>-4124.3500000000004</v>
      </c>
      <c r="S16" s="36">
        <f t="shared" si="3"/>
        <v>-5.4860086063435169E-2</v>
      </c>
      <c r="T16" s="31">
        <v>61</v>
      </c>
      <c r="U16" s="31"/>
      <c r="V16" s="31" t="s">
        <v>110</v>
      </c>
      <c r="W16" s="31" t="s">
        <v>1047</v>
      </c>
    </row>
    <row r="17" spans="1:23">
      <c r="A17" s="31" t="s">
        <v>456</v>
      </c>
      <c r="B17" s="31" t="s">
        <v>36</v>
      </c>
      <c r="C17" s="31" t="s">
        <v>64</v>
      </c>
      <c r="D17" s="31" t="s">
        <v>53</v>
      </c>
      <c r="E17" s="31"/>
      <c r="F17" s="31">
        <v>222</v>
      </c>
      <c r="G17" s="33">
        <v>100778.25</v>
      </c>
      <c r="H17" s="33">
        <v>453.96</v>
      </c>
      <c r="I17" s="31">
        <v>222</v>
      </c>
      <c r="J17" s="33">
        <v>94405.5</v>
      </c>
      <c r="K17" s="33">
        <v>425.25</v>
      </c>
      <c r="L17" s="31">
        <v>0</v>
      </c>
      <c r="M17" s="33">
        <v>0</v>
      </c>
      <c r="N17" s="33">
        <f>IFERROR(INDEX(Price_Update!$F:$F, MATCH(A17, Price_Update!$A:$A, 0)), 408.2)</f>
        <v>408.2</v>
      </c>
      <c r="O17" s="33">
        <f t="shared" si="0"/>
        <v>0</v>
      </c>
      <c r="P17" s="33">
        <v>-6373.62</v>
      </c>
      <c r="Q17" s="33">
        <f t="shared" si="1"/>
        <v>0</v>
      </c>
      <c r="R17" s="33">
        <f t="shared" si="2"/>
        <v>-6373.62</v>
      </c>
      <c r="S17" s="36">
        <f t="shared" si="3"/>
        <v>-6.3244003542431024E-2</v>
      </c>
      <c r="T17" s="31">
        <v>105</v>
      </c>
      <c r="U17" s="31"/>
      <c r="V17" s="31" t="s">
        <v>110</v>
      </c>
      <c r="W17" s="31" t="s">
        <v>1048</v>
      </c>
    </row>
    <row r="18" spans="1:23">
      <c r="A18" s="31" t="s">
        <v>378</v>
      </c>
      <c r="B18" s="31" t="s">
        <v>39</v>
      </c>
      <c r="C18" s="31" t="s">
        <v>64</v>
      </c>
      <c r="D18" s="31" t="s">
        <v>53</v>
      </c>
      <c r="E18" s="31"/>
      <c r="F18" s="31">
        <v>36</v>
      </c>
      <c r="G18" s="33">
        <v>50176.800000000003</v>
      </c>
      <c r="H18" s="33">
        <v>1393.8</v>
      </c>
      <c r="I18" s="31">
        <v>36</v>
      </c>
      <c r="J18" s="33">
        <v>50997.599999999999</v>
      </c>
      <c r="K18" s="33">
        <v>1416.6</v>
      </c>
      <c r="L18" s="31">
        <v>0</v>
      </c>
      <c r="M18" s="33">
        <v>0</v>
      </c>
      <c r="N18" s="33">
        <f>IFERROR(INDEX(Price_Update!$F:$F, MATCH(A18, Price_Update!$A:$A, 0)), 1929.8)</f>
        <v>1929.8</v>
      </c>
      <c r="O18" s="33">
        <f t="shared" si="0"/>
        <v>0</v>
      </c>
      <c r="P18" s="33">
        <v>820.8</v>
      </c>
      <c r="Q18" s="33">
        <f t="shared" si="1"/>
        <v>0</v>
      </c>
      <c r="R18" s="33">
        <f t="shared" si="2"/>
        <v>820.8</v>
      </c>
      <c r="S18" s="36">
        <f t="shared" si="3"/>
        <v>1.635815755488592E-2</v>
      </c>
      <c r="T18" s="31">
        <v>77</v>
      </c>
      <c r="U18" s="31"/>
      <c r="V18" s="31" t="s">
        <v>110</v>
      </c>
      <c r="W18" s="31" t="s">
        <v>1048</v>
      </c>
    </row>
    <row r="19" spans="1:23">
      <c r="A19" s="31" t="s">
        <v>355</v>
      </c>
      <c r="B19" s="31" t="s">
        <v>36</v>
      </c>
      <c r="C19" s="31" t="s">
        <v>64</v>
      </c>
      <c r="D19" s="31" t="s">
        <v>53</v>
      </c>
      <c r="E19" s="31"/>
      <c r="F19" s="31">
        <v>82</v>
      </c>
      <c r="G19" s="33">
        <v>30151.4</v>
      </c>
      <c r="H19" s="33">
        <v>367.7</v>
      </c>
      <c r="I19" s="31">
        <v>82</v>
      </c>
      <c r="J19" s="33">
        <v>24735.3</v>
      </c>
      <c r="K19" s="33">
        <v>301.64999999999998</v>
      </c>
      <c r="L19" s="31">
        <v>0</v>
      </c>
      <c r="M19" s="33">
        <v>0</v>
      </c>
      <c r="N19" s="33">
        <f>IFERROR(INDEX(Price_Update!$F:$F, MATCH(A19, Price_Update!$A:$A, 0)), 295)</f>
        <v>295</v>
      </c>
      <c r="O19" s="33">
        <f t="shared" si="0"/>
        <v>0</v>
      </c>
      <c r="P19" s="33">
        <v>-5416.1</v>
      </c>
      <c r="Q19" s="33">
        <f t="shared" si="1"/>
        <v>0</v>
      </c>
      <c r="R19" s="33">
        <f t="shared" si="2"/>
        <v>-5416.1</v>
      </c>
      <c r="S19" s="36">
        <f t="shared" si="3"/>
        <v>-0.17963013326081045</v>
      </c>
      <c r="T19" s="31">
        <v>182</v>
      </c>
      <c r="U19" s="31"/>
      <c r="V19" s="31" t="s">
        <v>110</v>
      </c>
      <c r="W19" s="31" t="s">
        <v>1048</v>
      </c>
    </row>
    <row r="20" spans="1:23">
      <c r="A20" s="31" t="s">
        <v>80</v>
      </c>
      <c r="B20" s="31" t="s">
        <v>36</v>
      </c>
      <c r="C20" s="31" t="s">
        <v>69</v>
      </c>
      <c r="D20" s="31" t="s">
        <v>54</v>
      </c>
      <c r="E20" s="31" t="s">
        <v>103</v>
      </c>
      <c r="F20" s="31">
        <v>30</v>
      </c>
      <c r="G20" s="33">
        <v>100770.003</v>
      </c>
      <c r="H20" s="33">
        <v>3359</v>
      </c>
      <c r="I20" s="31">
        <v>0</v>
      </c>
      <c r="J20" s="33">
        <v>0</v>
      </c>
      <c r="K20" s="33">
        <v>0</v>
      </c>
      <c r="L20" s="31">
        <v>30</v>
      </c>
      <c r="M20" s="33">
        <v>100770</v>
      </c>
      <c r="N20" s="33">
        <f ca="1">IFERROR(INDEX(Price_Update!$F:$F, MATCH(A20, Price_Update!$A:$A, 0)), 3880)</f>
        <v>3880</v>
      </c>
      <c r="O20" s="33">
        <f t="shared" ca="1" si="0"/>
        <v>116400</v>
      </c>
      <c r="P20" s="33">
        <v>0</v>
      </c>
      <c r="Q20" s="33">
        <f t="shared" ca="1" si="1"/>
        <v>15630</v>
      </c>
      <c r="R20" s="33">
        <f t="shared" ca="1" si="2"/>
        <v>15630</v>
      </c>
      <c r="S20" s="36">
        <f t="shared" ca="1" si="3"/>
        <v>0.15510568159852095</v>
      </c>
      <c r="T20" s="31">
        <v>179</v>
      </c>
      <c r="U20" s="31"/>
      <c r="V20" s="31" t="s">
        <v>110</v>
      </c>
      <c r="W20" s="31" t="s">
        <v>1048</v>
      </c>
    </row>
    <row r="21" spans="1:23">
      <c r="A21" s="31" t="s">
        <v>392</v>
      </c>
      <c r="B21" s="31" t="s">
        <v>32</v>
      </c>
      <c r="C21" s="31" t="s">
        <v>70</v>
      </c>
      <c r="D21" s="31" t="s">
        <v>53</v>
      </c>
      <c r="E21" s="31"/>
      <c r="F21" s="31">
        <v>228</v>
      </c>
      <c r="G21" s="33">
        <v>99912.15</v>
      </c>
      <c r="H21" s="33">
        <v>438.21</v>
      </c>
      <c r="I21" s="31">
        <v>228</v>
      </c>
      <c r="J21" s="33">
        <v>90155.400000000009</v>
      </c>
      <c r="K21" s="33">
        <v>395.42</v>
      </c>
      <c r="L21" s="31">
        <v>0</v>
      </c>
      <c r="M21" s="33">
        <v>0</v>
      </c>
      <c r="N21" s="33">
        <f>IFERROR(INDEX(Price_Update!$F:$F, MATCH(A21, Price_Update!$A:$A, 0)), 327.8)</f>
        <v>327.8</v>
      </c>
      <c r="O21" s="33">
        <f t="shared" si="0"/>
        <v>0</v>
      </c>
      <c r="P21" s="33">
        <v>-9756.48</v>
      </c>
      <c r="Q21" s="33">
        <f t="shared" si="1"/>
        <v>0</v>
      </c>
      <c r="R21" s="33">
        <f t="shared" si="2"/>
        <v>-9756.48</v>
      </c>
      <c r="S21" s="36">
        <f t="shared" si="3"/>
        <v>-9.7650586039835993E-2</v>
      </c>
      <c r="T21" s="31">
        <v>50</v>
      </c>
      <c r="U21" s="31"/>
      <c r="V21" s="31" t="s">
        <v>110</v>
      </c>
      <c r="W21" s="31" t="s">
        <v>1047</v>
      </c>
    </row>
    <row r="22" spans="1:23">
      <c r="A22" s="31" t="s">
        <v>289</v>
      </c>
      <c r="B22" s="31" t="s">
        <v>36</v>
      </c>
      <c r="C22" s="31" t="s">
        <v>69</v>
      </c>
      <c r="D22" s="31" t="s">
        <v>53</v>
      </c>
      <c r="E22" s="31"/>
      <c r="F22" s="31">
        <v>2062</v>
      </c>
      <c r="G22" s="33">
        <v>269285.90000000002</v>
      </c>
      <c r="H22" s="33">
        <v>130.59</v>
      </c>
      <c r="I22" s="31">
        <v>2078</v>
      </c>
      <c r="J22" s="33">
        <v>267524.40000000002</v>
      </c>
      <c r="K22" s="33">
        <v>128.74</v>
      </c>
      <c r="L22" s="31">
        <v>-16</v>
      </c>
      <c r="M22" s="33">
        <v>-2089.44</v>
      </c>
      <c r="N22" s="33">
        <f>IFERROR(INDEX(Price_Update!$F:$F, MATCH(A22, Price_Update!$A:$A, 0)), 135.81)</f>
        <v>135.81</v>
      </c>
      <c r="O22" s="33">
        <f t="shared" si="0"/>
        <v>-2172.96</v>
      </c>
      <c r="P22" s="33">
        <v>-3841.62</v>
      </c>
      <c r="Q22" s="33">
        <f t="shared" si="1"/>
        <v>-83.519999999999982</v>
      </c>
      <c r="R22" s="33">
        <f t="shared" si="2"/>
        <v>-3925.14</v>
      </c>
      <c r="S22" s="36">
        <f t="shared" si="3"/>
        <v>-1.457610665838798E-2</v>
      </c>
      <c r="T22" s="31">
        <v>151</v>
      </c>
      <c r="U22" s="31"/>
      <c r="V22" s="31" t="s">
        <v>110</v>
      </c>
      <c r="W22" s="31" t="s">
        <v>1047</v>
      </c>
    </row>
    <row r="23" spans="1:23">
      <c r="A23" s="31" t="s">
        <v>692</v>
      </c>
      <c r="B23" s="31" t="s">
        <v>32</v>
      </c>
      <c r="C23" s="31" t="s">
        <v>68</v>
      </c>
      <c r="D23" s="31" t="s">
        <v>54</v>
      </c>
      <c r="E23" s="31" t="s">
        <v>100</v>
      </c>
      <c r="F23" s="31">
        <v>15</v>
      </c>
      <c r="G23" s="33">
        <v>29586</v>
      </c>
      <c r="H23" s="33">
        <v>1972.4</v>
      </c>
      <c r="I23" s="31">
        <v>0</v>
      </c>
      <c r="J23" s="33">
        <v>0</v>
      </c>
      <c r="K23" s="33">
        <v>0</v>
      </c>
      <c r="L23" s="31">
        <v>15</v>
      </c>
      <c r="M23" s="33">
        <v>29586</v>
      </c>
      <c r="N23" s="33">
        <f ca="1">IFERROR(INDEX(Price_Update!$F:$F, MATCH(A23, Price_Update!$A:$A, 0)), 2033.1)</f>
        <v>2033.1</v>
      </c>
      <c r="O23" s="33">
        <f t="shared" ca="1" si="0"/>
        <v>30496.5</v>
      </c>
      <c r="P23" s="33">
        <v>0</v>
      </c>
      <c r="Q23" s="33">
        <f t="shared" ca="1" si="1"/>
        <v>910.5</v>
      </c>
      <c r="R23" s="33">
        <f t="shared" ca="1" si="2"/>
        <v>910.5</v>
      </c>
      <c r="S23" s="36">
        <f t="shared" ca="1" si="3"/>
        <v>3.0774690732103021E-2</v>
      </c>
      <c r="T23" s="31">
        <v>3</v>
      </c>
      <c r="U23" s="31"/>
      <c r="V23" s="31" t="s">
        <v>110</v>
      </c>
      <c r="W23" s="31" t="s">
        <v>1047</v>
      </c>
    </row>
    <row r="24" spans="1:23">
      <c r="A24" s="31" t="s">
        <v>623</v>
      </c>
      <c r="B24" s="31" t="s">
        <v>32</v>
      </c>
      <c r="C24" s="31" t="s">
        <v>66</v>
      </c>
      <c r="D24" s="31" t="s">
        <v>54</v>
      </c>
      <c r="E24" s="31" t="s">
        <v>100</v>
      </c>
      <c r="F24" s="31">
        <v>27</v>
      </c>
      <c r="G24" s="33">
        <v>29735.1</v>
      </c>
      <c r="H24" s="33">
        <v>1101.3</v>
      </c>
      <c r="I24" s="31">
        <v>0</v>
      </c>
      <c r="J24" s="33">
        <v>0</v>
      </c>
      <c r="K24" s="33">
        <v>0</v>
      </c>
      <c r="L24" s="31">
        <v>27</v>
      </c>
      <c r="M24" s="33">
        <v>29735.1</v>
      </c>
      <c r="N24" s="33">
        <f ca="1">IFERROR(INDEX(Price_Update!$F:$F, MATCH(A24, Price_Update!$A:$A, 0)), 1102)</f>
        <v>1102</v>
      </c>
      <c r="O24" s="33">
        <f t="shared" ca="1" si="0"/>
        <v>29754</v>
      </c>
      <c r="P24" s="33">
        <v>0</v>
      </c>
      <c r="Q24" s="33">
        <f t="shared" ca="1" si="1"/>
        <v>18.900000000001455</v>
      </c>
      <c r="R24" s="33">
        <f t="shared" ca="1" si="2"/>
        <v>18.900000000001455</v>
      </c>
      <c r="S24" s="36">
        <f t="shared" ca="1" si="3"/>
        <v>6.3561245800422583E-4</v>
      </c>
      <c r="T24" s="31">
        <v>3</v>
      </c>
      <c r="U24" s="31"/>
      <c r="V24" s="31" t="s">
        <v>110</v>
      </c>
      <c r="W24" s="31" t="s">
        <v>1047</v>
      </c>
    </row>
    <row r="25" spans="1:23">
      <c r="A25" s="31" t="s">
        <v>130</v>
      </c>
      <c r="B25" s="31" t="s">
        <v>32</v>
      </c>
      <c r="C25" s="31" t="s">
        <v>66</v>
      </c>
      <c r="D25" s="31" t="s">
        <v>54</v>
      </c>
      <c r="E25" s="31" t="s">
        <v>100</v>
      </c>
      <c r="F25" s="31">
        <v>49</v>
      </c>
      <c r="G25" s="33">
        <v>50624.600000000013</v>
      </c>
      <c r="H25" s="33">
        <v>1033.1600000000001</v>
      </c>
      <c r="I25" s="31">
        <v>0</v>
      </c>
      <c r="J25" s="33">
        <v>0</v>
      </c>
      <c r="K25" s="33">
        <v>0</v>
      </c>
      <c r="L25" s="31">
        <v>49</v>
      </c>
      <c r="M25" s="33">
        <v>50624.84</v>
      </c>
      <c r="N25" s="33">
        <f ca="1">IFERROR(INDEX(Price_Update!$F:$F, MATCH(A25, Price_Update!$A:$A, 0)), 1079.1)</f>
        <v>1079.0999999999999</v>
      </c>
      <c r="O25" s="33">
        <f t="shared" ca="1" si="0"/>
        <v>52875.899999999994</v>
      </c>
      <c r="P25" s="33">
        <v>0</v>
      </c>
      <c r="Q25" s="33">
        <f t="shared" ca="1" si="1"/>
        <v>2251.0599999999977</v>
      </c>
      <c r="R25" s="33">
        <f t="shared" ca="1" si="2"/>
        <v>2251.0599999999977</v>
      </c>
      <c r="S25" s="36">
        <f t="shared" ca="1" si="3"/>
        <v>4.4465734050244288E-2</v>
      </c>
      <c r="T25" s="31">
        <v>88</v>
      </c>
      <c r="U25" s="31"/>
      <c r="V25" s="31" t="s">
        <v>110</v>
      </c>
      <c r="W25" s="31" t="s">
        <v>1047</v>
      </c>
    </row>
    <row r="26" spans="1:23">
      <c r="A26" s="31" t="s">
        <v>58</v>
      </c>
      <c r="B26" s="31" t="s">
        <v>36</v>
      </c>
      <c r="C26" s="31" t="s">
        <v>64</v>
      </c>
      <c r="D26" s="31" t="s">
        <v>53</v>
      </c>
      <c r="E26" s="31" t="s">
        <v>105</v>
      </c>
      <c r="F26" s="31">
        <v>263</v>
      </c>
      <c r="G26" s="33">
        <v>227322.35</v>
      </c>
      <c r="H26" s="33">
        <v>864.34</v>
      </c>
      <c r="I26" s="31">
        <v>33</v>
      </c>
      <c r="J26" s="33">
        <v>25000.799999999999</v>
      </c>
      <c r="K26" s="33">
        <v>757.6</v>
      </c>
      <c r="L26" s="31">
        <v>230</v>
      </c>
      <c r="M26" s="33">
        <v>198798.2</v>
      </c>
      <c r="N26" s="33">
        <f ca="1">IFERROR(INDEX(Price_Update!$F:$F, MATCH(A26, Price_Update!$A:$A, 0)), 937.85)</f>
        <v>937.85</v>
      </c>
      <c r="O26" s="33">
        <f t="shared" ca="1" si="0"/>
        <v>215705.5</v>
      </c>
      <c r="P26" s="33">
        <v>-3522.42</v>
      </c>
      <c r="Q26" s="33">
        <f t="shared" ca="1" si="1"/>
        <v>16907.299999999988</v>
      </c>
      <c r="R26" s="33">
        <f t="shared" ca="1" si="2"/>
        <v>13384.879999999988</v>
      </c>
      <c r="S26" s="36">
        <f t="shared" ca="1" si="3"/>
        <v>5.888061600630113E-2</v>
      </c>
      <c r="T26" s="31">
        <v>113</v>
      </c>
      <c r="U26" s="31"/>
      <c r="V26" s="31" t="s">
        <v>110</v>
      </c>
      <c r="W26" s="31" t="s">
        <v>1048</v>
      </c>
    </row>
    <row r="27" spans="1:23">
      <c r="A27" s="31" t="s">
        <v>352</v>
      </c>
      <c r="B27" s="31" t="s">
        <v>32</v>
      </c>
      <c r="C27" s="31" t="s">
        <v>64</v>
      </c>
      <c r="D27" s="31" t="s">
        <v>53</v>
      </c>
      <c r="E27" s="31"/>
      <c r="F27" s="31">
        <v>42</v>
      </c>
      <c r="G27" s="33">
        <v>40147.050000000003</v>
      </c>
      <c r="H27" s="33">
        <v>955.88</v>
      </c>
      <c r="I27" s="31">
        <v>52</v>
      </c>
      <c r="J27" s="33">
        <v>42377.3</v>
      </c>
      <c r="K27" s="33">
        <v>814.95</v>
      </c>
      <c r="L27" s="31">
        <v>-10</v>
      </c>
      <c r="M27" s="33">
        <v>-9558.7999999999993</v>
      </c>
      <c r="N27" s="33">
        <f>IFERROR(INDEX(Price_Update!$F:$F, MATCH(A27, Price_Update!$A:$A, 0)), 1181.4)</f>
        <v>1181.4000000000001</v>
      </c>
      <c r="O27" s="33">
        <f t="shared" si="0"/>
        <v>-11814</v>
      </c>
      <c r="P27" s="33">
        <v>-7328.46</v>
      </c>
      <c r="Q27" s="33">
        <f t="shared" si="1"/>
        <v>-2255.2000000000007</v>
      </c>
      <c r="R27" s="33">
        <f t="shared" si="2"/>
        <v>-9583.66</v>
      </c>
      <c r="S27" s="36">
        <f t="shared" si="3"/>
        <v>-0.23871392792247498</v>
      </c>
      <c r="T27" s="31">
        <v>214</v>
      </c>
      <c r="U27" s="31"/>
      <c r="V27" s="31" t="s">
        <v>110</v>
      </c>
      <c r="W27" s="31" t="s">
        <v>1048</v>
      </c>
    </row>
    <row r="28" spans="1:23">
      <c r="A28" s="31" t="s">
        <v>253</v>
      </c>
      <c r="B28" s="31" t="s">
        <v>36</v>
      </c>
      <c r="C28" s="31" t="s">
        <v>68</v>
      </c>
      <c r="D28" s="31" t="s">
        <v>54</v>
      </c>
      <c r="E28" s="31"/>
      <c r="F28" s="31">
        <v>64</v>
      </c>
      <c r="G28" s="33">
        <v>99129.600000000006</v>
      </c>
      <c r="H28" s="33">
        <v>1548.9</v>
      </c>
      <c r="I28" s="31">
        <v>64</v>
      </c>
      <c r="J28" s="33">
        <v>83161.600000000006</v>
      </c>
      <c r="K28" s="33">
        <v>1299.4000000000001</v>
      </c>
      <c r="L28" s="31">
        <v>0</v>
      </c>
      <c r="M28" s="33">
        <v>0</v>
      </c>
      <c r="N28" s="33">
        <f>IFERROR(INDEX(Price_Update!$F:$F, MATCH(A28, Price_Update!$A:$A, 0)), 1401.3)</f>
        <v>1401.3</v>
      </c>
      <c r="O28" s="33">
        <f t="shared" si="0"/>
        <v>0</v>
      </c>
      <c r="P28" s="33">
        <v>-15968</v>
      </c>
      <c r="Q28" s="33">
        <f t="shared" si="1"/>
        <v>0</v>
      </c>
      <c r="R28" s="33">
        <f t="shared" si="2"/>
        <v>-15968</v>
      </c>
      <c r="S28" s="36">
        <f t="shared" si="3"/>
        <v>-0.16108205823487634</v>
      </c>
      <c r="T28" s="31">
        <v>147</v>
      </c>
      <c r="U28" s="31"/>
      <c r="V28" s="31" t="s">
        <v>110</v>
      </c>
      <c r="W28" s="31" t="s">
        <v>1047</v>
      </c>
    </row>
    <row r="29" spans="1:23">
      <c r="A29" s="31" t="s">
        <v>653</v>
      </c>
      <c r="B29" s="31" t="s">
        <v>32</v>
      </c>
      <c r="C29" s="31" t="s">
        <v>64</v>
      </c>
      <c r="D29" s="31" t="s">
        <v>54</v>
      </c>
      <c r="E29" s="31" t="s">
        <v>100</v>
      </c>
      <c r="F29" s="31">
        <v>6</v>
      </c>
      <c r="G29" s="33">
        <v>53748</v>
      </c>
      <c r="H29" s="33">
        <v>8958</v>
      </c>
      <c r="I29" s="31">
        <v>0</v>
      </c>
      <c r="J29" s="33">
        <v>0</v>
      </c>
      <c r="K29" s="33">
        <v>0</v>
      </c>
      <c r="L29" s="31">
        <v>6</v>
      </c>
      <c r="M29" s="33">
        <v>53748</v>
      </c>
      <c r="N29" s="33">
        <f ca="1">IFERROR(INDEX(Price_Update!$F:$F, MATCH(A29, Price_Update!$A:$A, 0)), 9065)</f>
        <v>9065</v>
      </c>
      <c r="O29" s="33">
        <f t="shared" ca="1" si="0"/>
        <v>54390</v>
      </c>
      <c r="P29" s="33">
        <v>0</v>
      </c>
      <c r="Q29" s="33">
        <f t="shared" ca="1" si="1"/>
        <v>642</v>
      </c>
      <c r="R29" s="33">
        <f t="shared" ca="1" si="2"/>
        <v>642</v>
      </c>
      <c r="S29" s="36">
        <f t="shared" ca="1" si="3"/>
        <v>1.1944630497878991E-2</v>
      </c>
      <c r="T29" s="31">
        <v>3</v>
      </c>
      <c r="U29" s="31"/>
      <c r="V29" s="31" t="s">
        <v>110</v>
      </c>
      <c r="W29" s="31" t="s">
        <v>1048</v>
      </c>
    </row>
    <row r="30" spans="1:23">
      <c r="A30" s="31" t="s">
        <v>55</v>
      </c>
      <c r="B30" s="31" t="s">
        <v>32</v>
      </c>
      <c r="C30" s="31" t="s">
        <v>66</v>
      </c>
      <c r="D30" s="31" t="s">
        <v>53</v>
      </c>
      <c r="E30" s="31" t="s">
        <v>105</v>
      </c>
      <c r="F30" s="31">
        <v>2490</v>
      </c>
      <c r="G30" s="33">
        <v>243383.46</v>
      </c>
      <c r="H30" s="33">
        <v>97.74</v>
      </c>
      <c r="I30" s="31">
        <v>665</v>
      </c>
      <c r="J30" s="33">
        <v>48531.7</v>
      </c>
      <c r="K30" s="33">
        <v>72.98</v>
      </c>
      <c r="L30" s="31">
        <v>1825</v>
      </c>
      <c r="M30" s="33">
        <v>178375.5</v>
      </c>
      <c r="N30" s="33">
        <f ca="1">IFERROR(INDEX(Price_Update!$F:$F, MATCH(A30, Price_Update!$A:$A, 0)), 137.1)</f>
        <v>137.1</v>
      </c>
      <c r="O30" s="33">
        <f t="shared" ca="1" si="0"/>
        <v>250207.5</v>
      </c>
      <c r="P30" s="33">
        <v>-16465.400000000001</v>
      </c>
      <c r="Q30" s="33">
        <f t="shared" ca="1" si="1"/>
        <v>71832</v>
      </c>
      <c r="R30" s="33">
        <f t="shared" ca="1" si="2"/>
        <v>55366.6</v>
      </c>
      <c r="S30" s="36">
        <f t="shared" ca="1" si="3"/>
        <v>0.22748711025802656</v>
      </c>
      <c r="T30" s="31">
        <v>150</v>
      </c>
      <c r="U30" s="31" t="s">
        <v>109</v>
      </c>
      <c r="V30" s="31" t="s">
        <v>110</v>
      </c>
      <c r="W30" s="31" t="s">
        <v>1047</v>
      </c>
    </row>
    <row r="31" spans="1:23">
      <c r="A31" s="31" t="s">
        <v>264</v>
      </c>
      <c r="B31" s="31" t="s">
        <v>36</v>
      </c>
      <c r="C31" s="31" t="s">
        <v>66</v>
      </c>
      <c r="D31" s="31" t="s">
        <v>54</v>
      </c>
      <c r="E31" s="31"/>
      <c r="F31" s="31">
        <v>19</v>
      </c>
      <c r="G31" s="33">
        <v>89756.600600000005</v>
      </c>
      <c r="H31" s="33">
        <v>4724.03</v>
      </c>
      <c r="I31" s="31">
        <v>19</v>
      </c>
      <c r="J31" s="33">
        <v>77079.199999999997</v>
      </c>
      <c r="K31" s="33">
        <v>4056.8</v>
      </c>
      <c r="L31" s="31">
        <v>0</v>
      </c>
      <c r="M31" s="33">
        <v>0</v>
      </c>
      <c r="N31" s="33">
        <f>IFERROR(INDEX(Price_Update!$F:$F, MATCH(A31, Price_Update!$A:$A, 0)), 4144.2)</f>
        <v>4144.2</v>
      </c>
      <c r="O31" s="33">
        <f t="shared" si="0"/>
        <v>0</v>
      </c>
      <c r="P31" s="33">
        <v>-12677.37</v>
      </c>
      <c r="Q31" s="33">
        <f t="shared" si="1"/>
        <v>0</v>
      </c>
      <c r="R31" s="33">
        <f t="shared" si="2"/>
        <v>-12677.37</v>
      </c>
      <c r="S31" s="36">
        <f t="shared" si="3"/>
        <v>-0.14124164590966026</v>
      </c>
      <c r="T31" s="31">
        <v>64</v>
      </c>
      <c r="U31" s="31"/>
      <c r="V31" s="31" t="s">
        <v>110</v>
      </c>
      <c r="W31" s="31" t="s">
        <v>1047</v>
      </c>
    </row>
    <row r="32" spans="1:23">
      <c r="A32" s="31" t="s">
        <v>334</v>
      </c>
      <c r="B32" s="31" t="s">
        <v>36</v>
      </c>
      <c r="C32" s="31" t="s">
        <v>70</v>
      </c>
      <c r="D32" s="31" t="s">
        <v>53</v>
      </c>
      <c r="E32" s="31"/>
      <c r="F32" s="31">
        <v>75</v>
      </c>
      <c r="G32" s="33">
        <v>25440</v>
      </c>
      <c r="H32" s="33">
        <v>339.2</v>
      </c>
      <c r="I32" s="31">
        <v>75</v>
      </c>
      <c r="J32" s="33">
        <v>22856.25</v>
      </c>
      <c r="K32" s="33">
        <v>304.75</v>
      </c>
      <c r="L32" s="31">
        <v>0</v>
      </c>
      <c r="M32" s="33">
        <v>0</v>
      </c>
      <c r="N32" s="33">
        <f>IFERROR(INDEX(Price_Update!$F:$F, MATCH(A32, Price_Update!$A:$A, 0)), 256.5)</f>
        <v>256.5</v>
      </c>
      <c r="O32" s="33">
        <f t="shared" si="0"/>
        <v>0</v>
      </c>
      <c r="P32" s="33">
        <v>-2583.75</v>
      </c>
      <c r="Q32" s="33">
        <f t="shared" si="1"/>
        <v>0</v>
      </c>
      <c r="R32" s="33">
        <f t="shared" si="2"/>
        <v>-2583.75</v>
      </c>
      <c r="S32" s="36">
        <f t="shared" si="3"/>
        <v>-0.1015625</v>
      </c>
      <c r="T32" s="31">
        <v>20</v>
      </c>
      <c r="U32" s="31"/>
      <c r="V32" s="31" t="s">
        <v>110</v>
      </c>
      <c r="W32" s="31" t="s">
        <v>1047</v>
      </c>
    </row>
    <row r="33" spans="1:23">
      <c r="A33" s="31" t="s">
        <v>138</v>
      </c>
      <c r="B33" s="31" t="s">
        <v>32</v>
      </c>
      <c r="C33" s="31" t="s">
        <v>64</v>
      </c>
      <c r="D33" s="31" t="s">
        <v>53</v>
      </c>
      <c r="E33" s="31" t="s">
        <v>100</v>
      </c>
      <c r="F33" s="31">
        <v>129</v>
      </c>
      <c r="G33" s="33">
        <v>50264.849999999991</v>
      </c>
      <c r="H33" s="33">
        <v>389.65</v>
      </c>
      <c r="I33" s="31">
        <v>0</v>
      </c>
      <c r="J33" s="33">
        <v>0</v>
      </c>
      <c r="K33" s="33">
        <v>0</v>
      </c>
      <c r="L33" s="31">
        <v>129</v>
      </c>
      <c r="M33" s="33">
        <v>50264.85</v>
      </c>
      <c r="N33" s="33">
        <f ca="1">IFERROR(INDEX(Price_Update!$F:$F, MATCH(A33, Price_Update!$A:$A, 0)), 399.55)</f>
        <v>399.55</v>
      </c>
      <c r="O33" s="33">
        <f t="shared" ca="1" si="0"/>
        <v>51541.950000000004</v>
      </c>
      <c r="P33" s="33">
        <v>0</v>
      </c>
      <c r="Q33" s="33">
        <f t="shared" ca="1" si="1"/>
        <v>1277.1000000000058</v>
      </c>
      <c r="R33" s="33">
        <f t="shared" ca="1" si="2"/>
        <v>1277.1000000000058</v>
      </c>
      <c r="S33" s="36">
        <f t="shared" ca="1" si="3"/>
        <v>2.5407416912614004E-2</v>
      </c>
      <c r="T33" s="31">
        <v>4</v>
      </c>
      <c r="U33" s="31"/>
      <c r="V33" s="31" t="s">
        <v>110</v>
      </c>
      <c r="W33" s="31" t="s">
        <v>1048</v>
      </c>
    </row>
    <row r="34" spans="1:23">
      <c r="A34" s="31" t="s">
        <v>82</v>
      </c>
      <c r="B34" s="31" t="s">
        <v>32</v>
      </c>
      <c r="C34" s="31" t="s">
        <v>68</v>
      </c>
      <c r="D34" s="31" t="s">
        <v>54</v>
      </c>
      <c r="E34" s="31" t="s">
        <v>100</v>
      </c>
      <c r="F34" s="31">
        <v>685</v>
      </c>
      <c r="G34" s="33">
        <v>29016.6</v>
      </c>
      <c r="H34" s="33">
        <v>42.36</v>
      </c>
      <c r="I34" s="31">
        <v>0</v>
      </c>
      <c r="J34" s="33">
        <v>0</v>
      </c>
      <c r="K34" s="33">
        <v>0</v>
      </c>
      <c r="L34" s="31">
        <v>685</v>
      </c>
      <c r="M34" s="33">
        <v>29016.6</v>
      </c>
      <c r="N34" s="33">
        <f ca="1">IFERROR(INDEX(Price_Update!$F:$F, MATCH(A34, Price_Update!$A:$A, 0)), 40.73)</f>
        <v>40.729999999999997</v>
      </c>
      <c r="O34" s="33">
        <f t="shared" ca="1" si="0"/>
        <v>27900.05</v>
      </c>
      <c r="P34" s="33">
        <v>0</v>
      </c>
      <c r="Q34" s="33">
        <f t="shared" ca="1" si="1"/>
        <v>-1116.5499999999993</v>
      </c>
      <c r="R34" s="33">
        <f t="shared" ca="1" si="2"/>
        <v>-1116.5499999999993</v>
      </c>
      <c r="S34" s="36">
        <f t="shared" ca="1" si="3"/>
        <v>-3.8479697828139731E-2</v>
      </c>
      <c r="T34" s="31">
        <v>3</v>
      </c>
      <c r="U34" s="31"/>
      <c r="V34" s="31" t="s">
        <v>110</v>
      </c>
      <c r="W34" s="31" t="s">
        <v>1048</v>
      </c>
    </row>
    <row r="35" spans="1:23">
      <c r="A35" s="31" t="s">
        <v>75</v>
      </c>
      <c r="B35" s="31" t="s">
        <v>39</v>
      </c>
      <c r="C35" s="31" t="s">
        <v>69</v>
      </c>
      <c r="D35" s="31" t="s">
        <v>54</v>
      </c>
      <c r="E35" s="31" t="s">
        <v>108</v>
      </c>
      <c r="F35" s="31">
        <v>1172</v>
      </c>
      <c r="G35" s="33">
        <v>300285.28000000003</v>
      </c>
      <c r="H35" s="33">
        <v>256.22000000000003</v>
      </c>
      <c r="I35" s="31">
        <v>0</v>
      </c>
      <c r="J35" s="33">
        <v>0</v>
      </c>
      <c r="K35" s="33">
        <v>0</v>
      </c>
      <c r="L35" s="31">
        <v>1172</v>
      </c>
      <c r="M35" s="33">
        <v>300289.84000000003</v>
      </c>
      <c r="N35" s="33">
        <f ca="1">IFERROR(INDEX(Price_Update!$F:$F, MATCH(A35, Price_Update!$A:$A, 0)), 304.15)</f>
        <v>304.14999999999998</v>
      </c>
      <c r="O35" s="33">
        <f t="shared" ca="1" si="0"/>
        <v>356463.8</v>
      </c>
      <c r="P35" s="33">
        <v>0</v>
      </c>
      <c r="Q35" s="33">
        <f t="shared" ca="1" si="1"/>
        <v>56173.959999999963</v>
      </c>
      <c r="R35" s="33">
        <f t="shared" ca="1" si="2"/>
        <v>56173.959999999963</v>
      </c>
      <c r="S35" s="36">
        <f t="shared" ca="1" si="3"/>
        <v>0.18706864352458422</v>
      </c>
      <c r="T35" s="31">
        <v>214</v>
      </c>
      <c r="U35" s="31"/>
      <c r="V35" s="31" t="s">
        <v>110</v>
      </c>
      <c r="W35" s="31" t="s">
        <v>1047</v>
      </c>
    </row>
    <row r="36" spans="1:23">
      <c r="A36" s="31" t="s">
        <v>126</v>
      </c>
      <c r="B36" s="31" t="s">
        <v>32</v>
      </c>
      <c r="C36" s="31" t="s">
        <v>66</v>
      </c>
      <c r="D36" s="31" t="s">
        <v>53</v>
      </c>
      <c r="E36" s="31" t="s">
        <v>101</v>
      </c>
      <c r="F36" s="31">
        <v>362</v>
      </c>
      <c r="G36" s="33">
        <v>50229.29</v>
      </c>
      <c r="H36" s="33">
        <v>138.75</v>
      </c>
      <c r="I36" s="31">
        <v>0</v>
      </c>
      <c r="J36" s="33">
        <v>0</v>
      </c>
      <c r="K36" s="33">
        <v>0</v>
      </c>
      <c r="L36" s="31">
        <v>362</v>
      </c>
      <c r="M36" s="33">
        <v>50227.5</v>
      </c>
      <c r="N36" s="33">
        <f ca="1">IFERROR(INDEX(Price_Update!$F:$F, MATCH(A36, Price_Update!$A:$A, 0)), 155.86)</f>
        <v>155.86000000000001</v>
      </c>
      <c r="O36" s="33">
        <f t="shared" ca="1" si="0"/>
        <v>56421.320000000007</v>
      </c>
      <c r="P36" s="33">
        <v>0</v>
      </c>
      <c r="Q36" s="33">
        <f t="shared" ca="1" si="1"/>
        <v>6193.820000000007</v>
      </c>
      <c r="R36" s="33">
        <f t="shared" ca="1" si="2"/>
        <v>6193.820000000007</v>
      </c>
      <c r="S36" s="36">
        <f t="shared" ca="1" si="3"/>
        <v>0.12331092077948956</v>
      </c>
      <c r="T36" s="31">
        <v>154</v>
      </c>
      <c r="U36" s="31"/>
      <c r="V36" s="31" t="s">
        <v>110</v>
      </c>
      <c r="W36" s="31" t="s">
        <v>1047</v>
      </c>
    </row>
    <row r="37" spans="1:23">
      <c r="A37" s="31" t="s">
        <v>273</v>
      </c>
      <c r="B37" s="31" t="s">
        <v>32</v>
      </c>
      <c r="C37" s="31" t="s">
        <v>64</v>
      </c>
      <c r="D37" s="31" t="s">
        <v>53</v>
      </c>
      <c r="E37" s="31"/>
      <c r="F37" s="31">
        <v>339</v>
      </c>
      <c r="G37" s="33">
        <v>199971.65</v>
      </c>
      <c r="H37" s="33">
        <v>589.89</v>
      </c>
      <c r="I37" s="31">
        <v>339</v>
      </c>
      <c r="J37" s="33">
        <v>201780.55</v>
      </c>
      <c r="K37" s="33">
        <v>595.22</v>
      </c>
      <c r="L37" s="31">
        <v>0</v>
      </c>
      <c r="M37" s="33">
        <v>0</v>
      </c>
      <c r="N37" s="33">
        <f>IFERROR(INDEX(Price_Update!$F:$F, MATCH(A37, Price_Update!$A:$A, 0)), 657.75)</f>
        <v>657.75</v>
      </c>
      <c r="O37" s="33">
        <f t="shared" si="0"/>
        <v>0</v>
      </c>
      <c r="P37" s="33">
        <v>1807.84</v>
      </c>
      <c r="Q37" s="33">
        <f t="shared" si="1"/>
        <v>0</v>
      </c>
      <c r="R37" s="33">
        <f t="shared" si="2"/>
        <v>1807.84</v>
      </c>
      <c r="S37" s="36">
        <f t="shared" si="3"/>
        <v>9.04048148825096E-3</v>
      </c>
      <c r="T37" s="31">
        <v>135</v>
      </c>
      <c r="U37" s="31"/>
      <c r="V37" s="31" t="s">
        <v>110</v>
      </c>
      <c r="W37" s="31" t="s">
        <v>1048</v>
      </c>
    </row>
    <row r="38" spans="1:23">
      <c r="A38" s="31" t="s">
        <v>389</v>
      </c>
      <c r="B38" s="31" t="s">
        <v>36</v>
      </c>
      <c r="C38" s="31" t="s">
        <v>64</v>
      </c>
      <c r="D38" s="31" t="s">
        <v>53</v>
      </c>
      <c r="E38" s="31"/>
      <c r="F38" s="31">
        <v>920</v>
      </c>
      <c r="G38" s="33">
        <v>99801.600000000006</v>
      </c>
      <c r="H38" s="33">
        <v>108.48</v>
      </c>
      <c r="I38" s="31">
        <v>920</v>
      </c>
      <c r="J38" s="33">
        <v>82570</v>
      </c>
      <c r="K38" s="33">
        <v>89.75</v>
      </c>
      <c r="L38" s="31">
        <v>0</v>
      </c>
      <c r="M38" s="33">
        <v>0</v>
      </c>
      <c r="N38" s="33">
        <f>IFERROR(INDEX(Price_Update!$F:$F, MATCH(A38, Price_Update!$A:$A, 0)), 102.03)</f>
        <v>102.03</v>
      </c>
      <c r="O38" s="33">
        <f t="shared" si="0"/>
        <v>0</v>
      </c>
      <c r="P38" s="33">
        <v>-17231.599999999999</v>
      </c>
      <c r="Q38" s="33">
        <f t="shared" si="1"/>
        <v>0</v>
      </c>
      <c r="R38" s="33">
        <f t="shared" si="2"/>
        <v>-17231.599999999999</v>
      </c>
      <c r="S38" s="36">
        <f t="shared" si="3"/>
        <v>-0.17265855457227136</v>
      </c>
      <c r="T38" s="31">
        <v>60</v>
      </c>
      <c r="U38" s="31"/>
      <c r="V38" s="31" t="s">
        <v>110</v>
      </c>
      <c r="W38" s="31" t="s">
        <v>1047</v>
      </c>
    </row>
    <row r="39" spans="1:23">
      <c r="A39" s="31" t="s">
        <v>124</v>
      </c>
      <c r="B39" s="31" t="s">
        <v>32</v>
      </c>
      <c r="C39" s="31" t="s">
        <v>64</v>
      </c>
      <c r="D39" s="31" t="s">
        <v>53</v>
      </c>
      <c r="E39" s="31" t="s">
        <v>101</v>
      </c>
      <c r="F39" s="31">
        <v>276</v>
      </c>
      <c r="G39" s="33">
        <v>76932.53</v>
      </c>
      <c r="H39" s="33">
        <v>278.74</v>
      </c>
      <c r="I39" s="31">
        <v>0</v>
      </c>
      <c r="J39" s="33">
        <v>0</v>
      </c>
      <c r="K39" s="33">
        <v>0</v>
      </c>
      <c r="L39" s="31">
        <v>276</v>
      </c>
      <c r="M39" s="33">
        <v>76932.240000000005</v>
      </c>
      <c r="N39" s="33">
        <f ca="1">IFERROR(INDEX(Price_Update!$F:$F, MATCH(A39, Price_Update!$A:$A, 0)), 280.2)</f>
        <v>280.2</v>
      </c>
      <c r="O39" s="33">
        <f t="shared" ca="1" si="0"/>
        <v>77335.199999999997</v>
      </c>
      <c r="P39" s="33">
        <v>0</v>
      </c>
      <c r="Q39" s="33">
        <f t="shared" ca="1" si="1"/>
        <v>402.95999999999185</v>
      </c>
      <c r="R39" s="33">
        <f t="shared" ca="1" si="2"/>
        <v>402.95999999999185</v>
      </c>
      <c r="S39" s="36">
        <f t="shared" ca="1" si="3"/>
        <v>5.2378363222942478E-3</v>
      </c>
      <c r="T39" s="31">
        <v>221</v>
      </c>
      <c r="U39" s="31"/>
      <c r="V39" s="31" t="s">
        <v>110</v>
      </c>
      <c r="W39" s="31" t="s">
        <v>1048</v>
      </c>
    </row>
    <row r="40" spans="1:23">
      <c r="A40" s="31" t="s">
        <v>79</v>
      </c>
      <c r="B40" s="31" t="s">
        <v>36</v>
      </c>
      <c r="C40" s="31" t="s">
        <v>66</v>
      </c>
      <c r="D40" s="31" t="s">
        <v>54</v>
      </c>
      <c r="E40" s="31" t="s">
        <v>108</v>
      </c>
      <c r="F40" s="31">
        <v>69</v>
      </c>
      <c r="G40" s="33">
        <v>299971.80200000003</v>
      </c>
      <c r="H40" s="33">
        <v>4347.42</v>
      </c>
      <c r="I40" s="31">
        <v>0</v>
      </c>
      <c r="J40" s="33">
        <v>0</v>
      </c>
      <c r="K40" s="33">
        <v>0</v>
      </c>
      <c r="L40" s="31">
        <v>69</v>
      </c>
      <c r="M40" s="33">
        <v>299971.98</v>
      </c>
      <c r="N40" s="33">
        <f ca="1">IFERROR(INDEX(Price_Update!$F:$F, MATCH(A40, Price_Update!$A:$A, 0)), 5067)</f>
        <v>5067</v>
      </c>
      <c r="O40" s="33">
        <f t="shared" ca="1" si="0"/>
        <v>349623</v>
      </c>
      <c r="P40" s="33">
        <v>0</v>
      </c>
      <c r="Q40" s="33">
        <f t="shared" ca="1" si="1"/>
        <v>49651.020000000019</v>
      </c>
      <c r="R40" s="33">
        <f t="shared" ca="1" si="2"/>
        <v>49651.020000000019</v>
      </c>
      <c r="S40" s="36">
        <f t="shared" ca="1" si="3"/>
        <v>0.16551895767856212</v>
      </c>
      <c r="T40" s="31">
        <v>88</v>
      </c>
      <c r="U40" s="31"/>
      <c r="V40" s="31" t="s">
        <v>110</v>
      </c>
      <c r="W40" s="31" t="s">
        <v>1048</v>
      </c>
    </row>
    <row r="41" spans="1:23">
      <c r="A41" s="31" t="s">
        <v>84</v>
      </c>
      <c r="B41" s="31" t="s">
        <v>32</v>
      </c>
      <c r="C41" s="31" t="s">
        <v>64</v>
      </c>
      <c r="D41" s="31" t="s">
        <v>54</v>
      </c>
      <c r="E41" s="31" t="s">
        <v>100</v>
      </c>
      <c r="F41" s="31">
        <v>263</v>
      </c>
      <c r="G41" s="33">
        <v>227676.3</v>
      </c>
      <c r="H41" s="33">
        <v>865.69</v>
      </c>
      <c r="I41" s="31">
        <v>226</v>
      </c>
      <c r="J41" s="33">
        <v>149562.45000000001</v>
      </c>
      <c r="K41" s="33">
        <v>661.78</v>
      </c>
      <c r="L41" s="31">
        <v>37</v>
      </c>
      <c r="M41" s="33">
        <v>32030.53</v>
      </c>
      <c r="N41" s="33">
        <f ca="1">IFERROR(INDEX(Price_Update!$F:$F, MATCH(A41, Price_Update!$A:$A, 0)), 794.95)</f>
        <v>794.95</v>
      </c>
      <c r="O41" s="33">
        <f t="shared" ca="1" si="0"/>
        <v>29413.15</v>
      </c>
      <c r="P41" s="33">
        <v>-46083.49</v>
      </c>
      <c r="Q41" s="33">
        <f t="shared" ca="1" si="1"/>
        <v>-2617.3799999999974</v>
      </c>
      <c r="R41" s="33">
        <f t="shared" ca="1" si="2"/>
        <v>-48700.869999999995</v>
      </c>
      <c r="S41" s="36">
        <f t="shared" ca="1" si="3"/>
        <v>-0.21390399439906568</v>
      </c>
      <c r="T41" s="31">
        <v>3</v>
      </c>
      <c r="U41" s="31"/>
      <c r="V41" s="31" t="s">
        <v>110</v>
      </c>
      <c r="W41" s="31" t="s">
        <v>1048</v>
      </c>
    </row>
    <row r="42" spans="1:23">
      <c r="A42" s="31" t="s">
        <v>52</v>
      </c>
      <c r="B42" s="31" t="s">
        <v>36</v>
      </c>
      <c r="C42" s="31" t="s">
        <v>64</v>
      </c>
      <c r="D42" s="31" t="s">
        <v>53</v>
      </c>
      <c r="E42" s="31" t="s">
        <v>111</v>
      </c>
      <c r="F42" s="31">
        <v>443</v>
      </c>
      <c r="G42" s="33">
        <v>399790.8</v>
      </c>
      <c r="H42" s="33">
        <v>902.46</v>
      </c>
      <c r="I42" s="31">
        <v>103</v>
      </c>
      <c r="J42" s="33">
        <v>99714.349999999991</v>
      </c>
      <c r="K42" s="33">
        <v>968.1</v>
      </c>
      <c r="L42" s="31">
        <v>340</v>
      </c>
      <c r="M42" s="33">
        <v>306836.40000000002</v>
      </c>
      <c r="N42" s="33">
        <f ca="1">IFERROR(INDEX(Price_Update!$F:$F, MATCH(A42, Price_Update!$A:$A, 0)), 1092.6)</f>
        <v>1092.5999999999999</v>
      </c>
      <c r="O42" s="33">
        <f t="shared" ca="1" si="0"/>
        <v>371483.99999999994</v>
      </c>
      <c r="P42" s="33">
        <v>6760.97</v>
      </c>
      <c r="Q42" s="33">
        <f t="shared" ca="1" si="1"/>
        <v>64647.599999999919</v>
      </c>
      <c r="R42" s="33">
        <f t="shared" ca="1" si="2"/>
        <v>71408.56999999992</v>
      </c>
      <c r="S42" s="36">
        <f t="shared" ca="1" si="3"/>
        <v>0.17861484056161353</v>
      </c>
      <c r="T42" s="31">
        <v>242</v>
      </c>
      <c r="U42" s="31"/>
      <c r="V42" s="31" t="s">
        <v>110</v>
      </c>
      <c r="W42" s="31" t="s">
        <v>1048</v>
      </c>
    </row>
    <row r="43" spans="1:23">
      <c r="A43" s="31" t="s">
        <v>348</v>
      </c>
      <c r="B43" s="31" t="s">
        <v>39</v>
      </c>
      <c r="C43" s="31" t="s">
        <v>64</v>
      </c>
      <c r="D43" s="31" t="s">
        <v>53</v>
      </c>
      <c r="E43" s="31"/>
      <c r="F43" s="31">
        <v>205</v>
      </c>
      <c r="G43" s="33">
        <v>99086.75</v>
      </c>
      <c r="H43" s="33">
        <v>483.35</v>
      </c>
      <c r="I43" s="31">
        <v>205</v>
      </c>
      <c r="J43" s="33">
        <v>75235</v>
      </c>
      <c r="K43" s="33">
        <v>367</v>
      </c>
      <c r="L43" s="31">
        <v>0</v>
      </c>
      <c r="M43" s="33">
        <v>0</v>
      </c>
      <c r="N43" s="33">
        <f>IFERROR(INDEX(Price_Update!$F:$F, MATCH(A43, Price_Update!$A:$A, 0)), 385.05)</f>
        <v>385.05</v>
      </c>
      <c r="O43" s="33">
        <f t="shared" si="0"/>
        <v>0</v>
      </c>
      <c r="P43" s="33">
        <v>-23851.75</v>
      </c>
      <c r="Q43" s="33">
        <f t="shared" si="1"/>
        <v>0</v>
      </c>
      <c r="R43" s="33">
        <f t="shared" si="2"/>
        <v>-23851.75</v>
      </c>
      <c r="S43" s="36">
        <f t="shared" si="3"/>
        <v>-0.24071583738491775</v>
      </c>
      <c r="T43" s="31">
        <v>193</v>
      </c>
      <c r="U43" s="31"/>
      <c r="V43" s="31" t="s">
        <v>110</v>
      </c>
      <c r="W43" s="31" t="s">
        <v>1048</v>
      </c>
    </row>
    <row r="44" spans="1:23">
      <c r="A44" s="31" t="s">
        <v>358</v>
      </c>
      <c r="B44" s="31" t="s">
        <v>36</v>
      </c>
      <c r="C44" s="31" t="s">
        <v>64</v>
      </c>
      <c r="D44" s="31" t="s">
        <v>53</v>
      </c>
      <c r="E44" s="31"/>
      <c r="F44" s="31">
        <v>386</v>
      </c>
      <c r="G44" s="33">
        <v>70186.3</v>
      </c>
      <c r="H44" s="33">
        <v>181.83</v>
      </c>
      <c r="I44" s="31">
        <v>386</v>
      </c>
      <c r="J44" s="33">
        <v>52592.5</v>
      </c>
      <c r="K44" s="33">
        <v>136.25</v>
      </c>
      <c r="L44" s="31">
        <v>0</v>
      </c>
      <c r="M44" s="33">
        <v>0</v>
      </c>
      <c r="N44" s="33">
        <f>IFERROR(INDEX(Price_Update!$F:$F, MATCH(A44, Price_Update!$A:$A, 0)), 138.26)</f>
        <v>138.26</v>
      </c>
      <c r="O44" s="33">
        <f t="shared" si="0"/>
        <v>0</v>
      </c>
      <c r="P44" s="33">
        <v>-17593.88</v>
      </c>
      <c r="Q44" s="33">
        <f t="shared" si="1"/>
        <v>0</v>
      </c>
      <c r="R44" s="33">
        <f t="shared" si="2"/>
        <v>-17593.88</v>
      </c>
      <c r="S44" s="36">
        <f t="shared" si="3"/>
        <v>-0.25067399193289858</v>
      </c>
      <c r="T44" s="31">
        <v>193</v>
      </c>
      <c r="U44" s="31"/>
      <c r="V44" s="31" t="s">
        <v>110</v>
      </c>
      <c r="W44" s="31" t="s">
        <v>1048</v>
      </c>
    </row>
    <row r="45" spans="1:23">
      <c r="A45" s="31" t="s">
        <v>285</v>
      </c>
      <c r="B45" s="31" t="s">
        <v>32</v>
      </c>
      <c r="C45" s="31" t="s">
        <v>66</v>
      </c>
      <c r="D45" s="31" t="s">
        <v>53</v>
      </c>
      <c r="E45" s="31"/>
      <c r="F45" s="31">
        <v>35</v>
      </c>
      <c r="G45" s="33">
        <v>25089.75</v>
      </c>
      <c r="H45" s="33">
        <v>716.85</v>
      </c>
      <c r="I45" s="31">
        <v>35</v>
      </c>
      <c r="J45" s="33">
        <v>22651.75</v>
      </c>
      <c r="K45" s="33">
        <v>647.19000000000005</v>
      </c>
      <c r="L45" s="31">
        <v>0</v>
      </c>
      <c r="M45" s="33">
        <v>0</v>
      </c>
      <c r="N45" s="33">
        <f>IFERROR(INDEX(Price_Update!$F:$F, MATCH(A45, Price_Update!$A:$A, 0)), 679.7)</f>
        <v>679.7</v>
      </c>
      <c r="O45" s="33">
        <f t="shared" si="0"/>
        <v>0</v>
      </c>
      <c r="P45" s="33">
        <v>-2438</v>
      </c>
      <c r="Q45" s="33">
        <f t="shared" si="1"/>
        <v>0</v>
      </c>
      <c r="R45" s="33">
        <f t="shared" si="2"/>
        <v>-2438</v>
      </c>
      <c r="S45" s="36">
        <f t="shared" si="3"/>
        <v>-9.7171155551569868E-2</v>
      </c>
      <c r="T45" s="31">
        <v>31</v>
      </c>
      <c r="U45" s="31"/>
      <c r="V45" s="31" t="s">
        <v>110</v>
      </c>
      <c r="W45" s="31" t="s">
        <v>1048</v>
      </c>
    </row>
    <row r="46" spans="1:23">
      <c r="A46" s="31" t="s">
        <v>398</v>
      </c>
      <c r="B46" s="31" t="s">
        <v>32</v>
      </c>
      <c r="C46" s="31" t="s">
        <v>66</v>
      </c>
      <c r="D46" s="31" t="s">
        <v>53</v>
      </c>
      <c r="E46" s="31"/>
      <c r="F46" s="31">
        <v>196</v>
      </c>
      <c r="G46" s="33">
        <v>100079.5</v>
      </c>
      <c r="H46" s="33">
        <v>510.61</v>
      </c>
      <c r="I46" s="31">
        <v>196</v>
      </c>
      <c r="J46" s="33">
        <v>82398.399999999994</v>
      </c>
      <c r="K46" s="33">
        <v>420.4</v>
      </c>
      <c r="L46" s="31">
        <v>0</v>
      </c>
      <c r="M46" s="33">
        <v>0</v>
      </c>
      <c r="N46" s="33">
        <f>IFERROR(INDEX(Price_Update!$F:$F, MATCH(A46, Price_Update!$A:$A, 0)), 381.85)</f>
        <v>381.85</v>
      </c>
      <c r="O46" s="33">
        <f t="shared" si="0"/>
        <v>0</v>
      </c>
      <c r="P46" s="33">
        <v>-17681.16</v>
      </c>
      <c r="Q46" s="33">
        <f t="shared" si="1"/>
        <v>0</v>
      </c>
      <c r="R46" s="33">
        <f t="shared" si="2"/>
        <v>-17681.16</v>
      </c>
      <c r="S46" s="36">
        <f t="shared" si="3"/>
        <v>-0.17667114643858134</v>
      </c>
      <c r="T46" s="31">
        <v>70</v>
      </c>
      <c r="U46" s="31"/>
      <c r="V46" s="31" t="s">
        <v>110</v>
      </c>
      <c r="W46" s="31" t="s">
        <v>1048</v>
      </c>
    </row>
    <row r="47" spans="1:23">
      <c r="A47" s="31" t="s">
        <v>664</v>
      </c>
      <c r="B47" s="31" t="s">
        <v>39</v>
      </c>
      <c r="C47" s="31" t="s">
        <v>66</v>
      </c>
      <c r="D47" s="31" t="s">
        <v>54</v>
      </c>
      <c r="E47" s="31" t="s">
        <v>100</v>
      </c>
      <c r="F47" s="31">
        <v>6</v>
      </c>
      <c r="G47" s="33">
        <v>31134</v>
      </c>
      <c r="H47" s="33">
        <v>5189</v>
      </c>
      <c r="I47" s="31">
        <v>0</v>
      </c>
      <c r="J47" s="33">
        <v>0</v>
      </c>
      <c r="K47" s="33">
        <v>0</v>
      </c>
      <c r="L47" s="31">
        <v>6</v>
      </c>
      <c r="M47" s="33">
        <v>31134</v>
      </c>
      <c r="N47" s="33">
        <f ca="1">IFERROR(INDEX(Price_Update!$F:$F, MATCH(A47, Price_Update!$A:$A, 0)), 5335.5)</f>
        <v>5335.5</v>
      </c>
      <c r="O47" s="33">
        <f t="shared" ca="1" si="0"/>
        <v>32013</v>
      </c>
      <c r="P47" s="33">
        <v>0</v>
      </c>
      <c r="Q47" s="33">
        <f t="shared" ca="1" si="1"/>
        <v>879</v>
      </c>
      <c r="R47" s="33">
        <f t="shared" ca="1" si="2"/>
        <v>879</v>
      </c>
      <c r="S47" s="36">
        <f t="shared" ca="1" si="3"/>
        <v>2.8232800154172288E-2</v>
      </c>
      <c r="T47" s="31">
        <v>3</v>
      </c>
      <c r="U47" s="31"/>
      <c r="V47" s="31" t="s">
        <v>110</v>
      </c>
      <c r="W47" s="31" t="s">
        <v>1047</v>
      </c>
    </row>
    <row r="48" spans="1:23">
      <c r="A48" s="31" t="s">
        <v>403</v>
      </c>
      <c r="B48" s="31" t="s">
        <v>32</v>
      </c>
      <c r="C48" s="31" t="s">
        <v>64</v>
      </c>
      <c r="D48" s="31" t="s">
        <v>53</v>
      </c>
      <c r="E48" s="31"/>
      <c r="F48" s="31">
        <v>19</v>
      </c>
      <c r="G48" s="33">
        <v>24977.4</v>
      </c>
      <c r="H48" s="33">
        <v>1314.6</v>
      </c>
      <c r="I48" s="31">
        <v>19</v>
      </c>
      <c r="J48" s="33">
        <v>21475.7</v>
      </c>
      <c r="K48" s="33">
        <v>1130.3</v>
      </c>
      <c r="L48" s="31">
        <v>0</v>
      </c>
      <c r="M48" s="33">
        <v>0</v>
      </c>
      <c r="N48" s="33">
        <f>IFERROR(INDEX(Price_Update!$F:$F, MATCH(A48, Price_Update!$A:$A, 0)), 1913.3)</f>
        <v>1913.3</v>
      </c>
      <c r="O48" s="33">
        <f t="shared" si="0"/>
        <v>0</v>
      </c>
      <c r="P48" s="33">
        <v>-3501.7</v>
      </c>
      <c r="Q48" s="33">
        <f t="shared" si="1"/>
        <v>0</v>
      </c>
      <c r="R48" s="33">
        <f t="shared" si="2"/>
        <v>-3501.7</v>
      </c>
      <c r="S48" s="36">
        <f t="shared" si="3"/>
        <v>-0.14019473604138138</v>
      </c>
      <c r="T48" s="31">
        <v>27</v>
      </c>
      <c r="U48" s="31"/>
      <c r="V48" s="31" t="s">
        <v>110</v>
      </c>
      <c r="W48" s="31" t="s">
        <v>1048</v>
      </c>
    </row>
    <row r="49" spans="1:23">
      <c r="A49" s="31" t="s">
        <v>667</v>
      </c>
      <c r="B49" s="31" t="s">
        <v>32</v>
      </c>
      <c r="C49" s="31" t="s">
        <v>68</v>
      </c>
      <c r="D49" s="31" t="s">
        <v>54</v>
      </c>
      <c r="E49" s="31" t="s">
        <v>100</v>
      </c>
      <c r="F49" s="31">
        <v>43</v>
      </c>
      <c r="G49" s="33">
        <v>29231.4</v>
      </c>
      <c r="H49" s="33">
        <v>679.8</v>
      </c>
      <c r="I49" s="31">
        <v>0</v>
      </c>
      <c r="J49" s="33">
        <v>0</v>
      </c>
      <c r="K49" s="33">
        <v>0</v>
      </c>
      <c r="L49" s="31">
        <v>43</v>
      </c>
      <c r="M49" s="33">
        <v>29231.4</v>
      </c>
      <c r="N49" s="33">
        <f ca="1">IFERROR(INDEX(Price_Update!$F:$F, MATCH(A49, Price_Update!$A:$A, 0)), 666.7)</f>
        <v>666.7</v>
      </c>
      <c r="O49" s="33">
        <f t="shared" ca="1" si="0"/>
        <v>28668.100000000002</v>
      </c>
      <c r="P49" s="33">
        <v>0</v>
      </c>
      <c r="Q49" s="33">
        <f t="shared" ca="1" si="1"/>
        <v>-563.29999999999927</v>
      </c>
      <c r="R49" s="33">
        <f t="shared" ca="1" si="2"/>
        <v>-563.29999999999927</v>
      </c>
      <c r="S49" s="36">
        <f t="shared" ca="1" si="3"/>
        <v>-1.9270373639305654E-2</v>
      </c>
      <c r="T49" s="31">
        <v>3</v>
      </c>
      <c r="U49" s="31"/>
      <c r="V49" s="31" t="s">
        <v>110</v>
      </c>
      <c r="W49" s="31" t="s">
        <v>1048</v>
      </c>
    </row>
    <row r="50" spans="1:23">
      <c r="A50" s="31" t="s">
        <v>659</v>
      </c>
      <c r="B50" s="31" t="s">
        <v>32</v>
      </c>
      <c r="C50" s="31" t="s">
        <v>68</v>
      </c>
      <c r="D50" s="31" t="s">
        <v>54</v>
      </c>
      <c r="E50" s="31" t="s">
        <v>100</v>
      </c>
      <c r="F50" s="31">
        <v>18</v>
      </c>
      <c r="G50" s="33">
        <v>28119.599999999999</v>
      </c>
      <c r="H50" s="33">
        <v>1562.2</v>
      </c>
      <c r="I50" s="31">
        <v>0</v>
      </c>
      <c r="J50" s="33">
        <v>0</v>
      </c>
      <c r="K50" s="33">
        <v>0</v>
      </c>
      <c r="L50" s="31">
        <v>18</v>
      </c>
      <c r="M50" s="33">
        <v>28119.599999999999</v>
      </c>
      <c r="N50" s="33">
        <f ca="1">IFERROR(INDEX(Price_Update!$F:$F, MATCH(A50, Price_Update!$A:$A, 0)), 1536.9)</f>
        <v>1536.9</v>
      </c>
      <c r="O50" s="33">
        <f t="shared" ca="1" si="0"/>
        <v>27664.2</v>
      </c>
      <c r="P50" s="33">
        <v>0</v>
      </c>
      <c r="Q50" s="33">
        <f t="shared" ca="1" si="1"/>
        <v>-455.39999999999782</v>
      </c>
      <c r="R50" s="33">
        <f t="shared" ca="1" si="2"/>
        <v>-455.39999999999782</v>
      </c>
      <c r="S50" s="36">
        <f t="shared" ca="1" si="3"/>
        <v>-1.619510946101644E-2</v>
      </c>
      <c r="T50" s="31">
        <v>3</v>
      </c>
      <c r="U50" s="31"/>
      <c r="V50" s="31" t="s">
        <v>110</v>
      </c>
      <c r="W50" s="31" t="s">
        <v>1048</v>
      </c>
    </row>
    <row r="51" spans="1:23">
      <c r="A51" s="31" t="s">
        <v>136</v>
      </c>
      <c r="B51" s="31" t="s">
        <v>39</v>
      </c>
      <c r="C51" s="31" t="s">
        <v>68</v>
      </c>
      <c r="D51" s="31" t="s">
        <v>53</v>
      </c>
      <c r="E51" s="31" t="s">
        <v>103</v>
      </c>
      <c r="F51" s="31">
        <v>75</v>
      </c>
      <c r="G51" s="33">
        <v>101281</v>
      </c>
      <c r="H51" s="33">
        <v>1350.41</v>
      </c>
      <c r="I51" s="31">
        <v>0</v>
      </c>
      <c r="J51" s="33">
        <v>0</v>
      </c>
      <c r="K51" s="33">
        <v>0</v>
      </c>
      <c r="L51" s="31">
        <v>75</v>
      </c>
      <c r="M51" s="33">
        <v>101280.75</v>
      </c>
      <c r="N51" s="33">
        <f ca="1">IFERROR(INDEX(Price_Update!$F:$F, MATCH(A51, Price_Update!$A:$A, 0)), 1446.8)</f>
        <v>1446.8</v>
      </c>
      <c r="O51" s="33">
        <f t="shared" ca="1" si="0"/>
        <v>108510</v>
      </c>
      <c r="P51" s="33">
        <v>0</v>
      </c>
      <c r="Q51" s="33">
        <f t="shared" ca="1" si="1"/>
        <v>7229.25</v>
      </c>
      <c r="R51" s="33">
        <f t="shared" ca="1" si="2"/>
        <v>7229.25</v>
      </c>
      <c r="S51" s="36">
        <f t="shared" ca="1" si="3"/>
        <v>7.1378145950375685E-2</v>
      </c>
      <c r="T51" s="31">
        <v>21</v>
      </c>
      <c r="U51" s="31"/>
      <c r="V51" s="31" t="s">
        <v>110</v>
      </c>
      <c r="W51" s="31" t="s">
        <v>1047</v>
      </c>
    </row>
    <row r="52" spans="1:23">
      <c r="A52" s="31" t="s">
        <v>83</v>
      </c>
      <c r="B52" s="31" t="s">
        <v>36</v>
      </c>
      <c r="C52" s="31" t="s">
        <v>64</v>
      </c>
      <c r="D52" s="31" t="s">
        <v>54</v>
      </c>
      <c r="E52" s="31" t="s">
        <v>100</v>
      </c>
      <c r="F52" s="31">
        <v>16</v>
      </c>
      <c r="G52" s="33">
        <v>50032</v>
      </c>
      <c r="H52" s="33">
        <v>3127</v>
      </c>
      <c r="I52" s="31">
        <v>0</v>
      </c>
      <c r="J52" s="33">
        <v>0</v>
      </c>
      <c r="K52" s="33">
        <v>0</v>
      </c>
      <c r="L52" s="31">
        <v>16</v>
      </c>
      <c r="M52" s="33">
        <v>50032</v>
      </c>
      <c r="N52" s="33">
        <f ca="1">IFERROR(INDEX(Price_Update!$F:$F, MATCH(A52, Price_Update!$A:$A, 0)), 3040.5)</f>
        <v>3040.5</v>
      </c>
      <c r="O52" s="33">
        <f t="shared" ca="1" si="0"/>
        <v>48648</v>
      </c>
      <c r="P52" s="33">
        <v>0</v>
      </c>
      <c r="Q52" s="33">
        <f t="shared" ca="1" si="1"/>
        <v>-1384</v>
      </c>
      <c r="R52" s="33">
        <f t="shared" ca="1" si="2"/>
        <v>-1384</v>
      </c>
      <c r="S52" s="36">
        <f t="shared" ca="1" si="3"/>
        <v>-2.7662296130476494E-2</v>
      </c>
      <c r="T52" s="31">
        <v>21</v>
      </c>
      <c r="U52" s="31"/>
      <c r="V52" s="31" t="s">
        <v>110</v>
      </c>
      <c r="W52" s="31" t="s">
        <v>1047</v>
      </c>
    </row>
    <row r="53" spans="1:23">
      <c r="A53" s="31" t="s">
        <v>440</v>
      </c>
      <c r="B53" s="31" t="s">
        <v>39</v>
      </c>
      <c r="C53" s="31" t="s">
        <v>69</v>
      </c>
      <c r="D53" s="31" t="s">
        <v>53</v>
      </c>
      <c r="E53" s="31"/>
      <c r="F53" s="31">
        <v>1315</v>
      </c>
      <c r="G53" s="33">
        <v>100907.4</v>
      </c>
      <c r="H53" s="33">
        <v>76.739999999999995</v>
      </c>
      <c r="I53" s="31">
        <v>1315</v>
      </c>
      <c r="J53" s="33">
        <v>105902.05</v>
      </c>
      <c r="K53" s="33">
        <v>80.53</v>
      </c>
      <c r="L53" s="31">
        <v>0</v>
      </c>
      <c r="M53" s="33">
        <v>0</v>
      </c>
      <c r="N53" s="33">
        <f>IFERROR(INDEX(Price_Update!$F:$F, MATCH(A53, Price_Update!$A:$A, 0)), 79.19)</f>
        <v>79.19</v>
      </c>
      <c r="O53" s="33">
        <f t="shared" si="0"/>
        <v>0</v>
      </c>
      <c r="P53" s="33">
        <v>4988.95</v>
      </c>
      <c r="Q53" s="33">
        <f t="shared" si="1"/>
        <v>0</v>
      </c>
      <c r="R53" s="33">
        <f t="shared" si="2"/>
        <v>4988.95</v>
      </c>
      <c r="S53" s="36">
        <f t="shared" si="3"/>
        <v>4.9440873513736355E-2</v>
      </c>
      <c r="T53" s="31">
        <v>124</v>
      </c>
      <c r="U53" s="31"/>
      <c r="V53" s="31" t="s">
        <v>110</v>
      </c>
      <c r="W53" s="31" t="s">
        <v>1047</v>
      </c>
    </row>
    <row r="54" spans="1:23">
      <c r="A54" s="31" t="s">
        <v>526</v>
      </c>
      <c r="B54" s="31" t="s">
        <v>39</v>
      </c>
      <c r="C54" s="31" t="s">
        <v>64</v>
      </c>
      <c r="D54" s="31" t="s">
        <v>53</v>
      </c>
      <c r="E54" s="31"/>
      <c r="F54" s="31">
        <v>19</v>
      </c>
      <c r="G54" s="33">
        <v>50977</v>
      </c>
      <c r="H54" s="33">
        <v>2683</v>
      </c>
      <c r="I54" s="31">
        <v>19</v>
      </c>
      <c r="J54" s="33">
        <v>47612.048300000002</v>
      </c>
      <c r="K54" s="33">
        <v>2505.9</v>
      </c>
      <c r="L54" s="31">
        <v>0</v>
      </c>
      <c r="M54" s="33">
        <v>0</v>
      </c>
      <c r="N54" s="33">
        <f>IFERROR(INDEX(Price_Update!$F:$F, MATCH(A54, Price_Update!$A:$A, 0)), 2423.1)</f>
        <v>2423.1</v>
      </c>
      <c r="O54" s="33">
        <f t="shared" si="0"/>
        <v>0</v>
      </c>
      <c r="P54" s="33">
        <v>-3364.95</v>
      </c>
      <c r="Q54" s="33">
        <f t="shared" si="1"/>
        <v>0</v>
      </c>
      <c r="R54" s="33">
        <f t="shared" si="2"/>
        <v>-3364.95</v>
      </c>
      <c r="S54" s="36">
        <f t="shared" si="3"/>
        <v>-6.6009180610863721E-2</v>
      </c>
      <c r="T54" s="31">
        <v>18</v>
      </c>
      <c r="U54" s="31"/>
      <c r="V54" s="31" t="s">
        <v>110</v>
      </c>
      <c r="W54" s="31" t="s">
        <v>1048</v>
      </c>
    </row>
    <row r="55" spans="1:23">
      <c r="A55" s="31" t="s">
        <v>112</v>
      </c>
      <c r="B55" s="31" t="s">
        <v>32</v>
      </c>
      <c r="C55" s="31" t="s">
        <v>68</v>
      </c>
      <c r="D55" s="31" t="s">
        <v>54</v>
      </c>
      <c r="E55" s="31" t="s">
        <v>100</v>
      </c>
      <c r="F55" s="31">
        <v>222</v>
      </c>
      <c r="G55" s="33">
        <v>120896</v>
      </c>
      <c r="H55" s="33">
        <v>544.58000000000004</v>
      </c>
      <c r="I55" s="31">
        <v>168</v>
      </c>
      <c r="J55" s="33">
        <v>81102.5</v>
      </c>
      <c r="K55" s="33">
        <v>482.75</v>
      </c>
      <c r="L55" s="31">
        <v>54</v>
      </c>
      <c r="M55" s="33">
        <v>29407.32</v>
      </c>
      <c r="N55" s="33">
        <f ca="1">IFERROR(INDEX(Price_Update!$F:$F, MATCH(A55, Price_Update!$A:$A, 0)), 533.2)</f>
        <v>533.20000000000005</v>
      </c>
      <c r="O55" s="33">
        <f t="shared" ca="1" si="0"/>
        <v>28792.800000000003</v>
      </c>
      <c r="P55" s="33">
        <v>-10386.94</v>
      </c>
      <c r="Q55" s="33">
        <f t="shared" ca="1" si="1"/>
        <v>-614.5199999999968</v>
      </c>
      <c r="R55" s="33">
        <f t="shared" ca="1" si="2"/>
        <v>-11001.459999999997</v>
      </c>
      <c r="S55" s="36">
        <f t="shared" ca="1" si="3"/>
        <v>-9.0999371360508188E-2</v>
      </c>
      <c r="T55" s="31">
        <v>3</v>
      </c>
      <c r="U55" s="31" t="s">
        <v>113</v>
      </c>
      <c r="V55" s="31" t="s">
        <v>110</v>
      </c>
      <c r="W55" s="31" t="s">
        <v>1048</v>
      </c>
    </row>
    <row r="56" spans="1:23">
      <c r="A56" s="31" t="s">
        <v>502</v>
      </c>
      <c r="B56" s="31" t="s">
        <v>32</v>
      </c>
      <c r="C56" s="31" t="s">
        <v>64</v>
      </c>
      <c r="D56" s="31" t="s">
        <v>53</v>
      </c>
      <c r="E56" s="31"/>
      <c r="F56" s="31">
        <v>121</v>
      </c>
      <c r="G56" s="33">
        <v>24998.6</v>
      </c>
      <c r="H56" s="33">
        <v>206.6</v>
      </c>
      <c r="I56" s="31">
        <v>121</v>
      </c>
      <c r="J56" s="33">
        <v>19294.599999999999</v>
      </c>
      <c r="K56" s="33">
        <v>159.46</v>
      </c>
      <c r="L56" s="31">
        <v>0</v>
      </c>
      <c r="M56" s="33">
        <v>0</v>
      </c>
      <c r="N56" s="33">
        <f>IFERROR(INDEX(Price_Update!$F:$F, MATCH(A56, Price_Update!$A:$A, 0)), 154.9)</f>
        <v>154.9</v>
      </c>
      <c r="O56" s="33">
        <f t="shared" si="0"/>
        <v>0</v>
      </c>
      <c r="P56" s="33">
        <v>-5704</v>
      </c>
      <c r="Q56" s="33">
        <f t="shared" si="1"/>
        <v>0</v>
      </c>
      <c r="R56" s="33">
        <f t="shared" si="2"/>
        <v>-5704</v>
      </c>
      <c r="S56" s="36">
        <f t="shared" si="3"/>
        <v>-0.22817277767554983</v>
      </c>
      <c r="T56" s="31">
        <v>59</v>
      </c>
      <c r="U56" s="31"/>
      <c r="V56" s="31" t="s">
        <v>110</v>
      </c>
      <c r="W56" s="31" t="s">
        <v>1048</v>
      </c>
    </row>
    <row r="57" spans="1:23">
      <c r="A57" s="31" t="s">
        <v>687</v>
      </c>
      <c r="B57" s="31" t="s">
        <v>39</v>
      </c>
      <c r="C57" s="31" t="s">
        <v>68</v>
      </c>
      <c r="D57" s="31" t="s">
        <v>54</v>
      </c>
      <c r="E57" s="31" t="s">
        <v>100</v>
      </c>
      <c r="F57" s="31">
        <v>4</v>
      </c>
      <c r="G57" s="33">
        <v>28200</v>
      </c>
      <c r="H57" s="33">
        <v>7050</v>
      </c>
      <c r="I57" s="31">
        <v>0</v>
      </c>
      <c r="J57" s="33">
        <v>0</v>
      </c>
      <c r="K57" s="33">
        <v>0</v>
      </c>
      <c r="L57" s="31">
        <v>4</v>
      </c>
      <c r="M57" s="33">
        <v>28200</v>
      </c>
      <c r="N57" s="33">
        <f ca="1">IFERROR(INDEX(Price_Update!$F:$F, MATCH(A57, Price_Update!$A:$A, 0)), 7032.5)</f>
        <v>7032.5</v>
      </c>
      <c r="O57" s="33">
        <f t="shared" ca="1" si="0"/>
        <v>28130</v>
      </c>
      <c r="P57" s="33">
        <v>0</v>
      </c>
      <c r="Q57" s="33">
        <f t="shared" ca="1" si="1"/>
        <v>-70</v>
      </c>
      <c r="R57" s="33">
        <f t="shared" ca="1" si="2"/>
        <v>-70</v>
      </c>
      <c r="S57" s="36">
        <f t="shared" ca="1" si="3"/>
        <v>-2.4822695035460994E-3</v>
      </c>
      <c r="T57" s="31">
        <v>3</v>
      </c>
      <c r="U57" s="31"/>
      <c r="V57" s="31" t="s">
        <v>110</v>
      </c>
      <c r="W57" s="31" t="s">
        <v>1048</v>
      </c>
    </row>
    <row r="58" spans="1:23">
      <c r="A58" s="31" t="s">
        <v>135</v>
      </c>
      <c r="B58" s="31" t="s">
        <v>32</v>
      </c>
      <c r="C58" s="31" t="s">
        <v>70</v>
      </c>
      <c r="D58" s="31" t="s">
        <v>53</v>
      </c>
      <c r="E58" s="31" t="s">
        <v>100</v>
      </c>
      <c r="F58" s="31">
        <v>11</v>
      </c>
      <c r="G58" s="33">
        <v>50590.301299999999</v>
      </c>
      <c r="H58" s="33">
        <v>4599.12</v>
      </c>
      <c r="I58" s="31">
        <v>0</v>
      </c>
      <c r="J58" s="33">
        <v>0</v>
      </c>
      <c r="K58" s="33">
        <v>0</v>
      </c>
      <c r="L58" s="31">
        <v>11</v>
      </c>
      <c r="M58" s="33">
        <v>50590.32</v>
      </c>
      <c r="N58" s="33">
        <f ca="1">IFERROR(INDEX(Price_Update!$F:$F, MATCH(A58, Price_Update!$A:$A, 0)), 4666)</f>
        <v>4666</v>
      </c>
      <c r="O58" s="33">
        <f t="shared" ca="1" si="0"/>
        <v>51326</v>
      </c>
      <c r="P58" s="33">
        <v>0</v>
      </c>
      <c r="Q58" s="33">
        <f t="shared" ca="1" si="1"/>
        <v>735.68000000000029</v>
      </c>
      <c r="R58" s="33">
        <f t="shared" ca="1" si="2"/>
        <v>735.68000000000029</v>
      </c>
      <c r="S58" s="36">
        <f t="shared" ca="1" si="3"/>
        <v>1.45419177410592E-2</v>
      </c>
      <c r="T58" s="31">
        <v>4</v>
      </c>
      <c r="U58" s="31"/>
      <c r="V58" s="31" t="s">
        <v>110</v>
      </c>
      <c r="W58" s="31" t="s">
        <v>1048</v>
      </c>
    </row>
    <row r="59" spans="1:23">
      <c r="A59" s="31" t="s">
        <v>81</v>
      </c>
      <c r="B59" s="31" t="s">
        <v>32</v>
      </c>
      <c r="C59" s="31" t="s">
        <v>68</v>
      </c>
      <c r="D59" s="31" t="s">
        <v>54</v>
      </c>
      <c r="E59" s="31" t="s">
        <v>100</v>
      </c>
      <c r="F59" s="31">
        <v>11</v>
      </c>
      <c r="G59" s="33">
        <v>29260</v>
      </c>
      <c r="H59" s="33">
        <v>2660</v>
      </c>
      <c r="I59" s="31">
        <v>0</v>
      </c>
      <c r="J59" s="33">
        <v>0</v>
      </c>
      <c r="K59" s="33">
        <v>0</v>
      </c>
      <c r="L59" s="31">
        <v>11</v>
      </c>
      <c r="M59" s="33">
        <v>29260</v>
      </c>
      <c r="N59" s="33">
        <f ca="1">IFERROR(INDEX(Price_Update!$F:$F, MATCH(A59, Price_Update!$A:$A, 0)), 2742.6)</f>
        <v>2742.6</v>
      </c>
      <c r="O59" s="33">
        <f t="shared" ca="1" si="0"/>
        <v>30168.6</v>
      </c>
      <c r="P59" s="33">
        <v>0</v>
      </c>
      <c r="Q59" s="33">
        <f t="shared" ca="1" si="1"/>
        <v>908.59999999999854</v>
      </c>
      <c r="R59" s="33">
        <f t="shared" ca="1" si="2"/>
        <v>908.59999999999854</v>
      </c>
      <c r="S59" s="36">
        <f t="shared" ca="1" si="3"/>
        <v>3.1052631578947318E-2</v>
      </c>
      <c r="T59" s="31">
        <v>3</v>
      </c>
      <c r="U59" s="31"/>
      <c r="V59" s="31" t="s">
        <v>110</v>
      </c>
      <c r="W59" s="31" t="s">
        <v>1047</v>
      </c>
    </row>
    <row r="60" spans="1:23">
      <c r="A60" s="31" t="s">
        <v>670</v>
      </c>
      <c r="B60" s="31" t="s">
        <v>39</v>
      </c>
      <c r="C60" s="31" t="s">
        <v>68</v>
      </c>
      <c r="D60" s="31" t="s">
        <v>54</v>
      </c>
      <c r="E60" s="31" t="s">
        <v>100</v>
      </c>
      <c r="F60" s="31">
        <v>15</v>
      </c>
      <c r="G60" s="33">
        <v>28659.7</v>
      </c>
      <c r="H60" s="33">
        <v>1910.65</v>
      </c>
      <c r="I60" s="31">
        <v>0</v>
      </c>
      <c r="J60" s="33">
        <v>0</v>
      </c>
      <c r="K60" s="33">
        <v>0</v>
      </c>
      <c r="L60" s="31">
        <v>15</v>
      </c>
      <c r="M60" s="33">
        <v>28659.75</v>
      </c>
      <c r="N60" s="33">
        <f ca="1">IFERROR(INDEX(Price_Update!$F:$F, MATCH(A60, Price_Update!$A:$A, 0)), 1969.2)</f>
        <v>1969.2</v>
      </c>
      <c r="O60" s="33">
        <f t="shared" ca="1" si="0"/>
        <v>29538</v>
      </c>
      <c r="P60" s="33">
        <v>0</v>
      </c>
      <c r="Q60" s="33">
        <f t="shared" ca="1" si="1"/>
        <v>878.25</v>
      </c>
      <c r="R60" s="33">
        <f t="shared" ca="1" si="2"/>
        <v>878.25</v>
      </c>
      <c r="S60" s="36">
        <f t="shared" ca="1" si="3"/>
        <v>3.0644075129886216E-2</v>
      </c>
      <c r="T60" s="31">
        <v>3</v>
      </c>
      <c r="U60" s="31"/>
      <c r="V60" s="31" t="s">
        <v>110</v>
      </c>
      <c r="W60" s="31" t="s">
        <v>1047</v>
      </c>
    </row>
    <row r="61" spans="1:23">
      <c r="A61" s="31" t="s">
        <v>507</v>
      </c>
      <c r="B61" s="31"/>
      <c r="C61" s="31" t="s">
        <v>66</v>
      </c>
      <c r="D61" s="31" t="s">
        <v>53</v>
      </c>
      <c r="E61" s="31"/>
      <c r="F61" s="31">
        <v>92</v>
      </c>
      <c r="G61" s="33">
        <v>25078.28</v>
      </c>
      <c r="H61" s="33">
        <v>272.58999999999997</v>
      </c>
      <c r="I61" s="31">
        <v>92</v>
      </c>
      <c r="J61" s="33">
        <v>24499.599999999999</v>
      </c>
      <c r="K61" s="33">
        <v>266.3</v>
      </c>
      <c r="L61" s="31">
        <v>0</v>
      </c>
      <c r="M61" s="33">
        <v>0</v>
      </c>
      <c r="N61" s="33">
        <f>IFERROR(INDEX(Price_Update!$F:$F, MATCH(A61, Price_Update!$A:$A, 0)), 265.36)</f>
        <v>265.36</v>
      </c>
      <c r="O61" s="33">
        <f t="shared" si="0"/>
        <v>0</v>
      </c>
      <c r="P61" s="33">
        <v>-578.67999999999995</v>
      </c>
      <c r="Q61" s="33">
        <f t="shared" si="1"/>
        <v>0</v>
      </c>
      <c r="R61" s="33">
        <f t="shared" si="2"/>
        <v>-578.67999999999995</v>
      </c>
      <c r="S61" s="36">
        <f t="shared" si="3"/>
        <v>-2.3074947723687587E-2</v>
      </c>
      <c r="T61" s="31">
        <v>72</v>
      </c>
      <c r="U61" s="31"/>
      <c r="V61" s="31" t="s">
        <v>110</v>
      </c>
      <c r="W61" s="31" t="s">
        <v>1048</v>
      </c>
    </row>
    <row r="62" spans="1:23">
      <c r="A62" s="31" t="s">
        <v>175</v>
      </c>
      <c r="B62" s="31" t="s">
        <v>39</v>
      </c>
      <c r="C62" s="31" t="s">
        <v>64</v>
      </c>
      <c r="D62" s="31" t="s">
        <v>53</v>
      </c>
      <c r="E62" s="31"/>
      <c r="F62" s="31">
        <v>300</v>
      </c>
      <c r="G62" s="33">
        <v>25347</v>
      </c>
      <c r="H62" s="33">
        <v>84.49</v>
      </c>
      <c r="I62" s="31">
        <v>300</v>
      </c>
      <c r="J62" s="33">
        <v>26256</v>
      </c>
      <c r="K62" s="33">
        <v>87.52</v>
      </c>
      <c r="L62" s="31">
        <v>0</v>
      </c>
      <c r="M62" s="33">
        <v>0</v>
      </c>
      <c r="N62" s="33">
        <f>IFERROR(INDEX(Price_Update!$F:$F, MATCH(A62, Price_Update!$A:$A, 0)), 92.9)</f>
        <v>92.9</v>
      </c>
      <c r="O62" s="33">
        <f t="shared" si="0"/>
        <v>0</v>
      </c>
      <c r="P62" s="33">
        <v>909</v>
      </c>
      <c r="Q62" s="33">
        <f t="shared" si="1"/>
        <v>0</v>
      </c>
      <c r="R62" s="33">
        <f t="shared" si="2"/>
        <v>909</v>
      </c>
      <c r="S62" s="36">
        <f t="shared" si="3"/>
        <v>3.5862232216830395E-2</v>
      </c>
      <c r="T62" s="31">
        <v>147</v>
      </c>
      <c r="U62" s="31"/>
      <c r="V62" s="31" t="s">
        <v>110</v>
      </c>
      <c r="W62" s="31" t="s">
        <v>1048</v>
      </c>
    </row>
    <row r="63" spans="1:23">
      <c r="A63" s="31" t="s">
        <v>59</v>
      </c>
      <c r="B63" s="31" t="s">
        <v>32</v>
      </c>
      <c r="C63" s="31" t="s">
        <v>64</v>
      </c>
      <c r="D63" s="31" t="s">
        <v>53</v>
      </c>
      <c r="E63" s="31" t="s">
        <v>101</v>
      </c>
      <c r="F63" s="31">
        <v>133</v>
      </c>
      <c r="G63" s="33">
        <v>50270</v>
      </c>
      <c r="H63" s="33">
        <v>377.97</v>
      </c>
      <c r="I63" s="31">
        <v>0</v>
      </c>
      <c r="J63" s="33">
        <v>0</v>
      </c>
      <c r="K63" s="33">
        <v>0</v>
      </c>
      <c r="L63" s="31">
        <v>133</v>
      </c>
      <c r="M63" s="33">
        <v>50270.01</v>
      </c>
      <c r="N63" s="33">
        <f ca="1">IFERROR(INDEX(Price_Update!$F:$F, MATCH(A63, Price_Update!$A:$A, 0)), 385.65)</f>
        <v>385.65</v>
      </c>
      <c r="O63" s="33">
        <f t="shared" ca="1" si="0"/>
        <v>51291.45</v>
      </c>
      <c r="P63" s="33">
        <v>0</v>
      </c>
      <c r="Q63" s="33">
        <f t="shared" ca="1" si="1"/>
        <v>1021.4399999999951</v>
      </c>
      <c r="R63" s="33">
        <f t="shared" ca="1" si="2"/>
        <v>1021.4399999999951</v>
      </c>
      <c r="S63" s="36">
        <f t="shared" ca="1" si="3"/>
        <v>2.0319076984284763E-2</v>
      </c>
      <c r="T63" s="31">
        <v>14</v>
      </c>
      <c r="U63" s="31"/>
      <c r="V63" s="31" t="s">
        <v>110</v>
      </c>
      <c r="W63" s="31" t="s">
        <v>1047</v>
      </c>
    </row>
    <row r="64" spans="1:23">
      <c r="A64" s="31" t="s">
        <v>647</v>
      </c>
      <c r="B64" s="31" t="s">
        <v>39</v>
      </c>
      <c r="C64" s="31" t="s">
        <v>70</v>
      </c>
      <c r="D64" s="31" t="s">
        <v>54</v>
      </c>
      <c r="E64" s="31" t="s">
        <v>100</v>
      </c>
      <c r="F64" s="31">
        <v>3</v>
      </c>
      <c r="G64" s="33">
        <v>30903</v>
      </c>
      <c r="H64" s="33">
        <v>10301</v>
      </c>
      <c r="I64" s="31">
        <v>0</v>
      </c>
      <c r="J64" s="33">
        <v>0</v>
      </c>
      <c r="K64" s="33">
        <v>0</v>
      </c>
      <c r="L64" s="31">
        <v>3</v>
      </c>
      <c r="M64" s="33">
        <v>30903</v>
      </c>
      <c r="N64" s="33">
        <f ca="1">IFERROR(INDEX(Price_Update!$F:$F, MATCH(A64, Price_Update!$A:$A, 0)), 9936.5)</f>
        <v>9936.5</v>
      </c>
      <c r="O64" s="33">
        <f t="shared" ca="1" si="0"/>
        <v>29809.5</v>
      </c>
      <c r="P64" s="33">
        <v>0</v>
      </c>
      <c r="Q64" s="33">
        <f t="shared" ca="1" si="1"/>
        <v>-1093.5</v>
      </c>
      <c r="R64" s="33">
        <f t="shared" ca="1" si="2"/>
        <v>-1093.5</v>
      </c>
      <c r="S64" s="36">
        <f t="shared" ca="1" si="3"/>
        <v>-3.538491408601107E-2</v>
      </c>
      <c r="T64" s="31">
        <v>3</v>
      </c>
      <c r="U64" s="31"/>
      <c r="V64" s="31" t="s">
        <v>110</v>
      </c>
      <c r="W64" s="31" t="s">
        <v>1048</v>
      </c>
    </row>
    <row r="65" spans="1:23">
      <c r="A65" s="31" t="s">
        <v>279</v>
      </c>
      <c r="B65" s="31" t="s">
        <v>36</v>
      </c>
      <c r="C65" s="31" t="s">
        <v>68</v>
      </c>
      <c r="D65" s="31" t="s">
        <v>54</v>
      </c>
      <c r="E65" s="31"/>
      <c r="F65" s="31">
        <v>60</v>
      </c>
      <c r="G65" s="33">
        <v>93744</v>
      </c>
      <c r="H65" s="33">
        <v>1562.4</v>
      </c>
      <c r="I65" s="31">
        <v>60</v>
      </c>
      <c r="J65" s="33">
        <v>88621.5</v>
      </c>
      <c r="K65" s="33">
        <v>1477.02</v>
      </c>
      <c r="L65" s="31">
        <v>0</v>
      </c>
      <c r="M65" s="33">
        <v>0</v>
      </c>
      <c r="N65" s="33">
        <f>IFERROR(INDEX(Price_Update!$F:$F, MATCH(A65, Price_Update!$A:$A, 0)), 1476.6)</f>
        <v>1476.6</v>
      </c>
      <c r="O65" s="33">
        <f t="shared" si="0"/>
        <v>0</v>
      </c>
      <c r="P65" s="33">
        <v>-5122.5</v>
      </c>
      <c r="Q65" s="33">
        <f t="shared" si="1"/>
        <v>0</v>
      </c>
      <c r="R65" s="33">
        <f t="shared" si="2"/>
        <v>-5122.5</v>
      </c>
      <c r="S65" s="36">
        <f t="shared" si="3"/>
        <v>-5.4643497183819764E-2</v>
      </c>
      <c r="T65" s="31">
        <v>24</v>
      </c>
      <c r="U65" s="31" t="s">
        <v>1049</v>
      </c>
      <c r="V65" s="31" t="s">
        <v>110</v>
      </c>
      <c r="W65" s="31" t="s">
        <v>1047</v>
      </c>
    </row>
    <row r="66" spans="1:23">
      <c r="A66" s="31" t="s">
        <v>434</v>
      </c>
      <c r="B66" s="31" t="s">
        <v>36</v>
      </c>
      <c r="C66" s="31" t="s">
        <v>69</v>
      </c>
      <c r="D66" s="31" t="s">
        <v>53</v>
      </c>
      <c r="E66" s="31"/>
      <c r="F66" s="31">
        <v>200</v>
      </c>
      <c r="G66" s="33">
        <v>25540.1</v>
      </c>
      <c r="H66" s="33">
        <v>127.7</v>
      </c>
      <c r="I66" s="31">
        <v>200</v>
      </c>
      <c r="J66" s="33">
        <v>23912</v>
      </c>
      <c r="K66" s="33">
        <v>119.56</v>
      </c>
      <c r="L66" s="31">
        <v>0</v>
      </c>
      <c r="M66" s="33">
        <v>0</v>
      </c>
      <c r="N66" s="33">
        <f>IFERROR(INDEX(Price_Update!$F:$F, MATCH(A66, Price_Update!$A:$A, 0)), 106.85)</f>
        <v>106.85</v>
      </c>
      <c r="O66" s="33">
        <f t="shared" ref="O66:O98" si="4">L66*N66</f>
        <v>0</v>
      </c>
      <c r="P66" s="33">
        <v>-1628</v>
      </c>
      <c r="Q66" s="33">
        <f t="shared" ref="Q66:Q98" si="5">O66-M66</f>
        <v>0</v>
      </c>
      <c r="R66" s="33">
        <f t="shared" ref="R66:R98" si="6">P66+Q66</f>
        <v>-1628</v>
      </c>
      <c r="S66" s="36">
        <f t="shared" ref="S66:S98" si="7">IF(G66&gt;0, R66/G66, 0)</f>
        <v>-6.3742898422480723E-2</v>
      </c>
      <c r="T66" s="31">
        <v>17</v>
      </c>
      <c r="U66" s="31"/>
      <c r="V66" s="31" t="s">
        <v>110</v>
      </c>
      <c r="W66" s="31" t="s">
        <v>1047</v>
      </c>
    </row>
    <row r="67" spans="1:23">
      <c r="A67" s="31" t="s">
        <v>168</v>
      </c>
      <c r="B67" s="31" t="s">
        <v>32</v>
      </c>
      <c r="C67" s="31" t="s">
        <v>64</v>
      </c>
      <c r="D67" s="31" t="s">
        <v>53</v>
      </c>
      <c r="E67" s="31"/>
      <c r="F67" s="31">
        <v>70</v>
      </c>
      <c r="G67" s="33">
        <v>99582.6</v>
      </c>
      <c r="H67" s="33">
        <v>1422.61</v>
      </c>
      <c r="I67" s="31">
        <v>70</v>
      </c>
      <c r="J67" s="33">
        <v>90500.5</v>
      </c>
      <c r="K67" s="33">
        <v>1292.8599999999999</v>
      </c>
      <c r="L67" s="31">
        <v>0</v>
      </c>
      <c r="M67" s="33">
        <v>0</v>
      </c>
      <c r="N67" s="33">
        <f>IFERROR(INDEX(Price_Update!$F:$F, MATCH(A67, Price_Update!$A:$A, 0)), 1286.4)</f>
        <v>1286.4000000000001</v>
      </c>
      <c r="O67" s="33">
        <f t="shared" si="4"/>
        <v>0</v>
      </c>
      <c r="P67" s="33">
        <v>-9082.2000000000007</v>
      </c>
      <c r="Q67" s="33">
        <f t="shared" si="5"/>
        <v>0</v>
      </c>
      <c r="R67" s="33">
        <f t="shared" si="6"/>
        <v>-9082.2000000000007</v>
      </c>
      <c r="S67" s="36">
        <f t="shared" si="7"/>
        <v>-9.1202679986262664E-2</v>
      </c>
      <c r="T67" s="31">
        <v>25</v>
      </c>
      <c r="U67" s="31"/>
      <c r="V67" s="31" t="s">
        <v>110</v>
      </c>
      <c r="W67" s="31" t="s">
        <v>1048</v>
      </c>
    </row>
    <row r="68" spans="1:23">
      <c r="A68" s="31" t="s">
        <v>73</v>
      </c>
      <c r="B68" s="31" t="s">
        <v>36</v>
      </c>
      <c r="C68" s="31" t="s">
        <v>66</v>
      </c>
      <c r="D68" s="31" t="s">
        <v>54</v>
      </c>
      <c r="E68" s="31" t="s">
        <v>111</v>
      </c>
      <c r="F68" s="31">
        <v>53</v>
      </c>
      <c r="G68" s="33">
        <v>414743</v>
      </c>
      <c r="H68" s="33">
        <v>7825.34</v>
      </c>
      <c r="I68" s="31">
        <v>0</v>
      </c>
      <c r="J68" s="33">
        <v>0</v>
      </c>
      <c r="K68" s="33">
        <v>0</v>
      </c>
      <c r="L68" s="31">
        <v>53</v>
      </c>
      <c r="M68" s="33">
        <v>414743.02</v>
      </c>
      <c r="N68" s="33">
        <f ca="1">IFERROR(INDEX(Price_Update!$F:$F, MATCH(A68, Price_Update!$A:$A, 0)), 9699)</f>
        <v>9699</v>
      </c>
      <c r="O68" s="33">
        <f t="shared" ca="1" si="4"/>
        <v>514047</v>
      </c>
      <c r="P68" s="33">
        <v>0</v>
      </c>
      <c r="Q68" s="33">
        <f t="shared" ca="1" si="5"/>
        <v>99303.979999999981</v>
      </c>
      <c r="R68" s="33">
        <f t="shared" ca="1" si="6"/>
        <v>99303.979999999981</v>
      </c>
      <c r="S68" s="36">
        <f t="shared" ca="1" si="7"/>
        <v>0.23943497539440081</v>
      </c>
      <c r="T68" s="31">
        <v>270</v>
      </c>
      <c r="U68" s="31"/>
      <c r="V68" s="31" t="s">
        <v>110</v>
      </c>
      <c r="W68" s="31" t="s">
        <v>1048</v>
      </c>
    </row>
    <row r="69" spans="1:23">
      <c r="A69" s="31" t="s">
        <v>308</v>
      </c>
      <c r="B69" s="31" t="s">
        <v>32</v>
      </c>
      <c r="C69" s="31" t="s">
        <v>69</v>
      </c>
      <c r="D69" s="31" t="s">
        <v>53</v>
      </c>
      <c r="E69" s="31"/>
      <c r="F69" s="31">
        <v>188</v>
      </c>
      <c r="G69" s="33">
        <v>99892.650000000009</v>
      </c>
      <c r="H69" s="33">
        <v>531.34</v>
      </c>
      <c r="I69" s="31">
        <v>188</v>
      </c>
      <c r="J69" s="33">
        <v>90619.099999999991</v>
      </c>
      <c r="K69" s="33">
        <v>482.02</v>
      </c>
      <c r="L69" s="31">
        <v>0</v>
      </c>
      <c r="M69" s="33">
        <v>0</v>
      </c>
      <c r="N69" s="33">
        <f>IFERROR(INDEX(Price_Update!$F:$F, MATCH(A69, Price_Update!$A:$A, 0)), 389.85)</f>
        <v>389.85</v>
      </c>
      <c r="O69" s="33">
        <f t="shared" si="4"/>
        <v>0</v>
      </c>
      <c r="P69" s="33">
        <v>-9272.82</v>
      </c>
      <c r="Q69" s="33">
        <f t="shared" si="5"/>
        <v>0</v>
      </c>
      <c r="R69" s="33">
        <f t="shared" si="6"/>
        <v>-9272.82</v>
      </c>
      <c r="S69" s="36">
        <f t="shared" si="7"/>
        <v>-9.2827850697723993E-2</v>
      </c>
      <c r="T69" s="31">
        <v>21</v>
      </c>
      <c r="U69" s="31"/>
      <c r="V69" s="31" t="s">
        <v>110</v>
      </c>
      <c r="W69" s="31" t="s">
        <v>1048</v>
      </c>
    </row>
    <row r="70" spans="1:23">
      <c r="A70" s="31" t="s">
        <v>628</v>
      </c>
      <c r="B70" s="31" t="s">
        <v>36</v>
      </c>
      <c r="C70" s="31" t="s">
        <v>64</v>
      </c>
      <c r="D70" s="31" t="s">
        <v>54</v>
      </c>
      <c r="E70" s="31" t="s">
        <v>100</v>
      </c>
      <c r="F70" s="31">
        <v>1</v>
      </c>
      <c r="G70" s="33">
        <v>35105</v>
      </c>
      <c r="H70" s="33">
        <v>35105</v>
      </c>
      <c r="I70" s="31">
        <v>0</v>
      </c>
      <c r="J70" s="33">
        <v>0</v>
      </c>
      <c r="K70" s="33">
        <v>0</v>
      </c>
      <c r="L70" s="31">
        <v>1</v>
      </c>
      <c r="M70" s="33">
        <v>35105</v>
      </c>
      <c r="N70" s="33">
        <f ca="1">IFERROR(INDEX(Price_Update!$F:$F, MATCH(A70, Price_Update!$A:$A, 0)), 36870)</f>
        <v>36870</v>
      </c>
      <c r="O70" s="33">
        <f t="shared" ca="1" si="4"/>
        <v>36870</v>
      </c>
      <c r="P70" s="33">
        <v>0</v>
      </c>
      <c r="Q70" s="33">
        <f t="shared" ca="1" si="5"/>
        <v>1765</v>
      </c>
      <c r="R70" s="33">
        <f t="shared" ca="1" si="6"/>
        <v>1765</v>
      </c>
      <c r="S70" s="36">
        <f t="shared" ca="1" si="7"/>
        <v>5.027773821392964E-2</v>
      </c>
      <c r="T70" s="31">
        <v>3</v>
      </c>
      <c r="U70" s="31"/>
      <c r="V70" s="31" t="s">
        <v>110</v>
      </c>
      <c r="W70" s="31" t="s">
        <v>1047</v>
      </c>
    </row>
    <row r="71" spans="1:23">
      <c r="A71" s="31" t="s">
        <v>311</v>
      </c>
      <c r="B71" s="31" t="s">
        <v>32</v>
      </c>
      <c r="C71" s="31" t="s">
        <v>64</v>
      </c>
      <c r="D71" s="31" t="s">
        <v>53</v>
      </c>
      <c r="E71" s="31"/>
      <c r="F71" s="31">
        <v>204</v>
      </c>
      <c r="G71" s="33">
        <v>48757.69</v>
      </c>
      <c r="H71" s="33">
        <v>239.01</v>
      </c>
      <c r="I71" s="31">
        <v>220</v>
      </c>
      <c r="J71" s="33">
        <v>54098</v>
      </c>
      <c r="K71" s="33">
        <v>245.9</v>
      </c>
      <c r="L71" s="31">
        <v>-16</v>
      </c>
      <c r="M71" s="33">
        <v>-3824.16</v>
      </c>
      <c r="N71" s="33">
        <f>IFERROR(INDEX(Price_Update!$F:$F, MATCH(A71, Price_Update!$A:$A, 0)), 417.05)</f>
        <v>417.05</v>
      </c>
      <c r="O71" s="33">
        <f t="shared" si="4"/>
        <v>-6672.8</v>
      </c>
      <c r="P71" s="33">
        <v>1515.8</v>
      </c>
      <c r="Q71" s="33">
        <f t="shared" si="5"/>
        <v>-2848.6400000000003</v>
      </c>
      <c r="R71" s="33">
        <f t="shared" si="6"/>
        <v>-1332.8400000000004</v>
      </c>
      <c r="S71" s="36">
        <f t="shared" si="7"/>
        <v>-2.7335995614230293E-2</v>
      </c>
      <c r="T71" s="31">
        <v>242</v>
      </c>
      <c r="U71" s="31"/>
      <c r="V71" s="31" t="s">
        <v>110</v>
      </c>
      <c r="W71" s="31" t="s">
        <v>1048</v>
      </c>
    </row>
    <row r="72" spans="1:23">
      <c r="A72" s="31" t="s">
        <v>673</v>
      </c>
      <c r="B72" s="31" t="s">
        <v>32</v>
      </c>
      <c r="C72" s="31" t="s">
        <v>64</v>
      </c>
      <c r="D72" s="31" t="s">
        <v>54</v>
      </c>
      <c r="E72" s="31" t="s">
        <v>100</v>
      </c>
      <c r="F72" s="31">
        <v>35</v>
      </c>
      <c r="G72" s="33">
        <v>29351</v>
      </c>
      <c r="H72" s="33">
        <v>838.6</v>
      </c>
      <c r="I72" s="31">
        <v>0</v>
      </c>
      <c r="J72" s="33">
        <v>0</v>
      </c>
      <c r="K72" s="33">
        <v>0</v>
      </c>
      <c r="L72" s="31">
        <v>35</v>
      </c>
      <c r="M72" s="33">
        <v>29351</v>
      </c>
      <c r="N72" s="33">
        <f ca="1">IFERROR(INDEX(Price_Update!$F:$F, MATCH(A72, Price_Update!$A:$A, 0)), 873.45)</f>
        <v>873.45</v>
      </c>
      <c r="O72" s="33">
        <f t="shared" ca="1" si="4"/>
        <v>30570.75</v>
      </c>
      <c r="P72" s="33">
        <v>0</v>
      </c>
      <c r="Q72" s="33">
        <f t="shared" ca="1" si="5"/>
        <v>1219.75</v>
      </c>
      <c r="R72" s="33">
        <f t="shared" ca="1" si="6"/>
        <v>1219.75</v>
      </c>
      <c r="S72" s="36">
        <f t="shared" ca="1" si="7"/>
        <v>4.1557357500596234E-2</v>
      </c>
      <c r="T72" s="31">
        <v>3</v>
      </c>
      <c r="U72" s="31"/>
      <c r="V72" s="31" t="s">
        <v>110</v>
      </c>
      <c r="W72" s="31" t="s">
        <v>1048</v>
      </c>
    </row>
    <row r="73" spans="1:23">
      <c r="A73" s="31" t="s">
        <v>676</v>
      </c>
      <c r="B73" s="31" t="s">
        <v>32</v>
      </c>
      <c r="C73" s="31" t="s">
        <v>68</v>
      </c>
      <c r="D73" s="31" t="s">
        <v>54</v>
      </c>
      <c r="E73" s="31" t="s">
        <v>100</v>
      </c>
      <c r="F73" s="31">
        <v>21</v>
      </c>
      <c r="G73" s="33">
        <v>27948.9</v>
      </c>
      <c r="H73" s="33">
        <v>1330.9</v>
      </c>
      <c r="I73" s="31">
        <v>0</v>
      </c>
      <c r="J73" s="33">
        <v>0</v>
      </c>
      <c r="K73" s="33">
        <v>0</v>
      </c>
      <c r="L73" s="31">
        <v>21</v>
      </c>
      <c r="M73" s="33">
        <v>27948.9</v>
      </c>
      <c r="N73" s="33">
        <f ca="1">IFERROR(INDEX(Price_Update!$F:$F, MATCH(A73, Price_Update!$A:$A, 0)), 1343.3)</f>
        <v>1343.3</v>
      </c>
      <c r="O73" s="33">
        <f t="shared" ca="1" si="4"/>
        <v>28209.3</v>
      </c>
      <c r="P73" s="33">
        <v>0</v>
      </c>
      <c r="Q73" s="33">
        <f t="shared" ca="1" si="5"/>
        <v>260.39999999999782</v>
      </c>
      <c r="R73" s="33">
        <f t="shared" ca="1" si="6"/>
        <v>260.39999999999782</v>
      </c>
      <c r="S73" s="36">
        <f t="shared" ca="1" si="7"/>
        <v>9.3170035314448091E-3</v>
      </c>
      <c r="T73" s="31">
        <v>3</v>
      </c>
      <c r="U73" s="31"/>
      <c r="V73" s="31" t="s">
        <v>110</v>
      </c>
      <c r="W73" s="31" t="s">
        <v>1048</v>
      </c>
    </row>
    <row r="74" spans="1:23">
      <c r="A74" s="31" t="s">
        <v>480</v>
      </c>
      <c r="B74" s="31" t="s">
        <v>32</v>
      </c>
      <c r="C74" s="31" t="s">
        <v>64</v>
      </c>
      <c r="D74" s="31" t="s">
        <v>53</v>
      </c>
      <c r="E74" s="31"/>
      <c r="F74" s="31">
        <v>10</v>
      </c>
      <c r="G74" s="33">
        <v>4835.5</v>
      </c>
      <c r="H74" s="33">
        <v>483.55</v>
      </c>
      <c r="I74" s="31">
        <v>10</v>
      </c>
      <c r="J74" s="33">
        <v>4193</v>
      </c>
      <c r="K74" s="33">
        <v>419.3</v>
      </c>
      <c r="L74" s="31">
        <v>0</v>
      </c>
      <c r="M74" s="33">
        <v>0</v>
      </c>
      <c r="N74" s="33">
        <f>IFERROR(INDEX(Price_Update!$F:$F, MATCH(A74, Price_Update!$A:$A, 0)), 432.15)</f>
        <v>432.15</v>
      </c>
      <c r="O74" s="33">
        <f t="shared" si="4"/>
        <v>0</v>
      </c>
      <c r="P74" s="33">
        <v>-642.5</v>
      </c>
      <c r="Q74" s="33">
        <f t="shared" si="5"/>
        <v>0</v>
      </c>
      <c r="R74" s="33">
        <f t="shared" si="6"/>
        <v>-642.5</v>
      </c>
      <c r="S74" s="36">
        <f t="shared" si="7"/>
        <v>-0.13287147140936822</v>
      </c>
      <c r="T74" s="31">
        <v>15</v>
      </c>
      <c r="U74" s="31"/>
      <c r="V74" s="31" t="s">
        <v>110</v>
      </c>
      <c r="W74" s="31" t="s">
        <v>1047</v>
      </c>
    </row>
    <row r="75" spans="1:23">
      <c r="A75" s="31" t="s">
        <v>679</v>
      </c>
      <c r="B75" s="31" t="s">
        <v>32</v>
      </c>
      <c r="C75" s="31" t="s">
        <v>64</v>
      </c>
      <c r="D75" s="31" t="s">
        <v>54</v>
      </c>
      <c r="E75" s="31" t="s">
        <v>100</v>
      </c>
      <c r="F75" s="31">
        <v>40</v>
      </c>
      <c r="G75" s="33">
        <v>29187.3</v>
      </c>
      <c r="H75" s="33">
        <v>729.68</v>
      </c>
      <c r="I75" s="31">
        <v>0</v>
      </c>
      <c r="J75" s="33">
        <v>0</v>
      </c>
      <c r="K75" s="33">
        <v>0</v>
      </c>
      <c r="L75" s="31">
        <v>40</v>
      </c>
      <c r="M75" s="33">
        <v>29187.200000000001</v>
      </c>
      <c r="N75" s="33">
        <f ca="1">IFERROR(INDEX(Price_Update!$F:$F, MATCH(A75, Price_Update!$A:$A, 0)), 712.7)</f>
        <v>712.7</v>
      </c>
      <c r="O75" s="33">
        <f t="shared" ca="1" si="4"/>
        <v>28508</v>
      </c>
      <c r="P75" s="33">
        <v>0</v>
      </c>
      <c r="Q75" s="33">
        <f t="shared" ca="1" si="5"/>
        <v>-679.20000000000073</v>
      </c>
      <c r="R75" s="33">
        <f t="shared" ca="1" si="6"/>
        <v>-679.20000000000073</v>
      </c>
      <c r="S75" s="36">
        <f t="shared" ca="1" si="7"/>
        <v>-2.3270395000565339E-2</v>
      </c>
      <c r="T75" s="31">
        <v>3</v>
      </c>
      <c r="U75" s="31"/>
      <c r="V75" s="31" t="s">
        <v>110</v>
      </c>
      <c r="W75" s="31" t="s">
        <v>1048</v>
      </c>
    </row>
    <row r="76" spans="1:23">
      <c r="A76" s="31" t="s">
        <v>361</v>
      </c>
      <c r="B76" s="31" t="s">
        <v>36</v>
      </c>
      <c r="C76" s="31" t="s">
        <v>69</v>
      </c>
      <c r="D76" s="31" t="s">
        <v>53</v>
      </c>
      <c r="E76" s="31"/>
      <c r="F76" s="31">
        <v>208</v>
      </c>
      <c r="G76" s="33">
        <v>233369.9</v>
      </c>
      <c r="H76" s="33">
        <v>1121.97</v>
      </c>
      <c r="I76" s="31">
        <v>278</v>
      </c>
      <c r="J76" s="33">
        <v>269743.40000000002</v>
      </c>
      <c r="K76" s="33">
        <v>970.3</v>
      </c>
      <c r="L76" s="31">
        <v>-70</v>
      </c>
      <c r="M76" s="33">
        <v>-78537.899999999994</v>
      </c>
      <c r="N76" s="33">
        <f>IFERROR(INDEX(Price_Update!$F:$F, MATCH(A76, Price_Update!$A:$A, 0)), 977.7)</f>
        <v>977.7</v>
      </c>
      <c r="O76" s="33">
        <f t="shared" si="4"/>
        <v>-68439</v>
      </c>
      <c r="P76" s="33">
        <v>-42164.26</v>
      </c>
      <c r="Q76" s="33">
        <f t="shared" si="5"/>
        <v>10098.899999999994</v>
      </c>
      <c r="R76" s="33">
        <f t="shared" si="6"/>
        <v>-32065.360000000008</v>
      </c>
      <c r="S76" s="36">
        <f t="shared" si="7"/>
        <v>-0.1374014386602557</v>
      </c>
      <c r="T76" s="31">
        <v>214</v>
      </c>
      <c r="U76" s="31"/>
      <c r="V76" s="31" t="s">
        <v>110</v>
      </c>
      <c r="W76" s="31" t="s">
        <v>1048</v>
      </c>
    </row>
    <row r="77" spans="1:23">
      <c r="A77" s="31" t="s">
        <v>129</v>
      </c>
      <c r="B77" s="31" t="s">
        <v>32</v>
      </c>
      <c r="C77" s="31" t="s">
        <v>64</v>
      </c>
      <c r="D77" s="31" t="s">
        <v>53</v>
      </c>
      <c r="E77" s="31" t="s">
        <v>102</v>
      </c>
      <c r="F77" s="31">
        <v>42</v>
      </c>
      <c r="G77" s="33">
        <v>56862.5</v>
      </c>
      <c r="H77" s="33">
        <v>1353.87</v>
      </c>
      <c r="I77" s="31">
        <v>0</v>
      </c>
      <c r="J77" s="33">
        <v>0</v>
      </c>
      <c r="K77" s="33">
        <v>0</v>
      </c>
      <c r="L77" s="31">
        <v>42</v>
      </c>
      <c r="M77" s="33">
        <v>56862.54</v>
      </c>
      <c r="N77" s="33">
        <f ca="1">IFERROR(INDEX(Price_Update!$F:$F, MATCH(A77, Price_Update!$A:$A, 0)), 1586.1)</f>
        <v>1586.1</v>
      </c>
      <c r="O77" s="33">
        <f t="shared" ca="1" si="4"/>
        <v>66616.2</v>
      </c>
      <c r="P77" s="33">
        <v>0</v>
      </c>
      <c r="Q77" s="33">
        <f t="shared" ca="1" si="5"/>
        <v>9753.6599999999962</v>
      </c>
      <c r="R77" s="33">
        <f t="shared" ca="1" si="6"/>
        <v>9753.6599999999962</v>
      </c>
      <c r="S77" s="36">
        <f t="shared" ca="1" si="7"/>
        <v>0.17153062211475043</v>
      </c>
      <c r="T77" s="31">
        <v>126</v>
      </c>
      <c r="U77" s="31"/>
      <c r="V77" s="31" t="s">
        <v>110</v>
      </c>
      <c r="W77" s="31" t="s">
        <v>1048</v>
      </c>
    </row>
    <row r="78" spans="1:23">
      <c r="A78" s="31" t="s">
        <v>95</v>
      </c>
      <c r="B78" s="31" t="s">
        <v>32</v>
      </c>
      <c r="C78" s="31" t="s">
        <v>66</v>
      </c>
      <c r="D78" s="31" t="s">
        <v>53</v>
      </c>
      <c r="E78" s="31" t="s">
        <v>100</v>
      </c>
      <c r="F78" s="31">
        <v>40</v>
      </c>
      <c r="G78" s="33">
        <v>25568</v>
      </c>
      <c r="H78" s="33">
        <v>639.20000000000005</v>
      </c>
      <c r="I78" s="31">
        <v>0</v>
      </c>
      <c r="J78" s="33">
        <v>0</v>
      </c>
      <c r="K78" s="33">
        <v>0</v>
      </c>
      <c r="L78" s="31">
        <v>40</v>
      </c>
      <c r="M78" s="33">
        <v>25568</v>
      </c>
      <c r="N78" s="33">
        <f ca="1">IFERROR(INDEX(Price_Update!$F:$F, MATCH(A78, Price_Update!$A:$A, 0)), 642.75)</f>
        <v>642.75</v>
      </c>
      <c r="O78" s="33">
        <f t="shared" ca="1" si="4"/>
        <v>25710</v>
      </c>
      <c r="P78" s="33">
        <v>0</v>
      </c>
      <c r="Q78" s="33">
        <f t="shared" ca="1" si="5"/>
        <v>142</v>
      </c>
      <c r="R78" s="33">
        <f t="shared" ca="1" si="6"/>
        <v>142</v>
      </c>
      <c r="S78" s="36">
        <f t="shared" ca="1" si="7"/>
        <v>5.553817271589487E-3</v>
      </c>
      <c r="T78" s="31">
        <v>14</v>
      </c>
      <c r="U78" s="31"/>
      <c r="V78" s="31" t="s">
        <v>110</v>
      </c>
      <c r="W78" s="31" t="s">
        <v>1047</v>
      </c>
    </row>
    <row r="79" spans="1:23">
      <c r="A79" s="31" t="s">
        <v>137</v>
      </c>
      <c r="B79" s="31" t="s">
        <v>32</v>
      </c>
      <c r="C79" s="31" t="s">
        <v>64</v>
      </c>
      <c r="D79" s="31" t="s">
        <v>53</v>
      </c>
      <c r="E79" s="31" t="s">
        <v>100</v>
      </c>
      <c r="F79" s="31">
        <v>92</v>
      </c>
      <c r="G79" s="33">
        <v>50324</v>
      </c>
      <c r="H79" s="33">
        <v>547</v>
      </c>
      <c r="I79" s="31">
        <v>0</v>
      </c>
      <c r="J79" s="33">
        <v>0</v>
      </c>
      <c r="K79" s="33">
        <v>0</v>
      </c>
      <c r="L79" s="31">
        <v>92</v>
      </c>
      <c r="M79" s="33">
        <v>50324</v>
      </c>
      <c r="N79" s="33">
        <f ca="1">IFERROR(INDEX(Price_Update!$F:$F, MATCH(A79, Price_Update!$A:$A, 0)), 556.6)</f>
        <v>556.6</v>
      </c>
      <c r="O79" s="33">
        <f t="shared" ca="1" si="4"/>
        <v>51207.200000000004</v>
      </c>
      <c r="P79" s="33">
        <v>0</v>
      </c>
      <c r="Q79" s="33">
        <f t="shared" ca="1" si="5"/>
        <v>883.20000000000437</v>
      </c>
      <c r="R79" s="33">
        <f t="shared" ca="1" si="6"/>
        <v>883.20000000000437</v>
      </c>
      <c r="S79" s="36">
        <f t="shared" ca="1" si="7"/>
        <v>1.7550274223034821E-2</v>
      </c>
      <c r="T79" s="31">
        <v>4</v>
      </c>
      <c r="U79" s="31"/>
      <c r="V79" s="31" t="s">
        <v>110</v>
      </c>
      <c r="W79" s="31" t="s">
        <v>1048</v>
      </c>
    </row>
    <row r="80" spans="1:23">
      <c r="A80" s="31" t="s">
        <v>522</v>
      </c>
      <c r="B80" s="31" t="s">
        <v>36</v>
      </c>
      <c r="C80" s="31" t="s">
        <v>64</v>
      </c>
      <c r="D80" s="31" t="s">
        <v>54</v>
      </c>
      <c r="E80" s="31" t="s">
        <v>103</v>
      </c>
      <c r="F80" s="31">
        <v>6</v>
      </c>
      <c r="G80" s="33">
        <v>99564</v>
      </c>
      <c r="H80" s="33">
        <v>16594</v>
      </c>
      <c r="I80" s="31">
        <v>0</v>
      </c>
      <c r="J80" s="33">
        <v>0</v>
      </c>
      <c r="K80" s="33">
        <v>0</v>
      </c>
      <c r="L80" s="31">
        <v>6</v>
      </c>
      <c r="M80" s="33">
        <v>99564</v>
      </c>
      <c r="N80" s="33">
        <f ca="1">IFERROR(INDEX(Price_Update!$F:$F, MATCH(A80, Price_Update!$A:$A, 0)), 18441)</f>
        <v>18441</v>
      </c>
      <c r="O80" s="33">
        <f t="shared" ca="1" si="4"/>
        <v>110646</v>
      </c>
      <c r="P80" s="33">
        <v>0</v>
      </c>
      <c r="Q80" s="33">
        <f t="shared" ca="1" si="5"/>
        <v>11082</v>
      </c>
      <c r="R80" s="33">
        <f t="shared" ca="1" si="6"/>
        <v>11082</v>
      </c>
      <c r="S80" s="36">
        <f t="shared" ca="1" si="7"/>
        <v>0.1113052910690611</v>
      </c>
      <c r="T80" s="31">
        <v>77</v>
      </c>
      <c r="U80" s="31"/>
      <c r="V80" s="31" t="s">
        <v>110</v>
      </c>
      <c r="W80" s="31" t="s">
        <v>1047</v>
      </c>
    </row>
    <row r="81" spans="1:23">
      <c r="A81" s="31" t="s">
        <v>431</v>
      </c>
      <c r="B81" s="31" t="s">
        <v>32</v>
      </c>
      <c r="C81" s="31" t="s">
        <v>69</v>
      </c>
      <c r="D81" s="31" t="s">
        <v>53</v>
      </c>
      <c r="E81" s="31"/>
      <c r="F81" s="31">
        <v>600</v>
      </c>
      <c r="G81" s="33">
        <v>26682</v>
      </c>
      <c r="H81" s="33">
        <v>44.47</v>
      </c>
      <c r="I81" s="31">
        <v>600</v>
      </c>
      <c r="J81" s="33">
        <v>22532.01</v>
      </c>
      <c r="K81" s="33">
        <v>37.549999999999997</v>
      </c>
      <c r="L81" s="31">
        <v>0</v>
      </c>
      <c r="M81" s="33">
        <v>0</v>
      </c>
      <c r="N81" s="33">
        <f>IFERROR(INDEX(Price_Update!$F:$F, MATCH(A81, Price_Update!$A:$A, 0)), 44)</f>
        <v>44</v>
      </c>
      <c r="O81" s="33">
        <f t="shared" si="4"/>
        <v>0</v>
      </c>
      <c r="P81" s="33">
        <v>-4149.99</v>
      </c>
      <c r="Q81" s="33">
        <f t="shared" si="5"/>
        <v>0</v>
      </c>
      <c r="R81" s="33">
        <f t="shared" si="6"/>
        <v>-4149.99</v>
      </c>
      <c r="S81" s="36">
        <f t="shared" si="7"/>
        <v>-0.15553519226444792</v>
      </c>
      <c r="T81" s="31">
        <v>14</v>
      </c>
      <c r="U81" s="31"/>
      <c r="V81" s="31" t="s">
        <v>110</v>
      </c>
      <c r="W81" s="31" t="s">
        <v>1048</v>
      </c>
    </row>
    <row r="82" spans="1:23">
      <c r="A82" s="31" t="s">
        <v>295</v>
      </c>
      <c r="B82" s="31" t="s">
        <v>32</v>
      </c>
      <c r="C82" s="31" t="s">
        <v>68</v>
      </c>
      <c r="D82" s="31" t="s">
        <v>53</v>
      </c>
      <c r="E82" s="31"/>
      <c r="F82" s="31">
        <v>57</v>
      </c>
      <c r="G82" s="33">
        <v>50160</v>
      </c>
      <c r="H82" s="33">
        <v>880</v>
      </c>
      <c r="I82" s="31">
        <v>57</v>
      </c>
      <c r="J82" s="33">
        <v>44850.6</v>
      </c>
      <c r="K82" s="33">
        <v>786.85</v>
      </c>
      <c r="L82" s="31">
        <v>0</v>
      </c>
      <c r="M82" s="33">
        <v>0</v>
      </c>
      <c r="N82" s="33">
        <f>IFERROR(INDEX(Price_Update!$F:$F, MATCH(A82, Price_Update!$A:$A, 0)), 697.95)</f>
        <v>697.95</v>
      </c>
      <c r="O82" s="33">
        <f t="shared" si="4"/>
        <v>0</v>
      </c>
      <c r="P82" s="33">
        <v>-5309.4</v>
      </c>
      <c r="Q82" s="33">
        <f t="shared" si="5"/>
        <v>0</v>
      </c>
      <c r="R82" s="33">
        <f t="shared" si="6"/>
        <v>-5309.4</v>
      </c>
      <c r="S82" s="36">
        <f t="shared" si="7"/>
        <v>-0.10584928229665071</v>
      </c>
      <c r="T82" s="31">
        <v>9</v>
      </c>
      <c r="U82" s="31"/>
      <c r="V82" s="31" t="s">
        <v>110</v>
      </c>
      <c r="W82" s="31" t="s">
        <v>1048</v>
      </c>
    </row>
    <row r="83" spans="1:23">
      <c r="A83" s="31" t="s">
        <v>67</v>
      </c>
      <c r="B83" s="31" t="s">
        <v>36</v>
      </c>
      <c r="C83" s="31" t="s">
        <v>68</v>
      </c>
      <c r="D83" s="31" t="s">
        <v>53</v>
      </c>
      <c r="E83" s="31" t="s">
        <v>100</v>
      </c>
      <c r="F83" s="31">
        <v>26</v>
      </c>
      <c r="G83" s="33">
        <v>49379.199999999997</v>
      </c>
      <c r="H83" s="33">
        <v>1899.2</v>
      </c>
      <c r="I83" s="31">
        <v>0</v>
      </c>
      <c r="J83" s="33">
        <v>0</v>
      </c>
      <c r="K83" s="33">
        <v>0</v>
      </c>
      <c r="L83" s="31">
        <v>26</v>
      </c>
      <c r="M83" s="33">
        <v>49379.199999999997</v>
      </c>
      <c r="N83" s="33">
        <f ca="1">IFERROR(INDEX(Price_Update!$F:$F, MATCH(A83, Price_Update!$A:$A, 0)), 1782.2)</f>
        <v>1782.2</v>
      </c>
      <c r="O83" s="33">
        <f t="shared" ca="1" si="4"/>
        <v>46337.200000000004</v>
      </c>
      <c r="P83" s="33">
        <v>0</v>
      </c>
      <c r="Q83" s="33">
        <f t="shared" ca="1" si="5"/>
        <v>-3041.9999999999927</v>
      </c>
      <c r="R83" s="33">
        <f t="shared" ca="1" si="6"/>
        <v>-3041.9999999999927</v>
      </c>
      <c r="S83" s="36">
        <f t="shared" ca="1" si="7"/>
        <v>-6.1604886267902129E-2</v>
      </c>
      <c r="T83" s="31">
        <v>18</v>
      </c>
      <c r="U83" s="31"/>
      <c r="V83" s="31" t="s">
        <v>110</v>
      </c>
      <c r="W83" s="31" t="s">
        <v>1047</v>
      </c>
    </row>
    <row r="84" spans="1:23">
      <c r="A84" s="31" t="s">
        <v>258</v>
      </c>
      <c r="B84" s="31" t="s">
        <v>39</v>
      </c>
      <c r="C84" s="31" t="s">
        <v>68</v>
      </c>
      <c r="D84" s="31" t="s">
        <v>54</v>
      </c>
      <c r="E84" s="31"/>
      <c r="F84" s="31">
        <v>20</v>
      </c>
      <c r="G84" s="33">
        <v>90180</v>
      </c>
      <c r="H84" s="33">
        <v>4509</v>
      </c>
      <c r="I84" s="31">
        <v>20</v>
      </c>
      <c r="J84" s="33">
        <v>83602.900399999999</v>
      </c>
      <c r="K84" s="33">
        <v>4180.1499999999996</v>
      </c>
      <c r="L84" s="31">
        <v>0</v>
      </c>
      <c r="M84" s="33">
        <v>0</v>
      </c>
      <c r="N84" s="33">
        <f>IFERROR(INDEX(Price_Update!$F:$F, MATCH(A84, Price_Update!$A:$A, 0)), 3602)</f>
        <v>3602</v>
      </c>
      <c r="O84" s="33">
        <f t="shared" si="4"/>
        <v>0</v>
      </c>
      <c r="P84" s="33">
        <v>-6577.1</v>
      </c>
      <c r="Q84" s="33">
        <f t="shared" si="5"/>
        <v>0</v>
      </c>
      <c r="R84" s="33">
        <f t="shared" si="6"/>
        <v>-6577.1</v>
      </c>
      <c r="S84" s="36">
        <f t="shared" si="7"/>
        <v>-7.2933022843202494E-2</v>
      </c>
      <c r="T84" s="31">
        <v>25</v>
      </c>
      <c r="U84" s="31"/>
      <c r="V84" s="31" t="s">
        <v>110</v>
      </c>
      <c r="W84" s="31" t="s">
        <v>1048</v>
      </c>
    </row>
    <row r="85" spans="1:23">
      <c r="A85" s="31" t="s">
        <v>631</v>
      </c>
      <c r="B85" s="31" t="s">
        <v>32</v>
      </c>
      <c r="C85" s="31" t="s">
        <v>64</v>
      </c>
      <c r="D85" s="31" t="s">
        <v>54</v>
      </c>
      <c r="E85" s="31" t="s">
        <v>100</v>
      </c>
      <c r="F85" s="31">
        <v>26</v>
      </c>
      <c r="G85" s="33">
        <v>29975.4</v>
      </c>
      <c r="H85" s="33">
        <v>1152.9000000000001</v>
      </c>
      <c r="I85" s="31">
        <v>0</v>
      </c>
      <c r="J85" s="33">
        <v>0</v>
      </c>
      <c r="K85" s="33">
        <v>0</v>
      </c>
      <c r="L85" s="31">
        <v>26</v>
      </c>
      <c r="M85" s="33">
        <v>29975.4</v>
      </c>
      <c r="N85" s="33">
        <f ca="1">IFERROR(INDEX(Price_Update!$F:$F, MATCH(A85, Price_Update!$A:$A, 0)), 1226.8)</f>
        <v>1226.8</v>
      </c>
      <c r="O85" s="33">
        <f t="shared" ca="1" si="4"/>
        <v>31896.799999999999</v>
      </c>
      <c r="P85" s="33">
        <v>0</v>
      </c>
      <c r="Q85" s="33">
        <f t="shared" ca="1" si="5"/>
        <v>1921.3999999999978</v>
      </c>
      <c r="R85" s="33">
        <f t="shared" ca="1" si="6"/>
        <v>1921.3999999999978</v>
      </c>
      <c r="S85" s="36">
        <f t="shared" ca="1" si="7"/>
        <v>6.4099228033654185E-2</v>
      </c>
      <c r="T85" s="31">
        <v>3</v>
      </c>
      <c r="U85" s="31"/>
      <c r="V85" s="31" t="s">
        <v>110</v>
      </c>
      <c r="W85" s="31" t="s">
        <v>1047</v>
      </c>
    </row>
    <row r="86" spans="1:23">
      <c r="A86" s="31" t="s">
        <v>490</v>
      </c>
      <c r="B86" s="31" t="s">
        <v>32</v>
      </c>
      <c r="C86" s="31" t="s">
        <v>64</v>
      </c>
      <c r="D86" s="31" t="s">
        <v>53</v>
      </c>
      <c r="E86" s="31"/>
      <c r="F86" s="31">
        <v>80</v>
      </c>
      <c r="G86" s="33">
        <v>25175.98</v>
      </c>
      <c r="H86" s="33">
        <v>314.7</v>
      </c>
      <c r="I86" s="31">
        <v>80</v>
      </c>
      <c r="J86" s="33">
        <v>24328</v>
      </c>
      <c r="K86" s="33">
        <v>304.10000000000002</v>
      </c>
      <c r="L86" s="31">
        <v>0</v>
      </c>
      <c r="M86" s="33">
        <v>0</v>
      </c>
      <c r="N86" s="33">
        <f>IFERROR(INDEX(Price_Update!$F:$F, MATCH(A86, Price_Update!$A:$A, 0)), 321.1)</f>
        <v>321.10000000000002</v>
      </c>
      <c r="O86" s="33">
        <f t="shared" si="4"/>
        <v>0</v>
      </c>
      <c r="P86" s="33">
        <v>-848</v>
      </c>
      <c r="Q86" s="33">
        <f t="shared" si="5"/>
        <v>0</v>
      </c>
      <c r="R86" s="33">
        <f t="shared" si="6"/>
        <v>-848</v>
      </c>
      <c r="S86" s="36">
        <f t="shared" si="7"/>
        <v>-3.3682899335001064E-2</v>
      </c>
      <c r="T86" s="31">
        <v>84</v>
      </c>
      <c r="U86" s="31"/>
      <c r="V86" s="31" t="s">
        <v>110</v>
      </c>
      <c r="W86" s="31" t="s">
        <v>1047</v>
      </c>
    </row>
    <row r="87" spans="1:23">
      <c r="A87" s="31" t="s">
        <v>134</v>
      </c>
      <c r="B87" s="31" t="s">
        <v>32</v>
      </c>
      <c r="C87" s="31" t="s">
        <v>70</v>
      </c>
      <c r="D87" s="31" t="s">
        <v>53</v>
      </c>
      <c r="E87" s="31" t="s">
        <v>103</v>
      </c>
      <c r="F87" s="31">
        <v>145</v>
      </c>
      <c r="G87" s="33">
        <v>100201.25</v>
      </c>
      <c r="H87" s="33">
        <v>691.04</v>
      </c>
      <c r="I87" s="31">
        <v>0</v>
      </c>
      <c r="J87" s="33">
        <v>0</v>
      </c>
      <c r="K87" s="33">
        <v>0</v>
      </c>
      <c r="L87" s="31">
        <v>145</v>
      </c>
      <c r="M87" s="33">
        <v>100200.8</v>
      </c>
      <c r="N87" s="33">
        <f ca="1">IFERROR(INDEX(Price_Update!$F:$F, MATCH(A87, Price_Update!$A:$A, 0)), 771.2)</f>
        <v>771.2</v>
      </c>
      <c r="O87" s="33">
        <f t="shared" ca="1" si="4"/>
        <v>111824</v>
      </c>
      <c r="P87" s="33">
        <v>0</v>
      </c>
      <c r="Q87" s="33">
        <f t="shared" ca="1" si="5"/>
        <v>11623.199999999997</v>
      </c>
      <c r="R87" s="33">
        <f t="shared" ca="1" si="6"/>
        <v>11623.199999999997</v>
      </c>
      <c r="S87" s="36">
        <f t="shared" ca="1" si="7"/>
        <v>0.11599855291226403</v>
      </c>
      <c r="T87" s="31">
        <v>17</v>
      </c>
      <c r="U87" s="31"/>
      <c r="V87" s="31" t="s">
        <v>110</v>
      </c>
      <c r="W87" s="31" t="s">
        <v>1047</v>
      </c>
    </row>
    <row r="88" spans="1:23">
      <c r="A88" s="31" t="s">
        <v>72</v>
      </c>
      <c r="B88" s="31" t="s">
        <v>32</v>
      </c>
      <c r="C88" s="31" t="s">
        <v>64</v>
      </c>
      <c r="D88" s="31" t="s">
        <v>54</v>
      </c>
      <c r="E88" s="31" t="s">
        <v>111</v>
      </c>
      <c r="F88" s="31">
        <v>392</v>
      </c>
      <c r="G88" s="33">
        <v>400919.75</v>
      </c>
      <c r="H88" s="33">
        <v>1022.75</v>
      </c>
      <c r="I88" s="31">
        <v>0</v>
      </c>
      <c r="J88" s="33">
        <v>0</v>
      </c>
      <c r="K88" s="33">
        <v>0</v>
      </c>
      <c r="L88" s="31">
        <v>392</v>
      </c>
      <c r="M88" s="33">
        <v>400918</v>
      </c>
      <c r="N88" s="33">
        <f ca="1">IFERROR(INDEX(Price_Update!$F:$F, MATCH(A88, Price_Update!$A:$A, 0)), 1312.8)</f>
        <v>1312.8</v>
      </c>
      <c r="O88" s="33">
        <f t="shared" ca="1" si="4"/>
        <v>514617.59999999998</v>
      </c>
      <c r="P88" s="33">
        <v>0</v>
      </c>
      <c r="Q88" s="33">
        <f t="shared" ca="1" si="5"/>
        <v>113699.59999999998</v>
      </c>
      <c r="R88" s="33">
        <f t="shared" ca="1" si="6"/>
        <v>113699.59999999998</v>
      </c>
      <c r="S88" s="36">
        <f t="shared" ca="1" si="7"/>
        <v>0.28359690436801871</v>
      </c>
      <c r="T88" s="31">
        <v>113</v>
      </c>
      <c r="U88" s="31"/>
      <c r="V88" s="31" t="s">
        <v>110</v>
      </c>
      <c r="W88" s="31" t="s">
        <v>1048</v>
      </c>
    </row>
    <row r="89" spans="1:23">
      <c r="A89" s="31" t="s">
        <v>61</v>
      </c>
      <c r="B89" s="31" t="s">
        <v>39</v>
      </c>
      <c r="C89" s="31" t="s">
        <v>64</v>
      </c>
      <c r="D89" s="31" t="s">
        <v>53</v>
      </c>
      <c r="E89" s="31" t="s">
        <v>101</v>
      </c>
      <c r="F89" s="31">
        <v>11</v>
      </c>
      <c r="G89" s="33">
        <v>54590.598100000003</v>
      </c>
      <c r="H89" s="33">
        <v>4962.78</v>
      </c>
      <c r="I89" s="31">
        <v>0</v>
      </c>
      <c r="J89" s="33">
        <v>0</v>
      </c>
      <c r="K89" s="33">
        <v>0</v>
      </c>
      <c r="L89" s="31">
        <v>11</v>
      </c>
      <c r="M89" s="33">
        <v>54590.58</v>
      </c>
      <c r="N89" s="33">
        <f ca="1">IFERROR(INDEX(Price_Update!$F:$F, MATCH(A89, Price_Update!$A:$A, 0)), 4832.1)</f>
        <v>4832.1000000000004</v>
      </c>
      <c r="O89" s="33">
        <f t="shared" ca="1" si="4"/>
        <v>53153.100000000006</v>
      </c>
      <c r="P89" s="33">
        <v>0</v>
      </c>
      <c r="Q89" s="33">
        <f t="shared" ca="1" si="5"/>
        <v>-1437.4799999999959</v>
      </c>
      <c r="R89" s="33">
        <f t="shared" ca="1" si="6"/>
        <v>-1437.4799999999959</v>
      </c>
      <c r="S89" s="36">
        <f t="shared" ca="1" si="7"/>
        <v>-2.6332006792942536E-2</v>
      </c>
      <c r="T89" s="31">
        <v>7</v>
      </c>
      <c r="U89" s="31"/>
      <c r="V89" s="31" t="s">
        <v>110</v>
      </c>
      <c r="W89" s="31" t="s">
        <v>1048</v>
      </c>
    </row>
    <row r="90" spans="1:23">
      <c r="A90" s="31" t="s">
        <v>682</v>
      </c>
      <c r="B90" s="31" t="s">
        <v>32</v>
      </c>
      <c r="C90" s="31" t="s">
        <v>64</v>
      </c>
      <c r="D90" s="31" t="s">
        <v>54</v>
      </c>
      <c r="E90" s="31" t="s">
        <v>100</v>
      </c>
      <c r="F90" s="31">
        <v>8</v>
      </c>
      <c r="G90" s="33">
        <v>28160.800800000001</v>
      </c>
      <c r="H90" s="33">
        <v>3520.1</v>
      </c>
      <c r="I90" s="31">
        <v>0</v>
      </c>
      <c r="J90" s="33">
        <v>0</v>
      </c>
      <c r="K90" s="33">
        <v>0</v>
      </c>
      <c r="L90" s="31">
        <v>8</v>
      </c>
      <c r="M90" s="33">
        <v>28160.799999999999</v>
      </c>
      <c r="N90" s="33">
        <f ca="1">IFERROR(INDEX(Price_Update!$F:$F, MATCH(A90, Price_Update!$A:$A, 0)), 3643.6)</f>
        <v>3643.6</v>
      </c>
      <c r="O90" s="33">
        <f t="shared" ca="1" si="4"/>
        <v>29148.799999999999</v>
      </c>
      <c r="P90" s="33">
        <v>0</v>
      </c>
      <c r="Q90" s="33">
        <f t="shared" ca="1" si="5"/>
        <v>988</v>
      </c>
      <c r="R90" s="33">
        <f t="shared" ca="1" si="6"/>
        <v>988</v>
      </c>
      <c r="S90" s="36">
        <f t="shared" ca="1" si="7"/>
        <v>3.508422956494902E-2</v>
      </c>
      <c r="T90" s="31">
        <v>3</v>
      </c>
      <c r="U90" s="31"/>
      <c r="V90" s="31" t="s">
        <v>110</v>
      </c>
      <c r="W90" s="31" t="s">
        <v>1047</v>
      </c>
    </row>
    <row r="91" spans="1:23">
      <c r="A91" s="31" t="s">
        <v>640</v>
      </c>
      <c r="B91" s="31" t="s">
        <v>32</v>
      </c>
      <c r="C91" s="31" t="s">
        <v>70</v>
      </c>
      <c r="D91" s="31" t="s">
        <v>54</v>
      </c>
      <c r="E91" s="31" t="s">
        <v>100</v>
      </c>
      <c r="F91" s="31">
        <v>43</v>
      </c>
      <c r="G91" s="33">
        <v>28541.25</v>
      </c>
      <c r="H91" s="33">
        <v>663.75</v>
      </c>
      <c r="I91" s="31">
        <v>0</v>
      </c>
      <c r="J91" s="33">
        <v>0</v>
      </c>
      <c r="K91" s="33">
        <v>0</v>
      </c>
      <c r="L91" s="31">
        <v>43</v>
      </c>
      <c r="M91" s="33">
        <v>28541.25</v>
      </c>
      <c r="N91" s="33">
        <f ca="1">IFERROR(INDEX(Price_Update!$F:$F, MATCH(A91, Price_Update!$A:$A, 0)), 690.95)</f>
        <v>690.95</v>
      </c>
      <c r="O91" s="33">
        <f t="shared" ca="1" si="4"/>
        <v>29710.850000000002</v>
      </c>
      <c r="P91" s="33">
        <v>0</v>
      </c>
      <c r="Q91" s="33">
        <f t="shared" ca="1" si="5"/>
        <v>1169.6000000000022</v>
      </c>
      <c r="R91" s="33">
        <f t="shared" ca="1" si="6"/>
        <v>1169.6000000000022</v>
      </c>
      <c r="S91" s="36">
        <f t="shared" ca="1" si="7"/>
        <v>4.0979284369114952E-2</v>
      </c>
      <c r="T91" s="31">
        <v>3</v>
      </c>
      <c r="U91" s="31"/>
      <c r="V91" s="31" t="s">
        <v>110</v>
      </c>
      <c r="W91" s="31" t="s">
        <v>1047</v>
      </c>
    </row>
    <row r="92" spans="1:23">
      <c r="A92" s="31" t="s">
        <v>261</v>
      </c>
      <c r="B92" s="31" t="s">
        <v>36</v>
      </c>
      <c r="C92" s="31" t="s">
        <v>66</v>
      </c>
      <c r="D92" s="31" t="s">
        <v>54</v>
      </c>
      <c r="E92" s="31"/>
      <c r="F92" s="31">
        <v>25</v>
      </c>
      <c r="G92" s="33">
        <v>91567.5</v>
      </c>
      <c r="H92" s="33">
        <v>3662.7</v>
      </c>
      <c r="I92" s="31">
        <v>25</v>
      </c>
      <c r="J92" s="33">
        <v>84762.5</v>
      </c>
      <c r="K92" s="33">
        <v>3390.5</v>
      </c>
      <c r="L92" s="31">
        <v>0</v>
      </c>
      <c r="M92" s="33">
        <v>0</v>
      </c>
      <c r="N92" s="33">
        <f>IFERROR(INDEX(Price_Update!$F:$F, MATCH(A92, Price_Update!$A:$A, 0)), 4260.2)</f>
        <v>4260.2</v>
      </c>
      <c r="O92" s="33">
        <f t="shared" si="4"/>
        <v>0</v>
      </c>
      <c r="P92" s="33">
        <v>-6805</v>
      </c>
      <c r="Q92" s="33">
        <f t="shared" si="5"/>
        <v>0</v>
      </c>
      <c r="R92" s="33">
        <f t="shared" si="6"/>
        <v>-6805</v>
      </c>
      <c r="S92" s="36">
        <f t="shared" si="7"/>
        <v>-7.431676085947525E-2</v>
      </c>
      <c r="T92" s="31">
        <v>25</v>
      </c>
      <c r="U92" s="31"/>
      <c r="V92" s="31" t="s">
        <v>110</v>
      </c>
      <c r="W92" s="31" t="s">
        <v>1047</v>
      </c>
    </row>
    <row r="93" spans="1:23">
      <c r="A93" s="31" t="s">
        <v>232</v>
      </c>
      <c r="B93" s="31" t="s">
        <v>32</v>
      </c>
      <c r="C93" s="31" t="s">
        <v>64</v>
      </c>
      <c r="D93" s="31" t="s">
        <v>54</v>
      </c>
      <c r="E93" s="31" t="s">
        <v>101</v>
      </c>
      <c r="F93" s="31">
        <v>114</v>
      </c>
      <c r="G93" s="33">
        <v>78698.700000000012</v>
      </c>
      <c r="H93" s="33">
        <v>690.34</v>
      </c>
      <c r="I93" s="31">
        <v>0</v>
      </c>
      <c r="J93" s="33">
        <v>0</v>
      </c>
      <c r="K93" s="33">
        <v>0</v>
      </c>
      <c r="L93" s="31">
        <v>114</v>
      </c>
      <c r="M93" s="33">
        <v>78698.759999999995</v>
      </c>
      <c r="N93" s="33">
        <f ca="1">IFERROR(INDEX(Price_Update!$F:$F, MATCH(A93, Price_Update!$A:$A, 0)), 686.9)</f>
        <v>686.9</v>
      </c>
      <c r="O93" s="33">
        <f t="shared" ca="1" si="4"/>
        <v>78306.599999999991</v>
      </c>
      <c r="P93" s="33">
        <v>0</v>
      </c>
      <c r="Q93" s="33">
        <f t="shared" ca="1" si="5"/>
        <v>-392.16000000000349</v>
      </c>
      <c r="R93" s="33">
        <f t="shared" ca="1" si="6"/>
        <v>-392.16000000000349</v>
      </c>
      <c r="S93" s="36">
        <f t="shared" ca="1" si="7"/>
        <v>-4.9830556286190675E-3</v>
      </c>
      <c r="T93" s="31">
        <v>4</v>
      </c>
      <c r="U93" s="31"/>
      <c r="V93" s="31" t="s">
        <v>110</v>
      </c>
      <c r="W93" s="31" t="s">
        <v>1048</v>
      </c>
    </row>
    <row r="94" spans="1:23">
      <c r="A94" s="31" t="s">
        <v>381</v>
      </c>
      <c r="B94" s="31" t="s">
        <v>32</v>
      </c>
      <c r="C94" s="31" t="s">
        <v>66</v>
      </c>
      <c r="D94" s="31" t="s">
        <v>53</v>
      </c>
      <c r="E94" s="31"/>
      <c r="F94" s="31">
        <v>22</v>
      </c>
      <c r="G94" s="33">
        <v>101483.5</v>
      </c>
      <c r="H94" s="33">
        <v>4612.8900000000003</v>
      </c>
      <c r="I94" s="31">
        <v>22</v>
      </c>
      <c r="J94" s="33">
        <v>88669.197999999989</v>
      </c>
      <c r="K94" s="33">
        <v>4030.42</v>
      </c>
      <c r="L94" s="31">
        <v>0</v>
      </c>
      <c r="M94" s="33">
        <v>0</v>
      </c>
      <c r="N94" s="33">
        <f>IFERROR(INDEX(Price_Update!$F:$F, MATCH(A94, Price_Update!$A:$A, 0)), 4042.9)</f>
        <v>4042.9</v>
      </c>
      <c r="O94" s="33">
        <f t="shared" si="4"/>
        <v>0</v>
      </c>
      <c r="P94" s="33">
        <v>-12814.38</v>
      </c>
      <c r="Q94" s="33">
        <f t="shared" si="5"/>
        <v>0</v>
      </c>
      <c r="R94" s="33">
        <f t="shared" si="6"/>
        <v>-12814.38</v>
      </c>
      <c r="S94" s="36">
        <f t="shared" si="7"/>
        <v>-0.12627057600496633</v>
      </c>
      <c r="T94" s="31">
        <v>60</v>
      </c>
      <c r="U94" s="31"/>
      <c r="V94" s="31" t="s">
        <v>110</v>
      </c>
      <c r="W94" s="31" t="s">
        <v>1048</v>
      </c>
    </row>
    <row r="95" spans="1:23">
      <c r="A95" s="31" t="s">
        <v>276</v>
      </c>
      <c r="B95" s="31" t="s">
        <v>39</v>
      </c>
      <c r="C95" s="31" t="s">
        <v>66</v>
      </c>
      <c r="D95" s="31" t="s">
        <v>54</v>
      </c>
      <c r="E95" s="31"/>
      <c r="F95" s="31">
        <v>37</v>
      </c>
      <c r="G95" s="33">
        <v>47700.4</v>
      </c>
      <c r="H95" s="33">
        <v>1289.2</v>
      </c>
      <c r="I95" s="31">
        <v>71</v>
      </c>
      <c r="J95" s="33">
        <v>77517.8</v>
      </c>
      <c r="K95" s="33">
        <v>1091.8</v>
      </c>
      <c r="L95" s="31">
        <v>-34</v>
      </c>
      <c r="M95" s="33">
        <v>-43832.800000000003</v>
      </c>
      <c r="N95" s="33">
        <f>IFERROR(INDEX(Price_Update!$F:$F, MATCH(A95, Price_Update!$A:$A, 0)), 1090)</f>
        <v>1090</v>
      </c>
      <c r="O95" s="33">
        <f t="shared" si="4"/>
        <v>-37060</v>
      </c>
      <c r="P95" s="33">
        <v>-14015.4</v>
      </c>
      <c r="Q95" s="33">
        <f t="shared" si="5"/>
        <v>6772.8000000000029</v>
      </c>
      <c r="R95" s="33">
        <f t="shared" si="6"/>
        <v>-7242.5999999999967</v>
      </c>
      <c r="S95" s="36">
        <f t="shared" si="7"/>
        <v>-0.15183520473622855</v>
      </c>
      <c r="T95" s="31">
        <v>269</v>
      </c>
      <c r="U95" s="31"/>
      <c r="V95" s="31" t="s">
        <v>110</v>
      </c>
      <c r="W95" s="31" t="s">
        <v>1047</v>
      </c>
    </row>
    <row r="96" spans="1:23">
      <c r="A96" s="31" t="s">
        <v>634</v>
      </c>
      <c r="B96" s="31" t="s">
        <v>36</v>
      </c>
      <c r="C96" s="31" t="s">
        <v>66</v>
      </c>
      <c r="D96" s="31" t="s">
        <v>54</v>
      </c>
      <c r="E96" s="31" t="s">
        <v>100</v>
      </c>
      <c r="F96" s="31">
        <v>55</v>
      </c>
      <c r="G96" s="33">
        <v>29356.25</v>
      </c>
      <c r="H96" s="33">
        <v>533.75</v>
      </c>
      <c r="I96" s="31">
        <v>0</v>
      </c>
      <c r="J96" s="33">
        <v>0</v>
      </c>
      <c r="K96" s="33">
        <v>0</v>
      </c>
      <c r="L96" s="31">
        <v>55</v>
      </c>
      <c r="M96" s="33">
        <v>29356.25</v>
      </c>
      <c r="N96" s="33">
        <f ca="1">IFERROR(INDEX(Price_Update!$F:$F, MATCH(A96, Price_Update!$A:$A, 0)), 523.3)</f>
        <v>523.29999999999995</v>
      </c>
      <c r="O96" s="33">
        <f t="shared" ca="1" si="4"/>
        <v>28781.499999999996</v>
      </c>
      <c r="P96" s="33">
        <v>0</v>
      </c>
      <c r="Q96" s="33">
        <f t="shared" ca="1" si="5"/>
        <v>-574.75000000000364</v>
      </c>
      <c r="R96" s="33">
        <f t="shared" ca="1" si="6"/>
        <v>-574.75000000000364</v>
      </c>
      <c r="S96" s="36">
        <f t="shared" ca="1" si="7"/>
        <v>-1.9578454332552817E-2</v>
      </c>
      <c r="T96" s="31">
        <v>3</v>
      </c>
      <c r="U96" s="31"/>
      <c r="V96" s="31" t="s">
        <v>110</v>
      </c>
      <c r="W96" s="31" t="s">
        <v>1048</v>
      </c>
    </row>
    <row r="97" spans="1:23">
      <c r="A97" s="31" t="s">
        <v>539</v>
      </c>
      <c r="B97" s="31" t="s">
        <v>32</v>
      </c>
      <c r="C97" s="31" t="s">
        <v>64</v>
      </c>
      <c r="D97" s="31" t="s">
        <v>53</v>
      </c>
      <c r="E97" s="31"/>
      <c r="F97" s="31">
        <v>10</v>
      </c>
      <c r="G97" s="33">
        <v>100330</v>
      </c>
      <c r="H97" s="33">
        <v>10033</v>
      </c>
      <c r="I97" s="31">
        <v>10</v>
      </c>
      <c r="J97" s="33">
        <v>99010</v>
      </c>
      <c r="K97" s="33">
        <v>9901</v>
      </c>
      <c r="L97" s="31">
        <v>0</v>
      </c>
      <c r="M97" s="33">
        <v>0</v>
      </c>
      <c r="N97" s="33">
        <f>IFERROR(INDEX(Price_Update!$F:$F, MATCH(A97, Price_Update!$A:$A, 0)), 9884.5)</f>
        <v>9884.5</v>
      </c>
      <c r="O97" s="33">
        <f t="shared" si="4"/>
        <v>0</v>
      </c>
      <c r="P97" s="33">
        <v>-1320</v>
      </c>
      <c r="Q97" s="33">
        <f t="shared" si="5"/>
        <v>0</v>
      </c>
      <c r="R97" s="33">
        <f t="shared" si="6"/>
        <v>-1320</v>
      </c>
      <c r="S97" s="36">
        <f t="shared" si="7"/>
        <v>-1.3156583275191867E-2</v>
      </c>
      <c r="T97" s="31">
        <v>1</v>
      </c>
      <c r="U97" s="31"/>
      <c r="V97" s="31" t="s">
        <v>110</v>
      </c>
      <c r="W97" s="31" t="s">
        <v>1047</v>
      </c>
    </row>
    <row r="98" spans="1:23">
      <c r="A98" s="31" t="s">
        <v>97</v>
      </c>
      <c r="B98" s="31" t="s">
        <v>36</v>
      </c>
      <c r="C98" s="31" t="s">
        <v>68</v>
      </c>
      <c r="D98" s="31" t="s">
        <v>53</v>
      </c>
      <c r="E98" s="31" t="s">
        <v>100</v>
      </c>
      <c r="F98" s="31">
        <v>46</v>
      </c>
      <c r="G98" s="33">
        <v>50250.400000000001</v>
      </c>
      <c r="H98" s="33">
        <v>1092.4000000000001</v>
      </c>
      <c r="I98" s="31">
        <v>0</v>
      </c>
      <c r="J98" s="33">
        <v>0</v>
      </c>
      <c r="K98" s="33">
        <v>0</v>
      </c>
      <c r="L98" s="31">
        <v>46</v>
      </c>
      <c r="M98" s="33">
        <v>50250.400000000001</v>
      </c>
      <c r="N98" s="33">
        <f ca="1">IFERROR(INDEX(Price_Update!$F:$F, MATCH(A98, Price_Update!$A:$A, 0)), 1089)</f>
        <v>1089</v>
      </c>
      <c r="O98" s="33">
        <f t="shared" ca="1" si="4"/>
        <v>50094</v>
      </c>
      <c r="P98" s="33">
        <v>0</v>
      </c>
      <c r="Q98" s="33">
        <f t="shared" ca="1" si="5"/>
        <v>-156.40000000000146</v>
      </c>
      <c r="R98" s="33">
        <f t="shared" ca="1" si="6"/>
        <v>-156.40000000000146</v>
      </c>
      <c r="S98" s="36">
        <f t="shared" ca="1" si="7"/>
        <v>-3.112413035518154E-3</v>
      </c>
      <c r="T98" s="31">
        <v>4</v>
      </c>
      <c r="U98" s="31"/>
      <c r="V98" s="31" t="s">
        <v>110</v>
      </c>
      <c r="W98" s="31" t="s">
        <v>1047</v>
      </c>
    </row>
  </sheetData>
  <autoFilter ref="A1:BX101"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63"/>
  <sheetViews>
    <sheetView workbookViewId="0">
      <selection activeCell="B3" sqref="B3:B63"/>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f>SUM(E4:E31)</f>
        <v>2069783.0000000002</v>
      </c>
      <c r="G1" s="1">
        <f ca="1">SUM(G4:G31)</f>
        <v>2281988.5</v>
      </c>
      <c r="H1" s="1">
        <f ca="1">SUM(H4:H31)</f>
        <v>212205.49999999988</v>
      </c>
    </row>
    <row r="2" spans="1:12">
      <c r="A2" t="s">
        <v>47</v>
      </c>
      <c r="B2" t="s">
        <v>117</v>
      </c>
      <c r="C2" t="s">
        <v>242</v>
      </c>
      <c r="D2" t="s">
        <v>1050</v>
      </c>
      <c r="E2" t="s">
        <v>120</v>
      </c>
      <c r="F2" t="s">
        <v>90</v>
      </c>
      <c r="G2" t="s">
        <v>121</v>
      </c>
      <c r="H2" t="s">
        <v>1051</v>
      </c>
      <c r="I2" t="s">
        <v>1052</v>
      </c>
      <c r="J2" t="s">
        <v>1053</v>
      </c>
      <c r="K2" t="s">
        <v>1054</v>
      </c>
      <c r="L2" t="s">
        <v>1055</v>
      </c>
    </row>
    <row r="3" spans="1:12">
      <c r="A3" t="s">
        <v>1056</v>
      </c>
      <c r="B3" t="e" vm="300">
        <v>#VALUE!</v>
      </c>
      <c r="C3">
        <v>1</v>
      </c>
      <c r="D3" s="80">
        <f t="array" aca="1" ref="D3" ca="1">_FV(B3,"Price")</f>
        <v>23366.7</v>
      </c>
      <c r="E3" s="1">
        <f t="shared" ref="E3:E34" ca="1" si="0">C3*D3</f>
        <v>23366.7</v>
      </c>
      <c r="F3" s="80">
        <f t="array" aca="1" ref="F3" ca="1">_FV(B3,"Price")</f>
        <v>23366.7</v>
      </c>
      <c r="G3" s="1">
        <f t="shared" ref="G3:G34" ca="1" si="1">C3*F3</f>
        <v>23366.7</v>
      </c>
      <c r="H3" s="1">
        <f t="shared" ref="H3:H34" ca="1" si="2">G3-E3</f>
        <v>0</v>
      </c>
      <c r="I3" s="1">
        <f t="array" aca="1" ref="I3" ca="1">_FV(B3,"Previous close",TRUE)</f>
        <v>23416.55</v>
      </c>
      <c r="J3" s="79">
        <f t="shared" ref="J3:J34" ca="1" si="3">(F3-I3)/I3</f>
        <v>-2.1288362290772357E-3</v>
      </c>
    </row>
    <row r="4" spans="1:12">
      <c r="A4" s="31" t="s">
        <v>564</v>
      </c>
      <c r="B4" s="31" t="e" vm="10">
        <v>#VALUE!</v>
      </c>
      <c r="C4" s="31">
        <v>28</v>
      </c>
      <c r="D4" s="33">
        <v>2802.75</v>
      </c>
      <c r="E4" s="1">
        <f t="shared" si="0"/>
        <v>78477</v>
      </c>
      <c r="F4" s="1">
        <f t="array" aca="1" ref="F4" ca="1">_FV(B4,"Price")</f>
        <v>3328.3</v>
      </c>
      <c r="G4" s="1">
        <f t="shared" ca="1" si="1"/>
        <v>93192.400000000009</v>
      </c>
      <c r="H4" s="1">
        <f t="shared" ca="1" si="2"/>
        <v>14715.400000000009</v>
      </c>
      <c r="I4" s="1">
        <f t="array" aca="1" ref="I4" ca="1">_FV(B4,"Previous close",TRUE)</f>
        <v>3164.7</v>
      </c>
      <c r="J4" s="79">
        <f t="shared" ca="1" si="3"/>
        <v>5.1695263374095607E-2</v>
      </c>
      <c r="K4" s="1">
        <v>2457</v>
      </c>
      <c r="L4" s="1">
        <v>577.79999999999995</v>
      </c>
    </row>
    <row r="5" spans="1:12">
      <c r="A5" s="55" t="s">
        <v>643</v>
      </c>
      <c r="B5" s="55" t="e" vm="9">
        <v>#VALUE!</v>
      </c>
      <c r="C5" s="31">
        <v>6</v>
      </c>
      <c r="D5" s="33">
        <v>4554.1000000000004</v>
      </c>
      <c r="E5" s="1">
        <f t="shared" si="0"/>
        <v>27324.600000000002</v>
      </c>
      <c r="F5" s="1">
        <f t="array" aca="1" ref="F5" ca="1">_FV(B5,"Price")</f>
        <v>4630.7</v>
      </c>
      <c r="G5" s="1">
        <f t="shared" ca="1" si="1"/>
        <v>27784.199999999997</v>
      </c>
      <c r="H5" s="1">
        <f t="shared" ca="1" si="2"/>
        <v>459.59999999999491</v>
      </c>
      <c r="I5" s="1">
        <f t="array" aca="1" ref="I5" ca="1">_FV(B5,"Previous close",TRUE)</f>
        <v>4596.5</v>
      </c>
      <c r="J5" s="79">
        <f t="shared" ca="1" si="3"/>
        <v>7.4404438159468766E-3</v>
      </c>
      <c r="K5" s="1">
        <v>2454.48</v>
      </c>
      <c r="L5" s="1">
        <v>514.82000000000005</v>
      </c>
    </row>
    <row r="6" spans="1:12">
      <c r="A6" s="53" t="s">
        <v>650</v>
      </c>
      <c r="B6" s="53" t="e" vm="12">
        <v>#VALUE!</v>
      </c>
      <c r="C6" s="31">
        <v>4</v>
      </c>
      <c r="D6" s="33">
        <v>12829</v>
      </c>
      <c r="E6" s="1">
        <f t="shared" si="0"/>
        <v>51316</v>
      </c>
      <c r="F6" s="1">
        <f t="array" aca="1" ref="F6" ca="1">_FV(B6,"Price")</f>
        <v>13878</v>
      </c>
      <c r="G6" s="1">
        <f t="shared" ca="1" si="1"/>
        <v>55512</v>
      </c>
      <c r="H6" s="1">
        <f t="shared" ca="1" si="2"/>
        <v>4196</v>
      </c>
      <c r="I6" s="1">
        <f t="array" aca="1" ref="I6" ca="1">_FV(B6,"Previous close",TRUE)</f>
        <v>13709</v>
      </c>
      <c r="J6" s="79">
        <f t="shared" ca="1" si="3"/>
        <v>1.2327667955357793E-2</v>
      </c>
      <c r="K6" s="1">
        <v>2821.19</v>
      </c>
      <c r="L6" s="1">
        <v>275.91000000000003</v>
      </c>
    </row>
    <row r="7" spans="1:12">
      <c r="A7" s="31" t="s">
        <v>85</v>
      </c>
      <c r="B7" s="31" t="e" vm="36">
        <v>#VALUE!</v>
      </c>
      <c r="C7" s="31">
        <v>96</v>
      </c>
      <c r="D7" s="33">
        <v>2100.8000000000002</v>
      </c>
      <c r="E7" s="1">
        <f t="shared" si="0"/>
        <v>201676.80000000002</v>
      </c>
      <c r="F7" s="1">
        <f t="array" aca="1" ref="F7" ca="1">_FV(B7,"Price")</f>
        <v>1822.6</v>
      </c>
      <c r="G7" s="1">
        <f t="shared" ca="1" si="1"/>
        <v>174969.59999999998</v>
      </c>
      <c r="H7" s="1">
        <f t="shared" ca="1" si="2"/>
        <v>-26707.200000000041</v>
      </c>
      <c r="I7" s="1">
        <f t="array" aca="1" ref="I7" ca="1">_FV(B7,"Previous close",TRUE)</f>
        <v>1808.4</v>
      </c>
      <c r="J7" s="79">
        <f t="shared" ca="1" si="3"/>
        <v>7.8522450785223491E-3</v>
      </c>
      <c r="K7" s="1">
        <v>2237.6</v>
      </c>
      <c r="L7" s="1">
        <v>-363.5</v>
      </c>
    </row>
    <row r="8" spans="1:12">
      <c r="A8" s="53" t="s">
        <v>637</v>
      </c>
      <c r="B8" s="53" t="e" vm="7">
        <v>#VALUE!</v>
      </c>
      <c r="C8" s="31">
        <v>3</v>
      </c>
      <c r="D8" s="33">
        <v>10344</v>
      </c>
      <c r="E8" s="1">
        <f t="shared" si="0"/>
        <v>31032</v>
      </c>
      <c r="F8" s="1">
        <f t="array" aca="1" ref="F8" ca="1">_FV(B8,"Price")</f>
        <v>10342</v>
      </c>
      <c r="G8" s="1">
        <f t="shared" ca="1" si="1"/>
        <v>31026</v>
      </c>
      <c r="H8" s="1">
        <f t="shared" ca="1" si="2"/>
        <v>-6</v>
      </c>
      <c r="I8" s="1">
        <f t="array" aca="1" ref="I8" ca="1">_FV(B8,"Previous close",TRUE)</f>
        <v>10362</v>
      </c>
      <c r="J8" s="79">
        <f t="shared" ca="1" si="3"/>
        <v>-1.9301293186643506E-3</v>
      </c>
      <c r="K8" s="1">
        <v>289.54000000000002</v>
      </c>
      <c r="L8" s="1">
        <v>122.56</v>
      </c>
    </row>
    <row r="9" spans="1:12">
      <c r="A9" s="54" t="s">
        <v>80</v>
      </c>
      <c r="B9" s="54" t="e" vm="154">
        <v>#VALUE!</v>
      </c>
      <c r="C9" s="31">
        <v>30</v>
      </c>
      <c r="D9" s="33">
        <v>3359</v>
      </c>
      <c r="E9" s="1">
        <f t="shared" si="0"/>
        <v>100770</v>
      </c>
      <c r="F9" s="1">
        <f t="array" aca="1" ref="F9" ca="1">_FV(B9,"Price")</f>
        <v>3880</v>
      </c>
      <c r="G9" s="1">
        <f t="shared" ca="1" si="1"/>
        <v>116400</v>
      </c>
      <c r="H9" s="1">
        <f t="shared" ca="1" si="2"/>
        <v>15630</v>
      </c>
      <c r="I9" s="1">
        <f t="array" aca="1" ref="I9" ca="1">_FV(B9,"Previous close",TRUE)</f>
        <v>4033.4</v>
      </c>
      <c r="J9" s="79">
        <f t="shared" ca="1" si="3"/>
        <v>-3.8032429216046035E-2</v>
      </c>
      <c r="K9" s="1">
        <v>1027.3900000000001</v>
      </c>
      <c r="L9" s="1">
        <v>329.61</v>
      </c>
    </row>
    <row r="10" spans="1:12">
      <c r="A10" s="53" t="s">
        <v>692</v>
      </c>
      <c r="B10" s="53" t="e" vm="28">
        <v>#VALUE!</v>
      </c>
      <c r="C10" s="31">
        <v>15</v>
      </c>
      <c r="D10" s="33">
        <v>1972.4</v>
      </c>
      <c r="E10" s="1">
        <f t="shared" si="0"/>
        <v>29586</v>
      </c>
      <c r="F10" s="1">
        <f t="array" aca="1" ref="F10" ca="1">_FV(B10,"Price")</f>
        <v>2033.1</v>
      </c>
      <c r="G10" s="1">
        <f t="shared" ca="1" si="1"/>
        <v>30496.5</v>
      </c>
      <c r="H10" s="1">
        <f t="shared" ca="1" si="2"/>
        <v>910.5</v>
      </c>
      <c r="I10" s="1">
        <f t="array" aca="1" ref="I10" ca="1">_FV(B10,"Previous close",TRUE)</f>
        <v>2019.7</v>
      </c>
      <c r="J10" s="79">
        <f t="shared" ca="1" si="3"/>
        <v>6.6346487102044178E-3</v>
      </c>
      <c r="K10" s="1">
        <v>1355.04</v>
      </c>
      <c r="L10" s="1">
        <v>106.16</v>
      </c>
    </row>
    <row r="11" spans="1:12">
      <c r="A11" s="53" t="s">
        <v>623</v>
      </c>
      <c r="B11" s="53" t="e" vm="1">
        <v>#VALUE!</v>
      </c>
      <c r="C11" s="31">
        <v>27</v>
      </c>
      <c r="D11" s="33">
        <v>1101.3</v>
      </c>
      <c r="E11" s="1">
        <f t="shared" si="0"/>
        <v>29735.1</v>
      </c>
      <c r="F11" s="1">
        <f t="array" aca="1" ref="F11" ca="1">_FV(B11,"Price")</f>
        <v>1102</v>
      </c>
      <c r="G11" s="1">
        <f t="shared" ca="1" si="1"/>
        <v>29754</v>
      </c>
      <c r="H11" s="1">
        <f t="shared" ca="1" si="2"/>
        <v>18.900000000001455</v>
      </c>
      <c r="I11" s="1">
        <f t="array" aca="1" ref="I11" ca="1">_FV(B11,"Previous close",TRUE)</f>
        <v>1095.2</v>
      </c>
      <c r="J11" s="79">
        <f t="shared" ca="1" si="3"/>
        <v>6.2089116143169776E-3</v>
      </c>
      <c r="K11" s="1">
        <v>1586.05</v>
      </c>
      <c r="L11" s="1">
        <v>287.35000000000002</v>
      </c>
    </row>
    <row r="12" spans="1:12">
      <c r="A12" s="52" t="s">
        <v>130</v>
      </c>
      <c r="B12" s="52" t="e" vm="54">
        <v>#VALUE!</v>
      </c>
      <c r="C12" s="31">
        <v>49</v>
      </c>
      <c r="D12" s="33">
        <v>1033.1600000000001</v>
      </c>
      <c r="E12" s="1">
        <f t="shared" si="0"/>
        <v>50624.840000000004</v>
      </c>
      <c r="F12" s="1">
        <f t="array" aca="1" ref="F12" ca="1">_FV(B12,"Price")</f>
        <v>1079.0999999999999</v>
      </c>
      <c r="G12" s="1">
        <f t="shared" ca="1" si="1"/>
        <v>52875.899999999994</v>
      </c>
      <c r="H12" s="1">
        <f t="shared" ca="1" si="2"/>
        <v>2251.0599999999904</v>
      </c>
      <c r="I12" s="1">
        <f t="array" aca="1" ref="I12" ca="1">_FV(B12,"Previous close",TRUE)</f>
        <v>1067.7</v>
      </c>
      <c r="J12" s="79">
        <f t="shared" ca="1" si="3"/>
        <v>1.0677156504636005E-2</v>
      </c>
      <c r="K12" s="1">
        <v>3023.1</v>
      </c>
      <c r="L12" s="1">
        <v>1380.2</v>
      </c>
    </row>
    <row r="13" spans="1:12">
      <c r="A13" s="31" t="s">
        <v>653</v>
      </c>
      <c r="B13" s="31" t="e" vm="13">
        <v>#VALUE!</v>
      </c>
      <c r="C13" s="31">
        <v>6</v>
      </c>
      <c r="D13" s="33">
        <v>8958</v>
      </c>
      <c r="E13" s="1">
        <f t="shared" si="0"/>
        <v>53748</v>
      </c>
      <c r="F13" s="1">
        <f t="array" aca="1" ref="F13" ca="1">_FV(B13,"Price")</f>
        <v>9065</v>
      </c>
      <c r="G13" s="1">
        <f t="shared" ca="1" si="1"/>
        <v>54390</v>
      </c>
      <c r="H13" s="1">
        <f t="shared" ca="1" si="2"/>
        <v>642</v>
      </c>
      <c r="I13" s="1">
        <f t="array" aca="1" ref="I13" ca="1">_FV(B13,"Previous close",TRUE)</f>
        <v>9174</v>
      </c>
      <c r="J13" s="79">
        <f t="shared" ca="1" si="3"/>
        <v>-1.1881403967734903E-2</v>
      </c>
      <c r="K13" s="1">
        <v>929.84</v>
      </c>
      <c r="L13" s="1">
        <v>134.06</v>
      </c>
    </row>
    <row r="14" spans="1:12">
      <c r="A14" s="54" t="s">
        <v>82</v>
      </c>
      <c r="B14" s="54" t="e" vm="15">
        <v>#VALUE!</v>
      </c>
      <c r="C14" s="31">
        <v>685</v>
      </c>
      <c r="D14" s="33">
        <v>42.36</v>
      </c>
      <c r="E14" s="1">
        <f t="shared" si="0"/>
        <v>29016.6</v>
      </c>
      <c r="F14" s="1">
        <f t="array" aca="1" ref="F14" ca="1">_FV(B14,"Price")</f>
        <v>40.729999999999997</v>
      </c>
      <c r="G14" s="1">
        <f t="shared" ca="1" si="1"/>
        <v>27900.05</v>
      </c>
      <c r="H14" s="1">
        <f t="shared" ca="1" si="2"/>
        <v>-1116.5499999999993</v>
      </c>
      <c r="I14" s="1">
        <f t="array" aca="1" ref="I14" ca="1">_FV(B14,"Previous close",TRUE)</f>
        <v>41.03</v>
      </c>
      <c r="J14" s="79">
        <f t="shared" ca="1" si="3"/>
        <v>-7.3117231294176034E-3</v>
      </c>
      <c r="K14" s="1">
        <v>720.73</v>
      </c>
      <c r="L14" s="1">
        <v>158.41999999999999</v>
      </c>
    </row>
    <row r="15" spans="1:12">
      <c r="A15" s="52" t="s">
        <v>75</v>
      </c>
      <c r="B15" s="52" t="e" vm="58">
        <v>#VALUE!</v>
      </c>
      <c r="C15" s="31">
        <v>1172</v>
      </c>
      <c r="D15" s="33">
        <v>256.22000000000003</v>
      </c>
      <c r="E15" s="1">
        <f t="shared" si="0"/>
        <v>300289.84000000003</v>
      </c>
      <c r="F15" s="1">
        <f t="array" aca="1" ref="F15" ca="1">_FV(B15,"Price")</f>
        <v>304.14999999999998</v>
      </c>
      <c r="G15" s="1">
        <f t="shared" ca="1" si="1"/>
        <v>356463.8</v>
      </c>
      <c r="H15" s="1">
        <f t="shared" ca="1" si="2"/>
        <v>56173.959999999963</v>
      </c>
      <c r="I15" s="1">
        <f t="array" aca="1" ref="I15" ca="1">_FV(B15,"Previous close",TRUE)</f>
        <v>300.10000000000002</v>
      </c>
      <c r="J15" s="79">
        <f t="shared" ca="1" si="3"/>
        <v>1.3495501499500014E-2</v>
      </c>
      <c r="K15" s="1">
        <v>82.79</v>
      </c>
      <c r="L15" s="1">
        <v>45.05</v>
      </c>
    </row>
    <row r="16" spans="1:12">
      <c r="A16" s="31" t="s">
        <v>79</v>
      </c>
      <c r="B16" s="31" t="e" vm="31">
        <v>#VALUE!</v>
      </c>
      <c r="C16" s="31">
        <v>55</v>
      </c>
      <c r="D16" s="33">
        <v>4155.8500000000004</v>
      </c>
      <c r="E16" s="1">
        <f t="shared" si="0"/>
        <v>228571.75000000003</v>
      </c>
      <c r="F16" s="1">
        <f t="array" aca="1" ref="F16" ca="1">_FV(B16,"Price")</f>
        <v>5067</v>
      </c>
      <c r="G16" s="1">
        <f t="shared" ca="1" si="1"/>
        <v>278685</v>
      </c>
      <c r="H16" s="1">
        <f t="shared" ca="1" si="2"/>
        <v>50113.249999999971</v>
      </c>
      <c r="I16" s="1">
        <f t="array" aca="1" ref="I16" ca="1">_FV(B16,"Previous close",TRUE)</f>
        <v>5086.5</v>
      </c>
      <c r="J16" s="79">
        <f t="shared" ca="1" si="3"/>
        <v>-3.8336773813034504E-3</v>
      </c>
      <c r="K16" s="1">
        <v>260.10000000000002</v>
      </c>
      <c r="L16" s="1">
        <v>30.1</v>
      </c>
    </row>
    <row r="17" spans="1:12">
      <c r="A17" s="31" t="s">
        <v>84</v>
      </c>
      <c r="B17" s="31" t="e" vm="2">
        <v>#VALUE!</v>
      </c>
      <c r="C17" s="31">
        <v>37</v>
      </c>
      <c r="D17" s="33">
        <v>865.69</v>
      </c>
      <c r="E17" s="1">
        <f t="shared" si="0"/>
        <v>32030.530000000002</v>
      </c>
      <c r="F17" s="1">
        <f t="array" aca="1" ref="F17" ca="1">_FV(B17,"Price")</f>
        <v>794.95</v>
      </c>
      <c r="G17" s="1">
        <f t="shared" ca="1" si="1"/>
        <v>29413.15</v>
      </c>
      <c r="H17" s="1">
        <f t="shared" ca="1" si="2"/>
        <v>-2617.380000000001</v>
      </c>
      <c r="I17" s="1">
        <f t="array" aca="1" ref="I17" ca="1">_FV(B17,"Previous close",TRUE)</f>
        <v>796.65</v>
      </c>
      <c r="J17" s="79">
        <f t="shared" ca="1" si="3"/>
        <v>-2.133935856398584E-3</v>
      </c>
      <c r="K17" s="1">
        <v>124.88</v>
      </c>
      <c r="L17" s="1">
        <v>37.56</v>
      </c>
    </row>
    <row r="18" spans="1:12">
      <c r="A18" s="31" t="s">
        <v>84</v>
      </c>
      <c r="B18" s="31" t="e" vm="2">
        <v>#VALUE!</v>
      </c>
      <c r="C18" s="31">
        <v>37</v>
      </c>
      <c r="D18" s="33">
        <v>865.69</v>
      </c>
      <c r="E18" s="1">
        <f t="shared" si="0"/>
        <v>32030.530000000002</v>
      </c>
      <c r="F18" s="1">
        <f t="array" aca="1" ref="F18" ca="1">_FV(B18,"Price")</f>
        <v>794.95</v>
      </c>
      <c r="G18" s="1">
        <f t="shared" ca="1" si="1"/>
        <v>29413.15</v>
      </c>
      <c r="H18" s="1">
        <f t="shared" ca="1" si="2"/>
        <v>-2617.380000000001</v>
      </c>
      <c r="I18" s="1">
        <f t="array" aca="1" ref="I18" ca="1">_FV(B18,"Previous close",TRUE)</f>
        <v>796.65</v>
      </c>
      <c r="J18" s="79">
        <f t="shared" ca="1" si="3"/>
        <v>-2.133935856398584E-3</v>
      </c>
      <c r="K18" s="1">
        <v>250.87</v>
      </c>
      <c r="L18" s="1">
        <v>34.53</v>
      </c>
    </row>
    <row r="19" spans="1:12">
      <c r="A19" s="31" t="s">
        <v>664</v>
      </c>
      <c r="B19" s="31" t="e" vm="16">
        <v>#VALUE!</v>
      </c>
      <c r="C19" s="31">
        <v>6</v>
      </c>
      <c r="D19" s="33">
        <v>5189</v>
      </c>
      <c r="E19" s="1">
        <f t="shared" si="0"/>
        <v>31134</v>
      </c>
      <c r="F19" s="1">
        <f t="array" aca="1" ref="F19" ca="1">_FV(B19,"Price")</f>
        <v>5335.5</v>
      </c>
      <c r="G19" s="1">
        <f t="shared" ca="1" si="1"/>
        <v>32013</v>
      </c>
      <c r="H19" s="1">
        <f t="shared" ca="1" si="2"/>
        <v>879</v>
      </c>
      <c r="I19" s="1">
        <f t="array" aca="1" ref="I19" ca="1">_FV(B19,"Previous close",TRUE)</f>
        <v>5296</v>
      </c>
      <c r="J19" s="79">
        <f t="shared" ca="1" si="3"/>
        <v>7.4584592145015109E-3</v>
      </c>
      <c r="K19" s="1">
        <v>3676.8</v>
      </c>
      <c r="L19" s="1">
        <v>1171.5</v>
      </c>
    </row>
    <row r="20" spans="1:12">
      <c r="A20" s="31" t="s">
        <v>667</v>
      </c>
      <c r="B20" s="31" t="e" vm="17">
        <v>#VALUE!</v>
      </c>
      <c r="C20" s="31">
        <v>43</v>
      </c>
      <c r="D20" s="33">
        <v>679.8</v>
      </c>
      <c r="E20" s="1">
        <f t="shared" si="0"/>
        <v>29231.399999999998</v>
      </c>
      <c r="F20" s="1">
        <f t="array" aca="1" ref="F20" ca="1">_FV(B20,"Price")</f>
        <v>666.7</v>
      </c>
      <c r="G20" s="1">
        <f t="shared" ca="1" si="1"/>
        <v>28668.100000000002</v>
      </c>
      <c r="H20" s="1">
        <f t="shared" ca="1" si="2"/>
        <v>-563.29999999999563</v>
      </c>
      <c r="I20" s="1">
        <f t="array" aca="1" ref="I20" ca="1">_FV(B20,"Previous close",TRUE)</f>
        <v>684.55</v>
      </c>
      <c r="J20" s="79">
        <f t="shared" ca="1" si="3"/>
        <v>-2.6075524066905133E-2</v>
      </c>
      <c r="K20" s="1">
        <v>843.31</v>
      </c>
      <c r="L20" s="1">
        <v>260.49</v>
      </c>
    </row>
    <row r="21" spans="1:12">
      <c r="A21" s="52" t="s">
        <v>659</v>
      </c>
      <c r="B21" s="52" t="e" vm="14">
        <v>#VALUE!</v>
      </c>
      <c r="C21" s="31">
        <v>18</v>
      </c>
      <c r="D21" s="33">
        <v>1562.2</v>
      </c>
      <c r="E21" s="1">
        <f t="shared" si="0"/>
        <v>28119.600000000002</v>
      </c>
      <c r="F21" s="1">
        <f t="array" aca="1" ref="F21" ca="1">_FV(B21,"Price")</f>
        <v>1536.9</v>
      </c>
      <c r="G21" s="1">
        <f t="shared" ca="1" si="1"/>
        <v>27664.2</v>
      </c>
      <c r="H21" s="1">
        <f t="shared" ca="1" si="2"/>
        <v>-455.40000000000146</v>
      </c>
      <c r="I21" s="1">
        <f t="array" aca="1" ref="I21" ca="1">_FV(B21,"Previous close",TRUE)</f>
        <v>1561.2</v>
      </c>
      <c r="J21" s="79">
        <f t="shared" ca="1" si="3"/>
        <v>-1.5564950038431946E-2</v>
      </c>
      <c r="K21" s="1">
        <v>1192.95</v>
      </c>
      <c r="L21" s="1">
        <v>180.95</v>
      </c>
    </row>
    <row r="22" spans="1:12">
      <c r="A22" s="31" t="s">
        <v>83</v>
      </c>
      <c r="B22" s="31" t="e" vm="57">
        <v>#VALUE!</v>
      </c>
      <c r="C22" s="31">
        <v>16</v>
      </c>
      <c r="D22" s="33">
        <v>3127</v>
      </c>
      <c r="E22" s="1">
        <f t="shared" si="0"/>
        <v>50032</v>
      </c>
      <c r="F22" s="1">
        <f t="array" aca="1" ref="F22" ca="1">_FV(B22,"Price")</f>
        <v>3040.5</v>
      </c>
      <c r="G22" s="1">
        <f t="shared" ca="1" si="1"/>
        <v>48648</v>
      </c>
      <c r="H22" s="1">
        <f t="shared" ca="1" si="2"/>
        <v>-1384</v>
      </c>
      <c r="I22" s="1">
        <f t="array" aca="1" ref="I22" ca="1">_FV(B22,"Previous close",TRUE)</f>
        <v>3016.1</v>
      </c>
      <c r="J22" s="79">
        <f t="shared" ca="1" si="3"/>
        <v>8.0899174430556324E-3</v>
      </c>
      <c r="K22" s="1">
        <v>2814.3</v>
      </c>
      <c r="L22" s="1">
        <v>293</v>
      </c>
    </row>
    <row r="23" spans="1:12">
      <c r="A23" s="54" t="s">
        <v>112</v>
      </c>
      <c r="B23" s="54" t="e" vm="25">
        <v>#VALUE!</v>
      </c>
      <c r="C23" s="31">
        <v>54</v>
      </c>
      <c r="D23" s="33">
        <v>544.58000000000004</v>
      </c>
      <c r="E23" s="1">
        <f t="shared" si="0"/>
        <v>29407.320000000003</v>
      </c>
      <c r="F23" s="1">
        <f t="array" aca="1" ref="F23" ca="1">_FV(B23,"Price")</f>
        <v>533.20000000000005</v>
      </c>
      <c r="G23" s="1">
        <f t="shared" ca="1" si="1"/>
        <v>28792.800000000003</v>
      </c>
      <c r="H23" s="1">
        <f t="shared" ca="1" si="2"/>
        <v>-614.52000000000044</v>
      </c>
      <c r="I23" s="1">
        <f t="array" aca="1" ref="I23" ca="1">_FV(B23,"Previous close",TRUE)</f>
        <v>544.15</v>
      </c>
      <c r="J23" s="79">
        <f t="shared" ca="1" si="3"/>
        <v>-2.0123127814021743E-2</v>
      </c>
      <c r="K23" s="1">
        <v>76.040000000000006</v>
      </c>
      <c r="L23" s="1">
        <v>14.63</v>
      </c>
    </row>
    <row r="24" spans="1:12">
      <c r="A24" s="54" t="s">
        <v>112</v>
      </c>
      <c r="B24" s="54" t="e" vm="25">
        <v>#VALUE!</v>
      </c>
      <c r="C24" s="31">
        <v>54</v>
      </c>
      <c r="D24" s="33">
        <v>544.58000000000004</v>
      </c>
      <c r="E24" s="1">
        <f t="shared" si="0"/>
        <v>29407.320000000003</v>
      </c>
      <c r="F24" s="1">
        <f t="array" aca="1" ref="F24" ca="1">_FV(B24,"Price")</f>
        <v>533.20000000000005</v>
      </c>
      <c r="G24" s="1">
        <f t="shared" ca="1" si="1"/>
        <v>28792.800000000003</v>
      </c>
      <c r="H24" s="1">
        <f t="shared" ca="1" si="2"/>
        <v>-614.52000000000044</v>
      </c>
      <c r="I24" s="1">
        <f t="array" aca="1" ref="I24" ca="1">_FV(B24,"Previous close",TRUE)</f>
        <v>544.15</v>
      </c>
      <c r="J24" s="79">
        <f t="shared" ca="1" si="3"/>
        <v>-2.0123127814021743E-2</v>
      </c>
      <c r="K24" s="1">
        <v>340.17</v>
      </c>
      <c r="L24" s="1">
        <v>44.43</v>
      </c>
    </row>
    <row r="25" spans="1:12">
      <c r="A25" s="54" t="s">
        <v>687</v>
      </c>
      <c r="B25" s="54" t="e" vm="26">
        <v>#VALUE!</v>
      </c>
      <c r="C25" s="31">
        <v>4</v>
      </c>
      <c r="D25" s="33">
        <v>7050</v>
      </c>
      <c r="E25" s="1">
        <f t="shared" si="0"/>
        <v>28200</v>
      </c>
      <c r="F25" s="1">
        <f t="array" aca="1" ref="F25" ca="1">_FV(B25,"Price")</f>
        <v>7032.5</v>
      </c>
      <c r="G25" s="1">
        <f t="shared" ca="1" si="1"/>
        <v>28130</v>
      </c>
      <c r="H25" s="1">
        <f t="shared" ca="1" si="2"/>
        <v>-70</v>
      </c>
      <c r="I25" s="1">
        <f t="array" aca="1" ref="I25" ca="1">_FV(B25,"Previous close",TRUE)</f>
        <v>7090.5</v>
      </c>
      <c r="J25" s="79">
        <f t="shared" ca="1" si="3"/>
        <v>-8.1799591002044997E-3</v>
      </c>
      <c r="K25" s="1">
        <v>1280.3499999999999</v>
      </c>
      <c r="L25" s="1">
        <v>113.65</v>
      </c>
    </row>
    <row r="26" spans="1:12">
      <c r="A26" s="31" t="s">
        <v>81</v>
      </c>
      <c r="B26" s="31" t="e" vm="27">
        <v>#VALUE!</v>
      </c>
      <c r="C26" s="31">
        <v>11</v>
      </c>
      <c r="D26" s="33">
        <v>2660</v>
      </c>
      <c r="E26" s="1">
        <f t="shared" si="0"/>
        <v>29260</v>
      </c>
      <c r="F26" s="1">
        <f t="array" aca="1" ref="F26" ca="1">_FV(B26,"Price")</f>
        <v>2742.6</v>
      </c>
      <c r="G26" s="1">
        <f t="shared" ca="1" si="1"/>
        <v>30168.6</v>
      </c>
      <c r="H26" s="1">
        <f t="shared" ca="1" si="2"/>
        <v>908.59999999999854</v>
      </c>
      <c r="I26" s="1">
        <f t="array" aca="1" ref="I26" ca="1">_FV(B26,"Previous close",TRUE)</f>
        <v>2581.6999999999998</v>
      </c>
      <c r="J26" s="79">
        <f t="shared" ca="1" si="3"/>
        <v>6.2323275361196154E-2</v>
      </c>
      <c r="K26" s="1">
        <v>8833.94</v>
      </c>
      <c r="L26" s="1">
        <v>779.56</v>
      </c>
    </row>
    <row r="27" spans="1:12">
      <c r="A27" s="31" t="s">
        <v>670</v>
      </c>
      <c r="B27" s="31" t="e" vm="18">
        <v>#VALUE!</v>
      </c>
      <c r="C27" s="31">
        <v>15</v>
      </c>
      <c r="D27" s="33">
        <v>1910.65</v>
      </c>
      <c r="E27" s="1">
        <f t="shared" si="0"/>
        <v>28659.75</v>
      </c>
      <c r="F27" s="1">
        <f t="array" aca="1" ref="F27" ca="1">_FV(B27,"Price")</f>
        <v>1969.2</v>
      </c>
      <c r="G27" s="1">
        <f t="shared" ca="1" si="1"/>
        <v>29538</v>
      </c>
      <c r="H27" s="1">
        <f t="shared" ca="1" si="2"/>
        <v>878.25</v>
      </c>
      <c r="I27" s="1">
        <f t="array" aca="1" ref="I27" ca="1">_FV(B27,"Previous close",TRUE)</f>
        <v>1949.2</v>
      </c>
      <c r="J27" s="79">
        <f t="shared" ca="1" si="3"/>
        <v>1.0260619741432383E-2</v>
      </c>
      <c r="K27" s="1">
        <v>1218.48</v>
      </c>
      <c r="L27" s="1">
        <v>376.72</v>
      </c>
    </row>
    <row r="28" spans="1:12">
      <c r="A28" s="53" t="s">
        <v>647</v>
      </c>
      <c r="B28" s="53" t="e" vm="11">
        <v>#VALUE!</v>
      </c>
      <c r="C28" s="31">
        <v>3</v>
      </c>
      <c r="D28" s="33">
        <v>10301</v>
      </c>
      <c r="E28" s="1">
        <f t="shared" si="0"/>
        <v>30903</v>
      </c>
      <c r="F28" s="1">
        <f t="array" aca="1" ref="F28" ca="1">_FV(B28,"Price")</f>
        <v>9936.5</v>
      </c>
      <c r="G28" s="1">
        <f t="shared" ca="1" si="1"/>
        <v>29809.5</v>
      </c>
      <c r="H28" s="1">
        <f t="shared" ca="1" si="2"/>
        <v>-1093.5</v>
      </c>
      <c r="I28" s="1">
        <f t="array" aca="1" ref="I28" ca="1">_FV(B28,"Previous close",TRUE)</f>
        <v>10098</v>
      </c>
      <c r="J28" s="79">
        <f t="shared" ca="1" si="3"/>
        <v>-1.5993265993265993E-2</v>
      </c>
      <c r="K28" s="1">
        <v>575.28</v>
      </c>
      <c r="L28" s="1">
        <v>51.42</v>
      </c>
    </row>
    <row r="29" spans="1:12">
      <c r="A29" s="31" t="s">
        <v>73</v>
      </c>
      <c r="B29" s="31" t="e" vm="19">
        <v>#VALUE!</v>
      </c>
      <c r="C29" s="31">
        <v>53</v>
      </c>
      <c r="D29" s="33">
        <v>7825.34</v>
      </c>
      <c r="E29" s="1">
        <f t="shared" si="0"/>
        <v>414743.02</v>
      </c>
      <c r="F29" s="1">
        <f t="array" aca="1" ref="F29" ca="1">_FV(B29,"Price")</f>
        <v>9699</v>
      </c>
      <c r="G29" s="1">
        <f t="shared" ca="1" si="1"/>
        <v>514047</v>
      </c>
      <c r="H29" s="1">
        <f t="shared" ca="1" si="2"/>
        <v>99303.979999999981</v>
      </c>
      <c r="I29" s="1">
        <f t="array" aca="1" ref="I29" ca="1">_FV(B29,"Previous close",TRUE)</f>
        <v>9717.5</v>
      </c>
      <c r="J29" s="79">
        <f t="shared" ca="1" si="3"/>
        <v>-1.9037818368922048E-3</v>
      </c>
      <c r="K29" s="1">
        <v>11718.9</v>
      </c>
      <c r="L29" s="1">
        <v>6760.1</v>
      </c>
    </row>
    <row r="30" spans="1:12">
      <c r="A30" s="53" t="s">
        <v>628</v>
      </c>
      <c r="B30" s="53" t="e" vm="4">
        <v>#VALUE!</v>
      </c>
      <c r="C30" s="31">
        <v>1</v>
      </c>
      <c r="D30" s="33">
        <v>35105</v>
      </c>
      <c r="E30" s="1">
        <f t="shared" si="0"/>
        <v>35105</v>
      </c>
      <c r="F30" s="1">
        <f t="array" aca="1" ref="F30" ca="1">_FV(B30,"Price")</f>
        <v>36870</v>
      </c>
      <c r="G30" s="1">
        <f t="shared" ca="1" si="1"/>
        <v>36870</v>
      </c>
      <c r="H30" s="1">
        <f t="shared" ca="1" si="2"/>
        <v>1765</v>
      </c>
      <c r="I30" s="1">
        <f t="array" aca="1" ref="I30" ca="1">_FV(B30,"Previous close",TRUE)</f>
        <v>36525</v>
      </c>
      <c r="J30" s="79">
        <f t="shared" ca="1" si="3"/>
        <v>9.4455852156057497E-3</v>
      </c>
      <c r="K30" s="1">
        <v>1709.28</v>
      </c>
      <c r="L30" s="1">
        <v>131.52000000000001</v>
      </c>
    </row>
    <row r="31" spans="1:12">
      <c r="A31" s="4" t="s">
        <v>673</v>
      </c>
      <c r="B31" s="4" t="e" vm="20">
        <v>#VALUE!</v>
      </c>
      <c r="C31" s="4">
        <v>35</v>
      </c>
      <c r="D31" s="87">
        <v>838.6</v>
      </c>
      <c r="E31" s="1">
        <f t="shared" si="0"/>
        <v>29351</v>
      </c>
      <c r="F31" s="1">
        <f t="array" aca="1" ref="F31" ca="1">_FV(B31,"Price")</f>
        <v>873.45</v>
      </c>
      <c r="G31" s="1">
        <f t="shared" ca="1" si="1"/>
        <v>30570.75</v>
      </c>
      <c r="H31" s="1">
        <f t="shared" ca="1" si="2"/>
        <v>1219.75</v>
      </c>
      <c r="I31" s="1">
        <f t="array" aca="1" ref="I31" ca="1">_FV(B31,"Previous close",TRUE)</f>
        <v>898.65</v>
      </c>
      <c r="J31" s="79">
        <f t="shared" ca="1" si="3"/>
        <v>-2.8042063094641887E-2</v>
      </c>
      <c r="K31" s="1">
        <v>603.5</v>
      </c>
      <c r="L31" s="1">
        <v>102.8</v>
      </c>
    </row>
    <row r="32" spans="1:12">
      <c r="A32" s="31" t="s">
        <v>676</v>
      </c>
      <c r="B32" s="31" t="e" vm="21">
        <v>#VALUE!</v>
      </c>
      <c r="C32" s="31">
        <v>21</v>
      </c>
      <c r="D32" s="31">
        <v>1330.9</v>
      </c>
      <c r="E32" s="43">
        <f t="shared" si="0"/>
        <v>27948.9</v>
      </c>
      <c r="F32" s="43">
        <f t="array" aca="1" ref="F32" ca="1">_FV(B32,"Price")</f>
        <v>1343.3</v>
      </c>
      <c r="G32" s="43">
        <f t="shared" ca="1" si="1"/>
        <v>28209.3</v>
      </c>
      <c r="H32" s="43">
        <f t="shared" ca="1" si="2"/>
        <v>260.39999999999782</v>
      </c>
      <c r="I32" s="43">
        <f t="array" aca="1" ref="I32" ca="1">_FV(B32,"Previous close",TRUE)</f>
        <v>1347</v>
      </c>
      <c r="J32" s="86">
        <f t="shared" ca="1" si="3"/>
        <v>-2.7468448403860767E-3</v>
      </c>
    </row>
    <row r="33" spans="1:10">
      <c r="A33" s="31" t="s">
        <v>679</v>
      </c>
      <c r="B33" s="31" t="e" vm="22">
        <v>#VALUE!</v>
      </c>
      <c r="C33" s="31">
        <v>40</v>
      </c>
      <c r="D33" s="31">
        <v>729.68</v>
      </c>
      <c r="E33" s="43">
        <f t="shared" si="0"/>
        <v>29187.199999999997</v>
      </c>
      <c r="F33" s="43">
        <f t="array" aca="1" ref="F33" ca="1">_FV(B33,"Price")</f>
        <v>712.7</v>
      </c>
      <c r="G33" s="43">
        <f t="shared" ca="1" si="1"/>
        <v>28508</v>
      </c>
      <c r="H33" s="43">
        <f t="shared" ca="1" si="2"/>
        <v>-679.19999999999709</v>
      </c>
      <c r="I33" s="43">
        <f t="array" aca="1" ref="I33" ca="1">_FV(B33,"Previous close",TRUE)</f>
        <v>727.8</v>
      </c>
      <c r="J33" s="86">
        <f t="shared" ca="1" si="3"/>
        <v>-2.0747458092882535E-2</v>
      </c>
    </row>
    <row r="34" spans="1:10">
      <c r="A34" s="31" t="s">
        <v>522</v>
      </c>
      <c r="B34" s="31" t="e" vm="24">
        <v>#VALUE!</v>
      </c>
      <c r="C34" s="31">
        <v>4</v>
      </c>
      <c r="D34" s="31">
        <v>15640</v>
      </c>
      <c r="E34" s="43">
        <f t="shared" si="0"/>
        <v>62560</v>
      </c>
      <c r="F34" s="43">
        <f t="array" aca="1" ref="F34" ca="1">_FV(B34,"Price")</f>
        <v>18441</v>
      </c>
      <c r="G34" s="43">
        <f t="shared" ca="1" si="1"/>
        <v>73764</v>
      </c>
      <c r="H34" s="43">
        <f t="shared" ca="1" si="2"/>
        <v>11204</v>
      </c>
      <c r="I34" s="43">
        <f t="array" aca="1" ref="I34" ca="1">_FV(B34,"Previous close",TRUE)</f>
        <v>18293</v>
      </c>
      <c r="J34" s="86">
        <f t="shared" ca="1" si="3"/>
        <v>8.090526430875199E-3</v>
      </c>
    </row>
    <row r="35" spans="1:10">
      <c r="A35" s="31" t="s">
        <v>522</v>
      </c>
      <c r="B35" s="31" t="e" vm="24">
        <v>#VALUE!</v>
      </c>
      <c r="C35" s="31">
        <v>4</v>
      </c>
      <c r="D35" s="31">
        <v>15640</v>
      </c>
      <c r="E35" s="43">
        <f t="shared" ref="E35:E63" si="4">C35*D35</f>
        <v>62560</v>
      </c>
      <c r="F35" s="43">
        <f t="array" aca="1" ref="F35" ca="1">_FV(B35,"Price")</f>
        <v>18441</v>
      </c>
      <c r="G35" s="43">
        <f t="shared" ref="G35:G63" ca="1" si="5">C35*F35</f>
        <v>73764</v>
      </c>
      <c r="H35" s="43">
        <f t="shared" ref="H35:H63" ca="1" si="6">G35-E35</f>
        <v>11204</v>
      </c>
      <c r="I35" s="43">
        <f t="array" aca="1" ref="I35" ca="1">_FV(B35,"Previous close",TRUE)</f>
        <v>18293</v>
      </c>
      <c r="J35" s="86">
        <f t="shared" ref="J35:J63" ca="1" si="7">(F35-I35)/I35</f>
        <v>8.090526430875199E-3</v>
      </c>
    </row>
    <row r="36" spans="1:10">
      <c r="A36" s="31" t="s">
        <v>631</v>
      </c>
      <c r="B36" s="31" t="e" vm="5">
        <v>#VALUE!</v>
      </c>
      <c r="C36" s="31">
        <v>26</v>
      </c>
      <c r="D36" s="31">
        <v>1152.9000000000001</v>
      </c>
      <c r="E36" s="43">
        <f t="shared" si="4"/>
        <v>29975.4</v>
      </c>
      <c r="F36" s="43">
        <f t="array" aca="1" ref="F36" ca="1">_FV(B36,"Price")</f>
        <v>1226.8</v>
      </c>
      <c r="G36" s="43">
        <f t="shared" ca="1" si="5"/>
        <v>31896.799999999999</v>
      </c>
      <c r="H36" s="43">
        <f t="shared" ca="1" si="6"/>
        <v>1921.3999999999978</v>
      </c>
      <c r="I36" s="43">
        <f t="array" aca="1" ref="I36" ca="1">_FV(B36,"Previous close",TRUE)</f>
        <v>1221.5999999999999</v>
      </c>
      <c r="J36" s="86">
        <f t="shared" ca="1" si="7"/>
        <v>4.2567125081860229E-3</v>
      </c>
    </row>
    <row r="37" spans="1:10">
      <c r="A37" s="31" t="s">
        <v>72</v>
      </c>
      <c r="B37" s="31" t="e" vm="30">
        <v>#VALUE!</v>
      </c>
      <c r="C37" s="31">
        <v>321</v>
      </c>
      <c r="D37" s="31">
        <v>950.19</v>
      </c>
      <c r="E37" s="43">
        <f t="shared" si="4"/>
        <v>305010.99</v>
      </c>
      <c r="F37" s="43">
        <f t="array" aca="1" ref="F37" ca="1">_FV(B37,"Price")</f>
        <v>1312.8</v>
      </c>
      <c r="G37" s="43">
        <f t="shared" ca="1" si="5"/>
        <v>421408.8</v>
      </c>
      <c r="H37" s="43">
        <f t="shared" ca="1" si="6"/>
        <v>116397.81</v>
      </c>
      <c r="I37" s="43">
        <f t="array" aca="1" ref="I37" ca="1">_FV(B37,"Previous close",TRUE)</f>
        <v>1325.5</v>
      </c>
      <c r="J37" s="86">
        <f t="shared" ca="1" si="7"/>
        <v>-9.5812900792154251E-3</v>
      </c>
    </row>
    <row r="38" spans="1:10">
      <c r="A38" s="31" t="s">
        <v>682</v>
      </c>
      <c r="B38" s="31" t="e" vm="23">
        <v>#VALUE!</v>
      </c>
      <c r="C38" s="31">
        <v>8</v>
      </c>
      <c r="D38" s="31">
        <v>3520.1</v>
      </c>
      <c r="E38" s="43">
        <f t="shared" si="4"/>
        <v>28160.799999999999</v>
      </c>
      <c r="F38" s="43">
        <f t="array" aca="1" ref="F38" ca="1">_FV(B38,"Price")</f>
        <v>3643.6</v>
      </c>
      <c r="G38" s="43">
        <f t="shared" ca="1" si="5"/>
        <v>29148.799999999999</v>
      </c>
      <c r="H38" s="43">
        <f t="shared" ca="1" si="6"/>
        <v>988</v>
      </c>
      <c r="I38" s="43">
        <f t="array" aca="1" ref="I38" ca="1">_FV(B38,"Previous close",TRUE)</f>
        <v>3571.3</v>
      </c>
      <c r="J38" s="86">
        <f t="shared" ca="1" si="7"/>
        <v>2.0244728810237093E-2</v>
      </c>
    </row>
    <row r="39" spans="1:10">
      <c r="A39" s="31" t="s">
        <v>640</v>
      </c>
      <c r="B39" s="31" t="e" vm="8">
        <v>#VALUE!</v>
      </c>
      <c r="C39" s="31">
        <v>43</v>
      </c>
      <c r="D39" s="31">
        <v>663.75</v>
      </c>
      <c r="E39" s="43">
        <f t="shared" si="4"/>
        <v>28541.25</v>
      </c>
      <c r="F39" s="43">
        <f t="array" aca="1" ref="F39" ca="1">_FV(B39,"Price")</f>
        <v>690.95</v>
      </c>
      <c r="G39" s="43">
        <f t="shared" ca="1" si="5"/>
        <v>29710.850000000002</v>
      </c>
      <c r="H39" s="43">
        <f t="shared" ca="1" si="6"/>
        <v>1169.6000000000022</v>
      </c>
      <c r="I39" s="43">
        <f t="array" aca="1" ref="I39" ca="1">_FV(B39,"Previous close",TRUE)</f>
        <v>672.1</v>
      </c>
      <c r="J39" s="86">
        <f t="shared" ca="1" si="7"/>
        <v>2.8046421663442973E-2</v>
      </c>
    </row>
    <row r="40" spans="1:10">
      <c r="A40" s="31" t="s">
        <v>232</v>
      </c>
      <c r="B40" s="31" t="e" vm="29">
        <v>#VALUE!</v>
      </c>
      <c r="C40" s="31">
        <v>114</v>
      </c>
      <c r="D40" s="31">
        <v>690.34</v>
      </c>
      <c r="E40" s="43">
        <f t="shared" si="4"/>
        <v>78698.760000000009</v>
      </c>
      <c r="F40" s="43">
        <f t="array" aca="1" ref="F40" ca="1">_FV(B40,"Price")</f>
        <v>686.9</v>
      </c>
      <c r="G40" s="43">
        <f t="shared" ca="1" si="5"/>
        <v>78306.599999999991</v>
      </c>
      <c r="H40" s="43">
        <f t="shared" ca="1" si="6"/>
        <v>-392.16000000001804</v>
      </c>
      <c r="I40" s="43">
        <f t="array" aca="1" ref="I40" ca="1">_FV(B40,"Previous close",TRUE)</f>
        <v>693.4</v>
      </c>
      <c r="J40" s="86">
        <f t="shared" ca="1" si="7"/>
        <v>-9.3740986443611191E-3</v>
      </c>
    </row>
    <row r="41" spans="1:10">
      <c r="A41" s="31" t="s">
        <v>634</v>
      </c>
      <c r="B41" s="31" t="e" vm="6">
        <v>#VALUE!</v>
      </c>
      <c r="C41" s="31">
        <v>55</v>
      </c>
      <c r="D41" s="31">
        <v>533.75</v>
      </c>
      <c r="E41" s="43">
        <f t="shared" si="4"/>
        <v>29356.25</v>
      </c>
      <c r="F41" s="43">
        <f t="array" aca="1" ref="F41" ca="1">_FV(B41,"Price")</f>
        <v>523.29999999999995</v>
      </c>
      <c r="G41" s="43">
        <f t="shared" ca="1" si="5"/>
        <v>28781.499999999996</v>
      </c>
      <c r="H41" s="43">
        <f t="shared" ca="1" si="6"/>
        <v>-574.75000000000364</v>
      </c>
      <c r="I41" s="43">
        <f t="array" aca="1" ref="I41" ca="1">_FV(B41,"Previous close",TRUE)</f>
        <v>528.4</v>
      </c>
      <c r="J41" s="86">
        <f t="shared" ca="1" si="7"/>
        <v>-9.65177895533691E-3</v>
      </c>
    </row>
    <row r="42" spans="1:10">
      <c r="A42" s="31" t="s">
        <v>188</v>
      </c>
      <c r="B42" s="31" t="e" vm="221">
        <v>#VALUE!</v>
      </c>
      <c r="C42" s="31">
        <v>36</v>
      </c>
      <c r="D42" s="31">
        <v>2834.43</v>
      </c>
      <c r="E42" s="43">
        <f t="shared" si="4"/>
        <v>102039.48</v>
      </c>
      <c r="F42" s="43">
        <f t="array" aca="1" ref="F42" ca="1">_FV(B42,"Price")</f>
        <v>3048.2</v>
      </c>
      <c r="G42" s="43">
        <f t="shared" ca="1" si="5"/>
        <v>109735.2</v>
      </c>
      <c r="H42" s="43">
        <f t="shared" ca="1" si="6"/>
        <v>7695.7200000000012</v>
      </c>
      <c r="I42" s="43">
        <f t="array" aca="1" ref="I42" ca="1">_FV(B42,"Previous close",TRUE)</f>
        <v>2972.8</v>
      </c>
      <c r="J42" s="86">
        <f t="shared" ca="1" si="7"/>
        <v>2.5363293864370168E-2</v>
      </c>
    </row>
    <row r="43" spans="1:10">
      <c r="A43" s="31" t="s">
        <v>65</v>
      </c>
      <c r="B43" s="31" t="e" vm="170">
        <v>#VALUE!</v>
      </c>
      <c r="C43" s="31">
        <v>14</v>
      </c>
      <c r="D43" s="31">
        <v>3134.66</v>
      </c>
      <c r="E43" s="43">
        <f t="shared" si="4"/>
        <v>43885.24</v>
      </c>
      <c r="F43" s="43">
        <f t="array" aca="1" ref="F43" ca="1">_FV(B43,"Price")</f>
        <v>2976.5</v>
      </c>
      <c r="G43" s="43">
        <f t="shared" ca="1" si="5"/>
        <v>41671</v>
      </c>
      <c r="H43" s="43">
        <f t="shared" ca="1" si="6"/>
        <v>-2214.239999999998</v>
      </c>
      <c r="I43" s="43">
        <f t="array" aca="1" ref="I43" ca="1">_FV(B43,"Previous close",TRUE)</f>
        <v>2947.7</v>
      </c>
      <c r="J43" s="86">
        <f t="shared" ca="1" si="7"/>
        <v>9.770329409370079E-3</v>
      </c>
    </row>
    <row r="44" spans="1:10">
      <c r="A44" s="31" t="s">
        <v>56</v>
      </c>
      <c r="B44" s="31" t="e" vm="163">
        <v>#VALUE!</v>
      </c>
      <c r="C44" s="31">
        <v>556</v>
      </c>
      <c r="D44" s="31">
        <v>360.41</v>
      </c>
      <c r="E44" s="43">
        <f t="shared" si="4"/>
        <v>200387.96000000002</v>
      </c>
      <c r="F44" s="43">
        <f t="array" aca="1" ref="F44" ca="1">_FV(B44,"Price")</f>
        <v>421.35</v>
      </c>
      <c r="G44" s="43">
        <f t="shared" ca="1" si="5"/>
        <v>234270.6</v>
      </c>
      <c r="H44" s="43">
        <f t="shared" ca="1" si="6"/>
        <v>33882.639999999985</v>
      </c>
      <c r="I44" s="43">
        <f t="array" aca="1" ref="I44" ca="1">_FV(B44,"Previous close",TRUE)</f>
        <v>419.2</v>
      </c>
      <c r="J44" s="86">
        <f t="shared" ca="1" si="7"/>
        <v>5.1288167938932112E-3</v>
      </c>
    </row>
    <row r="45" spans="1:10">
      <c r="A45" s="31" t="s">
        <v>185</v>
      </c>
      <c r="B45" s="31" t="e" vm="216">
        <v>#VALUE!</v>
      </c>
      <c r="C45" s="31">
        <v>80</v>
      </c>
      <c r="D45" s="31">
        <v>1259.46</v>
      </c>
      <c r="E45" s="43">
        <f t="shared" si="4"/>
        <v>100756.8</v>
      </c>
      <c r="F45" s="43">
        <f t="array" aca="1" ref="F45" ca="1">_FV(B45,"Price")</f>
        <v>1419.5</v>
      </c>
      <c r="G45" s="43">
        <f t="shared" ca="1" si="5"/>
        <v>113560</v>
      </c>
      <c r="H45" s="43">
        <f t="shared" ca="1" si="6"/>
        <v>12803.199999999997</v>
      </c>
      <c r="I45" s="43">
        <f t="array" aca="1" ref="I45" ca="1">_FV(B45,"Previous close",TRUE)</f>
        <v>1377.7</v>
      </c>
      <c r="J45" s="86">
        <f t="shared" ca="1" si="7"/>
        <v>3.0340422443202404E-2</v>
      </c>
    </row>
    <row r="46" spans="1:10">
      <c r="A46" s="31" t="s">
        <v>63</v>
      </c>
      <c r="B46" s="31" t="e" vm="165">
        <v>#VALUE!</v>
      </c>
      <c r="C46" s="31">
        <v>33</v>
      </c>
      <c r="D46" s="31">
        <v>1505.6</v>
      </c>
      <c r="E46" s="43">
        <f t="shared" si="4"/>
        <v>49684.799999999996</v>
      </c>
      <c r="F46" s="43">
        <f t="array" aca="1" ref="F46" ca="1">_FV(B46,"Price")</f>
        <v>1462.3</v>
      </c>
      <c r="G46" s="43">
        <f t="shared" ca="1" si="5"/>
        <v>48255.9</v>
      </c>
      <c r="H46" s="43">
        <f t="shared" ca="1" si="6"/>
        <v>-1428.8999999999942</v>
      </c>
      <c r="I46" s="43">
        <f t="array" aca="1" ref="I46" ca="1">_FV(B46,"Previous close",TRUE)</f>
        <v>1463.6</v>
      </c>
      <c r="J46" s="86">
        <f t="shared" ca="1" si="7"/>
        <v>-8.8822082536208977E-4</v>
      </c>
    </row>
    <row r="47" spans="1:10">
      <c r="A47" s="31" t="s">
        <v>57</v>
      </c>
      <c r="B47" s="31" t="e" vm="73">
        <v>#VALUE!</v>
      </c>
      <c r="C47" s="31">
        <v>56</v>
      </c>
      <c r="D47" s="31">
        <v>1762.28</v>
      </c>
      <c r="E47" s="43">
        <f t="shared" si="4"/>
        <v>98687.679999999993</v>
      </c>
      <c r="F47" s="43">
        <f t="array" aca="1" ref="F47" ca="1">_FV(B47,"Price")</f>
        <v>2043.3</v>
      </c>
      <c r="G47" s="43">
        <f t="shared" ca="1" si="5"/>
        <v>114424.8</v>
      </c>
      <c r="H47" s="43">
        <f t="shared" ca="1" si="6"/>
        <v>15737.12000000001</v>
      </c>
      <c r="I47" s="43">
        <f t="array" aca="1" ref="I47" ca="1">_FV(B47,"Previous close",TRUE)</f>
        <v>2099.9</v>
      </c>
      <c r="J47" s="86">
        <f t="shared" ca="1" si="7"/>
        <v>-2.6953664460212454E-2</v>
      </c>
    </row>
    <row r="48" spans="1:10">
      <c r="A48" s="31" t="s">
        <v>58</v>
      </c>
      <c r="B48" s="31" t="e" vm="214">
        <v>#VALUE!</v>
      </c>
      <c r="C48" s="31">
        <v>230</v>
      </c>
      <c r="D48" s="31">
        <v>864.34</v>
      </c>
      <c r="E48" s="43">
        <f t="shared" si="4"/>
        <v>198798.2</v>
      </c>
      <c r="F48" s="43">
        <f t="array" aca="1" ref="F48" ca="1">_FV(B48,"Price")</f>
        <v>937.85</v>
      </c>
      <c r="G48" s="43">
        <f t="shared" ca="1" si="5"/>
        <v>215705.5</v>
      </c>
      <c r="H48" s="43">
        <f t="shared" ca="1" si="6"/>
        <v>16907.299999999988</v>
      </c>
      <c r="I48" s="43">
        <f t="array" aca="1" ref="I48" ca="1">_FV(B48,"Previous close",TRUE)</f>
        <v>937.9</v>
      </c>
      <c r="J48" s="86">
        <f t="shared" ca="1" si="7"/>
        <v>-5.3310587482625572E-5</v>
      </c>
    </row>
    <row r="49" spans="1:10">
      <c r="A49" s="31" t="s">
        <v>55</v>
      </c>
      <c r="B49" s="31" t="e" vm="187">
        <v>#VALUE!</v>
      </c>
      <c r="C49" s="31">
        <v>1825</v>
      </c>
      <c r="D49" s="31">
        <v>97.74</v>
      </c>
      <c r="E49" s="43">
        <f t="shared" si="4"/>
        <v>178375.5</v>
      </c>
      <c r="F49" s="43">
        <f t="array" aca="1" ref="F49" ca="1">_FV(B49,"Price")</f>
        <v>137.1</v>
      </c>
      <c r="G49" s="43">
        <f t="shared" ca="1" si="5"/>
        <v>250207.5</v>
      </c>
      <c r="H49" s="43">
        <f t="shared" ca="1" si="6"/>
        <v>71832</v>
      </c>
      <c r="I49" s="43">
        <f t="array" aca="1" ref="I49" ca="1">_FV(B49,"Previous close",TRUE)</f>
        <v>133.09</v>
      </c>
      <c r="J49" s="86">
        <f t="shared" ca="1" si="7"/>
        <v>3.0129987226688637E-2</v>
      </c>
    </row>
    <row r="50" spans="1:10">
      <c r="A50" s="31" t="s">
        <v>138</v>
      </c>
      <c r="B50" s="31" t="e" vm="272">
        <v>#VALUE!</v>
      </c>
      <c r="C50" s="31">
        <v>129</v>
      </c>
      <c r="D50" s="31">
        <v>389.65</v>
      </c>
      <c r="E50" s="43">
        <f t="shared" si="4"/>
        <v>50264.85</v>
      </c>
      <c r="F50" s="43">
        <f t="array" aca="1" ref="F50" ca="1">_FV(B50,"Price")</f>
        <v>399.55</v>
      </c>
      <c r="G50" s="43">
        <f t="shared" ca="1" si="5"/>
        <v>51541.950000000004</v>
      </c>
      <c r="H50" s="43">
        <f t="shared" ca="1" si="6"/>
        <v>1277.1000000000058</v>
      </c>
      <c r="I50" s="43">
        <f t="array" aca="1" ref="I50" ca="1">_FV(B50,"Previous close",TRUE)</f>
        <v>403.4</v>
      </c>
      <c r="J50" s="86">
        <f t="shared" ca="1" si="7"/>
        <v>-9.5438770451164254E-3</v>
      </c>
    </row>
    <row r="51" spans="1:10">
      <c r="A51" s="31" t="s">
        <v>126</v>
      </c>
      <c r="B51" s="31" t="e" vm="301">
        <v>#VALUE!</v>
      </c>
      <c r="C51" s="31">
        <v>362</v>
      </c>
      <c r="D51" s="31">
        <v>138.75</v>
      </c>
      <c r="E51" s="43">
        <f t="shared" si="4"/>
        <v>50227.5</v>
      </c>
      <c r="F51" s="43">
        <f t="array" aca="1" ref="F51" ca="1">_FV(B51,"Price")</f>
        <v>155.86000000000001</v>
      </c>
      <c r="G51" s="43">
        <f t="shared" ca="1" si="5"/>
        <v>56421.320000000007</v>
      </c>
      <c r="H51" s="43">
        <f t="shared" ca="1" si="6"/>
        <v>6193.820000000007</v>
      </c>
      <c r="I51" s="43">
        <f t="array" aca="1" ref="I51" ca="1">_FV(B51,"Previous close",TRUE)</f>
        <v>154.97</v>
      </c>
      <c r="J51" s="86">
        <f t="shared" ca="1" si="7"/>
        <v>5.7430470413629402E-3</v>
      </c>
    </row>
    <row r="52" spans="1:10">
      <c r="A52" s="31" t="s">
        <v>124</v>
      </c>
      <c r="B52" s="31" t="e" vm="302">
        <v>#VALUE!</v>
      </c>
      <c r="C52" s="31">
        <v>276</v>
      </c>
      <c r="D52" s="31">
        <v>278.74</v>
      </c>
      <c r="E52" s="43">
        <f t="shared" si="4"/>
        <v>76932.240000000005</v>
      </c>
      <c r="F52" s="43">
        <f t="array" aca="1" ref="F52" ca="1">_FV(B52,"Price")</f>
        <v>280.2</v>
      </c>
      <c r="G52" s="43">
        <f t="shared" ca="1" si="5"/>
        <v>77335.199999999997</v>
      </c>
      <c r="H52" s="43">
        <f t="shared" ca="1" si="6"/>
        <v>402.95999999999185</v>
      </c>
      <c r="I52" s="43">
        <f t="array" aca="1" ref="I52" ca="1">_FV(B52,"Previous close",TRUE)</f>
        <v>286</v>
      </c>
      <c r="J52" s="86">
        <f t="shared" ca="1" si="7"/>
        <v>-2.0279720279720321E-2</v>
      </c>
    </row>
    <row r="53" spans="1:10">
      <c r="A53" s="31" t="s">
        <v>52</v>
      </c>
      <c r="B53" s="31" t="e" vm="303">
        <v>#VALUE!</v>
      </c>
      <c r="C53" s="31">
        <v>340</v>
      </c>
      <c r="D53" s="31">
        <v>902.46</v>
      </c>
      <c r="E53" s="43">
        <f t="shared" si="4"/>
        <v>306836.40000000002</v>
      </c>
      <c r="F53" s="43">
        <f t="array" aca="1" ref="F53" ca="1">_FV(B53,"Price")</f>
        <v>1092.5999999999999</v>
      </c>
      <c r="G53" s="43">
        <f t="shared" ca="1" si="5"/>
        <v>371483.99999999994</v>
      </c>
      <c r="H53" s="43">
        <f t="shared" ca="1" si="6"/>
        <v>64647.599999999919</v>
      </c>
      <c r="I53" s="43">
        <f t="array" aca="1" ref="I53" ca="1">_FV(B53,"Previous close",TRUE)</f>
        <v>1125.5999999999999</v>
      </c>
      <c r="J53" s="86">
        <f t="shared" ca="1" si="7"/>
        <v>-2.9317697228144993E-2</v>
      </c>
    </row>
    <row r="54" spans="1:10">
      <c r="A54" s="31" t="s">
        <v>136</v>
      </c>
      <c r="B54" s="31" t="e" vm="188">
        <v>#VALUE!</v>
      </c>
      <c r="C54" s="31">
        <v>75</v>
      </c>
      <c r="D54" s="31">
        <v>1350.41</v>
      </c>
      <c r="E54" s="43">
        <f t="shared" si="4"/>
        <v>101280.75</v>
      </c>
      <c r="F54" s="43">
        <f t="array" aca="1" ref="F54" ca="1">_FV(B54,"Price")</f>
        <v>1446.8</v>
      </c>
      <c r="G54" s="43">
        <f t="shared" ca="1" si="5"/>
        <v>108510</v>
      </c>
      <c r="H54" s="43">
        <f t="shared" ca="1" si="6"/>
        <v>7229.25</v>
      </c>
      <c r="I54" s="43">
        <f t="array" aca="1" ref="I54" ca="1">_FV(B54,"Previous close",TRUE)</f>
        <v>1427.2</v>
      </c>
      <c r="J54" s="86">
        <f t="shared" ca="1" si="7"/>
        <v>1.3733183856502178E-2</v>
      </c>
    </row>
    <row r="55" spans="1:10">
      <c r="A55" s="31" t="s">
        <v>135</v>
      </c>
      <c r="B55" s="31" t="e" vm="263">
        <v>#VALUE!</v>
      </c>
      <c r="C55" s="31">
        <v>11</v>
      </c>
      <c r="D55" s="31">
        <v>4599.12</v>
      </c>
      <c r="E55" s="43">
        <f t="shared" si="4"/>
        <v>50590.32</v>
      </c>
      <c r="F55" s="43">
        <f t="array" aca="1" ref="F55" ca="1">_FV(B55,"Price")</f>
        <v>4666</v>
      </c>
      <c r="G55" s="43">
        <f t="shared" ca="1" si="5"/>
        <v>51326</v>
      </c>
      <c r="H55" s="43">
        <f t="shared" ca="1" si="6"/>
        <v>735.68000000000029</v>
      </c>
      <c r="I55" s="43">
        <f t="array" aca="1" ref="I55" ca="1">_FV(B55,"Previous close",TRUE)</f>
        <v>4934.2</v>
      </c>
      <c r="J55" s="86">
        <f t="shared" ca="1" si="7"/>
        <v>-5.4355315958007341E-2</v>
      </c>
    </row>
    <row r="56" spans="1:10">
      <c r="A56" s="31" t="s">
        <v>59</v>
      </c>
      <c r="B56" s="31" t="e" vm="208">
        <v>#VALUE!</v>
      </c>
      <c r="C56" s="31">
        <v>133</v>
      </c>
      <c r="D56" s="31">
        <v>377.97</v>
      </c>
      <c r="E56" s="43">
        <f t="shared" si="4"/>
        <v>50270.01</v>
      </c>
      <c r="F56" s="43">
        <f t="array" aca="1" ref="F56" ca="1">_FV(B56,"Price")</f>
        <v>385.65</v>
      </c>
      <c r="G56" s="43">
        <f t="shared" ca="1" si="5"/>
        <v>51291.45</v>
      </c>
      <c r="H56" s="43">
        <f t="shared" ca="1" si="6"/>
        <v>1021.4399999999951</v>
      </c>
      <c r="I56" s="43">
        <f t="array" aca="1" ref="I56" ca="1">_FV(B56,"Previous close",TRUE)</f>
        <v>371.6</v>
      </c>
      <c r="J56" s="86">
        <f t="shared" ca="1" si="7"/>
        <v>3.7809472551130124E-2</v>
      </c>
    </row>
    <row r="57" spans="1:10">
      <c r="A57" s="31" t="s">
        <v>129</v>
      </c>
      <c r="B57" s="31" t="e" vm="262">
        <v>#VALUE!</v>
      </c>
      <c r="C57" s="31">
        <v>42</v>
      </c>
      <c r="D57" s="31">
        <v>1353.87</v>
      </c>
      <c r="E57" s="43">
        <f t="shared" si="4"/>
        <v>56862.539999999994</v>
      </c>
      <c r="F57" s="43">
        <f t="array" aca="1" ref="F57" ca="1">_FV(B57,"Price")</f>
        <v>1586.1</v>
      </c>
      <c r="G57" s="43">
        <f t="shared" ca="1" si="5"/>
        <v>66616.2</v>
      </c>
      <c r="H57" s="43">
        <f t="shared" ca="1" si="6"/>
        <v>9753.6600000000035</v>
      </c>
      <c r="I57" s="43">
        <f t="array" aca="1" ref="I57" ca="1">_FV(B57,"Previous close",TRUE)</f>
        <v>1634.2</v>
      </c>
      <c r="J57" s="86">
        <f t="shared" ca="1" si="7"/>
        <v>-2.9433361889609679E-2</v>
      </c>
    </row>
    <row r="58" spans="1:10">
      <c r="A58" s="31" t="s">
        <v>95</v>
      </c>
      <c r="B58" s="31" t="e" vm="172">
        <v>#VALUE!</v>
      </c>
      <c r="C58" s="31">
        <v>40</v>
      </c>
      <c r="D58" s="31">
        <v>639.20000000000005</v>
      </c>
      <c r="E58" s="43">
        <f t="shared" si="4"/>
        <v>25568</v>
      </c>
      <c r="F58" s="43">
        <f t="array" aca="1" ref="F58" ca="1">_FV(B58,"Price")</f>
        <v>642.75</v>
      </c>
      <c r="G58" s="43">
        <f t="shared" ca="1" si="5"/>
        <v>25710</v>
      </c>
      <c r="H58" s="43">
        <f t="shared" ca="1" si="6"/>
        <v>142</v>
      </c>
      <c r="I58" s="43">
        <f t="array" aca="1" ref="I58" ca="1">_FV(B58,"Previous close",TRUE)</f>
        <v>623.15</v>
      </c>
      <c r="J58" s="86">
        <f t="shared" ca="1" si="7"/>
        <v>3.1453101179491329E-2</v>
      </c>
    </row>
    <row r="59" spans="1:10">
      <c r="A59" s="31" t="s">
        <v>137</v>
      </c>
      <c r="B59" s="31" t="e" vm="275">
        <v>#VALUE!</v>
      </c>
      <c r="C59" s="31">
        <v>92</v>
      </c>
      <c r="D59" s="31">
        <v>547</v>
      </c>
      <c r="E59" s="43">
        <f t="shared" si="4"/>
        <v>50324</v>
      </c>
      <c r="F59" s="43">
        <f t="array" aca="1" ref="F59" ca="1">_FV(B59,"Price")</f>
        <v>556.6</v>
      </c>
      <c r="G59" s="43">
        <f t="shared" ca="1" si="5"/>
        <v>51207.200000000004</v>
      </c>
      <c r="H59" s="43">
        <f t="shared" ca="1" si="6"/>
        <v>883.20000000000437</v>
      </c>
      <c r="I59" s="43">
        <f t="array" aca="1" ref="I59" ca="1">_FV(B59,"Previous close",TRUE)</f>
        <v>574.65</v>
      </c>
      <c r="J59" s="86">
        <f t="shared" ca="1" si="7"/>
        <v>-3.1410423736187167E-2</v>
      </c>
    </row>
    <row r="60" spans="1:10">
      <c r="A60" s="31" t="s">
        <v>67</v>
      </c>
      <c r="B60" s="31" t="e" vm="35">
        <v>#VALUE!</v>
      </c>
      <c r="C60" s="31">
        <v>26</v>
      </c>
      <c r="D60" s="31">
        <v>1899.2</v>
      </c>
      <c r="E60" s="43">
        <f t="shared" si="4"/>
        <v>49379.200000000004</v>
      </c>
      <c r="F60" s="43">
        <f t="array" aca="1" ref="F60" ca="1">_FV(B60,"Price")</f>
        <v>1782.2</v>
      </c>
      <c r="G60" s="43">
        <f t="shared" ca="1" si="5"/>
        <v>46337.200000000004</v>
      </c>
      <c r="H60" s="43">
        <f t="shared" ca="1" si="6"/>
        <v>-3042</v>
      </c>
      <c r="I60" s="43">
        <f t="array" aca="1" ref="I60" ca="1">_FV(B60,"Previous close",TRUE)</f>
        <v>1780.1</v>
      </c>
      <c r="J60" s="86">
        <f t="shared" ca="1" si="7"/>
        <v>1.1797090051121491E-3</v>
      </c>
    </row>
    <row r="61" spans="1:10">
      <c r="A61" s="31" t="s">
        <v>134</v>
      </c>
      <c r="B61" s="31" t="e" vm="304">
        <v>#VALUE!</v>
      </c>
      <c r="C61" s="31">
        <v>145</v>
      </c>
      <c r="D61" s="31">
        <v>691.04</v>
      </c>
      <c r="E61" s="43">
        <f t="shared" si="4"/>
        <v>100200.79999999999</v>
      </c>
      <c r="F61" s="43">
        <f t="array" aca="1" ref="F61" ca="1">_FV(B61,"Price")</f>
        <v>771.2</v>
      </c>
      <c r="G61" s="43">
        <f t="shared" ca="1" si="5"/>
        <v>111824</v>
      </c>
      <c r="H61" s="43">
        <f t="shared" ca="1" si="6"/>
        <v>11623.200000000012</v>
      </c>
      <c r="I61" s="43">
        <f t="array" aca="1" ref="I61" ca="1">_FV(B61,"Previous close",TRUE)</f>
        <v>748.35</v>
      </c>
      <c r="J61" s="86">
        <f t="shared" ca="1" si="7"/>
        <v>3.0533841117124368E-2</v>
      </c>
    </row>
    <row r="62" spans="1:10">
      <c r="A62" s="31" t="s">
        <v>61</v>
      </c>
      <c r="B62" s="31" t="e" vm="246">
        <v>#VALUE!</v>
      </c>
      <c r="C62" s="31">
        <v>11</v>
      </c>
      <c r="D62" s="31">
        <v>4962.78</v>
      </c>
      <c r="E62" s="43">
        <f t="shared" si="4"/>
        <v>54590.579999999994</v>
      </c>
      <c r="F62" s="43">
        <f t="array" aca="1" ref="F62" ca="1">_FV(B62,"Price")</f>
        <v>4832.1000000000004</v>
      </c>
      <c r="G62" s="43">
        <f t="shared" ca="1" si="5"/>
        <v>53153.100000000006</v>
      </c>
      <c r="H62" s="43">
        <f t="shared" ca="1" si="6"/>
        <v>-1437.4799999999886</v>
      </c>
      <c r="I62" s="43">
        <f t="array" aca="1" ref="I62" ca="1">_FV(B62,"Previous close",TRUE)</f>
        <v>4875.8999999999996</v>
      </c>
      <c r="J62" s="86">
        <f t="shared" ca="1" si="7"/>
        <v>-8.9829569925550714E-3</v>
      </c>
    </row>
    <row r="63" spans="1:10">
      <c r="A63" s="31" t="s">
        <v>97</v>
      </c>
      <c r="B63" s="31" t="e" vm="168">
        <v>#VALUE!</v>
      </c>
      <c r="C63" s="31">
        <v>46</v>
      </c>
      <c r="D63" s="31">
        <v>1092.4000000000001</v>
      </c>
      <c r="E63" s="43">
        <f t="shared" si="4"/>
        <v>50250.400000000001</v>
      </c>
      <c r="F63" s="43">
        <f t="array" aca="1" ref="F63" ca="1">_FV(B63,"Price")</f>
        <v>1089</v>
      </c>
      <c r="G63" s="43">
        <f t="shared" ca="1" si="5"/>
        <v>50094</v>
      </c>
      <c r="H63" s="43">
        <f t="shared" ca="1" si="6"/>
        <v>-156.40000000000146</v>
      </c>
      <c r="I63" s="43">
        <f t="array" aca="1" ref="I63" ca="1">_FV(B63,"Previous close",TRUE)</f>
        <v>1084.5999999999999</v>
      </c>
      <c r="J63" s="86">
        <f t="shared" ca="1" si="7"/>
        <v>4.0567951318459259E-3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1057</v>
      </c>
      <c r="B1" s="10" t="s">
        <v>1058</v>
      </c>
      <c r="C1" s="10" t="s">
        <v>1059</v>
      </c>
      <c r="D1" s="11" t="s">
        <v>1060</v>
      </c>
    </row>
    <row r="2" spans="1:14">
      <c r="A2" s="6">
        <v>1</v>
      </c>
      <c r="B2" s="31" t="s">
        <v>1061</v>
      </c>
      <c r="C2" s="31" t="s">
        <v>1062</v>
      </c>
      <c r="D2" s="2" t="s">
        <v>1063</v>
      </c>
    </row>
    <row r="3" spans="1:14" ht="30" customHeight="1">
      <c r="A3" s="6">
        <v>2</v>
      </c>
      <c r="B3" s="78" t="s">
        <v>1064</v>
      </c>
      <c r="C3" s="31" t="s">
        <v>1062</v>
      </c>
      <c r="D3" s="2" t="s">
        <v>1065</v>
      </c>
      <c r="N3">
        <v>900000</v>
      </c>
    </row>
    <row r="4" spans="1:14" ht="30" customHeight="1">
      <c r="A4" s="6">
        <v>3</v>
      </c>
      <c r="B4" s="78" t="s">
        <v>1066</v>
      </c>
      <c r="C4" s="31" t="s">
        <v>1067</v>
      </c>
      <c r="D4" s="2" t="s">
        <v>1065</v>
      </c>
    </row>
    <row r="5" spans="1:14" ht="30" customHeight="1">
      <c r="A5" s="6">
        <v>4</v>
      </c>
      <c r="B5" s="78" t="s">
        <v>1068</v>
      </c>
      <c r="C5" s="31" t="s">
        <v>1062</v>
      </c>
      <c r="D5" s="2" t="s">
        <v>1065</v>
      </c>
    </row>
    <row r="6" spans="1:14" ht="30" customHeight="1">
      <c r="A6" s="6">
        <v>5</v>
      </c>
      <c r="B6" s="78" t="s">
        <v>1069</v>
      </c>
      <c r="C6" s="31" t="s">
        <v>1067</v>
      </c>
      <c r="D6" s="2" t="s">
        <v>1065</v>
      </c>
    </row>
    <row r="7" spans="1:14" ht="30" customHeight="1">
      <c r="A7" s="6">
        <v>6</v>
      </c>
      <c r="B7" s="78" t="s">
        <v>1070</v>
      </c>
      <c r="C7" s="31" t="s">
        <v>1062</v>
      </c>
      <c r="D7" s="2" t="s">
        <v>1065</v>
      </c>
    </row>
    <row r="8" spans="1:14">
      <c r="A8" s="6">
        <v>7</v>
      </c>
      <c r="B8" s="31" t="s">
        <v>1071</v>
      </c>
      <c r="C8" s="31" t="s">
        <v>1062</v>
      </c>
      <c r="D8" s="2" t="s">
        <v>1063</v>
      </c>
    </row>
    <row r="9" spans="1:14">
      <c r="A9" s="6">
        <v>8</v>
      </c>
      <c r="B9" s="31" t="s">
        <v>1072</v>
      </c>
      <c r="C9" s="31" t="s">
        <v>1062</v>
      </c>
      <c r="D9" s="2" t="s">
        <v>1063</v>
      </c>
    </row>
    <row r="10" spans="1:14">
      <c r="A10" s="6">
        <v>9</v>
      </c>
      <c r="B10" s="31" t="s">
        <v>1073</v>
      </c>
      <c r="C10" s="31" t="s">
        <v>1062</v>
      </c>
      <c r="D10" s="2" t="s">
        <v>1065</v>
      </c>
    </row>
    <row r="11" spans="1:14">
      <c r="A11" s="6">
        <v>10</v>
      </c>
      <c r="B11" s="31" t="s">
        <v>1074</v>
      </c>
      <c r="C11" s="31" t="s">
        <v>1062</v>
      </c>
      <c r="D11" s="2" t="s">
        <v>1065</v>
      </c>
    </row>
    <row r="12" spans="1:14">
      <c r="A12" s="6">
        <v>11</v>
      </c>
      <c r="B12" s="31" t="s">
        <v>1075</v>
      </c>
      <c r="C12" s="31" t="s">
        <v>1062</v>
      </c>
      <c r="D12" s="2" t="s">
        <v>1063</v>
      </c>
    </row>
    <row r="13" spans="1:14" ht="45" customHeight="1">
      <c r="A13" s="7">
        <v>12</v>
      </c>
      <c r="B13" s="3" t="s">
        <v>1076</v>
      </c>
      <c r="C13" s="4" t="s">
        <v>1062</v>
      </c>
      <c r="D13" s="5" t="s">
        <v>1065</v>
      </c>
    </row>
    <row r="14" spans="1:14" ht="30" customHeight="1">
      <c r="A14" s="35">
        <v>13</v>
      </c>
      <c r="B14" s="78" t="s">
        <v>1077</v>
      </c>
      <c r="C14" s="31" t="s">
        <v>1062</v>
      </c>
      <c r="D14" s="31" t="s">
        <v>1065</v>
      </c>
    </row>
    <row r="15" spans="1:14" ht="30" customHeight="1">
      <c r="A15" s="35">
        <v>14</v>
      </c>
      <c r="B15" s="78" t="s">
        <v>1078</v>
      </c>
      <c r="C15" s="31" t="s">
        <v>1062</v>
      </c>
      <c r="D15" s="31" t="s">
        <v>1063</v>
      </c>
    </row>
    <row r="16" spans="1:14" ht="30" customHeight="1">
      <c r="A16" s="35">
        <v>15</v>
      </c>
      <c r="B16" s="78" t="s">
        <v>1079</v>
      </c>
      <c r="C16" s="31" t="s">
        <v>1067</v>
      </c>
      <c r="D16" s="31" t="s">
        <v>1063</v>
      </c>
    </row>
    <row r="17" spans="1:4" ht="45" customHeight="1">
      <c r="A17" s="35">
        <v>16</v>
      </c>
      <c r="B17" s="78" t="s">
        <v>1080</v>
      </c>
      <c r="C17" s="31" t="s">
        <v>1067</v>
      </c>
      <c r="D17" s="31" t="s">
        <v>1065</v>
      </c>
    </row>
    <row r="18" spans="1:4">
      <c r="A18" s="35">
        <v>17</v>
      </c>
      <c r="B18" s="31"/>
      <c r="C18" s="31"/>
      <c r="D18" s="31"/>
    </row>
    <row r="19" spans="1:4">
      <c r="A19" s="35">
        <v>18</v>
      </c>
      <c r="B19" s="31"/>
      <c r="C19" s="31"/>
      <c r="D19" s="31"/>
    </row>
    <row r="20" spans="1:4">
      <c r="A20" s="35">
        <v>19</v>
      </c>
      <c r="B20" s="31"/>
      <c r="C20" s="31"/>
      <c r="D20" s="31"/>
    </row>
    <row r="21" spans="1:4">
      <c r="A21" s="35">
        <v>20</v>
      </c>
      <c r="B21" s="31"/>
      <c r="C21" s="31"/>
      <c r="D21" s="31"/>
    </row>
    <row r="22" spans="1:4">
      <c r="A22" s="35">
        <v>21</v>
      </c>
      <c r="B22" s="31"/>
      <c r="C22" s="31"/>
      <c r="D22" s="31"/>
    </row>
    <row r="23" spans="1:4">
      <c r="A23" s="35">
        <v>22</v>
      </c>
      <c r="B23" s="31"/>
      <c r="C23" s="31"/>
      <c r="D23" s="31"/>
    </row>
    <row r="24" spans="1:4">
      <c r="A24" s="35">
        <v>23</v>
      </c>
      <c r="B24" s="31"/>
      <c r="C24" s="31"/>
      <c r="D24" s="31"/>
    </row>
    <row r="25" spans="1:4">
      <c r="A25" s="35">
        <v>24</v>
      </c>
      <c r="B25" s="31"/>
      <c r="C25" s="31"/>
      <c r="D25" s="31"/>
    </row>
    <row r="26" spans="1:4">
      <c r="A26" s="35">
        <v>25</v>
      </c>
      <c r="B26" s="31"/>
      <c r="C26" s="31"/>
      <c r="D26" s="31"/>
    </row>
    <row r="27" spans="1:4">
      <c r="A27" s="35"/>
      <c r="B27" s="31"/>
      <c r="C27" s="31"/>
      <c r="D27" s="3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Dashboard</vt:lpstr>
      <vt:lpstr>Action Tracker</vt:lpstr>
      <vt:lpstr>Raw_Tradebook</vt:lpstr>
      <vt:lpstr>Transaction</vt:lpstr>
      <vt:lpstr>Current_Portfolio</vt:lpstr>
      <vt:lpstr>Core_Watchlist</vt:lpstr>
      <vt:lpstr>Satellite_Watchlist</vt:lpstr>
      <vt:lpstr>Overall_Portfolio</vt:lpstr>
      <vt:lpstr>Price_Update</vt:lpstr>
      <vt:lpstr>Todo </vt:lpstr>
      <vt:lpstr>SAT_WATCH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Muralidharan Krishnaraj</cp:lastModifiedBy>
  <dcterms:created xsi:type="dcterms:W3CDTF">2026-03-07T14:21:25Z</dcterms:created>
  <dcterms:modified xsi:type="dcterms:W3CDTF">2026-06-05T14:20:02Z</dcterms:modified>
</cp:coreProperties>
</file>